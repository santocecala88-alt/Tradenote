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ee90c987a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62654fc59fc4f8c"/>
    <x:sheet xmlns:r="http://schemas.openxmlformats.org/officeDocument/2006/relationships" name="Analisi" sheetId="2" r:id="R97a4e5291d654809"/>
    <x:sheet xmlns:r="http://schemas.openxmlformats.org/officeDocument/2006/relationships" name="Impostazioni" sheetId="3" r:id="Re1028b8ad70a4b19"/>
    <x:sheet xmlns:r="http://schemas.openxmlformats.org/officeDocument/2006/relationships" name="Diario" sheetId="4" r:id="Redb6280a9d6f445b"/>
    <x:sheet xmlns:r="http://schemas.openxmlformats.org/officeDocument/2006/relationships" name="Esecuzioni" sheetId="5" r:id="R94bb0fafc6814e78"/>
    <x:sheet xmlns:r="http://schemas.openxmlformats.org/officeDocument/2006/relationships" name="Cassa" sheetId="6" r:id="R0dfca7002a724287"/>
    <x:sheet xmlns:r="http://schemas.openxmlformats.org/officeDocument/2006/relationships" name="Esempi" sheetId="7" r:id="R433b84fb8b0b4529"/>
    <x:sheet xmlns:r="http://schemas.openxmlformats.org/officeDocument/2006/relationships" name="Guida" sheetId="8" r:id="R71ff5dece12b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&quot;€&quot; #,##0.00;[Red](&quot;€&quot; #,##0.00);&quot;€&quot; 0.00"/>
    <x:numFmt numFmtId="201" formatCode="0.0%;[Red](0.0%);0.0%"/>
    <x:numFmt numFmtId="202" formatCode="0"/>
    <x:numFmt numFmtId="203" formatCode="dd/mm/yy hh:mm"/>
    <x:numFmt numFmtId="204" formatCode="0.00"/>
    <x:numFmt numFmtId="205" formatCode="mmm-yy"/>
    <x:numFmt numFmtId="206" formatCode="0.000"/>
  </x:numFmts>
  <x:fonts count="9">
    <x:font>
      <x:sz val="11"/>
      <x:name val="Carlito"/>
    </x:font>
    <x:font>
      <x:sz val="10"/>
      <x:color rgb="FF172B4D"/>
      <x:name val="Arial"/>
    </x:font>
    <x:font>
      <x:b/>
      <x:sz val="16"/>
      <x:color rgb="FF17365D"/>
      <x:name val="Arial"/>
    </x:font>
    <x:font>
      <x:sz val="10"/>
      <x:color rgb="FF5D6B7C"/>
      <x:name val="Arial"/>
    </x:font>
    <x:font>
      <x:sz val="10"/>
      <x:color rgb="FF174C8F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526176"/>
      <x:name val="Arial"/>
    </x:font>
    <x:font>
      <x:sz val="10"/>
      <x:color rgb="FF9B5B1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6DE"/>
      </x:patternFill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EEF3F8"/>
      </x:patternFill>
    </x:fill>
    <x:fill>
      <x:patternFill patternType="solid">
        <x:fgColor rgb="FF17365D"/>
      </x:patternFill>
    </x:fill>
    <x:fill>
      <x:patternFill patternType="solid">
        <x:fgColor rgb="FFF3F5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9E2E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4" borderId="0" xfId="0" applyNumberFormat="1" applyFont="1" applyFill="1" applyBorder="1"/>
    <x:xf numFmtId="203" fontId="4" fillId="2" borderId="0" xfId="0" applyNumberFormat="1" applyFont="1" applyFill="1" applyBorder="1"/>
    <x:xf numFmtId="204" fontId="4" fillId="2" borderId="0" xfId="0" applyNumberFormat="1" applyFont="1" applyFill="1" applyBorder="1" applyAlignment="1">
      <x:alignment vertical="center"/>
    </x:xf>
    <x:xf numFmtId="204" fontId="4" fillId="2" borderId="0" xfId="0" applyNumberFormat="1" applyFont="1" applyFill="1" applyBorder="1"/>
    <x:xf numFmtId="200" fontId="4" fillId="2" borderId="0" xfId="0" applyNumberFormat="1" applyFont="1" applyFill="1" applyBorder="1"/>
    <x:xf numFmtId="200" fontId="1" fillId="4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3">
    <x:dxf>
      <x:font>
        <x:color rgb="FF176544"/>
      </x:font>
    </x:dxf>
    <x:dxf>
      <x:font>
        <x:color rgb="FFAE303D"/>
      </x:font>
    </x:dxf>
    <x:dxf>
      <x:font>
        <x:b/>
        <x:color rgb="FFAE303D"/>
      </x:font>
      <x:fill>
        <x:patternFill>
          <x:bgColor rgb="FFFCECEF"/>
        </x:patternFill>
      </x:fill>
    </x:dxf>
    <x:dxf>
      <x:font>
        <x:b/>
        <x:color rgb="FFAE303D"/>
      </x:font>
      <x:fill>
        <x:patternFill>
          <x:bgColor rgb="FFFCECEF"/>
        </x:patternFill>
      </x:fill>
    </x:dxf>
    <x:dxf>
      <x:font>
        <x:color rgb="FF176544"/>
      </x:font>
      <x:fill>
        <x:patternFill>
          <x:bgColor rgb="FFE7F3EC"/>
        </x:patternFill>
      </x:fill>
    </x:dxf>
    <x:dxf>
      <x:font>
        <x:color rgb="FFAE303D"/>
      </x:font>
      <x:fill>
        <x:patternFill>
          <x:bgColor rgb="FFFCECEF"/>
        </x:patternFill>
      </x:fill>
    </x:dxf>
    <x:dxf>
      <x:font>
        <x:b/>
        <x:color rgb="FFAE303D"/>
      </x:font>
      <x:fill>
        <x:patternFill>
          <x:bgColor rgb="FFFCECEF"/>
        </x:patternFill>
      </x:fill>
    </x:dxf>
    <x:dxf>
      <x:font>
        <x:b/>
        <x:color rgb="FFAE303D"/>
      </x:font>
      <x:fill>
        <x:patternFill>
          <x:bgColor rgb="FFFCECEF"/>
        </x:patternFill>
      </x:fill>
    </x:dxf>
    <x:dxf>
      <x:font>
        <x:color rgb="FF176544"/>
      </x:font>
    </x:dxf>
    <x:dxf>
      <x:font>
        <x:color rgb="FFAE303D"/>
      </x:font>
    </x:dxf>
    <x:dxf>
      <x:font>
        <x:color rgb="FF176544"/>
      </x:font>
    </x:dxf>
    <x:dxf>
      <x:font>
        <x:color rgb="FFAE303D"/>
      </x:font>
    </x:dxf>
    <x:dxf>
      <x:font>
        <x:color rgb="FF176544"/>
      </x:font>
    </x:dxf>
    <x:dxf>
      <x:font>
        <x:color rgb="FFAE303D"/>
      </x:font>
    </x:dxf>
    <x:dxf>
      <x:font>
        <x:color rgb="FF176544"/>
      </x:font>
    </x:dxf>
    <x:dxf>
      <x:font>
        <x:color rgb="FFAE303D"/>
      </x:font>
    </x:dxf>
    <x:dxf>
      <x:font>
        <x:color rgb="FF176544"/>
      </x:font>
    </x:dxf>
    <x:dxf>
      <x:font>
        <x:color rgb="FFAE303D"/>
      </x:font>
    </x:dxf>
    <x:dxf>
      <x:font>
        <x:color rgb="FF176544"/>
      </x:font>
    </x:dxf>
    <x:dxf>
      <x:font>
        <x:color rgb="FFAE303D"/>
      </x:font>
    </x:dxf>
    <x:dxf>
      <x:font>
        <x:b/>
        <x:color rgb="FFAE303D"/>
      </x:font>
      <x:fill>
        <x:patternFill>
          <x:bgColor rgb="FFFCECEF"/>
        </x:patternFill>
      </x:fill>
    </x:dxf>
    <x:dxf>
      <x:font>
        <x:b/>
        <x:color rgb="FFAE303D"/>
      </x:font>
      <x:fill>
        <x:patternFill>
          <x:bgColor rgb="FFFCECEF"/>
        </x:patternFill>
      </x:fill>
    </x:dxf>
    <x:dxf>
      <x:font>
        <x:b/>
        <x:color rgb="FFAE303D"/>
      </x:font>
      <x:fill>
        <x:patternFill>
          <x:bgColor rgb="FFFCEC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a394265c44956" /><Relationship Type="http://schemas.openxmlformats.org/officeDocument/2006/relationships/theme" Target="/xl/theme/theme1.xml" Id="R5be77cec1fd34af9" /><Relationship Type="http://schemas.openxmlformats.org/officeDocument/2006/relationships/sharedStrings" Target="/xl/sharedStrings.xml" Id="R13b22097095c4dd0" /><Relationship Type="http://schemas.openxmlformats.org/officeDocument/2006/relationships/worksheet" Target="/xl/worksheets/sheet1.xml" Id="Re62654fc59fc4f8c" /><Relationship Type="http://schemas.openxmlformats.org/officeDocument/2006/relationships/worksheet" Target="/xl/worksheets/sheet2.xml" Id="R97a4e5291d654809" /><Relationship Type="http://schemas.openxmlformats.org/officeDocument/2006/relationships/worksheet" Target="/xl/worksheets/sheet3.xml" Id="Re1028b8ad70a4b19" /><Relationship Type="http://schemas.openxmlformats.org/officeDocument/2006/relationships/worksheet" Target="/xl/worksheets/sheet4.xml" Id="Redb6280a9d6f445b" /><Relationship Type="http://schemas.openxmlformats.org/officeDocument/2006/relationships/worksheet" Target="/xl/worksheets/sheet5.xml" Id="R94bb0fafc6814e78" /><Relationship Type="http://schemas.openxmlformats.org/officeDocument/2006/relationships/worksheet" Target="/xl/worksheets/sheet6.xml" Id="R0dfca7002a724287" /><Relationship Type="http://schemas.openxmlformats.org/officeDocument/2006/relationships/worksheet" Target="/xl/worksheets/sheet7.xml" Id="R433b84fb8b0b4529" /><Relationship Type="http://schemas.openxmlformats.org/officeDocument/2006/relationships/worksheet" Target="/xl/worksheets/sheet8.xml" Id="R71ff5dece12b41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f7cba4f5504025" /><Relationship Type="http://schemas.openxmlformats.org/officeDocument/2006/relationships/chart" Target="/xl/drawings/charts/chart2.xml" Id="R48131f6061bd4f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Utile cumulato nell’anno (€)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Cumulato €</c:v>
          </c:tx>
          <c:spPr>
            <a:ln xmlns:a="http://schemas.openxmlformats.org/drawingml/2006/main" w="19050">
              <a:solidFill>
                <a:srgbClr val="245A81"/>
              </a:solidFill>
              <a:prstDash val="solid"/>
            </a:ln>
          </c:spPr>
          <c:marker>
            <c:symbol val="none"/>
          </c:marker>
          <c:cat>
            <c:strRef>
              <c:f>'Dashboard'!$B$22:$B$33</c:f>
              <c:strCache>
                <c:ptCount val="0"/>
              </c:strCache>
            </c:strRef>
          </c:cat>
          <c:val>
            <c:numRef>
              <c:f>'Dashboard'!$G$22:$G$33</c:f>
              <c:numCache>
                <c:formatCode>"€" #,##0.00;[Red]("€" #,##0.00);"€" 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P/L netto per strategia (€)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P/L netto €</c:v>
          </c:tx>
          <c:spPr>
            <a:solidFill xmlns:a="http://schemas.openxmlformats.org/drawingml/2006/main">
              <a:srgbClr val="245A81"/>
            </a:solidFill>
          </c:spPr>
          <c:invertIfNegative val="0"/>
          <c:cat>
            <c:strRef>
              <c:f>'Dashboard'!$B$39:$B$46</c:f>
              <c:strCache>
                <c:ptCount val="0"/>
              </c:strCache>
            </c:strRef>
          </c:cat>
          <c:val>
            <c:numRef>
              <c:f>'Dashboard'!$D$39:$D$46</c:f>
              <c:numCache>
                <c:formatCode>"€" #,##0.00;[Red]("€" #,##0.00);"€" 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f7cba4f5504025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16</xdr:col>
      <xdr:colOff>0</xdr:colOff>
      <xdr:row>54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131f6061bd4f1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mpagne" displayName="Campagne" ref="A7:AR507" headerRowCount="1" totalsRowCount="0" totalsRowShown="0">
  <x:autoFilter ref="A7:AR507"/>
  <x:tableColumns count="44">
    <x:tableColumn id="1" name="ID campagna"/>
    <x:tableColumn id="2" name="Data/ora apertura"/>
    <x:tableColumn id="3" name="Data/ora chiusura"/>
    <x:tableColumn id="4" name="Evento"/>
    <x:tableColumn id="5" name="Lega"/>
    <x:tableColumn id="6" name="Strategia"/>
    <x:tableColumn id="7" name="Mercato / selezione"/>
    <x:tableColumn id="8" name="Conto / exchange"/>
    <x:tableColumn id="9" name="Modalità risultato"/>
    <x:tableColumn id="10" name="Stato"/>
    <x:tableColumn id="11" name="Minuto ingresso"/>
    <x:tableColumn id="12" name="Score ingresso"/>
    <x:tableColumn id="13" name="Minuto uscita"/>
    <x:tableColumn id="14" name="Motivo uscita"/>
    <x:tableColumn id="15" name="Rischio manuale €"/>
    <x:tableColumn id="16" name="Risultato manuale €"/>
    <x:tableColumn id="17" name="Commissione effettiva €"/>
    <x:tableColumn id="18" name="Aliquota specifica"/>
    <x:tableColumn id="19" name="Esito selezione"/>
    <x:tableColumn id="20" name="Piano rispettato"/>
    <x:tableColumn id="21" name="Note / errori"/>
    <x:tableColumn id="22" name="Link screenshot"/>
    <x:tableColumn id="23" name="Ordini validi"/>
    <x:tableColumn id="24" name="P/L se vince €"/>
    <x:tableColumn id="25" name="P/L se perde €"/>
    <x:tableColumn id="26" name="Rischio massimo €"/>
    <x:tableColumn id="27" name="P/L lordo €"/>
    <x:tableColumn id="28" name="Commissione €"/>
    <x:tableColumn id="29" name="P/L netto €"/>
    <x:tableColumn id="30" name="Esito campagna"/>
    <x:tableColumn id="31" name="Rendimento / rischio"/>
    <x:tableColumn id="32" name="Ordine chiusura"/>
    <x:tableColumn id="33" name="Utile cumulato €"/>
    <x:tableColumn id="34" name="Contabilizzato"/>
    <x:tableColumn id="35" name="Picco utile €"/>
    <x:tableColumn id="36" name="Drawdown €"/>
    <x:tableColumn id="37" name="Drawdown %"/>
    <x:tableColumn id="38" name="Serie green"/>
    <x:tableColumn id="39" name="Serie red"/>
    <x:tableColumn id="40" name="Bankroll apertura €"/>
    <x:tableColumn id="41" name="Rischio / bankroll"/>
    <x:tableColumn id="42" name="Controllo rischio"/>
    <x:tableColumn id="43" name="Dati campagna"/>
    <x:tableColumn id="44" name="Rischio aperto 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ini" displayName="Ordini" ref="A7:Q1007" headerRowCount="1" totalsRowCount="0" totalsRowShown="0">
  <x:autoFilter ref="A7:Q1007"/>
  <x:tableColumns count="17">
    <x:tableColumn id="1" name="ID campagna"/>
    <x:tableColumn id="2" name="N. esecuzione"/>
    <x:tableColumn id="3" name="Data/ora"/>
    <x:tableColumn id="4" name="Fase"/>
    <x:tableColumn id="5" name="Lato"/>
    <x:tableColumn id="6" name="Quota"/>
    <x:tableColumn id="7" name="Stake abbinato €"/>
    <x:tableColumn id="8" name="Minuto"/>
    <x:tableColumn id="9" name="Score"/>
    <x:tableColumn id="10" name="ID scommessa"/>
    <x:tableColumn id="11" name="Note"/>
    <x:tableColumn id="12" name="P/L se vince €"/>
    <x:tableColumn id="13" name="P/L se perde €"/>
    <x:tableColumn id="14" name="Cumulato se vince €"/>
    <x:tableColumn id="15" name="Cumulato se perde €"/>
    <x:tableColumn id="16" name="Rischio residuo €"/>
    <x:tableColumn id="17" name="Dati esecuzion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ussiCassa" displayName="FlussiCassa" ref="A7:G307" headerRowCount="1" totalsRowCount="0" totalsRowShown="0">
  <x:autoFilter ref="A7:G307"/>
  <x:tableColumns count="7">
    <x:tableColumn id="1" name="Data/ora"/>
    <x:tableColumn id="2" name="Tipo"/>
    <x:tableColumn id="3" name="Importo €"/>
    <x:tableColumn id="4" name="Conto"/>
    <x:tableColumn id="5" name="Descrizione"/>
    <x:tableColumn id="6" name="Flusso netto €"/>
    <x:tableColumn id="7" name="Dati movim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0c336cc2bd4e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e467d3ad7074a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9853b7c37d045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040fa392a08d48b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3" hidden="0" customWidth="1"/>
    <x:col min="3" max="3" width="19" hidden="0" customWidth="1"/>
    <x:col min="4" max="4" width="18" hidden="0" customWidth="1"/>
    <x:col min="5" max="5" width="33" hidden="0" customWidth="1"/>
    <x:col min="6" max="6" width="19" hidden="0" customWidth="1"/>
    <x:col min="7" max="7" width="18" hidden="0" customWidth="1"/>
    <x:col min="8" max="8" width="3" hidden="0" customWidth="1"/>
    <x:col min="9" max="9" width="1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9" customHeight="1">
      <x:c r="A2" s="3"/>
      <x:c r="B2" s="3" t="str">
        <x:v>Trading sportivo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2" customHeight="1">
      <x:c r="A4" s="5"/>
      <x:c r="B4" s="5" t="str">
        <x:v>Santo Cecala. Risultati complessivi in EUR.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6" customHeight="1">
      <x:c r="A6" s="2"/>
      <x:c r="B6" s="2" t="str">
        <x:v>P/L netto trade (€)</x:v>
      </x:c>
      <x:c r="C6" s="38" t="str">
        <x:f>IF(COUNTIFS('Diario'!$AH$8:$AH$507,1)=0,"",SUMIFS('Diario'!$AC$8:$AC$507,'Diario'!$AH$8:$AH$507,1))</x:f>
      </x:c>
      <x:c r="D6" s="2"/>
      <x:c r="E6" s="2" t="str">
        <x:v>Bankroll contabile (€)</x:v>
      </x:c>
      <x:c r="F6" s="38" t="str">
        <x:f>IF(NOT(ISNUMBER('Impostazioni'!B6)),"",'Impostazioni'!B6+SUMIFS('Diario'!$AC$8:$AC$507,'Diario'!$AH$8:$AH$507,1)+SUMIFS('Cassa'!$F$8:$F$307,'Cassa'!$G$8:$G$307,"OK"))</x:f>
      </x:c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6" customHeight="1">
      <x:c r="A7" s="2"/>
      <x:c r="B7" s="2" t="str">
        <x:v>Chiuse contabilizzate</x:v>
      </x:c>
      <x:c r="C7" s="22" t="n">
        <x:f>COUNTIFS('Diario'!$AH$8:$AH$507,1)</x:f>
        <x:v>0</x:v>
      </x:c>
      <x:c r="D7" s="2"/>
      <x:c r="E7" s="2" t="str">
        <x:v>Rischio aperto stimato (€)</x:v>
      </x:c>
      <x:c r="F7" s="20" t="n">
        <x:f>IF(COUNTIFS('Diario'!$A$8:$A$507,"&lt;&gt;",'Diario'!$J$8:$J$507,"Aperto",'Diario'!$AQ$8:$AQ$507,"&lt;&gt;OK")&gt;0,"Dati aperti incompleti",SUM('Diario'!$AR$8:$AR$507))</x:f>
        <x:v>0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6" customHeight="1">
      <x:c r="A8" s="2"/>
      <x:c r="B8" s="2" t="str">
        <x:v>Strike rate, esclusi flat</x:v>
      </x:c>
      <x:c r="C8" s="21" t="str">
        <x:f>IF(COUNTIFS('Diario'!$AD$8:$AD$507,"Green")+COUNTIFS('Diario'!$AD$8:$AD$507,"Red")=0,"",COUNTIFS('Diario'!$AD$8:$AD$507,"Green")/(COUNTIFS('Diario'!$AD$8:$AD$507,"Green")+COUNTIFS('Diario'!$AD$8:$AD$507,"Red")))</x:f>
      </x:c>
      <x:c r="D8" s="2"/>
      <x:c r="E8" s="2" t="str">
        <x:v>Rendimento sul rischio</x:v>
      </x:c>
      <x:c r="F8" s="21" t="str">
        <x:f>IF(SUMIFS('Diario'!$Z$8:$Z$507,'Diario'!$AH$8:$AH$507,1)=0,"",C6/SUMIFS('Diario'!$Z$8:$Z$507,'Diario'!$AH$8:$AH$507,1))</x:f>
      </x:c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6" customHeight="1">
      <x:c r="A9" s="2"/>
      <x:c r="B9" s="2" t="str">
        <x:v>Profit factor</x:v>
      </x:c>
      <x:c r="C9" s="37" t="str">
        <x:f>IF(COUNTIFS('Diario'!$AH$8:$AH$507,1)=0,"",IF(SUMIFS('Diario'!$AC$8:$AC$507,'Diario'!$AH$8:$AH$507,1,'Diario'!$AC$8:$AC$507,"&lt;0")=0,"n.a.",SUMIFS('Diario'!$AC$8:$AC$507,'Diario'!$AH$8:$AH$507,1,'Diario'!$AC$8:$AC$507,"&gt;0")/-SUMIFS('Diario'!$AC$8:$AC$507,'Diario'!$AH$8:$AH$507,1,'Diario'!$AC$8:$AC$507,"&lt;0")))</x:f>
      </x:c>
      <x:c r="D9" s="2"/>
      <x:c r="E9" s="2" t="str">
        <x:v>Drawdown massimo (€)</x:v>
      </x:c>
      <x:c r="F9" s="20" t="str">
        <x:f>IF(C7=0,"",MAX('Diario'!$AJ$8:$AJ$507))</x:f>
      </x:c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6" customHeight="1">
      <x:c r="A10" s="2"/>
      <x:c r="B10" s="2" t="str">
        <x:v>Green medio (€)</x:v>
      </x:c>
      <x:c r="C10" s="20" t="str">
        <x:f>IF(COUNTIFS('Diario'!$AD$8:$AD$507,"Green")=0,"",SUMIFS('Diario'!$AC$8:$AC$507,'Diario'!$AH$8:$AH$507,1,'Diario'!$AC$8:$AC$507,"&gt;0")/COUNTIFS('Diario'!$AD$8:$AD$507,"Green"))</x:f>
      </x:c>
      <x:c r="D10" s="2"/>
      <x:c r="E10" s="2" t="str">
        <x:v>Drawdown massimo %</x:v>
      </x:c>
      <x:c r="F10" s="21" t="str">
        <x:f>IF(COUNT('Diario'!$AK$8:$AK$507)=0,"",MAX('Diario'!$AK$8:$AK$507))</x:f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6" customHeight="1">
      <x:c r="A11" s="2"/>
      <x:c r="B11" s="2" t="str">
        <x:v>Red medio (€)</x:v>
      </x:c>
      <x:c r="C11" s="20" t="str">
        <x:f>IF(COUNTIFS('Diario'!$AD$8:$AD$507,"Red")=0,"",SUMIFS('Diario'!$AC$8:$AC$507,'Diario'!$AH$8:$AH$507,1,'Diario'!$AC$8:$AC$507,"&lt;0")/COUNTIFS('Diario'!$AD$8:$AD$507,"Red"))</x:f>
      </x:c>
      <x:c r="D11" s="2"/>
      <x:c r="E11" s="2" t="str">
        <x:v>Serie green massima</x:v>
      </x:c>
      <x:c r="F11" s="22" t="str">
        <x:f>IF(C7=0,"",MAX('Diario'!$AL$8:$AL$507))</x:f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6" customHeight="1">
      <x:c r="A12" s="2"/>
      <x:c r="B12" s="2" t="str">
        <x:v>SR pareggio osservato</x:v>
      </x:c>
      <x:c r="C12" s="21" t="str">
        <x:f>IF(OR(COUNTIFS('Diario'!$AD$8:$AD$507,"Green")=0,COUNTIFS('Diario'!$AD$8:$AD$507,"Red")=0),"",(-C11)/(C10-C11))</x:f>
      </x:c>
      <x:c r="D12" s="2"/>
      <x:c r="E12" s="2" t="str">
        <x:v>Serie red massima</x:v>
      </x:c>
      <x:c r="F12" s="22" t="str">
        <x:f>IF(C7=0,"",MAX('Diario'!$AM$8:$AM$507))</x:f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6" customHeight="1">
      <x:c r="A13" s="2"/>
      <x:c r="B13" s="2" t="str">
        <x:v>Commissioni mercati (€)</x:v>
      </x:c>
      <x:c r="C13" s="20" t="str">
        <x:f>IF(COUNTIFS('Diario'!$AH$8:$AH$507,1)=0,"",SUMIFS('Diario'!$AB$8:$AB$507,'Diario'!$AH$8:$AH$507,1))</x:f>
      </x:c>
      <x:c r="D13" s="2"/>
      <x:c r="E13" s="2" t="str">
        <x:v>Piano rispettato</x:v>
      </x:c>
      <x:c r="F13" s="21" t="str">
        <x:f>IF(COUNTIFS('Diario'!$AH$8:$AH$507,1,'Diario'!$T$8:$T$507,"Sì")+COUNTIFS('Diario'!$AH$8:$AH$507,1,'Diario'!$T$8:$T$507,"No")=0,"",COUNTIFS('Diario'!$AH$8:$AH$507,1,'Diario'!$T$8:$T$507,"Sì")/(COUNTIFS('Diario'!$AH$8:$AH$507,1,'Diario'!$T$8:$T$507,"Sì")+COUNTIFS('Diario'!$AH$8:$AH$507,1,'Diario'!$T$8:$T$507,"No")))</x:f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6" customHeight="1">
      <x:c r="A14" s="2"/>
      <x:c r="B14" s="2" t="str">
        <x:v>Costi operativi (€)</x:v>
      </x:c>
      <x:c r="C14" s="20" t="n">
        <x:f>SUMIFS('Cassa'!$C$8:$C$307,'Cassa'!$B$8:$B$307,"Costo",'Cassa'!$G$8:$G$307,"OK")</x:f>
        <x:v>0</x:v>
      </x:c>
      <x:c r="D14" s="2"/>
      <x:c r="E14" s="2" t="str">
        <x:v>Campagne aperte</x:v>
      </x:c>
      <x:c r="F14" s="22" t="n">
        <x:f>COUNTIFS('Diario'!$A$8:$A$507,"&lt;&gt;",'Diario'!$J$8:$J$507,"Aperto")</x:f>
        <x:v>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6" customHeight="1">
      <x:c r="A15" s="2"/>
      <x:c r="B15" s="2" t="str">
        <x:v>Utile dopo costi (€)</x:v>
      </x:c>
      <x:c r="C15" s="20" t="str">
        <x:f>IF(C7=0,"",C6-C14)</x:f>
      </x:c>
      <x:c r="D15" s="2"/>
      <x:c r="E15" s="2" t="str">
        <x:v>Chiuse da completare</x:v>
      </x:c>
      <x:c r="F15" s="22" t="n">
        <x:f>COUNTIFS('Diario'!$J$8:$J$507,"Chiuso",'Diario'!$AQ$8:$AQ$507,"&lt;&gt;OK")</x:f>
        <x:v>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2" customHeight="1">
      <x:c r="A17" s="2"/>
      <x:c r="B17" s="5" t="str">
        <x:f>IF(ISNUMBER('Impostazioni'!B6),"Bankroll contabile: saldo iniziale + risultati chiusi + flussi di cassa.","Primo passo: inserisci il bankroll iniziale in Impostazioni, cella B6.")</x:f>
        <x:v>Primo passo: inserisci il bankroll iniziale in Impostazioni, cella B6.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2" customHeight="1">
      <x:c r="A18" s="2"/>
      <x:c r="B18" s="5" t="str">
        <x:v>Drawdown e serie usano l’ordine di chiusura. Versamenti e prelievi non alterano la curva del profitto.</x:v>
      </x:c>
      <x:c r="C18" s="2"/>
      <x:c r="D18" s="2"/>
      <x:c r="E18" s="2"/>
      <x:c r="F18" s="2"/>
      <x:c r="G18" s="2"/>
      <x:c r="H18" s="2"/>
      <x:c r="I18" s="2" t="str">
        <x:v>Anno analisi</x:v>
      </x:c>
      <x:c r="J18" s="2" t="n">
        <x:f>'Impostazioni'!B9</x:f>
        <x:v>2026</x:v>
      </x:c>
      <x:c r="K18" s="2"/>
      <x:c r="L18" s="2"/>
      <x:c r="M18" s="2"/>
      <x:c r="N18" s="2"/>
      <x:c r="O18" s="2"/>
      <x:c r="P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4" customHeight="1">
      <x:c r="A20" s="2"/>
      <x:c r="B20" s="32" t="str">
        <x:v>Risultati mensili</x:v>
      </x:c>
      <x:c r="C20" s="32"/>
      <x:c r="D20" s="32"/>
      <x:c r="E20" s="32"/>
      <x:c r="F20" s="32"/>
      <x:c r="G20" s="3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40" customHeight="1">
      <x:c r="A21" s="2"/>
      <x:c r="B21" s="15" t="str">
        <x:v>Mese</x:v>
      </x:c>
      <x:c r="C21" s="16" t="str">
        <x:v>Chiuse</x:v>
      </x:c>
      <x:c r="D21" s="16" t="str">
        <x:v>P/L netto €</x:v>
      </x:c>
      <x:c r="E21" s="16" t="str">
        <x:v>Commissioni €</x:v>
      </x:c>
      <x:c r="F21" s="16" t="str">
        <x:v>Rendimento</x:v>
      </x:c>
      <x:c r="G21" s="17" t="str">
        <x:v>Cumulato €</x:v>
      </x:c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2" customHeight="1">
      <x:c r="A22" s="2"/>
      <x:c r="B22" s="2" t="str">
        <x:f>TEXT('Analisi'!N8,"mmm")</x:f>
        <x:v>Jan</x:v>
      </x:c>
      <x:c r="C22" s="2" t="n">
        <x:f>'Analisi'!O8</x:f>
        <x:v>0</x:v>
      </x:c>
      <x:c r="D22" s="34" t="str">
        <x:f>IF('Analisi'!R8="","",'Analisi'!R8)</x:f>
      </x:c>
      <x:c r="E22" s="34" t="str">
        <x:f>IF('Analisi'!S8="","",'Analisi'!S8)</x:f>
      </x:c>
      <x:c r="F22" s="35" t="str">
        <x:f>IF('Analisi'!T8="","",'Analisi'!T8)</x:f>
      </x:c>
      <x:c r="G22" s="34" t="str">
        <x:f>IF('Analisi'!U8="","",'Analisi'!U8)</x:f>
      </x:c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2" customHeight="1">
      <x:c r="A23" s="2"/>
      <x:c r="B23" s="2" t="str">
        <x:f>TEXT('Analisi'!N9,"mmm")</x:f>
        <x:v>Feb</x:v>
      </x:c>
      <x:c r="C23" s="2" t="n">
        <x:f>'Analisi'!O9</x:f>
        <x:v>0</x:v>
      </x:c>
      <x:c r="D23" s="34" t="str">
        <x:f>IF('Analisi'!R9="","",'Analisi'!R9)</x:f>
      </x:c>
      <x:c r="E23" s="34" t="str">
        <x:f>IF('Analisi'!S9="","",'Analisi'!S9)</x:f>
      </x:c>
      <x:c r="F23" s="35" t="str">
        <x:f>IF('Analisi'!T9="","",'Analisi'!T9)</x:f>
      </x:c>
      <x:c r="G23" s="34" t="str">
        <x:f>IF('Analisi'!U9="","",'Analisi'!U9)</x:f>
      </x:c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2" customHeight="1">
      <x:c r="A24" s="2"/>
      <x:c r="B24" s="2" t="str">
        <x:f>TEXT('Analisi'!N10,"mmm")</x:f>
        <x:v>Mar</x:v>
      </x:c>
      <x:c r="C24" s="2" t="n">
        <x:f>'Analisi'!O10</x:f>
        <x:v>0</x:v>
      </x:c>
      <x:c r="D24" s="34" t="str">
        <x:f>IF('Analisi'!R10="","",'Analisi'!R10)</x:f>
      </x:c>
      <x:c r="E24" s="34" t="str">
        <x:f>IF('Analisi'!S10="","",'Analisi'!S10)</x:f>
      </x:c>
      <x:c r="F24" s="35" t="str">
        <x:f>IF('Analisi'!T10="","",'Analisi'!T10)</x:f>
      </x:c>
      <x:c r="G24" s="34" t="str">
        <x:f>IF('Analisi'!U10="","",'Analisi'!U10)</x:f>
      </x:c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2" customHeight="1">
      <x:c r="A25" s="2"/>
      <x:c r="B25" s="2" t="str">
        <x:f>TEXT('Analisi'!N11,"mmm")</x:f>
        <x:v>Apr</x:v>
      </x:c>
      <x:c r="C25" s="2" t="n">
        <x:f>'Analisi'!O11</x:f>
        <x:v>0</x:v>
      </x:c>
      <x:c r="D25" s="34" t="str">
        <x:f>IF('Analisi'!R11="","",'Analisi'!R11)</x:f>
      </x:c>
      <x:c r="E25" s="34" t="str">
        <x:f>IF('Analisi'!S11="","",'Analisi'!S11)</x:f>
      </x:c>
      <x:c r="F25" s="35" t="str">
        <x:f>IF('Analisi'!T11="","",'Analisi'!T11)</x:f>
      </x:c>
      <x:c r="G25" s="34" t="str">
        <x:f>IF('Analisi'!U11="","",'Analisi'!U11)</x:f>
      </x:c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2" customHeight="1">
      <x:c r="A26" s="2"/>
      <x:c r="B26" s="2" t="str">
        <x:f>TEXT('Analisi'!N12,"mmm")</x:f>
        <x:v>May</x:v>
      </x:c>
      <x:c r="C26" s="2" t="n">
        <x:f>'Analisi'!O12</x:f>
        <x:v>0</x:v>
      </x:c>
      <x:c r="D26" s="34" t="str">
        <x:f>IF('Analisi'!R12="","",'Analisi'!R12)</x:f>
      </x:c>
      <x:c r="E26" s="34" t="str">
        <x:f>IF('Analisi'!S12="","",'Analisi'!S12)</x:f>
      </x:c>
      <x:c r="F26" s="35" t="str">
        <x:f>IF('Analisi'!T12="","",'Analisi'!T12)</x:f>
      </x:c>
      <x:c r="G26" s="34" t="str">
        <x:f>IF('Analisi'!U12="","",'Analisi'!U12)</x:f>
      </x:c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2" customHeight="1">
      <x:c r="A27" s="2"/>
      <x:c r="B27" s="2" t="str">
        <x:f>TEXT('Analisi'!N13,"mmm")</x:f>
        <x:v>Jun</x:v>
      </x:c>
      <x:c r="C27" s="2" t="n">
        <x:f>'Analisi'!O13</x:f>
        <x:v>0</x:v>
      </x:c>
      <x:c r="D27" s="34" t="str">
        <x:f>IF('Analisi'!R13="","",'Analisi'!R13)</x:f>
      </x:c>
      <x:c r="E27" s="34" t="str">
        <x:f>IF('Analisi'!S13="","",'Analisi'!S13)</x:f>
      </x:c>
      <x:c r="F27" s="35" t="str">
        <x:f>IF('Analisi'!T13="","",'Analisi'!T13)</x:f>
      </x:c>
      <x:c r="G27" s="34" t="str">
        <x:f>IF('Analisi'!U13="","",'Analisi'!U13)</x:f>
      </x:c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2" customHeight="1">
      <x:c r="A28" s="2"/>
      <x:c r="B28" s="2" t="str">
        <x:f>TEXT('Analisi'!N14,"mmm")</x:f>
        <x:v>Jul</x:v>
      </x:c>
      <x:c r="C28" s="2" t="n">
        <x:f>'Analisi'!O14</x:f>
        <x:v>0</x:v>
      </x:c>
      <x:c r="D28" s="34" t="str">
        <x:f>IF('Analisi'!R14="","",'Analisi'!R14)</x:f>
      </x:c>
      <x:c r="E28" s="34" t="str">
        <x:f>IF('Analisi'!S14="","",'Analisi'!S14)</x:f>
      </x:c>
      <x:c r="F28" s="35" t="str">
        <x:f>IF('Analisi'!T14="","",'Analisi'!T14)</x:f>
      </x:c>
      <x:c r="G28" s="34" t="str">
        <x:f>IF('Analisi'!U14="","",'Analisi'!U14)</x:f>
      </x:c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2" customHeight="1">
      <x:c r="A29" s="2"/>
      <x:c r="B29" s="2" t="str">
        <x:f>TEXT('Analisi'!N15,"mmm")</x:f>
        <x:v>Aug</x:v>
      </x:c>
      <x:c r="C29" s="2" t="n">
        <x:f>'Analisi'!O15</x:f>
        <x:v>0</x:v>
      </x:c>
      <x:c r="D29" s="34" t="str">
        <x:f>IF('Analisi'!R15="","",'Analisi'!R15)</x:f>
      </x:c>
      <x:c r="E29" s="34" t="str">
        <x:f>IF('Analisi'!S15="","",'Analisi'!S15)</x:f>
      </x:c>
      <x:c r="F29" s="35" t="str">
        <x:f>IF('Analisi'!T15="","",'Analisi'!T15)</x:f>
      </x:c>
      <x:c r="G29" s="34" t="str">
        <x:f>IF('Analisi'!U15="","",'Analisi'!U15)</x:f>
      </x:c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2" customHeight="1">
      <x:c r="A30" s="2"/>
      <x:c r="B30" s="2" t="str">
        <x:f>TEXT('Analisi'!N16,"mmm")</x:f>
        <x:v>Sep</x:v>
      </x:c>
      <x:c r="C30" s="2" t="n">
        <x:f>'Analisi'!O16</x:f>
        <x:v>0</x:v>
      </x:c>
      <x:c r="D30" s="34" t="str">
        <x:f>IF('Analisi'!R16="","",'Analisi'!R16)</x:f>
      </x:c>
      <x:c r="E30" s="34" t="str">
        <x:f>IF('Analisi'!S16="","",'Analisi'!S16)</x:f>
      </x:c>
      <x:c r="F30" s="35" t="str">
        <x:f>IF('Analisi'!T16="","",'Analisi'!T16)</x:f>
      </x:c>
      <x:c r="G30" s="34" t="str">
        <x:f>IF('Analisi'!U16="","",'Analisi'!U16)</x:f>
      </x:c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2" customHeight="1">
      <x:c r="A31" s="2"/>
      <x:c r="B31" s="2" t="str">
        <x:f>TEXT('Analisi'!N17,"mmm")</x:f>
        <x:v>Oct</x:v>
      </x:c>
      <x:c r="C31" s="2" t="n">
        <x:f>'Analisi'!O17</x:f>
        <x:v>0</x:v>
      </x:c>
      <x:c r="D31" s="34" t="str">
        <x:f>IF('Analisi'!R17="","",'Analisi'!R17)</x:f>
      </x:c>
      <x:c r="E31" s="34" t="str">
        <x:f>IF('Analisi'!S17="","",'Analisi'!S17)</x:f>
      </x:c>
      <x:c r="F31" s="35" t="str">
        <x:f>IF('Analisi'!T17="","",'Analisi'!T17)</x:f>
      </x:c>
      <x:c r="G31" s="34" t="str">
        <x:f>IF('Analisi'!U17="","",'Analisi'!U17)</x:f>
      </x:c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2" customHeight="1">
      <x:c r="A32" s="2"/>
      <x:c r="B32" s="2" t="str">
        <x:f>TEXT('Analisi'!N18,"mmm")</x:f>
        <x:v>Nov</x:v>
      </x:c>
      <x:c r="C32" s="2" t="n">
        <x:f>'Analisi'!O18</x:f>
        <x:v>0</x:v>
      </x:c>
      <x:c r="D32" s="34" t="str">
        <x:f>IF('Analisi'!R18="","",'Analisi'!R18)</x:f>
      </x:c>
      <x:c r="E32" s="34" t="str">
        <x:f>IF('Analisi'!S18="","",'Analisi'!S18)</x:f>
      </x:c>
      <x:c r="F32" s="35" t="str">
        <x:f>IF('Analisi'!T18="","",'Analisi'!T18)</x:f>
      </x:c>
      <x:c r="G32" s="34" t="str">
        <x:f>IF('Analisi'!U18="","",'Analisi'!U18)</x:f>
      </x:c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2" customHeight="1">
      <x:c r="A33" s="2"/>
      <x:c r="B33" s="2" t="str">
        <x:f>TEXT('Analisi'!N19,"mmm")</x:f>
        <x:v>Dec</x:v>
      </x:c>
      <x:c r="C33" s="2" t="n">
        <x:f>'Analisi'!O19</x:f>
        <x:v>0</x:v>
      </x:c>
      <x:c r="D33" s="34" t="str">
        <x:f>IF('Analisi'!R19="","",'Analisi'!R19)</x:f>
      </x:c>
      <x:c r="E33" s="34" t="str">
        <x:f>IF('Analisi'!S19="","",'Analisi'!S19)</x:f>
      </x:c>
      <x:c r="F33" s="35" t="str">
        <x:f>IF('Analisi'!T19="","",'Analisi'!T19)</x:f>
      </x:c>
      <x:c r="G33" s="34" t="str">
        <x:f>IF('Analisi'!U19="","",'Analisi'!U19)</x:f>
      </x:c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4" customHeight="1">
      <x:c r="A37" s="2"/>
      <x:c r="B37" s="32" t="str">
        <x:v>Prime 8 strategie per P/L netto</x:v>
      </x:c>
      <x:c r="C37" s="32"/>
      <x:c r="D37" s="32"/>
      <x:c r="E37" s="32"/>
      <x:c r="F37" s="32"/>
      <x:c r="G37" s="3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40" customHeight="1">
      <x:c r="A38" s="2"/>
      <x:c r="B38" s="15" t="str">
        <x:v>Strategia</x:v>
      </x:c>
      <x:c r="C38" s="16" t="str">
        <x:v>Chiuse</x:v>
      </x:c>
      <x:c r="D38" s="16" t="str">
        <x:v>P/L netto €</x:v>
      </x:c>
      <x:c r="E38" s="16" t="str">
        <x:v>Strike rate</x:v>
      </x:c>
      <x:c r="F38" s="16" t="str">
        <x:v>Rendimento</x:v>
      </x:c>
      <x:c r="G38" s="17" t="str">
        <x:v>Profit factor</x:v>
      </x:c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2" customHeight="1">
      <x:c r="A39" s="2"/>
      <x:c r="B39" s="2" t="str">
        <x:f>IF(COUNTIFS('Analisi'!$L$8:$L$27,1)=0,"",INDEX('Analisi'!$A$8:$A$27,MATCH(1,'Analisi'!$L$8:$L$27,0)))</x:f>
      </x:c>
      <x:c r="C39" s="2" t="str">
        <x:f>IF(COUNTIFS('Analisi'!$L$8:$L$27,1)=0,"",INDEX('Analisi'!$B$8:$B$27,MATCH(1,'Analisi'!$L$8:$L$27,0)))</x:f>
      </x:c>
      <x:c r="D39" s="34" t="str">
        <x:f>IF(COUNTIFS('Analisi'!$L$8:$L$27,1)=0,"",INDEX('Analisi'!$G$8:$G$27,MATCH(1,'Analisi'!$L$8:$L$27,0)))</x:f>
      </x:c>
      <x:c r="E39" s="35" t="str">
        <x:f>IF(COUNTIFS('Analisi'!$L$8:$L$27,1)=0,"",INDEX('Analisi'!$F$8:$F$27,MATCH(1,'Analisi'!$L$8:$L$27,0)))</x:f>
      </x:c>
      <x:c r="F39" s="35" t="str">
        <x:f>IF(COUNTIFS('Analisi'!$L$8:$L$27,1)=0,"",INDEX('Analisi'!$I$8:$I$27,MATCH(1,'Analisi'!$L$8:$L$27,0)))</x:f>
      </x:c>
      <x:c r="G39" s="36" t="str">
        <x:f>IF(COUNTIFS('Analisi'!$L$8:$L$27,1)=0,"",INDEX('Analisi'!$J$8:$J$27,MATCH(1,'Analisi'!$L$8:$L$27,0)))</x:f>
      </x:c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2" customHeight="1">
      <x:c r="A40" s="2"/>
      <x:c r="B40" s="2" t="str">
        <x:f>IF(COUNTIFS('Analisi'!$L$8:$L$27,2)=0,"",INDEX('Analisi'!$A$8:$A$27,MATCH(2,'Analisi'!$L$8:$L$27,0)))</x:f>
      </x:c>
      <x:c r="C40" s="2" t="str">
        <x:f>IF(COUNTIFS('Analisi'!$L$8:$L$27,2)=0,"",INDEX('Analisi'!$B$8:$B$27,MATCH(2,'Analisi'!$L$8:$L$27,0)))</x:f>
      </x:c>
      <x:c r="D40" s="34" t="str">
        <x:f>IF(COUNTIFS('Analisi'!$L$8:$L$27,2)=0,"",INDEX('Analisi'!$G$8:$G$27,MATCH(2,'Analisi'!$L$8:$L$27,0)))</x:f>
      </x:c>
      <x:c r="E40" s="35" t="str">
        <x:f>IF(COUNTIFS('Analisi'!$L$8:$L$27,2)=0,"",INDEX('Analisi'!$F$8:$F$27,MATCH(2,'Analisi'!$L$8:$L$27,0)))</x:f>
      </x:c>
      <x:c r="F40" s="35" t="str">
        <x:f>IF(COUNTIFS('Analisi'!$L$8:$L$27,2)=0,"",INDEX('Analisi'!$I$8:$I$27,MATCH(2,'Analisi'!$L$8:$L$27,0)))</x:f>
      </x:c>
      <x:c r="G40" s="36" t="str">
        <x:f>IF(COUNTIFS('Analisi'!$L$8:$L$27,2)=0,"",INDEX('Analisi'!$J$8:$J$27,MATCH(2,'Analisi'!$L$8:$L$27,0)))</x:f>
      </x:c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2" customHeight="1">
      <x:c r="A41" s="2"/>
      <x:c r="B41" s="2" t="str">
        <x:f>IF(COUNTIFS('Analisi'!$L$8:$L$27,3)=0,"",INDEX('Analisi'!$A$8:$A$27,MATCH(3,'Analisi'!$L$8:$L$27,0)))</x:f>
      </x:c>
      <x:c r="C41" s="2" t="str">
        <x:f>IF(COUNTIFS('Analisi'!$L$8:$L$27,3)=0,"",INDEX('Analisi'!$B$8:$B$27,MATCH(3,'Analisi'!$L$8:$L$27,0)))</x:f>
      </x:c>
      <x:c r="D41" s="34" t="str">
        <x:f>IF(COUNTIFS('Analisi'!$L$8:$L$27,3)=0,"",INDEX('Analisi'!$G$8:$G$27,MATCH(3,'Analisi'!$L$8:$L$27,0)))</x:f>
      </x:c>
      <x:c r="E41" s="35" t="str">
        <x:f>IF(COUNTIFS('Analisi'!$L$8:$L$27,3)=0,"",INDEX('Analisi'!$F$8:$F$27,MATCH(3,'Analisi'!$L$8:$L$27,0)))</x:f>
      </x:c>
      <x:c r="F41" s="35" t="str">
        <x:f>IF(COUNTIFS('Analisi'!$L$8:$L$27,3)=0,"",INDEX('Analisi'!$I$8:$I$27,MATCH(3,'Analisi'!$L$8:$L$27,0)))</x:f>
      </x:c>
      <x:c r="G41" s="36" t="str">
        <x:f>IF(COUNTIFS('Analisi'!$L$8:$L$27,3)=0,"",INDEX('Analisi'!$J$8:$J$27,MATCH(3,'Analisi'!$L$8:$L$27,0)))</x:f>
      </x:c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2" customHeight="1">
      <x:c r="A42" s="2"/>
      <x:c r="B42" s="2" t="str">
        <x:f>IF(COUNTIFS('Analisi'!$L$8:$L$27,4)=0,"",INDEX('Analisi'!$A$8:$A$27,MATCH(4,'Analisi'!$L$8:$L$27,0)))</x:f>
      </x:c>
      <x:c r="C42" s="2" t="str">
        <x:f>IF(COUNTIFS('Analisi'!$L$8:$L$27,4)=0,"",INDEX('Analisi'!$B$8:$B$27,MATCH(4,'Analisi'!$L$8:$L$27,0)))</x:f>
      </x:c>
      <x:c r="D42" s="34" t="str">
        <x:f>IF(COUNTIFS('Analisi'!$L$8:$L$27,4)=0,"",INDEX('Analisi'!$G$8:$G$27,MATCH(4,'Analisi'!$L$8:$L$27,0)))</x:f>
      </x:c>
      <x:c r="E42" s="35" t="str">
        <x:f>IF(COUNTIFS('Analisi'!$L$8:$L$27,4)=0,"",INDEX('Analisi'!$F$8:$F$27,MATCH(4,'Analisi'!$L$8:$L$27,0)))</x:f>
      </x:c>
      <x:c r="F42" s="35" t="str">
        <x:f>IF(COUNTIFS('Analisi'!$L$8:$L$27,4)=0,"",INDEX('Analisi'!$I$8:$I$27,MATCH(4,'Analisi'!$L$8:$L$27,0)))</x:f>
      </x:c>
      <x:c r="G42" s="36" t="str">
        <x:f>IF(COUNTIFS('Analisi'!$L$8:$L$27,4)=0,"",INDEX('Analisi'!$J$8:$J$27,MATCH(4,'Analisi'!$L$8:$L$27,0)))</x:f>
      </x:c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2" customHeight="1">
      <x:c r="A43" s="2"/>
      <x:c r="B43" s="2" t="str">
        <x:f>IF(COUNTIFS('Analisi'!$L$8:$L$27,5)=0,"",INDEX('Analisi'!$A$8:$A$27,MATCH(5,'Analisi'!$L$8:$L$27,0)))</x:f>
      </x:c>
      <x:c r="C43" s="2" t="str">
        <x:f>IF(COUNTIFS('Analisi'!$L$8:$L$27,5)=0,"",INDEX('Analisi'!$B$8:$B$27,MATCH(5,'Analisi'!$L$8:$L$27,0)))</x:f>
      </x:c>
      <x:c r="D43" s="34" t="str">
        <x:f>IF(COUNTIFS('Analisi'!$L$8:$L$27,5)=0,"",INDEX('Analisi'!$G$8:$G$27,MATCH(5,'Analisi'!$L$8:$L$27,0)))</x:f>
      </x:c>
      <x:c r="E43" s="35" t="str">
        <x:f>IF(COUNTIFS('Analisi'!$L$8:$L$27,5)=0,"",INDEX('Analisi'!$F$8:$F$27,MATCH(5,'Analisi'!$L$8:$L$27,0)))</x:f>
      </x:c>
      <x:c r="F43" s="35" t="str">
        <x:f>IF(COUNTIFS('Analisi'!$L$8:$L$27,5)=0,"",INDEX('Analisi'!$I$8:$I$27,MATCH(5,'Analisi'!$L$8:$L$27,0)))</x:f>
      </x:c>
      <x:c r="G43" s="36" t="str">
        <x:f>IF(COUNTIFS('Analisi'!$L$8:$L$27,5)=0,"",INDEX('Analisi'!$J$8:$J$27,MATCH(5,'Analisi'!$L$8:$L$27,0)))</x:f>
      </x:c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2" customHeight="1">
      <x:c r="A44" s="2"/>
      <x:c r="B44" s="2" t="str">
        <x:f>IF(COUNTIFS('Analisi'!$L$8:$L$27,6)=0,"",INDEX('Analisi'!$A$8:$A$27,MATCH(6,'Analisi'!$L$8:$L$27,0)))</x:f>
      </x:c>
      <x:c r="C44" s="2" t="str">
        <x:f>IF(COUNTIFS('Analisi'!$L$8:$L$27,6)=0,"",INDEX('Analisi'!$B$8:$B$27,MATCH(6,'Analisi'!$L$8:$L$27,0)))</x:f>
      </x:c>
      <x:c r="D44" s="34" t="str">
        <x:f>IF(COUNTIFS('Analisi'!$L$8:$L$27,6)=0,"",INDEX('Analisi'!$G$8:$G$27,MATCH(6,'Analisi'!$L$8:$L$27,0)))</x:f>
      </x:c>
      <x:c r="E44" s="35" t="str">
        <x:f>IF(COUNTIFS('Analisi'!$L$8:$L$27,6)=0,"",INDEX('Analisi'!$F$8:$F$27,MATCH(6,'Analisi'!$L$8:$L$27,0)))</x:f>
      </x:c>
      <x:c r="F44" s="35" t="str">
        <x:f>IF(COUNTIFS('Analisi'!$L$8:$L$27,6)=0,"",INDEX('Analisi'!$I$8:$I$27,MATCH(6,'Analisi'!$L$8:$L$27,0)))</x:f>
      </x:c>
      <x:c r="G44" s="36" t="str">
        <x:f>IF(COUNTIFS('Analisi'!$L$8:$L$27,6)=0,"",INDEX('Analisi'!$J$8:$J$27,MATCH(6,'Analisi'!$L$8:$L$27,0)))</x:f>
      </x:c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2" customHeight="1">
      <x:c r="A45" s="2"/>
      <x:c r="B45" s="2" t="str">
        <x:f>IF(COUNTIFS('Analisi'!$L$8:$L$27,7)=0,"",INDEX('Analisi'!$A$8:$A$27,MATCH(7,'Analisi'!$L$8:$L$27,0)))</x:f>
      </x:c>
      <x:c r="C45" s="2" t="str">
        <x:f>IF(COUNTIFS('Analisi'!$L$8:$L$27,7)=0,"",INDEX('Analisi'!$B$8:$B$27,MATCH(7,'Analisi'!$L$8:$L$27,0)))</x:f>
      </x:c>
      <x:c r="D45" s="34" t="str">
        <x:f>IF(COUNTIFS('Analisi'!$L$8:$L$27,7)=0,"",INDEX('Analisi'!$G$8:$G$27,MATCH(7,'Analisi'!$L$8:$L$27,0)))</x:f>
      </x:c>
      <x:c r="E45" s="35" t="str">
        <x:f>IF(COUNTIFS('Analisi'!$L$8:$L$27,7)=0,"",INDEX('Analisi'!$F$8:$F$27,MATCH(7,'Analisi'!$L$8:$L$27,0)))</x:f>
      </x:c>
      <x:c r="F45" s="35" t="str">
        <x:f>IF(COUNTIFS('Analisi'!$L$8:$L$27,7)=0,"",INDEX('Analisi'!$I$8:$I$27,MATCH(7,'Analisi'!$L$8:$L$27,0)))</x:f>
      </x:c>
      <x:c r="G45" s="36" t="str">
        <x:f>IF(COUNTIFS('Analisi'!$L$8:$L$27,7)=0,"",INDEX('Analisi'!$J$8:$J$27,MATCH(7,'Analisi'!$L$8:$L$27,0)))</x:f>
      </x:c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2" customHeight="1">
      <x:c r="A46" s="2"/>
      <x:c r="B46" s="2" t="str">
        <x:f>IF(COUNTIFS('Analisi'!$L$8:$L$27,8)=0,"",INDEX('Analisi'!$A$8:$A$27,MATCH(8,'Analisi'!$L$8:$L$27,0)))</x:f>
      </x:c>
      <x:c r="C46" s="2" t="str">
        <x:f>IF(COUNTIFS('Analisi'!$L$8:$L$27,8)=0,"",INDEX('Analisi'!$B$8:$B$27,MATCH(8,'Analisi'!$L$8:$L$27,0)))</x:f>
      </x:c>
      <x:c r="D46" s="34" t="str">
        <x:f>IF(COUNTIFS('Analisi'!$L$8:$L$27,8)=0,"",INDEX('Analisi'!$G$8:$G$27,MATCH(8,'Analisi'!$L$8:$L$27,0)))</x:f>
      </x:c>
      <x:c r="E46" s="35" t="str">
        <x:f>IF(COUNTIFS('Analisi'!$L$8:$L$27,8)=0,"",INDEX('Analisi'!$F$8:$F$27,MATCH(8,'Analisi'!$L$8:$L$27,0)))</x:f>
      </x:c>
      <x:c r="F46" s="35" t="str">
        <x:f>IF(COUNTIFS('Analisi'!$L$8:$L$27,8)=0,"",INDEX('Analisi'!$I$8:$I$27,MATCH(8,'Analisi'!$L$8:$L$27,0)))</x:f>
      </x:c>
      <x:c r="G46" s="36" t="str">
        <x:f>IF(COUNTIFS('Analisi'!$L$8:$L$27,8)=0,"",INDEX('Analisi'!$J$8:$J$27,MATCH(8,'Analisi'!$L$8:$L$27,0)))</x:f>
      </x:c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4" customHeight="1">
      <x:c r="A49" s="2"/>
      <x:c r="B49" s="32" t="str">
        <x:v>Controlli di compilazione</x:v>
      </x:c>
      <x:c r="C49" s="32"/>
      <x:c r="D49" s="32"/>
      <x:c r="E49" s="32"/>
      <x:c r="F49" s="3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2" customHeight="1">
      <x:c r="A50" s="2"/>
      <x:c r="B50" s="2" t="str">
        <x:v>Record diario da completare</x:v>
      </x:c>
      <x:c r="C50" s="2" t="n">
        <x:f>SUMPRODUCT(--('Diario'!$AQ$8:$AQ$507&lt;&gt;""),--('Diario'!$AQ$8:$AQ$507&lt;&gt;"OK"))</x:f>
        <x:v>0</x:v>
      </x:c>
      <x:c r="D50" s="2"/>
      <x:c r="E50" s="2" t="str">
        <x:v>Esecuzioni da completare</x:v>
      </x:c>
      <x:c r="F50" s="2" t="n">
        <x:f>SUMPRODUCT(--('Esecuzioni'!$Q$8:$Q$1007&lt;&gt;""),--('Esecuzioni'!$Q$8:$Q$1007&lt;&gt;"OK"))</x:f>
        <x:v>0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22" customHeight="1">
      <x:c r="A51" s="2"/>
      <x:c r="B51" s="2" t="str">
        <x:v>Movimenti da completare</x:v>
      </x:c>
      <x:c r="C51" s="2" t="n">
        <x:f>COUNTIFS('Cassa'!$G$8:$G$307,"Completa movimento")</x:f>
        <x:v>0</x:v>
      </x:c>
      <x:c r="D51" s="2"/>
      <x:c r="E51" s="2" t="str">
        <x:v>Campagne annullate</x:v>
      </x:c>
      <x:c r="F51" s="2" t="n">
        <x:f>COUNTIFS('Diario'!$A$8:$A$507,"&lt;&gt;",'Diario'!$J$8:$J$507,"Annullato",'Diario'!$AQ$8:$AQ$507,"OK")</x:f>
        <x:v>0</x:v>
      </x:c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28" customHeight="1">
      <x:c r="A52" s="2"/>
      <x:c r="B52" s="50" t="str">
        <x:f>IF(MAX('Diario'!$AS$8:$AS$507)&gt;30,"Oltre 30 leghe: Analisi mostra le prime 30; i totali includono tutte.","")</x:f>
      </x:c>
      <x:c r="C52" s="50"/>
      <x:c r="D52" s="50"/>
      <x:c r="E52" s="50"/>
      <x:c r="F52" s="50"/>
      <x:c r="G52" s="50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22" customHeight="1">
      <x:c r="A53" s="2"/>
      <x:c r="B53" s="5" t="str">
        <x:v>Le righe incomplete non contribuiscono ai risultati. Correggi la colonna Dati nel foglio interessato.</x:v>
      </x:c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2" customHeight="1">
      <x:c r="A55" s="2"/>
      <x:c r="B55" s="5" t="str">
        <x:v>I grafici si popolano con i tuoi record. Gli esempi fittizi sono esclusi dalle statistiche.</x:v>
      </x:c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</x:sheetData>
  <x:mergeCells>
    <x:mergeCell ref="B52:G52"/>
  </x:mergeCells>
  <x:conditionalFormatting sqref="C6:C6">
    <x:cfRule type="cellIs" dxfId="12" priority="1" operator="greaterThan">
      <x:formula>0</x:formula>
    </x:cfRule>
    <x:cfRule type="cellIs" dxfId="13" priority="2" operator="lessThan">
      <x:formula>0</x:formula>
    </x:cfRule>
  </x:conditionalFormatting>
  <x:conditionalFormatting sqref="C15:C15">
    <x:cfRule type="cellIs" dxfId="14" priority="3" operator="greaterThan">
      <x:formula>0</x:formula>
    </x:cfRule>
    <x:cfRule type="cellIs" dxfId="15" priority="4" operator="lessThan">
      <x:formula>0</x:formula>
    </x:cfRule>
  </x:conditionalFormatting>
  <x:conditionalFormatting sqref="D22:D33">
    <x:cfRule type="cellIs" dxfId="16" priority="5" operator="greaterThan">
      <x:formula>0</x:formula>
    </x:cfRule>
    <x:cfRule type="cellIs" dxfId="17" priority="6" operator="lessThan">
      <x:formula>0</x:formula>
    </x:cfRule>
  </x:conditionalFormatting>
  <x:conditionalFormatting sqref="D39:D46">
    <x:cfRule type="cellIs" dxfId="18" priority="7" operator="greaterThan">
      <x:formula>0</x:formula>
    </x:cfRule>
    <x:cfRule type="cellIs" dxfId="19" priority="8" operator="lessThan">
      <x:formula>0</x:formula>
    </x:cfRule>
  </x:conditionalFormatting>
  <x:conditionalFormatting sqref="F15:F15">
    <x:cfRule type="cellIs" dxfId="20" priority="9" operator="greaterThan">
      <x:formula>0</x:formula>
    </x:cfRule>
  </x:conditionalFormatting>
  <x:conditionalFormatting sqref="C50:C51">
    <x:cfRule type="cellIs" dxfId="21" priority="10" operator="greaterThan">
      <x:formula>0</x:formula>
    </x:cfRule>
  </x:conditionalFormatting>
  <x:conditionalFormatting sqref="F50:F50">
    <x:cfRule type="cellIs" dxfId="22" priority="1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7c0c336cc2bd4e74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3" hidden="0" customWidth="1"/>
    <x:col min="14" max="14" width="20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9" customHeight="1">
      <x:c r="A2" s="3" t="str">
        <x:v>Analisi delle performance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 ht="22" customHeight="1">
      <x:c r="A4" s="5" t="str">
        <x:v>Statistiche complessive per strategia e lega. I risultati mensili usano la data di chiusura.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4" customHeight="1">
      <x:c r="A6" s="32" t="str">
        <x:v>Risultati per strategia</x:v>
      </x:c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2"/>
      <x:c r="N6" s="2" t="str">
        <x:v>Anno mensile</x:v>
      </x:c>
      <x:c r="O6" s="2" t="n">
        <x:f>'Impostazioni'!B9</x:f>
        <x:v>2026</x:v>
      </x:c>
      <x:c r="P6" s="2"/>
      <x:c r="Q6" s="2"/>
      <x:c r="R6" s="2"/>
      <x:c r="S6" s="2"/>
      <x:c r="T6" s="2"/>
      <x:c r="U6" s="2"/>
    </x:row>
    <x:row r="7" ht="40" customHeight="1">
      <x:c r="A7" s="15" t="str">
        <x:v>Strategia</x:v>
      </x:c>
      <x:c r="B7" s="16" t="str">
        <x:v>Chiuse</x:v>
      </x:c>
      <x:c r="C7" s="16" t="str">
        <x:v>Green</x:v>
      </x:c>
      <x:c r="D7" s="16" t="str">
        <x:v>Red</x:v>
      </x:c>
      <x:c r="E7" s="16" t="str">
        <x:v>Flat</x:v>
      </x:c>
      <x:c r="F7" s="16" t="str">
        <x:v>Strike rate</x:v>
      </x:c>
      <x:c r="G7" s="16" t="str">
        <x:v>P/L netto €</x:v>
      </x:c>
      <x:c r="H7" s="16" t="str">
        <x:v>Rischio €</x:v>
      </x:c>
      <x:c r="I7" s="16" t="str">
        <x:v>Rendimento</x:v>
      </x:c>
      <x:c r="J7" s="16" t="str">
        <x:v>Profit factor</x:v>
      </x:c>
      <x:c r="K7" s="16" t="str">
        <x:v>Campione</x:v>
      </x:c>
      <x:c r="L7" s="17" t="str">
        <x:v>Ordine P/L</x:v>
      </x:c>
      <x:c r="M7" s="2"/>
      <x:c r="N7" s="15" t="str">
        <x:v>Mese</x:v>
      </x:c>
      <x:c r="O7" s="16" t="str">
        <x:v>Chiuse</x:v>
      </x:c>
      <x:c r="P7" s="16" t="str">
        <x:v>Green</x:v>
      </x:c>
      <x:c r="Q7" s="16" t="str">
        <x:v>Red</x:v>
      </x:c>
      <x:c r="R7" s="16" t="str">
        <x:v>P/L netto €</x:v>
      </x:c>
      <x:c r="S7" s="16" t="str">
        <x:v>Commissioni €</x:v>
      </x:c>
      <x:c r="T7" s="16" t="str">
        <x:v>Rendimento</x:v>
      </x:c>
      <x:c r="U7" s="17" t="str">
        <x:v>P/L cumulato €</x:v>
      </x:c>
    </x:row>
    <x:row r="8" ht="22" customHeight="1">
      <x:c r="A8" s="2" t="str">
        <x:f>IF('Impostazioni'!J6="","",'Impostazioni'!J6)</x:f>
        <x:v>Split Over</x:v>
      </x:c>
      <x:c r="B8" s="2" t="n">
        <x:f>IF(A8="","",COUNTIFS('Diario'!$F$8:$F$507,A8,'Diario'!$AH$8:$AH$507,1))</x:f>
        <x:v>0</x:v>
      </x:c>
      <x:c r="C8" s="2" t="n">
        <x:f>IF(A8="","",COUNTIFS('Diario'!$F$8:$F$507,A8,'Diario'!$AD$8:$AD$507,"Green"))</x:f>
        <x:v>0</x:v>
      </x:c>
      <x:c r="D8" s="2" t="n">
        <x:f>IF(A8="","",COUNTIFS('Diario'!$F$8:$F$507,A8,'Diario'!$AD$8:$AD$507,"Red"))</x:f>
        <x:v>0</x:v>
      </x:c>
      <x:c r="E8" s="2" t="n">
        <x:f>IF(A8="","",COUNTIFS('Diario'!$F$8:$F$507,A8,'Diario'!$AD$8:$AD$507,"Flat"))</x:f>
        <x:v>0</x:v>
      </x:c>
      <x:c r="F8" s="35" t="str">
        <x:f>IF(C8+D8=0,"",C8/(C8+D8))</x:f>
      </x:c>
      <x:c r="G8" s="34" t="str">
        <x:f>IF(OR(A8="",B8=0),"",SUMIFS('Diario'!$AC$8:$AC$507,'Diario'!$F$8:$F$507,A8,'Diario'!$AH$8:$AH$507,1))</x:f>
      </x:c>
      <x:c r="H8" s="34" t="str">
        <x:f>IF(OR(A8="",B8=0),"",SUMIFS('Diario'!$Z$8:$Z$507,'Diario'!$F$8:$F$507,A8,'Diario'!$AH$8:$AH$507,1))</x:f>
      </x:c>
      <x:c r="I8" s="35" t="str">
        <x:f>IF(OR(NOT(ISNUMBER(H8)),H8=0),"",G8/H8)</x:f>
      </x:c>
      <x:c r="J8" s="36" t="str">
        <x:f>IF(OR(A8="",B8=0),"",IF(SUMIFS('Diario'!$AC$8:$AC$507,'Diario'!$F$8:$F$507,A8,'Diario'!$AH$8:$AH$507,1,'Diario'!$AC$8:$AC$507,"&lt;0")=0,"n.a.",SUMIFS('Diario'!$AC$8:$AC$507,'Diario'!$F$8:$F$507,A8,'Diario'!$AH$8:$AH$507,1,'Diario'!$AC$8:$AC$507,"&gt;0")/-SUMIFS('Diario'!$AC$8:$AC$507,'Diario'!$F$8:$F$507,A8,'Diario'!$AH$8:$AH$507,1,'Diario'!$AC$8:$AC$507,"&lt;0")))</x:f>
      </x:c>
      <x:c r="K8" s="2" t="str">
        <x:f>IF(A8="","",IF(B8&lt;'Impostazioni'!$B$10,"Sotto soglia","Soglia raggiunta"))</x:f>
        <x:v>Sotto soglia</x:v>
      </x:c>
      <x:c r="L8" s="2" t="str">
        <x:f>IF(B8=0,"",COUNTIFS($G$8:$G$27,"&gt;"&amp;G8,$B$8:$B$27,"&gt;0")+COUNTIFS($G$8:G8,G8,$B$8:B8,"&gt;0"))</x:f>
      </x:c>
      <x:c r="M8" s="2"/>
      <x:c r="N8" s="33" t="n">
        <x:f>DATE($O$6,1,1)</x:f>
        <x:v>46023</x:v>
      </x:c>
      <x:c r="O8" s="2" t="n">
        <x:f>COUNTIFS('Diario'!$C$8:$C$507,"&gt;="&amp;$N8,'Diario'!$C$8:$C$507,"&lt;"&amp;EDATE($N8,1),'Diario'!$AH$8:$AH$507,1)</x:f>
        <x:v>0</x:v>
      </x:c>
      <x:c r="P8" s="2" t="n">
        <x:f>COUNTIFS('Diario'!$C$8:$C$507,"&gt;="&amp;$N8,'Diario'!$C$8:$C$507,"&lt;"&amp;EDATE($N8,1),'Diario'!$AH$8:$AH$507,1,'Diario'!$AC$8:$AC$507,"&gt;0")</x:f>
        <x:v>0</x:v>
      </x:c>
      <x:c r="Q8" s="2" t="n">
        <x:f>COUNTIFS('Diario'!$C$8:$C$507,"&gt;="&amp;$N8,'Diario'!$C$8:$C$507,"&lt;"&amp;EDATE($N8,1),'Diario'!$AH$8:$AH$507,1,'Diario'!$AC$8:$AC$507,"&lt;0")</x:f>
        <x:v>0</x:v>
      </x:c>
      <x:c r="R8" s="34" t="str">
        <x:f>IF(O8=0,"",SUMIFS('Diario'!$AC$8:$AC$507,'Diario'!$C$8:$C$507,"&gt;="&amp;$N8,'Diario'!$C$8:$C$507,"&lt;"&amp;EDATE($N8,1),'Diario'!$AH$8:$AH$507,1))</x:f>
      </x:c>
      <x:c r="S8" s="34" t="str">
        <x:f>IF(O8=0,"",SUMIFS('Diario'!$AB$8:$AB$507,'Diario'!$C$8:$C$507,"&gt;="&amp;$N8,'Diario'!$C$8:$C$507,"&lt;"&amp;EDATE($N8,1),'Diario'!$AH$8:$AH$507,1))</x:f>
      </x:c>
      <x:c r="T8" s="35" t="str">
        <x:f>IF(SUMIFS('Diario'!$Z$8:$Z$507,'Diario'!$C$8:$C$507,"&gt;="&amp;$N8,'Diario'!$C$8:$C$507,"&lt;"&amp;EDATE($N8,1),'Diario'!$AH$8:$AH$507,1)=0,"",SUMIFS('Diario'!$AC$8:$AC$507,'Diario'!$C$8:$C$507,"&gt;="&amp;$N8,'Diario'!$C$8:$C$507,"&lt;"&amp;EDATE($N8,1),'Diario'!$AH$8:$AH$507,1)/SUMIFS('Diario'!$Z$8:$Z$507,'Diario'!$C$8:$C$507,"&gt;="&amp;$N8,'Diario'!$C$8:$C$507,"&lt;"&amp;EDATE($N8,1),'Diario'!$AH$8:$AH$507,1))</x:f>
      </x:c>
      <x:c r="U8" s="34" t="str">
        <x:f>IF(COUNTIFS('Diario'!$C$8:$C$507,"&gt;="&amp;$N8,'Diario'!$C$8:$C$507,"&lt;"&amp;DATE($O$6+1,1,1),'Diario'!$AH$8:$AH$507,1)=0,"",SUMIFS('Diario'!$AC$8:$AC$507,'Diario'!$C$8:$C$507,"&gt;="&amp;DATE($O$6,1,1),'Diario'!$C$8:$C$507,"&lt;"&amp;EDATE($N8,1),'Diario'!$AH$8:$AH$507,1))</x:f>
      </x:c>
    </x:row>
    <x:row r="9" ht="22" customHeight="1">
      <x:c r="A9" s="2" t="str">
        <x:f>IF('Impostazioni'!J7="","",'Impostazioni'!J7)</x:f>
        <x:v>LTD FT</x:v>
      </x:c>
      <x:c r="B9" s="2" t="n">
        <x:f>IF(A9="","",COUNTIFS('Diario'!$F$8:$F$507,A9,'Diario'!$AH$8:$AH$507,1))</x:f>
        <x:v>0</x:v>
      </x:c>
      <x:c r="C9" s="2" t="n">
        <x:f>IF(A9="","",COUNTIFS('Diario'!$F$8:$F$507,A9,'Diario'!$AD$8:$AD$507,"Green"))</x:f>
        <x:v>0</x:v>
      </x:c>
      <x:c r="D9" s="2" t="n">
        <x:f>IF(A9="","",COUNTIFS('Diario'!$F$8:$F$507,A9,'Diario'!$AD$8:$AD$507,"Red"))</x:f>
        <x:v>0</x:v>
      </x:c>
      <x:c r="E9" s="2" t="n">
        <x:f>IF(A9="","",COUNTIFS('Diario'!$F$8:$F$507,A9,'Diario'!$AD$8:$AD$507,"Flat"))</x:f>
        <x:v>0</x:v>
      </x:c>
      <x:c r="F9" s="35" t="str">
        <x:f>IF(C9+D9=0,"",C9/(C9+D9))</x:f>
      </x:c>
      <x:c r="G9" s="34" t="str">
        <x:f>IF(OR(A9="",B9=0),"",SUMIFS('Diario'!$AC$8:$AC$507,'Diario'!$F$8:$F$507,A9,'Diario'!$AH$8:$AH$507,1))</x:f>
      </x:c>
      <x:c r="H9" s="34" t="str">
        <x:f>IF(OR(A9="",B9=0),"",SUMIFS('Diario'!$Z$8:$Z$507,'Diario'!$F$8:$F$507,A9,'Diario'!$AH$8:$AH$507,1))</x:f>
      </x:c>
      <x:c r="I9" s="35" t="str">
        <x:f>IF(OR(NOT(ISNUMBER(H9)),H9=0),"",G9/H9)</x:f>
      </x:c>
      <x:c r="J9" s="36" t="str">
        <x:f>IF(OR(A9="",B9=0),"",IF(SUMIFS('Diario'!$AC$8:$AC$507,'Diario'!$F$8:$F$507,A9,'Diario'!$AH$8:$AH$507,1,'Diario'!$AC$8:$AC$507,"&lt;0")=0,"n.a.",SUMIFS('Diario'!$AC$8:$AC$507,'Diario'!$F$8:$F$507,A9,'Diario'!$AH$8:$AH$507,1,'Diario'!$AC$8:$AC$507,"&gt;0")/-SUMIFS('Diario'!$AC$8:$AC$507,'Diario'!$F$8:$F$507,A9,'Diario'!$AH$8:$AH$507,1,'Diario'!$AC$8:$AC$507,"&lt;0")))</x:f>
      </x:c>
      <x:c r="K9" s="2" t="str">
        <x:f>IF(A9="","",IF(B9&lt;'Impostazioni'!$B$10,"Sotto soglia","Soglia raggiunta"))</x:f>
        <x:v>Sotto soglia</x:v>
      </x:c>
      <x:c r="L9" s="2" t="str">
        <x:f>IF(B9=0,"",COUNTIFS($G$8:$G$27,"&gt;"&amp;G9,$B$8:$B$27,"&gt;0")+COUNTIFS($G$8:G9,G9,$B$8:B9,"&gt;0"))</x:f>
      </x:c>
      <x:c r="M9" s="2"/>
      <x:c r="N9" s="33" t="n">
        <x:f>DATE($O$6,2,1)</x:f>
        <x:v>46054</x:v>
      </x:c>
      <x:c r="O9" s="2" t="n">
        <x:f>COUNTIFS('Diario'!$C$8:$C$507,"&gt;="&amp;$N9,'Diario'!$C$8:$C$507,"&lt;"&amp;EDATE($N9,1),'Diario'!$AH$8:$AH$507,1)</x:f>
        <x:v>0</x:v>
      </x:c>
      <x:c r="P9" s="2" t="n">
        <x:f>COUNTIFS('Diario'!$C$8:$C$507,"&gt;="&amp;$N9,'Diario'!$C$8:$C$507,"&lt;"&amp;EDATE($N9,1),'Diario'!$AH$8:$AH$507,1,'Diario'!$AC$8:$AC$507,"&gt;0")</x:f>
        <x:v>0</x:v>
      </x:c>
      <x:c r="Q9" s="2" t="n">
        <x:f>COUNTIFS('Diario'!$C$8:$C$507,"&gt;="&amp;$N9,'Diario'!$C$8:$C$507,"&lt;"&amp;EDATE($N9,1),'Diario'!$AH$8:$AH$507,1,'Diario'!$AC$8:$AC$507,"&lt;0")</x:f>
        <x:v>0</x:v>
      </x:c>
      <x:c r="R9" s="34" t="str">
        <x:f>IF(O9=0,"",SUMIFS('Diario'!$AC$8:$AC$507,'Diario'!$C$8:$C$507,"&gt;="&amp;$N9,'Diario'!$C$8:$C$507,"&lt;"&amp;EDATE($N9,1),'Diario'!$AH$8:$AH$507,1))</x:f>
      </x:c>
      <x:c r="S9" s="34" t="str">
        <x:f>IF(O9=0,"",SUMIFS('Diario'!$AB$8:$AB$507,'Diario'!$C$8:$C$507,"&gt;="&amp;$N9,'Diario'!$C$8:$C$507,"&lt;"&amp;EDATE($N9,1),'Diario'!$AH$8:$AH$507,1))</x:f>
      </x:c>
      <x:c r="T9" s="35" t="str">
        <x:f>IF(SUMIFS('Diario'!$Z$8:$Z$507,'Diario'!$C$8:$C$507,"&gt;="&amp;$N9,'Diario'!$C$8:$C$507,"&lt;"&amp;EDATE($N9,1),'Diario'!$AH$8:$AH$507,1)=0,"",SUMIFS('Diario'!$AC$8:$AC$507,'Diario'!$C$8:$C$507,"&gt;="&amp;$N9,'Diario'!$C$8:$C$507,"&lt;"&amp;EDATE($N9,1),'Diario'!$AH$8:$AH$507,1)/SUMIFS('Diario'!$Z$8:$Z$507,'Diario'!$C$8:$C$507,"&gt;="&amp;$N9,'Diario'!$C$8:$C$507,"&lt;"&amp;EDATE($N9,1),'Diario'!$AH$8:$AH$507,1))</x:f>
      </x:c>
      <x:c r="U9" s="34" t="str">
        <x:f>IF(COUNTIFS('Diario'!$C$8:$C$507,"&gt;="&amp;$N9,'Diario'!$C$8:$C$507,"&lt;"&amp;DATE($O$6+1,1,1),'Diario'!$AH$8:$AH$507,1)=0,"",SUMIFS('Diario'!$AC$8:$AC$507,'Diario'!$C$8:$C$507,"&gt;="&amp;DATE($O$6,1,1),'Diario'!$C$8:$C$507,"&lt;"&amp;EDATE($N9,1),'Diario'!$AH$8:$AH$507,1))</x:f>
      </x:c>
    </x:row>
    <x:row r="10" ht="22" customHeight="1">
      <x:c r="A10" s="2" t="str">
        <x:f>IF('Impostazioni'!J8="","",'Impostazioni'!J8)</x:f>
        <x:v>LTD SH</x:v>
      </x:c>
      <x:c r="B10" s="2" t="n">
        <x:f>IF(A10="","",COUNTIFS('Diario'!$F$8:$F$507,A10,'Diario'!$AH$8:$AH$507,1))</x:f>
        <x:v>0</x:v>
      </x:c>
      <x:c r="C10" s="2" t="n">
        <x:f>IF(A10="","",COUNTIFS('Diario'!$F$8:$F$507,A10,'Diario'!$AD$8:$AD$507,"Green"))</x:f>
        <x:v>0</x:v>
      </x:c>
      <x:c r="D10" s="2" t="n">
        <x:f>IF(A10="","",COUNTIFS('Diario'!$F$8:$F$507,A10,'Diario'!$AD$8:$AD$507,"Red"))</x:f>
        <x:v>0</x:v>
      </x:c>
      <x:c r="E10" s="2" t="n">
        <x:f>IF(A10="","",COUNTIFS('Diario'!$F$8:$F$507,A10,'Diario'!$AD$8:$AD$507,"Flat"))</x:f>
        <x:v>0</x:v>
      </x:c>
      <x:c r="F10" s="35" t="str">
        <x:f>IF(C10+D10=0,"",C10/(C10+D10))</x:f>
      </x:c>
      <x:c r="G10" s="34" t="str">
        <x:f>IF(OR(A10="",B10=0),"",SUMIFS('Diario'!$AC$8:$AC$507,'Diario'!$F$8:$F$507,A10,'Diario'!$AH$8:$AH$507,1))</x:f>
      </x:c>
      <x:c r="H10" s="34" t="str">
        <x:f>IF(OR(A10="",B10=0),"",SUMIFS('Diario'!$Z$8:$Z$507,'Diario'!$F$8:$F$507,A10,'Diario'!$AH$8:$AH$507,1))</x:f>
      </x:c>
      <x:c r="I10" s="35" t="str">
        <x:f>IF(OR(NOT(ISNUMBER(H10)),H10=0),"",G10/H10)</x:f>
      </x:c>
      <x:c r="J10" s="36" t="str">
        <x:f>IF(OR(A10="",B10=0),"",IF(SUMIFS('Diario'!$AC$8:$AC$507,'Diario'!$F$8:$F$507,A10,'Diario'!$AH$8:$AH$507,1,'Diario'!$AC$8:$AC$507,"&lt;0")=0,"n.a.",SUMIFS('Diario'!$AC$8:$AC$507,'Diario'!$F$8:$F$507,A10,'Diario'!$AH$8:$AH$507,1,'Diario'!$AC$8:$AC$507,"&gt;0")/-SUMIFS('Diario'!$AC$8:$AC$507,'Diario'!$F$8:$F$507,A10,'Diario'!$AH$8:$AH$507,1,'Diario'!$AC$8:$AC$507,"&lt;0")))</x:f>
      </x:c>
      <x:c r="K10" s="2" t="str">
        <x:f>IF(A10="","",IF(B10&lt;'Impostazioni'!$B$10,"Sotto soglia","Soglia raggiunta"))</x:f>
        <x:v>Sotto soglia</x:v>
      </x:c>
      <x:c r="L10" s="2" t="str">
        <x:f>IF(B10=0,"",COUNTIFS($G$8:$G$27,"&gt;"&amp;G10,$B$8:$B$27,"&gt;0")+COUNTIFS($G$8:G10,G10,$B$8:B10,"&gt;0"))</x:f>
      </x:c>
      <x:c r="M10" s="2"/>
      <x:c r="N10" s="33" t="n">
        <x:f>DATE($O$6,3,1)</x:f>
        <x:v>46082</x:v>
      </x:c>
      <x:c r="O10" s="2" t="n">
        <x:f>COUNTIFS('Diario'!$C$8:$C$507,"&gt;="&amp;$N10,'Diario'!$C$8:$C$507,"&lt;"&amp;EDATE($N10,1),'Diario'!$AH$8:$AH$507,1)</x:f>
        <x:v>0</x:v>
      </x:c>
      <x:c r="P10" s="2" t="n">
        <x:f>COUNTIFS('Diario'!$C$8:$C$507,"&gt;="&amp;$N10,'Diario'!$C$8:$C$507,"&lt;"&amp;EDATE($N10,1),'Diario'!$AH$8:$AH$507,1,'Diario'!$AC$8:$AC$507,"&gt;0")</x:f>
        <x:v>0</x:v>
      </x:c>
      <x:c r="Q10" s="2" t="n">
        <x:f>COUNTIFS('Diario'!$C$8:$C$507,"&gt;="&amp;$N10,'Diario'!$C$8:$C$507,"&lt;"&amp;EDATE($N10,1),'Diario'!$AH$8:$AH$507,1,'Diario'!$AC$8:$AC$507,"&lt;0")</x:f>
        <x:v>0</x:v>
      </x:c>
      <x:c r="R10" s="34" t="str">
        <x:f>IF(O10=0,"",SUMIFS('Diario'!$AC$8:$AC$507,'Diario'!$C$8:$C$507,"&gt;="&amp;$N10,'Diario'!$C$8:$C$507,"&lt;"&amp;EDATE($N10,1),'Diario'!$AH$8:$AH$507,1))</x:f>
      </x:c>
      <x:c r="S10" s="34" t="str">
        <x:f>IF(O10=0,"",SUMIFS('Diario'!$AB$8:$AB$507,'Diario'!$C$8:$C$507,"&gt;="&amp;$N10,'Diario'!$C$8:$C$507,"&lt;"&amp;EDATE($N10,1),'Diario'!$AH$8:$AH$507,1))</x:f>
      </x:c>
      <x:c r="T10" s="35" t="str">
        <x:f>IF(SUMIFS('Diario'!$Z$8:$Z$507,'Diario'!$C$8:$C$507,"&gt;="&amp;$N10,'Diario'!$C$8:$C$507,"&lt;"&amp;EDATE($N10,1),'Diario'!$AH$8:$AH$507,1)=0,"",SUMIFS('Diario'!$AC$8:$AC$507,'Diario'!$C$8:$C$507,"&gt;="&amp;$N10,'Diario'!$C$8:$C$507,"&lt;"&amp;EDATE($N10,1),'Diario'!$AH$8:$AH$507,1)/SUMIFS('Diario'!$Z$8:$Z$507,'Diario'!$C$8:$C$507,"&gt;="&amp;$N10,'Diario'!$C$8:$C$507,"&lt;"&amp;EDATE($N10,1),'Diario'!$AH$8:$AH$507,1))</x:f>
      </x:c>
      <x:c r="U10" s="34" t="str">
        <x:f>IF(COUNTIFS('Diario'!$C$8:$C$507,"&gt;="&amp;$N10,'Diario'!$C$8:$C$507,"&lt;"&amp;DATE($O$6+1,1,1),'Diario'!$AH$8:$AH$507,1)=0,"",SUMIFS('Diario'!$AC$8:$AC$507,'Diario'!$C$8:$C$507,"&gt;="&amp;DATE($O$6,1,1),'Diario'!$C$8:$C$507,"&lt;"&amp;EDATE($N10,1),'Diario'!$AH$8:$AH$507,1))</x:f>
      </x:c>
    </x:row>
    <x:row r="11" ht="22" customHeight="1">
      <x:c r="A11" s="2" t="str">
        <x:f>IF('Impostazioni'!J9="","",'Impostazioni'!J9)</x:f>
        <x:v>Over 0.5 HT</x:v>
      </x:c>
      <x:c r="B11" s="2" t="n">
        <x:f>IF(A11="","",COUNTIFS('Diario'!$F$8:$F$507,A11,'Diario'!$AH$8:$AH$507,1))</x:f>
        <x:v>0</x:v>
      </x:c>
      <x:c r="C11" s="2" t="n">
        <x:f>IF(A11="","",COUNTIFS('Diario'!$F$8:$F$507,A11,'Diario'!$AD$8:$AD$507,"Green"))</x:f>
        <x:v>0</x:v>
      </x:c>
      <x:c r="D11" s="2" t="n">
        <x:f>IF(A11="","",COUNTIFS('Diario'!$F$8:$F$507,A11,'Diario'!$AD$8:$AD$507,"Red"))</x:f>
        <x:v>0</x:v>
      </x:c>
      <x:c r="E11" s="2" t="n">
        <x:f>IF(A11="","",COUNTIFS('Diario'!$F$8:$F$507,A11,'Diario'!$AD$8:$AD$507,"Flat"))</x:f>
        <x:v>0</x:v>
      </x:c>
      <x:c r="F11" s="35" t="str">
        <x:f>IF(C11+D11=0,"",C11/(C11+D11))</x:f>
      </x:c>
      <x:c r="G11" s="34" t="str">
        <x:f>IF(OR(A11="",B11=0),"",SUMIFS('Diario'!$AC$8:$AC$507,'Diario'!$F$8:$F$507,A11,'Diario'!$AH$8:$AH$507,1))</x:f>
      </x:c>
      <x:c r="H11" s="34" t="str">
        <x:f>IF(OR(A11="",B11=0),"",SUMIFS('Diario'!$Z$8:$Z$507,'Diario'!$F$8:$F$507,A11,'Diario'!$AH$8:$AH$507,1))</x:f>
      </x:c>
      <x:c r="I11" s="35" t="str">
        <x:f>IF(OR(NOT(ISNUMBER(H11)),H11=0),"",G11/H11)</x:f>
      </x:c>
      <x:c r="J11" s="36" t="str">
        <x:f>IF(OR(A11="",B11=0),"",IF(SUMIFS('Diario'!$AC$8:$AC$507,'Diario'!$F$8:$F$507,A11,'Diario'!$AH$8:$AH$507,1,'Diario'!$AC$8:$AC$507,"&lt;0")=0,"n.a.",SUMIFS('Diario'!$AC$8:$AC$507,'Diario'!$F$8:$F$507,A11,'Diario'!$AH$8:$AH$507,1,'Diario'!$AC$8:$AC$507,"&gt;0")/-SUMIFS('Diario'!$AC$8:$AC$507,'Diario'!$F$8:$F$507,A11,'Diario'!$AH$8:$AH$507,1,'Diario'!$AC$8:$AC$507,"&lt;0")))</x:f>
      </x:c>
      <x:c r="K11" s="2" t="str">
        <x:f>IF(A11="","",IF(B11&lt;'Impostazioni'!$B$10,"Sotto soglia","Soglia raggiunta"))</x:f>
        <x:v>Sotto soglia</x:v>
      </x:c>
      <x:c r="L11" s="2" t="str">
        <x:f>IF(B11=0,"",COUNTIFS($G$8:$G$27,"&gt;"&amp;G11,$B$8:$B$27,"&gt;0")+COUNTIFS($G$8:G11,G11,$B$8:B11,"&gt;0"))</x:f>
      </x:c>
      <x:c r="M11" s="2"/>
      <x:c r="N11" s="33" t="n">
        <x:f>DATE($O$6,4,1)</x:f>
        <x:v>46113</x:v>
      </x:c>
      <x:c r="O11" s="2" t="n">
        <x:f>COUNTIFS('Diario'!$C$8:$C$507,"&gt;="&amp;$N11,'Diario'!$C$8:$C$507,"&lt;"&amp;EDATE($N11,1),'Diario'!$AH$8:$AH$507,1)</x:f>
        <x:v>0</x:v>
      </x:c>
      <x:c r="P11" s="2" t="n">
        <x:f>COUNTIFS('Diario'!$C$8:$C$507,"&gt;="&amp;$N11,'Diario'!$C$8:$C$507,"&lt;"&amp;EDATE($N11,1),'Diario'!$AH$8:$AH$507,1,'Diario'!$AC$8:$AC$507,"&gt;0")</x:f>
        <x:v>0</x:v>
      </x:c>
      <x:c r="Q11" s="2" t="n">
        <x:f>COUNTIFS('Diario'!$C$8:$C$507,"&gt;="&amp;$N11,'Diario'!$C$8:$C$507,"&lt;"&amp;EDATE($N11,1),'Diario'!$AH$8:$AH$507,1,'Diario'!$AC$8:$AC$507,"&lt;0")</x:f>
        <x:v>0</x:v>
      </x:c>
      <x:c r="R11" s="34" t="str">
        <x:f>IF(O11=0,"",SUMIFS('Diario'!$AC$8:$AC$507,'Diario'!$C$8:$C$507,"&gt;="&amp;$N11,'Diario'!$C$8:$C$507,"&lt;"&amp;EDATE($N11,1),'Diario'!$AH$8:$AH$507,1))</x:f>
      </x:c>
      <x:c r="S11" s="34" t="str">
        <x:f>IF(O11=0,"",SUMIFS('Diario'!$AB$8:$AB$507,'Diario'!$C$8:$C$507,"&gt;="&amp;$N11,'Diario'!$C$8:$C$507,"&lt;"&amp;EDATE($N11,1),'Diario'!$AH$8:$AH$507,1))</x:f>
      </x:c>
      <x:c r="T11" s="35" t="str">
        <x:f>IF(SUMIFS('Diario'!$Z$8:$Z$507,'Diario'!$C$8:$C$507,"&gt;="&amp;$N11,'Diario'!$C$8:$C$507,"&lt;"&amp;EDATE($N11,1),'Diario'!$AH$8:$AH$507,1)=0,"",SUMIFS('Diario'!$AC$8:$AC$507,'Diario'!$C$8:$C$507,"&gt;="&amp;$N11,'Diario'!$C$8:$C$507,"&lt;"&amp;EDATE($N11,1),'Diario'!$AH$8:$AH$507,1)/SUMIFS('Diario'!$Z$8:$Z$507,'Diario'!$C$8:$C$507,"&gt;="&amp;$N11,'Diario'!$C$8:$C$507,"&lt;"&amp;EDATE($N11,1),'Diario'!$AH$8:$AH$507,1))</x:f>
      </x:c>
      <x:c r="U11" s="34" t="str">
        <x:f>IF(COUNTIFS('Diario'!$C$8:$C$507,"&gt;="&amp;$N11,'Diario'!$C$8:$C$507,"&lt;"&amp;DATE($O$6+1,1,1),'Diario'!$AH$8:$AH$507,1)=0,"",SUMIFS('Diario'!$AC$8:$AC$507,'Diario'!$C$8:$C$507,"&gt;="&amp;DATE($O$6,1,1),'Diario'!$C$8:$C$507,"&lt;"&amp;EDATE($N11,1),'Diario'!$AH$8:$AH$507,1))</x:f>
      </x:c>
    </x:row>
    <x:row r="12" ht="22" customHeight="1">
      <x:c r="A12" s="2" t="str">
        <x:f>IF('Impostazioni'!J10="","",'Impostazioni'!J10)</x:f>
        <x:v>Over 0.5 SH</x:v>
      </x:c>
      <x:c r="B12" s="2" t="n">
        <x:f>IF(A12="","",COUNTIFS('Diario'!$F$8:$F$507,A12,'Diario'!$AH$8:$AH$507,1))</x:f>
        <x:v>0</x:v>
      </x:c>
      <x:c r="C12" s="2" t="n">
        <x:f>IF(A12="","",COUNTIFS('Diario'!$F$8:$F$507,A12,'Diario'!$AD$8:$AD$507,"Green"))</x:f>
        <x:v>0</x:v>
      </x:c>
      <x:c r="D12" s="2" t="n">
        <x:f>IF(A12="","",COUNTIFS('Diario'!$F$8:$F$507,A12,'Diario'!$AD$8:$AD$507,"Red"))</x:f>
        <x:v>0</x:v>
      </x:c>
      <x:c r="E12" s="2" t="n">
        <x:f>IF(A12="","",COUNTIFS('Diario'!$F$8:$F$507,A12,'Diario'!$AD$8:$AD$507,"Flat"))</x:f>
        <x:v>0</x:v>
      </x:c>
      <x:c r="F12" s="35" t="str">
        <x:f>IF(C12+D12=0,"",C12/(C12+D12))</x:f>
      </x:c>
      <x:c r="G12" s="34" t="str">
        <x:f>IF(OR(A12="",B12=0),"",SUMIFS('Diario'!$AC$8:$AC$507,'Diario'!$F$8:$F$507,A12,'Diario'!$AH$8:$AH$507,1))</x:f>
      </x:c>
      <x:c r="H12" s="34" t="str">
        <x:f>IF(OR(A12="",B12=0),"",SUMIFS('Diario'!$Z$8:$Z$507,'Diario'!$F$8:$F$507,A12,'Diario'!$AH$8:$AH$507,1))</x:f>
      </x:c>
      <x:c r="I12" s="35" t="str">
        <x:f>IF(OR(NOT(ISNUMBER(H12)),H12=0),"",G12/H12)</x:f>
      </x:c>
      <x:c r="J12" s="36" t="str">
        <x:f>IF(OR(A12="",B12=0),"",IF(SUMIFS('Diario'!$AC$8:$AC$507,'Diario'!$F$8:$F$507,A12,'Diario'!$AH$8:$AH$507,1,'Diario'!$AC$8:$AC$507,"&lt;0")=0,"n.a.",SUMIFS('Diario'!$AC$8:$AC$507,'Diario'!$F$8:$F$507,A12,'Diario'!$AH$8:$AH$507,1,'Diario'!$AC$8:$AC$507,"&gt;0")/-SUMIFS('Diario'!$AC$8:$AC$507,'Diario'!$F$8:$F$507,A12,'Diario'!$AH$8:$AH$507,1,'Diario'!$AC$8:$AC$507,"&lt;0")))</x:f>
      </x:c>
      <x:c r="K12" s="2" t="str">
        <x:f>IF(A12="","",IF(B12&lt;'Impostazioni'!$B$10,"Sotto soglia","Soglia raggiunta"))</x:f>
        <x:v>Sotto soglia</x:v>
      </x:c>
      <x:c r="L12" s="2" t="str">
        <x:f>IF(B12=0,"",COUNTIFS($G$8:$G$27,"&gt;"&amp;G12,$B$8:$B$27,"&gt;0")+COUNTIFS($G$8:G12,G12,$B$8:B12,"&gt;0"))</x:f>
      </x:c>
      <x:c r="M12" s="2"/>
      <x:c r="N12" s="33" t="n">
        <x:f>DATE($O$6,5,1)</x:f>
        <x:v>46143</x:v>
      </x:c>
      <x:c r="O12" s="2" t="n">
        <x:f>COUNTIFS('Diario'!$C$8:$C$507,"&gt;="&amp;$N12,'Diario'!$C$8:$C$507,"&lt;"&amp;EDATE($N12,1),'Diario'!$AH$8:$AH$507,1)</x:f>
        <x:v>0</x:v>
      </x:c>
      <x:c r="P12" s="2" t="n">
        <x:f>COUNTIFS('Diario'!$C$8:$C$507,"&gt;="&amp;$N12,'Diario'!$C$8:$C$507,"&lt;"&amp;EDATE($N12,1),'Diario'!$AH$8:$AH$507,1,'Diario'!$AC$8:$AC$507,"&gt;0")</x:f>
        <x:v>0</x:v>
      </x:c>
      <x:c r="Q12" s="2" t="n">
        <x:f>COUNTIFS('Diario'!$C$8:$C$507,"&gt;="&amp;$N12,'Diario'!$C$8:$C$507,"&lt;"&amp;EDATE($N12,1),'Diario'!$AH$8:$AH$507,1,'Diario'!$AC$8:$AC$507,"&lt;0")</x:f>
        <x:v>0</x:v>
      </x:c>
      <x:c r="R12" s="34" t="str">
        <x:f>IF(O12=0,"",SUMIFS('Diario'!$AC$8:$AC$507,'Diario'!$C$8:$C$507,"&gt;="&amp;$N12,'Diario'!$C$8:$C$507,"&lt;"&amp;EDATE($N12,1),'Diario'!$AH$8:$AH$507,1))</x:f>
      </x:c>
      <x:c r="S12" s="34" t="str">
        <x:f>IF(O12=0,"",SUMIFS('Diario'!$AB$8:$AB$507,'Diario'!$C$8:$C$507,"&gt;="&amp;$N12,'Diario'!$C$8:$C$507,"&lt;"&amp;EDATE($N12,1),'Diario'!$AH$8:$AH$507,1))</x:f>
      </x:c>
      <x:c r="T12" s="35" t="str">
        <x:f>IF(SUMIFS('Diario'!$Z$8:$Z$507,'Diario'!$C$8:$C$507,"&gt;="&amp;$N12,'Diario'!$C$8:$C$507,"&lt;"&amp;EDATE($N12,1),'Diario'!$AH$8:$AH$507,1)=0,"",SUMIFS('Diario'!$AC$8:$AC$507,'Diario'!$C$8:$C$507,"&gt;="&amp;$N12,'Diario'!$C$8:$C$507,"&lt;"&amp;EDATE($N12,1),'Diario'!$AH$8:$AH$507,1)/SUMIFS('Diario'!$Z$8:$Z$507,'Diario'!$C$8:$C$507,"&gt;="&amp;$N12,'Diario'!$C$8:$C$507,"&lt;"&amp;EDATE($N12,1),'Diario'!$AH$8:$AH$507,1))</x:f>
      </x:c>
      <x:c r="U12" s="34" t="str">
        <x:f>IF(COUNTIFS('Diario'!$C$8:$C$507,"&gt;="&amp;$N12,'Diario'!$C$8:$C$507,"&lt;"&amp;DATE($O$6+1,1,1),'Diario'!$AH$8:$AH$507,1)=0,"",SUMIFS('Diario'!$AC$8:$AC$507,'Diario'!$C$8:$C$507,"&gt;="&amp;DATE($O$6,1,1),'Diario'!$C$8:$C$507,"&lt;"&amp;EDATE($N12,1),'Diario'!$AH$8:$AH$507,1))</x:f>
      </x:c>
    </x:row>
    <x:row r="13" ht="22" customHeight="1">
      <x:c r="A13" s="2" t="str">
        <x:f>IF('Impostazioni'!J11="","",'Impostazioni'!J11)</x:f>
        <x:v>HT drop asiatico</x:v>
      </x:c>
      <x:c r="B13" s="2" t="n">
        <x:f>IF(A13="","",COUNTIFS('Diario'!$F$8:$F$507,A13,'Diario'!$AH$8:$AH$507,1))</x:f>
        <x:v>0</x:v>
      </x:c>
      <x:c r="C13" s="2" t="n">
        <x:f>IF(A13="","",COUNTIFS('Diario'!$F$8:$F$507,A13,'Diario'!$AD$8:$AD$507,"Green"))</x:f>
        <x:v>0</x:v>
      </x:c>
      <x:c r="D13" s="2" t="n">
        <x:f>IF(A13="","",COUNTIFS('Diario'!$F$8:$F$507,A13,'Diario'!$AD$8:$AD$507,"Red"))</x:f>
        <x:v>0</x:v>
      </x:c>
      <x:c r="E13" s="2" t="n">
        <x:f>IF(A13="","",COUNTIFS('Diario'!$F$8:$F$507,A13,'Diario'!$AD$8:$AD$507,"Flat"))</x:f>
        <x:v>0</x:v>
      </x:c>
      <x:c r="F13" s="35" t="str">
        <x:f>IF(C13+D13=0,"",C13/(C13+D13))</x:f>
      </x:c>
      <x:c r="G13" s="34" t="str">
        <x:f>IF(OR(A13="",B13=0),"",SUMIFS('Diario'!$AC$8:$AC$507,'Diario'!$F$8:$F$507,A13,'Diario'!$AH$8:$AH$507,1))</x:f>
      </x:c>
      <x:c r="H13" s="34" t="str">
        <x:f>IF(OR(A13="",B13=0),"",SUMIFS('Diario'!$Z$8:$Z$507,'Diario'!$F$8:$F$507,A13,'Diario'!$AH$8:$AH$507,1))</x:f>
      </x:c>
      <x:c r="I13" s="35" t="str">
        <x:f>IF(OR(NOT(ISNUMBER(H13)),H13=0),"",G13/H13)</x:f>
      </x:c>
      <x:c r="J13" s="36" t="str">
        <x:f>IF(OR(A13="",B13=0),"",IF(SUMIFS('Diario'!$AC$8:$AC$507,'Diario'!$F$8:$F$507,A13,'Diario'!$AH$8:$AH$507,1,'Diario'!$AC$8:$AC$507,"&lt;0")=0,"n.a.",SUMIFS('Diario'!$AC$8:$AC$507,'Diario'!$F$8:$F$507,A13,'Diario'!$AH$8:$AH$507,1,'Diario'!$AC$8:$AC$507,"&gt;0")/-SUMIFS('Diario'!$AC$8:$AC$507,'Diario'!$F$8:$F$507,A13,'Diario'!$AH$8:$AH$507,1,'Diario'!$AC$8:$AC$507,"&lt;0")))</x:f>
      </x:c>
      <x:c r="K13" s="2" t="str">
        <x:f>IF(A13="","",IF(B13&lt;'Impostazioni'!$B$10,"Sotto soglia","Soglia raggiunta"))</x:f>
        <x:v>Sotto soglia</x:v>
      </x:c>
      <x:c r="L13" s="2" t="str">
        <x:f>IF(B13=0,"",COUNTIFS($G$8:$G$27,"&gt;"&amp;G13,$B$8:$B$27,"&gt;0")+COUNTIFS($G$8:G13,G13,$B$8:B13,"&gt;0"))</x:f>
      </x:c>
      <x:c r="M13" s="2"/>
      <x:c r="N13" s="33" t="n">
        <x:f>DATE($O$6,6,1)</x:f>
        <x:v>46174</x:v>
      </x:c>
      <x:c r="O13" s="2" t="n">
        <x:f>COUNTIFS('Diario'!$C$8:$C$507,"&gt;="&amp;$N13,'Diario'!$C$8:$C$507,"&lt;"&amp;EDATE($N13,1),'Diario'!$AH$8:$AH$507,1)</x:f>
        <x:v>0</x:v>
      </x:c>
      <x:c r="P13" s="2" t="n">
        <x:f>COUNTIFS('Diario'!$C$8:$C$507,"&gt;="&amp;$N13,'Diario'!$C$8:$C$507,"&lt;"&amp;EDATE($N13,1),'Diario'!$AH$8:$AH$507,1,'Diario'!$AC$8:$AC$507,"&gt;0")</x:f>
        <x:v>0</x:v>
      </x:c>
      <x:c r="Q13" s="2" t="n">
        <x:f>COUNTIFS('Diario'!$C$8:$C$507,"&gt;="&amp;$N13,'Diario'!$C$8:$C$507,"&lt;"&amp;EDATE($N13,1),'Diario'!$AH$8:$AH$507,1,'Diario'!$AC$8:$AC$507,"&lt;0")</x:f>
        <x:v>0</x:v>
      </x:c>
      <x:c r="R13" s="34" t="str">
        <x:f>IF(O13=0,"",SUMIFS('Diario'!$AC$8:$AC$507,'Diario'!$C$8:$C$507,"&gt;="&amp;$N13,'Diario'!$C$8:$C$507,"&lt;"&amp;EDATE($N13,1),'Diario'!$AH$8:$AH$507,1))</x:f>
      </x:c>
      <x:c r="S13" s="34" t="str">
        <x:f>IF(O13=0,"",SUMIFS('Diario'!$AB$8:$AB$507,'Diario'!$C$8:$C$507,"&gt;="&amp;$N13,'Diario'!$C$8:$C$507,"&lt;"&amp;EDATE($N13,1),'Diario'!$AH$8:$AH$507,1))</x:f>
      </x:c>
      <x:c r="T13" s="35" t="str">
        <x:f>IF(SUMIFS('Diario'!$Z$8:$Z$507,'Diario'!$C$8:$C$507,"&gt;="&amp;$N13,'Diario'!$C$8:$C$507,"&lt;"&amp;EDATE($N13,1),'Diario'!$AH$8:$AH$507,1)=0,"",SUMIFS('Diario'!$AC$8:$AC$507,'Diario'!$C$8:$C$507,"&gt;="&amp;$N13,'Diario'!$C$8:$C$507,"&lt;"&amp;EDATE($N13,1),'Diario'!$AH$8:$AH$507,1)/SUMIFS('Diario'!$Z$8:$Z$507,'Diario'!$C$8:$C$507,"&gt;="&amp;$N13,'Diario'!$C$8:$C$507,"&lt;"&amp;EDATE($N13,1),'Diario'!$AH$8:$AH$507,1))</x:f>
      </x:c>
      <x:c r="U13" s="34" t="str">
        <x:f>IF(COUNTIFS('Diario'!$C$8:$C$507,"&gt;="&amp;$N13,'Diario'!$C$8:$C$507,"&lt;"&amp;DATE($O$6+1,1,1),'Diario'!$AH$8:$AH$507,1)=0,"",SUMIFS('Diario'!$AC$8:$AC$507,'Diario'!$C$8:$C$507,"&gt;="&amp;DATE($O$6,1,1),'Diario'!$C$8:$C$507,"&lt;"&amp;EDATE($N13,1),'Diario'!$AH$8:$AH$507,1))</x:f>
      </x:c>
    </x:row>
    <x:row r="14" ht="22" customHeight="1">
      <x:c r="A14" s="2" t="str">
        <x:f>IF('Impostazioni'!J12="","",'Impostazioni'!J12)</x:f>
        <x:v>Lay favorita</x:v>
      </x:c>
      <x:c r="B14" s="2" t="n">
        <x:f>IF(A14="","",COUNTIFS('Diario'!$F$8:$F$507,A14,'Diario'!$AH$8:$AH$507,1))</x:f>
        <x:v>0</x:v>
      </x:c>
      <x:c r="C14" s="2" t="n">
        <x:f>IF(A14="","",COUNTIFS('Diario'!$F$8:$F$507,A14,'Diario'!$AD$8:$AD$507,"Green"))</x:f>
        <x:v>0</x:v>
      </x:c>
      <x:c r="D14" s="2" t="n">
        <x:f>IF(A14="","",COUNTIFS('Diario'!$F$8:$F$507,A14,'Diario'!$AD$8:$AD$507,"Red"))</x:f>
        <x:v>0</x:v>
      </x:c>
      <x:c r="E14" s="2" t="n">
        <x:f>IF(A14="","",COUNTIFS('Diario'!$F$8:$F$507,A14,'Diario'!$AD$8:$AD$507,"Flat"))</x:f>
        <x:v>0</x:v>
      </x:c>
      <x:c r="F14" s="35" t="str">
        <x:f>IF(C14+D14=0,"",C14/(C14+D14))</x:f>
      </x:c>
      <x:c r="G14" s="34" t="str">
        <x:f>IF(OR(A14="",B14=0),"",SUMIFS('Diario'!$AC$8:$AC$507,'Diario'!$F$8:$F$507,A14,'Diario'!$AH$8:$AH$507,1))</x:f>
      </x:c>
      <x:c r="H14" s="34" t="str">
        <x:f>IF(OR(A14="",B14=0),"",SUMIFS('Diario'!$Z$8:$Z$507,'Diario'!$F$8:$F$507,A14,'Diario'!$AH$8:$AH$507,1))</x:f>
      </x:c>
      <x:c r="I14" s="35" t="str">
        <x:f>IF(OR(NOT(ISNUMBER(H14)),H14=0),"",G14/H14)</x:f>
      </x:c>
      <x:c r="J14" s="36" t="str">
        <x:f>IF(OR(A14="",B14=0),"",IF(SUMIFS('Diario'!$AC$8:$AC$507,'Diario'!$F$8:$F$507,A14,'Diario'!$AH$8:$AH$507,1,'Diario'!$AC$8:$AC$507,"&lt;0")=0,"n.a.",SUMIFS('Diario'!$AC$8:$AC$507,'Diario'!$F$8:$F$507,A14,'Diario'!$AH$8:$AH$507,1,'Diario'!$AC$8:$AC$507,"&gt;0")/-SUMIFS('Diario'!$AC$8:$AC$507,'Diario'!$F$8:$F$507,A14,'Diario'!$AH$8:$AH$507,1,'Diario'!$AC$8:$AC$507,"&lt;0")))</x:f>
      </x:c>
      <x:c r="K14" s="2" t="str">
        <x:f>IF(A14="","",IF(B14&lt;'Impostazioni'!$B$10,"Sotto soglia","Soglia raggiunta"))</x:f>
        <x:v>Sotto soglia</x:v>
      </x:c>
      <x:c r="L14" s="2" t="str">
        <x:f>IF(B14=0,"",COUNTIFS($G$8:$G$27,"&gt;"&amp;G14,$B$8:$B$27,"&gt;0")+COUNTIFS($G$8:G14,G14,$B$8:B14,"&gt;0"))</x:f>
      </x:c>
      <x:c r="M14" s="2"/>
      <x:c r="N14" s="33" t="n">
        <x:f>DATE($O$6,7,1)</x:f>
        <x:v>46204</x:v>
      </x:c>
      <x:c r="O14" s="2" t="n">
        <x:f>COUNTIFS('Diario'!$C$8:$C$507,"&gt;="&amp;$N14,'Diario'!$C$8:$C$507,"&lt;"&amp;EDATE($N14,1),'Diario'!$AH$8:$AH$507,1)</x:f>
        <x:v>0</x:v>
      </x:c>
      <x:c r="P14" s="2" t="n">
        <x:f>COUNTIFS('Diario'!$C$8:$C$507,"&gt;="&amp;$N14,'Diario'!$C$8:$C$507,"&lt;"&amp;EDATE($N14,1),'Diario'!$AH$8:$AH$507,1,'Diario'!$AC$8:$AC$507,"&gt;0")</x:f>
        <x:v>0</x:v>
      </x:c>
      <x:c r="Q14" s="2" t="n">
        <x:f>COUNTIFS('Diario'!$C$8:$C$507,"&gt;="&amp;$N14,'Diario'!$C$8:$C$507,"&lt;"&amp;EDATE($N14,1),'Diario'!$AH$8:$AH$507,1,'Diario'!$AC$8:$AC$507,"&lt;0")</x:f>
        <x:v>0</x:v>
      </x:c>
      <x:c r="R14" s="34" t="str">
        <x:f>IF(O14=0,"",SUMIFS('Diario'!$AC$8:$AC$507,'Diario'!$C$8:$C$507,"&gt;="&amp;$N14,'Diario'!$C$8:$C$507,"&lt;"&amp;EDATE($N14,1),'Diario'!$AH$8:$AH$507,1))</x:f>
      </x:c>
      <x:c r="S14" s="34" t="str">
        <x:f>IF(O14=0,"",SUMIFS('Diario'!$AB$8:$AB$507,'Diario'!$C$8:$C$507,"&gt;="&amp;$N14,'Diario'!$C$8:$C$507,"&lt;"&amp;EDATE($N14,1),'Diario'!$AH$8:$AH$507,1))</x:f>
      </x:c>
      <x:c r="T14" s="35" t="str">
        <x:f>IF(SUMIFS('Diario'!$Z$8:$Z$507,'Diario'!$C$8:$C$507,"&gt;="&amp;$N14,'Diario'!$C$8:$C$507,"&lt;"&amp;EDATE($N14,1),'Diario'!$AH$8:$AH$507,1)=0,"",SUMIFS('Diario'!$AC$8:$AC$507,'Diario'!$C$8:$C$507,"&gt;="&amp;$N14,'Diario'!$C$8:$C$507,"&lt;"&amp;EDATE($N14,1),'Diario'!$AH$8:$AH$507,1)/SUMIFS('Diario'!$Z$8:$Z$507,'Diario'!$C$8:$C$507,"&gt;="&amp;$N14,'Diario'!$C$8:$C$507,"&lt;"&amp;EDATE($N14,1),'Diario'!$AH$8:$AH$507,1))</x:f>
      </x:c>
      <x:c r="U14" s="34" t="str">
        <x:f>IF(COUNTIFS('Diario'!$C$8:$C$507,"&gt;="&amp;$N14,'Diario'!$C$8:$C$507,"&lt;"&amp;DATE($O$6+1,1,1),'Diario'!$AH$8:$AH$507,1)=0,"",SUMIFS('Diario'!$AC$8:$AC$507,'Diario'!$C$8:$C$507,"&gt;="&amp;DATE($O$6,1,1),'Diario'!$C$8:$C$507,"&lt;"&amp;EDATE($N14,1),'Diario'!$AH$8:$AH$507,1))</x:f>
      </x:c>
    </x:row>
    <x:row r="15" ht="22" customHeight="1">
      <x:c r="A15" s="2" t="str">
        <x:f>IF('Impostazioni'!J13="","",'Impostazioni'!J13)</x:f>
        <x:v>Altro</x:v>
      </x:c>
      <x:c r="B15" s="2" t="n">
        <x:f>IF(A15="","",COUNTIFS('Diario'!$F$8:$F$507,A15,'Diario'!$AH$8:$AH$507,1))</x:f>
        <x:v>0</x:v>
      </x:c>
      <x:c r="C15" s="2" t="n">
        <x:f>IF(A15="","",COUNTIFS('Diario'!$F$8:$F$507,A15,'Diario'!$AD$8:$AD$507,"Green"))</x:f>
        <x:v>0</x:v>
      </x:c>
      <x:c r="D15" s="2" t="n">
        <x:f>IF(A15="","",COUNTIFS('Diario'!$F$8:$F$507,A15,'Diario'!$AD$8:$AD$507,"Red"))</x:f>
        <x:v>0</x:v>
      </x:c>
      <x:c r="E15" s="2" t="n">
        <x:f>IF(A15="","",COUNTIFS('Diario'!$F$8:$F$507,A15,'Diario'!$AD$8:$AD$507,"Flat"))</x:f>
        <x:v>0</x:v>
      </x:c>
      <x:c r="F15" s="35" t="str">
        <x:f>IF(C15+D15=0,"",C15/(C15+D15))</x:f>
      </x:c>
      <x:c r="G15" s="34" t="str">
        <x:f>IF(OR(A15="",B15=0),"",SUMIFS('Diario'!$AC$8:$AC$507,'Diario'!$F$8:$F$507,A15,'Diario'!$AH$8:$AH$507,1))</x:f>
      </x:c>
      <x:c r="H15" s="34" t="str">
        <x:f>IF(OR(A15="",B15=0),"",SUMIFS('Diario'!$Z$8:$Z$507,'Diario'!$F$8:$F$507,A15,'Diario'!$AH$8:$AH$507,1))</x:f>
      </x:c>
      <x:c r="I15" s="35" t="str">
        <x:f>IF(OR(NOT(ISNUMBER(H15)),H15=0),"",G15/H15)</x:f>
      </x:c>
      <x:c r="J15" s="36" t="str">
        <x:f>IF(OR(A15="",B15=0),"",IF(SUMIFS('Diario'!$AC$8:$AC$507,'Diario'!$F$8:$F$507,A15,'Diario'!$AH$8:$AH$507,1,'Diario'!$AC$8:$AC$507,"&lt;0")=0,"n.a.",SUMIFS('Diario'!$AC$8:$AC$507,'Diario'!$F$8:$F$507,A15,'Diario'!$AH$8:$AH$507,1,'Diario'!$AC$8:$AC$507,"&gt;0")/-SUMIFS('Diario'!$AC$8:$AC$507,'Diario'!$F$8:$F$507,A15,'Diario'!$AH$8:$AH$507,1,'Diario'!$AC$8:$AC$507,"&lt;0")))</x:f>
      </x:c>
      <x:c r="K15" s="2" t="str">
        <x:f>IF(A15="","",IF(B15&lt;'Impostazioni'!$B$10,"Sotto soglia","Soglia raggiunta"))</x:f>
        <x:v>Sotto soglia</x:v>
      </x:c>
      <x:c r="L15" s="2" t="str">
        <x:f>IF(B15=0,"",COUNTIFS($G$8:$G$27,"&gt;"&amp;G15,$B$8:$B$27,"&gt;0")+COUNTIFS($G$8:G15,G15,$B$8:B15,"&gt;0"))</x:f>
      </x:c>
      <x:c r="M15" s="2"/>
      <x:c r="N15" s="33" t="n">
        <x:f>DATE($O$6,8,1)</x:f>
        <x:v>46235</x:v>
      </x:c>
      <x:c r="O15" s="2" t="n">
        <x:f>COUNTIFS('Diario'!$C$8:$C$507,"&gt;="&amp;$N15,'Diario'!$C$8:$C$507,"&lt;"&amp;EDATE($N15,1),'Diario'!$AH$8:$AH$507,1)</x:f>
        <x:v>0</x:v>
      </x:c>
      <x:c r="P15" s="2" t="n">
        <x:f>COUNTIFS('Diario'!$C$8:$C$507,"&gt;="&amp;$N15,'Diario'!$C$8:$C$507,"&lt;"&amp;EDATE($N15,1),'Diario'!$AH$8:$AH$507,1,'Diario'!$AC$8:$AC$507,"&gt;0")</x:f>
        <x:v>0</x:v>
      </x:c>
      <x:c r="Q15" s="2" t="n">
        <x:f>COUNTIFS('Diario'!$C$8:$C$507,"&gt;="&amp;$N15,'Diario'!$C$8:$C$507,"&lt;"&amp;EDATE($N15,1),'Diario'!$AH$8:$AH$507,1,'Diario'!$AC$8:$AC$507,"&lt;0")</x:f>
        <x:v>0</x:v>
      </x:c>
      <x:c r="R15" s="34" t="str">
        <x:f>IF(O15=0,"",SUMIFS('Diario'!$AC$8:$AC$507,'Diario'!$C$8:$C$507,"&gt;="&amp;$N15,'Diario'!$C$8:$C$507,"&lt;"&amp;EDATE($N15,1),'Diario'!$AH$8:$AH$507,1))</x:f>
      </x:c>
      <x:c r="S15" s="34" t="str">
        <x:f>IF(O15=0,"",SUMIFS('Diario'!$AB$8:$AB$507,'Diario'!$C$8:$C$507,"&gt;="&amp;$N15,'Diario'!$C$8:$C$507,"&lt;"&amp;EDATE($N15,1),'Diario'!$AH$8:$AH$507,1))</x:f>
      </x:c>
      <x:c r="T15" s="35" t="str">
        <x:f>IF(SUMIFS('Diario'!$Z$8:$Z$507,'Diario'!$C$8:$C$507,"&gt;="&amp;$N15,'Diario'!$C$8:$C$507,"&lt;"&amp;EDATE($N15,1),'Diario'!$AH$8:$AH$507,1)=0,"",SUMIFS('Diario'!$AC$8:$AC$507,'Diario'!$C$8:$C$507,"&gt;="&amp;$N15,'Diario'!$C$8:$C$507,"&lt;"&amp;EDATE($N15,1),'Diario'!$AH$8:$AH$507,1)/SUMIFS('Diario'!$Z$8:$Z$507,'Diario'!$C$8:$C$507,"&gt;="&amp;$N15,'Diario'!$C$8:$C$507,"&lt;"&amp;EDATE($N15,1),'Diario'!$AH$8:$AH$507,1))</x:f>
      </x:c>
      <x:c r="U15" s="34" t="str">
        <x:f>IF(COUNTIFS('Diario'!$C$8:$C$507,"&gt;="&amp;$N15,'Diario'!$C$8:$C$507,"&lt;"&amp;DATE($O$6+1,1,1),'Diario'!$AH$8:$AH$507,1)=0,"",SUMIFS('Diario'!$AC$8:$AC$507,'Diario'!$C$8:$C$507,"&gt;="&amp;DATE($O$6,1,1),'Diario'!$C$8:$C$507,"&lt;"&amp;EDATE($N15,1),'Diario'!$AH$8:$AH$507,1))</x:f>
      </x:c>
    </x:row>
    <x:row r="16" ht="22" customHeight="1">
      <x:c r="A16" s="2" t="str">
        <x:f>IF('Impostazioni'!J14="","",'Impostazioni'!J14)</x:f>
        <x:v>Next Goal</x:v>
      </x:c>
      <x:c r="B16" s="2" t="n">
        <x:f>IF(A16="","",COUNTIFS('Diario'!$F$8:$F$507,A16,'Diario'!$AH$8:$AH$507,1))</x:f>
        <x:v>0</x:v>
      </x:c>
      <x:c r="C16" s="2" t="n">
        <x:f>IF(A16="","",COUNTIFS('Diario'!$F$8:$F$507,A16,'Diario'!$AD$8:$AD$507,"Green"))</x:f>
        <x:v>0</x:v>
      </x:c>
      <x:c r="D16" s="2" t="n">
        <x:f>IF(A16="","",COUNTIFS('Diario'!$F$8:$F$507,A16,'Diario'!$AD$8:$AD$507,"Red"))</x:f>
        <x:v>0</x:v>
      </x:c>
      <x:c r="E16" s="2" t="n">
        <x:f>IF(A16="","",COUNTIFS('Diario'!$F$8:$F$507,A16,'Diario'!$AD$8:$AD$507,"Flat"))</x:f>
        <x:v>0</x:v>
      </x:c>
      <x:c r="F16" s="35" t="str">
        <x:f>IF(C16+D16=0,"",C16/(C16+D16))</x:f>
      </x:c>
      <x:c r="G16" s="34" t="str">
        <x:f>IF(OR(A16="",B16=0),"",SUMIFS('Diario'!$AC$8:$AC$507,'Diario'!$F$8:$F$507,A16,'Diario'!$AH$8:$AH$507,1))</x:f>
      </x:c>
      <x:c r="H16" s="34" t="str">
        <x:f>IF(OR(A16="",B16=0),"",SUMIFS('Diario'!$Z$8:$Z$507,'Diario'!$F$8:$F$507,A16,'Diario'!$AH$8:$AH$507,1))</x:f>
      </x:c>
      <x:c r="I16" s="35" t="str">
        <x:f>IF(OR(NOT(ISNUMBER(H16)),H16=0),"",G16/H16)</x:f>
      </x:c>
      <x:c r="J16" s="36" t="str">
        <x:f>IF(OR(A16="",B16=0),"",IF(SUMIFS('Diario'!$AC$8:$AC$507,'Diario'!$F$8:$F$507,A16,'Diario'!$AH$8:$AH$507,1,'Diario'!$AC$8:$AC$507,"&lt;0")=0,"n.a.",SUMIFS('Diario'!$AC$8:$AC$507,'Diario'!$F$8:$F$507,A16,'Diario'!$AH$8:$AH$507,1,'Diario'!$AC$8:$AC$507,"&gt;0")/-SUMIFS('Diario'!$AC$8:$AC$507,'Diario'!$F$8:$F$507,A16,'Diario'!$AH$8:$AH$507,1,'Diario'!$AC$8:$AC$507,"&lt;0")))</x:f>
      </x:c>
      <x:c r="K16" s="2" t="str">
        <x:f>IF(A16="","",IF(B16&lt;'Impostazioni'!$B$10,"Sotto soglia","Soglia raggiunta"))</x:f>
        <x:v>Sotto soglia</x:v>
      </x:c>
      <x:c r="L16" s="2" t="str">
        <x:f>IF(B16=0,"",COUNTIFS($G$8:$G$27,"&gt;"&amp;G16,$B$8:$B$27,"&gt;0")+COUNTIFS($G$8:G16,G16,$B$8:B16,"&gt;0"))</x:f>
      </x:c>
      <x:c r="M16" s="2"/>
      <x:c r="N16" s="33" t="n">
        <x:f>DATE($O$6,9,1)</x:f>
        <x:v>46266</x:v>
      </x:c>
      <x:c r="O16" s="2" t="n">
        <x:f>COUNTIFS('Diario'!$C$8:$C$507,"&gt;="&amp;$N16,'Diario'!$C$8:$C$507,"&lt;"&amp;EDATE($N16,1),'Diario'!$AH$8:$AH$507,1)</x:f>
        <x:v>0</x:v>
      </x:c>
      <x:c r="P16" s="2" t="n">
        <x:f>COUNTIFS('Diario'!$C$8:$C$507,"&gt;="&amp;$N16,'Diario'!$C$8:$C$507,"&lt;"&amp;EDATE($N16,1),'Diario'!$AH$8:$AH$507,1,'Diario'!$AC$8:$AC$507,"&gt;0")</x:f>
        <x:v>0</x:v>
      </x:c>
      <x:c r="Q16" s="2" t="n">
        <x:f>COUNTIFS('Diario'!$C$8:$C$507,"&gt;="&amp;$N16,'Diario'!$C$8:$C$507,"&lt;"&amp;EDATE($N16,1),'Diario'!$AH$8:$AH$507,1,'Diario'!$AC$8:$AC$507,"&lt;0")</x:f>
        <x:v>0</x:v>
      </x:c>
      <x:c r="R16" s="34" t="str">
        <x:f>IF(O16=0,"",SUMIFS('Diario'!$AC$8:$AC$507,'Diario'!$C$8:$C$507,"&gt;="&amp;$N16,'Diario'!$C$8:$C$507,"&lt;"&amp;EDATE($N16,1),'Diario'!$AH$8:$AH$507,1))</x:f>
      </x:c>
      <x:c r="S16" s="34" t="str">
        <x:f>IF(O16=0,"",SUMIFS('Diario'!$AB$8:$AB$507,'Diario'!$C$8:$C$507,"&gt;="&amp;$N16,'Diario'!$C$8:$C$507,"&lt;"&amp;EDATE($N16,1),'Diario'!$AH$8:$AH$507,1))</x:f>
      </x:c>
      <x:c r="T16" s="35" t="str">
        <x:f>IF(SUMIFS('Diario'!$Z$8:$Z$507,'Diario'!$C$8:$C$507,"&gt;="&amp;$N16,'Diario'!$C$8:$C$507,"&lt;"&amp;EDATE($N16,1),'Diario'!$AH$8:$AH$507,1)=0,"",SUMIFS('Diario'!$AC$8:$AC$507,'Diario'!$C$8:$C$507,"&gt;="&amp;$N16,'Diario'!$C$8:$C$507,"&lt;"&amp;EDATE($N16,1),'Diario'!$AH$8:$AH$507,1)/SUMIFS('Diario'!$Z$8:$Z$507,'Diario'!$C$8:$C$507,"&gt;="&amp;$N16,'Diario'!$C$8:$C$507,"&lt;"&amp;EDATE($N16,1),'Diario'!$AH$8:$AH$507,1))</x:f>
      </x:c>
      <x:c r="U16" s="34" t="str">
        <x:f>IF(COUNTIFS('Diario'!$C$8:$C$507,"&gt;="&amp;$N16,'Diario'!$C$8:$C$507,"&lt;"&amp;DATE($O$6+1,1,1),'Diario'!$AH$8:$AH$507,1)=0,"",SUMIFS('Diario'!$AC$8:$AC$507,'Diario'!$C$8:$C$507,"&gt;="&amp;DATE($O$6,1,1),'Diario'!$C$8:$C$507,"&lt;"&amp;EDATE($N16,1),'Diario'!$AH$8:$AH$507,1))</x:f>
      </x:c>
    </x:row>
    <x:row r="17" ht="22" customHeight="1">
      <x:c r="A17" s="2" t="str">
        <x:f>IF('Impostazioni'!J15="","",'Impostazioni'!J15)</x:f>
      </x:c>
      <x:c r="B17" s="2" t="str">
        <x:f>IF(A17="","",COUNTIFS('Diario'!$F$8:$F$507,A17,'Diario'!$AH$8:$AH$507,1))</x:f>
      </x:c>
      <x:c r="C17" s="2" t="str">
        <x:f>IF(A17="","",COUNTIFS('Diario'!$F$8:$F$507,A17,'Diario'!$AD$8:$AD$507,"Green"))</x:f>
      </x:c>
      <x:c r="D17" s="2" t="str">
        <x:f>IF(A17="","",COUNTIFS('Diario'!$F$8:$F$507,A17,'Diario'!$AD$8:$AD$507,"Red"))</x:f>
      </x:c>
      <x:c r="E17" s="2" t="str">
        <x:f>IF(A17="","",COUNTIFS('Diario'!$F$8:$F$507,A17,'Diario'!$AD$8:$AD$507,"Flat"))</x:f>
      </x:c>
      <x:c r="F17" s="35" t="str">
        <x:f>IF(C17+D17=0,"",C17/(C17+D17))</x:f>
      </x:c>
      <x:c r="G17" s="34" t="str">
        <x:f>IF(OR(A17="",B17=0),"",SUMIFS('Diario'!$AC$8:$AC$507,'Diario'!$F$8:$F$507,A17,'Diario'!$AH$8:$AH$507,1))</x:f>
      </x:c>
      <x:c r="H17" s="34" t="str">
        <x:f>IF(OR(A17="",B17=0),"",SUMIFS('Diario'!$Z$8:$Z$507,'Diario'!$F$8:$F$507,A17,'Diario'!$AH$8:$AH$507,1))</x:f>
      </x:c>
      <x:c r="I17" s="35" t="str">
        <x:f>IF(OR(NOT(ISNUMBER(H17)),H17=0),"",G17/H17)</x:f>
      </x:c>
      <x:c r="J17" s="36" t="str">
        <x:f>IF(OR(A17="",B17=0),"",IF(SUMIFS('Diario'!$AC$8:$AC$507,'Diario'!$F$8:$F$507,A17,'Diario'!$AH$8:$AH$507,1,'Diario'!$AC$8:$AC$507,"&lt;0")=0,"n.a.",SUMIFS('Diario'!$AC$8:$AC$507,'Diario'!$F$8:$F$507,A17,'Diario'!$AH$8:$AH$507,1,'Diario'!$AC$8:$AC$507,"&gt;0")/-SUMIFS('Diario'!$AC$8:$AC$507,'Diario'!$F$8:$F$507,A17,'Diario'!$AH$8:$AH$507,1,'Diario'!$AC$8:$AC$507,"&lt;0")))</x:f>
      </x:c>
      <x:c r="K17" s="2" t="str">
        <x:f>IF(A17="","",IF(B17&lt;'Impostazioni'!$B$10,"Sotto soglia","Soglia raggiunta"))</x:f>
      </x:c>
      <x:c r="L17" s="2" t="str">
        <x:f>IF(B17=0,"",COUNTIFS($G$8:$G$27,"&gt;"&amp;G17,$B$8:$B$27,"&gt;0")+COUNTIFS($G$8:G17,G17,$B$8:B17,"&gt;0"))</x:f>
      </x:c>
      <x:c r="M17" s="2"/>
      <x:c r="N17" s="33" t="n">
        <x:f>DATE($O$6,10,1)</x:f>
        <x:v>46296</x:v>
      </x:c>
      <x:c r="O17" s="2" t="n">
        <x:f>COUNTIFS('Diario'!$C$8:$C$507,"&gt;="&amp;$N17,'Diario'!$C$8:$C$507,"&lt;"&amp;EDATE($N17,1),'Diario'!$AH$8:$AH$507,1)</x:f>
        <x:v>0</x:v>
      </x:c>
      <x:c r="P17" s="2" t="n">
        <x:f>COUNTIFS('Diario'!$C$8:$C$507,"&gt;="&amp;$N17,'Diario'!$C$8:$C$507,"&lt;"&amp;EDATE($N17,1),'Diario'!$AH$8:$AH$507,1,'Diario'!$AC$8:$AC$507,"&gt;0")</x:f>
        <x:v>0</x:v>
      </x:c>
      <x:c r="Q17" s="2" t="n">
        <x:f>COUNTIFS('Diario'!$C$8:$C$507,"&gt;="&amp;$N17,'Diario'!$C$8:$C$507,"&lt;"&amp;EDATE($N17,1),'Diario'!$AH$8:$AH$507,1,'Diario'!$AC$8:$AC$507,"&lt;0")</x:f>
        <x:v>0</x:v>
      </x:c>
      <x:c r="R17" s="34" t="str">
        <x:f>IF(O17=0,"",SUMIFS('Diario'!$AC$8:$AC$507,'Diario'!$C$8:$C$507,"&gt;="&amp;$N17,'Diario'!$C$8:$C$507,"&lt;"&amp;EDATE($N17,1),'Diario'!$AH$8:$AH$507,1))</x:f>
      </x:c>
      <x:c r="S17" s="34" t="str">
        <x:f>IF(O17=0,"",SUMIFS('Diario'!$AB$8:$AB$507,'Diario'!$C$8:$C$507,"&gt;="&amp;$N17,'Diario'!$C$8:$C$507,"&lt;"&amp;EDATE($N17,1),'Diario'!$AH$8:$AH$507,1))</x:f>
      </x:c>
      <x:c r="T17" s="35" t="str">
        <x:f>IF(SUMIFS('Diario'!$Z$8:$Z$507,'Diario'!$C$8:$C$507,"&gt;="&amp;$N17,'Diario'!$C$8:$C$507,"&lt;"&amp;EDATE($N17,1),'Diario'!$AH$8:$AH$507,1)=0,"",SUMIFS('Diario'!$AC$8:$AC$507,'Diario'!$C$8:$C$507,"&gt;="&amp;$N17,'Diario'!$C$8:$C$507,"&lt;"&amp;EDATE($N17,1),'Diario'!$AH$8:$AH$507,1)/SUMIFS('Diario'!$Z$8:$Z$507,'Diario'!$C$8:$C$507,"&gt;="&amp;$N17,'Diario'!$C$8:$C$507,"&lt;"&amp;EDATE($N17,1),'Diario'!$AH$8:$AH$507,1))</x:f>
      </x:c>
      <x:c r="U17" s="34" t="str">
        <x:f>IF(COUNTIFS('Diario'!$C$8:$C$507,"&gt;="&amp;$N17,'Diario'!$C$8:$C$507,"&lt;"&amp;DATE($O$6+1,1,1),'Diario'!$AH$8:$AH$507,1)=0,"",SUMIFS('Diario'!$AC$8:$AC$507,'Diario'!$C$8:$C$507,"&gt;="&amp;DATE($O$6,1,1),'Diario'!$C$8:$C$507,"&lt;"&amp;EDATE($N17,1),'Diario'!$AH$8:$AH$507,1))</x:f>
      </x:c>
    </x:row>
    <x:row r="18" ht="22" customHeight="1">
      <x:c r="A18" s="2" t="str">
        <x:f>IF('Impostazioni'!J16="","",'Impostazioni'!J16)</x:f>
      </x:c>
      <x:c r="B18" s="2" t="str">
        <x:f>IF(A18="","",COUNTIFS('Diario'!$F$8:$F$507,A18,'Diario'!$AH$8:$AH$507,1))</x:f>
      </x:c>
      <x:c r="C18" s="2" t="str">
        <x:f>IF(A18="","",COUNTIFS('Diario'!$F$8:$F$507,A18,'Diario'!$AD$8:$AD$507,"Green"))</x:f>
      </x:c>
      <x:c r="D18" s="2" t="str">
        <x:f>IF(A18="","",COUNTIFS('Diario'!$F$8:$F$507,A18,'Diario'!$AD$8:$AD$507,"Red"))</x:f>
      </x:c>
      <x:c r="E18" s="2" t="str">
        <x:f>IF(A18="","",COUNTIFS('Diario'!$F$8:$F$507,A18,'Diario'!$AD$8:$AD$507,"Flat"))</x:f>
      </x:c>
      <x:c r="F18" s="35" t="str">
        <x:f>IF(C18+D18=0,"",C18/(C18+D18))</x:f>
      </x:c>
      <x:c r="G18" s="34" t="str">
        <x:f>IF(OR(A18="",B18=0),"",SUMIFS('Diario'!$AC$8:$AC$507,'Diario'!$F$8:$F$507,A18,'Diario'!$AH$8:$AH$507,1))</x:f>
      </x:c>
      <x:c r="H18" s="34" t="str">
        <x:f>IF(OR(A18="",B18=0),"",SUMIFS('Diario'!$Z$8:$Z$507,'Diario'!$F$8:$F$507,A18,'Diario'!$AH$8:$AH$507,1))</x:f>
      </x:c>
      <x:c r="I18" s="35" t="str">
        <x:f>IF(OR(NOT(ISNUMBER(H18)),H18=0),"",G18/H18)</x:f>
      </x:c>
      <x:c r="J18" s="36" t="str">
        <x:f>IF(OR(A18="",B18=0),"",IF(SUMIFS('Diario'!$AC$8:$AC$507,'Diario'!$F$8:$F$507,A18,'Diario'!$AH$8:$AH$507,1,'Diario'!$AC$8:$AC$507,"&lt;0")=0,"n.a.",SUMIFS('Diario'!$AC$8:$AC$507,'Diario'!$F$8:$F$507,A18,'Diario'!$AH$8:$AH$507,1,'Diario'!$AC$8:$AC$507,"&gt;0")/-SUMIFS('Diario'!$AC$8:$AC$507,'Diario'!$F$8:$F$507,A18,'Diario'!$AH$8:$AH$507,1,'Diario'!$AC$8:$AC$507,"&lt;0")))</x:f>
      </x:c>
      <x:c r="K18" s="2" t="str">
        <x:f>IF(A18="","",IF(B18&lt;'Impostazioni'!$B$10,"Sotto soglia","Soglia raggiunta"))</x:f>
      </x:c>
      <x:c r="L18" s="2" t="str">
        <x:f>IF(B18=0,"",COUNTIFS($G$8:$G$27,"&gt;"&amp;G18,$B$8:$B$27,"&gt;0")+COUNTIFS($G$8:G18,G18,$B$8:B18,"&gt;0"))</x:f>
      </x:c>
      <x:c r="M18" s="2"/>
      <x:c r="N18" s="33" t="n">
        <x:f>DATE($O$6,11,1)</x:f>
        <x:v>46327</x:v>
      </x:c>
      <x:c r="O18" s="2" t="n">
        <x:f>COUNTIFS('Diario'!$C$8:$C$507,"&gt;="&amp;$N18,'Diario'!$C$8:$C$507,"&lt;"&amp;EDATE($N18,1),'Diario'!$AH$8:$AH$507,1)</x:f>
        <x:v>0</x:v>
      </x:c>
      <x:c r="P18" s="2" t="n">
        <x:f>COUNTIFS('Diario'!$C$8:$C$507,"&gt;="&amp;$N18,'Diario'!$C$8:$C$507,"&lt;"&amp;EDATE($N18,1),'Diario'!$AH$8:$AH$507,1,'Diario'!$AC$8:$AC$507,"&gt;0")</x:f>
        <x:v>0</x:v>
      </x:c>
      <x:c r="Q18" s="2" t="n">
        <x:f>COUNTIFS('Diario'!$C$8:$C$507,"&gt;="&amp;$N18,'Diario'!$C$8:$C$507,"&lt;"&amp;EDATE($N18,1),'Diario'!$AH$8:$AH$507,1,'Diario'!$AC$8:$AC$507,"&lt;0")</x:f>
        <x:v>0</x:v>
      </x:c>
      <x:c r="R18" s="34" t="str">
        <x:f>IF(O18=0,"",SUMIFS('Diario'!$AC$8:$AC$507,'Diario'!$C$8:$C$507,"&gt;="&amp;$N18,'Diario'!$C$8:$C$507,"&lt;"&amp;EDATE($N18,1),'Diario'!$AH$8:$AH$507,1))</x:f>
      </x:c>
      <x:c r="S18" s="34" t="str">
        <x:f>IF(O18=0,"",SUMIFS('Diario'!$AB$8:$AB$507,'Diario'!$C$8:$C$507,"&gt;="&amp;$N18,'Diario'!$C$8:$C$507,"&lt;"&amp;EDATE($N18,1),'Diario'!$AH$8:$AH$507,1))</x:f>
      </x:c>
      <x:c r="T18" s="35" t="str">
        <x:f>IF(SUMIFS('Diario'!$Z$8:$Z$507,'Diario'!$C$8:$C$507,"&gt;="&amp;$N18,'Diario'!$C$8:$C$507,"&lt;"&amp;EDATE($N18,1),'Diario'!$AH$8:$AH$507,1)=0,"",SUMIFS('Diario'!$AC$8:$AC$507,'Diario'!$C$8:$C$507,"&gt;="&amp;$N18,'Diario'!$C$8:$C$507,"&lt;"&amp;EDATE($N18,1),'Diario'!$AH$8:$AH$507,1)/SUMIFS('Diario'!$Z$8:$Z$507,'Diario'!$C$8:$C$507,"&gt;="&amp;$N18,'Diario'!$C$8:$C$507,"&lt;"&amp;EDATE($N18,1),'Diario'!$AH$8:$AH$507,1))</x:f>
      </x:c>
      <x:c r="U18" s="34" t="str">
        <x:f>IF(COUNTIFS('Diario'!$C$8:$C$507,"&gt;="&amp;$N18,'Diario'!$C$8:$C$507,"&lt;"&amp;DATE($O$6+1,1,1),'Diario'!$AH$8:$AH$507,1)=0,"",SUMIFS('Diario'!$AC$8:$AC$507,'Diario'!$C$8:$C$507,"&gt;="&amp;DATE($O$6,1,1),'Diario'!$C$8:$C$507,"&lt;"&amp;EDATE($N18,1),'Diario'!$AH$8:$AH$507,1))</x:f>
      </x:c>
    </x:row>
    <x:row r="19" ht="22" customHeight="1">
      <x:c r="A19" s="2" t="str">
        <x:f>IF('Impostazioni'!J17="","",'Impostazioni'!J17)</x:f>
      </x:c>
      <x:c r="B19" s="2" t="str">
        <x:f>IF(A19="","",COUNTIFS('Diario'!$F$8:$F$507,A19,'Diario'!$AH$8:$AH$507,1))</x:f>
      </x:c>
      <x:c r="C19" s="2" t="str">
        <x:f>IF(A19="","",COUNTIFS('Diario'!$F$8:$F$507,A19,'Diario'!$AD$8:$AD$507,"Green"))</x:f>
      </x:c>
      <x:c r="D19" s="2" t="str">
        <x:f>IF(A19="","",COUNTIFS('Diario'!$F$8:$F$507,A19,'Diario'!$AD$8:$AD$507,"Red"))</x:f>
      </x:c>
      <x:c r="E19" s="2" t="str">
        <x:f>IF(A19="","",COUNTIFS('Diario'!$F$8:$F$507,A19,'Diario'!$AD$8:$AD$507,"Flat"))</x:f>
      </x:c>
      <x:c r="F19" s="35" t="str">
        <x:f>IF(C19+D19=0,"",C19/(C19+D19))</x:f>
      </x:c>
      <x:c r="G19" s="34" t="str">
        <x:f>IF(OR(A19="",B19=0),"",SUMIFS('Diario'!$AC$8:$AC$507,'Diario'!$F$8:$F$507,A19,'Diario'!$AH$8:$AH$507,1))</x:f>
      </x:c>
      <x:c r="H19" s="34" t="str">
        <x:f>IF(OR(A19="",B19=0),"",SUMIFS('Diario'!$Z$8:$Z$507,'Diario'!$F$8:$F$507,A19,'Diario'!$AH$8:$AH$507,1))</x:f>
      </x:c>
      <x:c r="I19" s="35" t="str">
        <x:f>IF(OR(NOT(ISNUMBER(H19)),H19=0),"",G19/H19)</x:f>
      </x:c>
      <x:c r="J19" s="36" t="str">
        <x:f>IF(OR(A19="",B19=0),"",IF(SUMIFS('Diario'!$AC$8:$AC$507,'Diario'!$F$8:$F$507,A19,'Diario'!$AH$8:$AH$507,1,'Diario'!$AC$8:$AC$507,"&lt;0")=0,"n.a.",SUMIFS('Diario'!$AC$8:$AC$507,'Diario'!$F$8:$F$507,A19,'Diario'!$AH$8:$AH$507,1,'Diario'!$AC$8:$AC$507,"&gt;0")/-SUMIFS('Diario'!$AC$8:$AC$507,'Diario'!$F$8:$F$507,A19,'Diario'!$AH$8:$AH$507,1,'Diario'!$AC$8:$AC$507,"&lt;0")))</x:f>
      </x:c>
      <x:c r="K19" s="2" t="str">
        <x:f>IF(A19="","",IF(B19&lt;'Impostazioni'!$B$10,"Sotto soglia","Soglia raggiunta"))</x:f>
      </x:c>
      <x:c r="L19" s="2" t="str">
        <x:f>IF(B19=0,"",COUNTIFS($G$8:$G$27,"&gt;"&amp;G19,$B$8:$B$27,"&gt;0")+COUNTIFS($G$8:G19,G19,$B$8:B19,"&gt;0"))</x:f>
      </x:c>
      <x:c r="M19" s="2"/>
      <x:c r="N19" s="33" t="n">
        <x:f>DATE($O$6,12,1)</x:f>
        <x:v>46357</x:v>
      </x:c>
      <x:c r="O19" s="2" t="n">
        <x:f>COUNTIFS('Diario'!$C$8:$C$507,"&gt;="&amp;$N19,'Diario'!$C$8:$C$507,"&lt;"&amp;EDATE($N19,1),'Diario'!$AH$8:$AH$507,1)</x:f>
        <x:v>0</x:v>
      </x:c>
      <x:c r="P19" s="2" t="n">
        <x:f>COUNTIFS('Diario'!$C$8:$C$507,"&gt;="&amp;$N19,'Diario'!$C$8:$C$507,"&lt;"&amp;EDATE($N19,1),'Diario'!$AH$8:$AH$507,1,'Diario'!$AC$8:$AC$507,"&gt;0")</x:f>
        <x:v>0</x:v>
      </x:c>
      <x:c r="Q19" s="2" t="n">
        <x:f>COUNTIFS('Diario'!$C$8:$C$507,"&gt;="&amp;$N19,'Diario'!$C$8:$C$507,"&lt;"&amp;EDATE($N19,1),'Diario'!$AH$8:$AH$507,1,'Diario'!$AC$8:$AC$507,"&lt;0")</x:f>
        <x:v>0</x:v>
      </x:c>
      <x:c r="R19" s="34" t="str">
        <x:f>IF(O19=0,"",SUMIFS('Diario'!$AC$8:$AC$507,'Diario'!$C$8:$C$507,"&gt;="&amp;$N19,'Diario'!$C$8:$C$507,"&lt;"&amp;EDATE($N19,1),'Diario'!$AH$8:$AH$507,1))</x:f>
      </x:c>
      <x:c r="S19" s="34" t="str">
        <x:f>IF(O19=0,"",SUMIFS('Diario'!$AB$8:$AB$507,'Diario'!$C$8:$C$507,"&gt;="&amp;$N19,'Diario'!$C$8:$C$507,"&lt;"&amp;EDATE($N19,1),'Diario'!$AH$8:$AH$507,1))</x:f>
      </x:c>
      <x:c r="T19" s="35" t="str">
        <x:f>IF(SUMIFS('Diario'!$Z$8:$Z$507,'Diario'!$C$8:$C$507,"&gt;="&amp;$N19,'Diario'!$C$8:$C$507,"&lt;"&amp;EDATE($N19,1),'Diario'!$AH$8:$AH$507,1)=0,"",SUMIFS('Diario'!$AC$8:$AC$507,'Diario'!$C$8:$C$507,"&gt;="&amp;$N19,'Diario'!$C$8:$C$507,"&lt;"&amp;EDATE($N19,1),'Diario'!$AH$8:$AH$507,1)/SUMIFS('Diario'!$Z$8:$Z$507,'Diario'!$C$8:$C$507,"&gt;="&amp;$N19,'Diario'!$C$8:$C$507,"&lt;"&amp;EDATE($N19,1),'Diario'!$AH$8:$AH$507,1))</x:f>
      </x:c>
      <x:c r="U19" s="34" t="str">
        <x:f>IF(COUNTIFS('Diario'!$C$8:$C$507,"&gt;="&amp;$N19,'Diario'!$C$8:$C$507,"&lt;"&amp;DATE($O$6+1,1,1),'Diario'!$AH$8:$AH$507,1)=0,"",SUMIFS('Diario'!$AC$8:$AC$507,'Diario'!$C$8:$C$507,"&gt;="&amp;DATE($O$6,1,1),'Diario'!$C$8:$C$507,"&lt;"&amp;EDATE($N19,1),'Diario'!$AH$8:$AH$507,1))</x:f>
      </x:c>
    </x:row>
    <x:row r="20" ht="22" customHeight="1">
      <x:c r="A20" s="2" t="str">
        <x:f>IF('Impostazioni'!J18="","",'Impostazioni'!J18)</x:f>
      </x:c>
      <x:c r="B20" s="2" t="str">
        <x:f>IF(A20="","",COUNTIFS('Diario'!$F$8:$F$507,A20,'Diario'!$AH$8:$AH$507,1))</x:f>
      </x:c>
      <x:c r="C20" s="2" t="str">
        <x:f>IF(A20="","",COUNTIFS('Diario'!$F$8:$F$507,A20,'Diario'!$AD$8:$AD$507,"Green"))</x:f>
      </x:c>
      <x:c r="D20" s="2" t="str">
        <x:f>IF(A20="","",COUNTIFS('Diario'!$F$8:$F$507,A20,'Diario'!$AD$8:$AD$507,"Red"))</x:f>
      </x:c>
      <x:c r="E20" s="2" t="str">
        <x:f>IF(A20="","",COUNTIFS('Diario'!$F$8:$F$507,A20,'Diario'!$AD$8:$AD$507,"Flat"))</x:f>
      </x:c>
      <x:c r="F20" s="35" t="str">
        <x:f>IF(C20+D20=0,"",C20/(C20+D20))</x:f>
      </x:c>
      <x:c r="G20" s="34" t="str">
        <x:f>IF(OR(A20="",B20=0),"",SUMIFS('Diario'!$AC$8:$AC$507,'Diario'!$F$8:$F$507,A20,'Diario'!$AH$8:$AH$507,1))</x:f>
      </x:c>
      <x:c r="H20" s="34" t="str">
        <x:f>IF(OR(A20="",B20=0),"",SUMIFS('Diario'!$Z$8:$Z$507,'Diario'!$F$8:$F$507,A20,'Diario'!$AH$8:$AH$507,1))</x:f>
      </x:c>
      <x:c r="I20" s="35" t="str">
        <x:f>IF(OR(NOT(ISNUMBER(H20)),H20=0),"",G20/H20)</x:f>
      </x:c>
      <x:c r="J20" s="36" t="str">
        <x:f>IF(OR(A20="",B20=0),"",IF(SUMIFS('Diario'!$AC$8:$AC$507,'Diario'!$F$8:$F$507,A20,'Diario'!$AH$8:$AH$507,1,'Diario'!$AC$8:$AC$507,"&lt;0")=0,"n.a.",SUMIFS('Diario'!$AC$8:$AC$507,'Diario'!$F$8:$F$507,A20,'Diario'!$AH$8:$AH$507,1,'Diario'!$AC$8:$AC$507,"&gt;0")/-SUMIFS('Diario'!$AC$8:$AC$507,'Diario'!$F$8:$F$507,A20,'Diario'!$AH$8:$AH$507,1,'Diario'!$AC$8:$AC$507,"&lt;0")))</x:f>
      </x:c>
      <x:c r="K20" s="2" t="str">
        <x:f>IF(A20="","",IF(B20&lt;'Impostazioni'!$B$10,"Sotto soglia","Soglia raggiunta"))</x:f>
      </x:c>
      <x:c r="L20" s="2" t="str">
        <x:f>IF(B20=0,"",COUNTIFS($G$8:$G$27,"&gt;"&amp;G20,$B$8:$B$27,"&gt;0")+COUNTIFS($G$8:G20,G20,$B$8:B20,"&gt;0"))</x:f>
      </x:c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2" customHeight="1">
      <x:c r="A21" s="2" t="str">
        <x:f>IF('Impostazioni'!J19="","",'Impostazioni'!J19)</x:f>
      </x:c>
      <x:c r="B21" s="2" t="str">
        <x:f>IF(A21="","",COUNTIFS('Diario'!$F$8:$F$507,A21,'Diario'!$AH$8:$AH$507,1))</x:f>
      </x:c>
      <x:c r="C21" s="2" t="str">
        <x:f>IF(A21="","",COUNTIFS('Diario'!$F$8:$F$507,A21,'Diario'!$AD$8:$AD$507,"Green"))</x:f>
      </x:c>
      <x:c r="D21" s="2" t="str">
        <x:f>IF(A21="","",COUNTIFS('Diario'!$F$8:$F$507,A21,'Diario'!$AD$8:$AD$507,"Red"))</x:f>
      </x:c>
      <x:c r="E21" s="2" t="str">
        <x:f>IF(A21="","",COUNTIFS('Diario'!$F$8:$F$507,A21,'Diario'!$AD$8:$AD$507,"Flat"))</x:f>
      </x:c>
      <x:c r="F21" s="35" t="str">
        <x:f>IF(C21+D21=0,"",C21/(C21+D21))</x:f>
      </x:c>
      <x:c r="G21" s="34" t="str">
        <x:f>IF(OR(A21="",B21=0),"",SUMIFS('Diario'!$AC$8:$AC$507,'Diario'!$F$8:$F$507,A21,'Diario'!$AH$8:$AH$507,1))</x:f>
      </x:c>
      <x:c r="H21" s="34" t="str">
        <x:f>IF(OR(A21="",B21=0),"",SUMIFS('Diario'!$Z$8:$Z$507,'Diario'!$F$8:$F$507,A21,'Diario'!$AH$8:$AH$507,1))</x:f>
      </x:c>
      <x:c r="I21" s="35" t="str">
        <x:f>IF(OR(NOT(ISNUMBER(H21)),H21=0),"",G21/H21)</x:f>
      </x:c>
      <x:c r="J21" s="36" t="str">
        <x:f>IF(OR(A21="",B21=0),"",IF(SUMIFS('Diario'!$AC$8:$AC$507,'Diario'!$F$8:$F$507,A21,'Diario'!$AH$8:$AH$507,1,'Diario'!$AC$8:$AC$507,"&lt;0")=0,"n.a.",SUMIFS('Diario'!$AC$8:$AC$507,'Diario'!$F$8:$F$507,A21,'Diario'!$AH$8:$AH$507,1,'Diario'!$AC$8:$AC$507,"&gt;0")/-SUMIFS('Diario'!$AC$8:$AC$507,'Diario'!$F$8:$F$507,A21,'Diario'!$AH$8:$AH$507,1,'Diario'!$AC$8:$AC$507,"&lt;0")))</x:f>
      </x:c>
      <x:c r="K21" s="2" t="str">
        <x:f>IF(A21="","",IF(B21&lt;'Impostazioni'!$B$10,"Sotto soglia","Soglia raggiunta"))</x:f>
      </x:c>
      <x:c r="L21" s="2" t="str">
        <x:f>IF(B21=0,"",COUNTIFS($G$8:$G$27,"&gt;"&amp;G21,$B$8:$B$27,"&gt;0")+COUNTIFS($G$8:G21,G21,$B$8:B21,"&gt;0"))</x:f>
      </x:c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2" customHeight="1">
      <x:c r="A22" s="2" t="str">
        <x:f>IF('Impostazioni'!J20="","",'Impostazioni'!J20)</x:f>
      </x:c>
      <x:c r="B22" s="2" t="str">
        <x:f>IF(A22="","",COUNTIFS('Diario'!$F$8:$F$507,A22,'Diario'!$AH$8:$AH$507,1))</x:f>
      </x:c>
      <x:c r="C22" s="2" t="str">
        <x:f>IF(A22="","",COUNTIFS('Diario'!$F$8:$F$507,A22,'Diario'!$AD$8:$AD$507,"Green"))</x:f>
      </x:c>
      <x:c r="D22" s="2" t="str">
        <x:f>IF(A22="","",COUNTIFS('Diario'!$F$8:$F$507,A22,'Diario'!$AD$8:$AD$507,"Red"))</x:f>
      </x:c>
      <x:c r="E22" s="2" t="str">
        <x:f>IF(A22="","",COUNTIFS('Diario'!$F$8:$F$507,A22,'Diario'!$AD$8:$AD$507,"Flat"))</x:f>
      </x:c>
      <x:c r="F22" s="35" t="str">
        <x:f>IF(C22+D22=0,"",C22/(C22+D22))</x:f>
      </x:c>
      <x:c r="G22" s="34" t="str">
        <x:f>IF(OR(A22="",B22=0),"",SUMIFS('Diario'!$AC$8:$AC$507,'Diario'!$F$8:$F$507,A22,'Diario'!$AH$8:$AH$507,1))</x:f>
      </x:c>
      <x:c r="H22" s="34" t="str">
        <x:f>IF(OR(A22="",B22=0),"",SUMIFS('Diario'!$Z$8:$Z$507,'Diario'!$F$8:$F$507,A22,'Diario'!$AH$8:$AH$507,1))</x:f>
      </x:c>
      <x:c r="I22" s="35" t="str">
        <x:f>IF(OR(NOT(ISNUMBER(H22)),H22=0),"",G22/H22)</x:f>
      </x:c>
      <x:c r="J22" s="36" t="str">
        <x:f>IF(OR(A22="",B22=0),"",IF(SUMIFS('Diario'!$AC$8:$AC$507,'Diario'!$F$8:$F$507,A22,'Diario'!$AH$8:$AH$507,1,'Diario'!$AC$8:$AC$507,"&lt;0")=0,"n.a.",SUMIFS('Diario'!$AC$8:$AC$507,'Diario'!$F$8:$F$507,A22,'Diario'!$AH$8:$AH$507,1,'Diario'!$AC$8:$AC$507,"&gt;0")/-SUMIFS('Diario'!$AC$8:$AC$507,'Diario'!$F$8:$F$507,A22,'Diario'!$AH$8:$AH$507,1,'Diario'!$AC$8:$AC$507,"&lt;0")))</x:f>
      </x:c>
      <x:c r="K22" s="2" t="str">
        <x:f>IF(A22="","",IF(B22&lt;'Impostazioni'!$B$10,"Sotto soglia","Soglia raggiunta"))</x:f>
      </x:c>
      <x:c r="L22" s="2" t="str">
        <x:f>IF(B22=0,"",COUNTIFS($G$8:$G$27,"&gt;"&amp;G22,$B$8:$B$27,"&gt;0")+COUNTIFS($G$8:G22,G22,$B$8:B22,"&gt;0"))</x:f>
      </x:c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4" customHeight="1">
      <x:c r="A23" s="2" t="str">
        <x:f>IF('Impostazioni'!J21="","",'Impostazioni'!J21)</x:f>
      </x:c>
      <x:c r="B23" s="2" t="str">
        <x:f>IF(A23="","",COUNTIFS('Diario'!$F$8:$F$507,A23,'Diario'!$AH$8:$AH$507,1))</x:f>
      </x:c>
      <x:c r="C23" s="2" t="str">
        <x:f>IF(A23="","",COUNTIFS('Diario'!$F$8:$F$507,A23,'Diario'!$AD$8:$AD$507,"Green"))</x:f>
      </x:c>
      <x:c r="D23" s="2" t="str">
        <x:f>IF(A23="","",COUNTIFS('Diario'!$F$8:$F$507,A23,'Diario'!$AD$8:$AD$507,"Red"))</x:f>
      </x:c>
      <x:c r="E23" s="2" t="str">
        <x:f>IF(A23="","",COUNTIFS('Diario'!$F$8:$F$507,A23,'Diario'!$AD$8:$AD$507,"Flat"))</x:f>
      </x:c>
      <x:c r="F23" s="35" t="str">
        <x:f>IF(C23+D23=0,"",C23/(C23+D23))</x:f>
      </x:c>
      <x:c r="G23" s="34" t="str">
        <x:f>IF(OR(A23="",B23=0),"",SUMIFS('Diario'!$AC$8:$AC$507,'Diario'!$F$8:$F$507,A23,'Diario'!$AH$8:$AH$507,1))</x:f>
      </x:c>
      <x:c r="H23" s="34" t="str">
        <x:f>IF(OR(A23="",B23=0),"",SUMIFS('Diario'!$Z$8:$Z$507,'Diario'!$F$8:$F$507,A23,'Diario'!$AH$8:$AH$507,1))</x:f>
      </x:c>
      <x:c r="I23" s="35" t="str">
        <x:f>IF(OR(NOT(ISNUMBER(H23)),H23=0),"",G23/H23)</x:f>
      </x:c>
      <x:c r="J23" s="36" t="str">
        <x:f>IF(OR(A23="",B23=0),"",IF(SUMIFS('Diario'!$AC$8:$AC$507,'Diario'!$F$8:$F$507,A23,'Diario'!$AH$8:$AH$507,1,'Diario'!$AC$8:$AC$507,"&lt;0")=0,"n.a.",SUMIFS('Diario'!$AC$8:$AC$507,'Diario'!$F$8:$F$507,A23,'Diario'!$AH$8:$AH$507,1,'Diario'!$AC$8:$AC$507,"&gt;0")/-SUMIFS('Diario'!$AC$8:$AC$507,'Diario'!$F$8:$F$507,A23,'Diario'!$AH$8:$AH$507,1,'Diario'!$AC$8:$AC$507,"&lt;0")))</x:f>
      </x:c>
      <x:c r="K23" s="2" t="str">
        <x:f>IF(A23="","",IF(B23&lt;'Impostazioni'!$B$10,"Sotto soglia","Soglia raggiunta"))</x:f>
      </x:c>
      <x:c r="L23" s="2" t="str">
        <x:f>IF(B23=0,"",COUNTIFS($G$8:$G$27,"&gt;"&amp;G23,$B$8:$B$27,"&gt;0")+COUNTIFS($G$8:G23,G23,$B$8:B23,"&gt;0"))</x:f>
      </x:c>
      <x:c r="M23" s="2"/>
      <x:c r="N23" s="32" t="str">
        <x:v>Risultati per motivo di uscita</x:v>
      </x:c>
      <x:c r="O23" s="32"/>
      <x:c r="P23" s="32"/>
      <x:c r="Q23" s="32"/>
      <x:c r="R23" s="32"/>
      <x:c r="S23" s="32"/>
      <x:c r="T23" s="32"/>
      <x:c r="U23" s="32"/>
    </x:row>
    <x:row r="24" ht="40" customHeight="1">
      <x:c r="A24" s="2" t="str">
        <x:f>IF('Impostazioni'!J22="","",'Impostazioni'!J22)</x:f>
      </x:c>
      <x:c r="B24" s="2" t="str">
        <x:f>IF(A24="","",COUNTIFS('Diario'!$F$8:$F$507,A24,'Diario'!$AH$8:$AH$507,1))</x:f>
      </x:c>
      <x:c r="C24" s="2" t="str">
        <x:f>IF(A24="","",COUNTIFS('Diario'!$F$8:$F$507,A24,'Diario'!$AD$8:$AD$507,"Green"))</x:f>
      </x:c>
      <x:c r="D24" s="2" t="str">
        <x:f>IF(A24="","",COUNTIFS('Diario'!$F$8:$F$507,A24,'Diario'!$AD$8:$AD$507,"Red"))</x:f>
      </x:c>
      <x:c r="E24" s="2" t="str">
        <x:f>IF(A24="","",COUNTIFS('Diario'!$F$8:$F$507,A24,'Diario'!$AD$8:$AD$507,"Flat"))</x:f>
      </x:c>
      <x:c r="F24" s="35" t="str">
        <x:f>IF(C24+D24=0,"",C24/(C24+D24))</x:f>
      </x:c>
      <x:c r="G24" s="34" t="str">
        <x:f>IF(OR(A24="",B24=0),"",SUMIFS('Diario'!$AC$8:$AC$507,'Diario'!$F$8:$F$507,A24,'Diario'!$AH$8:$AH$507,1))</x:f>
      </x:c>
      <x:c r="H24" s="34" t="str">
        <x:f>IF(OR(A24="",B24=0),"",SUMIFS('Diario'!$Z$8:$Z$507,'Diario'!$F$8:$F$507,A24,'Diario'!$AH$8:$AH$507,1))</x:f>
      </x:c>
      <x:c r="I24" s="35" t="str">
        <x:f>IF(OR(NOT(ISNUMBER(H24)),H24=0),"",G24/H24)</x:f>
      </x:c>
      <x:c r="J24" s="36" t="str">
        <x:f>IF(OR(A24="",B24=0),"",IF(SUMIFS('Diario'!$AC$8:$AC$507,'Diario'!$F$8:$F$507,A24,'Diario'!$AH$8:$AH$507,1,'Diario'!$AC$8:$AC$507,"&lt;0")=0,"n.a.",SUMIFS('Diario'!$AC$8:$AC$507,'Diario'!$F$8:$F$507,A24,'Diario'!$AH$8:$AH$507,1,'Diario'!$AC$8:$AC$507,"&gt;0")/-SUMIFS('Diario'!$AC$8:$AC$507,'Diario'!$F$8:$F$507,A24,'Diario'!$AH$8:$AH$507,1,'Diario'!$AC$8:$AC$507,"&lt;0")))</x:f>
      </x:c>
      <x:c r="K24" s="2" t="str">
        <x:f>IF(A24="","",IF(B24&lt;'Impostazioni'!$B$10,"Sotto soglia","Soglia raggiunta"))</x:f>
      </x:c>
      <x:c r="L24" s="2" t="str">
        <x:f>IF(B24=0,"",COUNTIFS($G$8:$G$27,"&gt;"&amp;G24,$B$8:$B$27,"&gt;0")+COUNTIFS($G$8:G24,G24,$B$8:B24,"&gt;0"))</x:f>
      </x:c>
      <x:c r="M24" s="2"/>
      <x:c r="N24" s="15" t="str">
        <x:v>Motivo</x:v>
      </x:c>
      <x:c r="O24" s="16" t="str">
        <x:v>Chiuse</x:v>
      </x:c>
      <x:c r="P24" s="16" t="str">
        <x:v>Green</x:v>
      </x:c>
      <x:c r="Q24" s="16" t="str">
        <x:v>Red</x:v>
      </x:c>
      <x:c r="R24" s="16" t="str">
        <x:v>P/L netto €</x:v>
      </x:c>
      <x:c r="S24" s="16" t="str">
        <x:v>Rischio €</x:v>
      </x:c>
      <x:c r="T24" s="16" t="str">
        <x:v>Rendimento</x:v>
      </x:c>
      <x:c r="U24" s="17" t="str">
        <x:v>Strike rate</x:v>
      </x:c>
    </x:row>
    <x:row r="25" ht="22" customHeight="1">
      <x:c r="A25" s="2" t="str">
        <x:f>IF('Impostazioni'!J23="","",'Impostazioni'!J23)</x:f>
      </x:c>
      <x:c r="B25" s="2" t="str">
        <x:f>IF(A25="","",COUNTIFS('Diario'!$F$8:$F$507,A25,'Diario'!$AH$8:$AH$507,1))</x:f>
      </x:c>
      <x:c r="C25" s="2" t="str">
        <x:f>IF(A25="","",COUNTIFS('Diario'!$F$8:$F$507,A25,'Diario'!$AD$8:$AD$507,"Green"))</x:f>
      </x:c>
      <x:c r="D25" s="2" t="str">
        <x:f>IF(A25="","",COUNTIFS('Diario'!$F$8:$F$507,A25,'Diario'!$AD$8:$AD$507,"Red"))</x:f>
      </x:c>
      <x:c r="E25" s="2" t="str">
        <x:f>IF(A25="","",COUNTIFS('Diario'!$F$8:$F$507,A25,'Diario'!$AD$8:$AD$507,"Flat"))</x:f>
      </x:c>
      <x:c r="F25" s="35" t="str">
        <x:f>IF(C25+D25=0,"",C25/(C25+D25))</x:f>
      </x:c>
      <x:c r="G25" s="34" t="str">
        <x:f>IF(OR(A25="",B25=0),"",SUMIFS('Diario'!$AC$8:$AC$507,'Diario'!$F$8:$F$507,A25,'Diario'!$AH$8:$AH$507,1))</x:f>
      </x:c>
      <x:c r="H25" s="34" t="str">
        <x:f>IF(OR(A25="",B25=0),"",SUMIFS('Diario'!$Z$8:$Z$507,'Diario'!$F$8:$F$507,A25,'Diario'!$AH$8:$AH$507,1))</x:f>
      </x:c>
      <x:c r="I25" s="35" t="str">
        <x:f>IF(OR(NOT(ISNUMBER(H25)),H25=0),"",G25/H25)</x:f>
      </x:c>
      <x:c r="J25" s="36" t="str">
        <x:f>IF(OR(A25="",B25=0),"",IF(SUMIFS('Diario'!$AC$8:$AC$507,'Diario'!$F$8:$F$507,A25,'Diario'!$AH$8:$AH$507,1,'Diario'!$AC$8:$AC$507,"&lt;0")=0,"n.a.",SUMIFS('Diario'!$AC$8:$AC$507,'Diario'!$F$8:$F$507,A25,'Diario'!$AH$8:$AH$507,1,'Diario'!$AC$8:$AC$507,"&gt;0")/-SUMIFS('Diario'!$AC$8:$AC$507,'Diario'!$F$8:$F$507,A25,'Diario'!$AH$8:$AH$507,1,'Diario'!$AC$8:$AC$507,"&lt;0")))</x:f>
      </x:c>
      <x:c r="K25" s="2" t="str">
        <x:f>IF(A25="","",IF(B25&lt;'Impostazioni'!$B$10,"Sotto soglia","Soglia raggiunta"))</x:f>
      </x:c>
      <x:c r="L25" s="2" t="str">
        <x:f>IF(B25=0,"",COUNTIFS($G$8:$G$27,"&gt;"&amp;G25,$B$8:$B$27,"&gt;0")+COUNTIFS($G$8:G25,G25,$B$8:B25,"&gt;0"))</x:f>
      </x:c>
      <x:c r="M25" s="2"/>
      <x:c r="N25" s="2" t="str">
        <x:v>Gol</x:v>
      </x:c>
      <x:c r="O25" s="2" t="n">
        <x:f>COUNTIFS('Diario'!$N$8:$N$507,N25,'Diario'!$AH$8:$AH$507,1)</x:f>
        <x:v>0</x:v>
      </x:c>
      <x:c r="P25" s="2" t="n">
        <x:f>COUNTIFS('Diario'!$N$8:$N$507,N25,'Diario'!$AH$8:$AH$507,1,'Diario'!$AC$8:$AC$507,"&gt;0")</x:f>
        <x:v>0</x:v>
      </x:c>
      <x:c r="Q25" s="2" t="n">
        <x:f>COUNTIFS('Diario'!$N$8:$N$507,N25,'Diario'!$AH$8:$AH$507,1,'Diario'!$AC$8:$AC$507,"&lt;0")</x:f>
        <x:v>0</x:v>
      </x:c>
      <x:c r="R25" s="34" t="str">
        <x:f>IF(O25=0,"",SUMIFS('Diario'!$AC$8:$AC$507,'Diario'!$N$8:$N$507,N25,'Diario'!$AH$8:$AH$507,1))</x:f>
      </x:c>
      <x:c r="S25" s="34" t="str">
        <x:f>IF(O25=0,"",SUMIFS('Diario'!$Z$8:$Z$507,'Diario'!$N$8:$N$507,N25,'Diario'!$AH$8:$AH$507,1))</x:f>
      </x:c>
      <x:c r="T25" s="35" t="str">
        <x:f>IF(OR(S25="",S25=0),"",R25/S25)</x:f>
      </x:c>
      <x:c r="U25" s="35" t="str">
        <x:f>IF(P25+Q25=0,"",P25/(P25+Q25))</x:f>
      </x:c>
    </x:row>
    <x:row r="26" ht="22" customHeight="1">
      <x:c r="A26" s="2" t="str">
        <x:f>IF('Impostazioni'!J24="","",'Impostazioni'!J24)</x:f>
      </x:c>
      <x:c r="B26" s="2" t="str">
        <x:f>IF(A26="","",COUNTIFS('Diario'!$F$8:$F$507,A26,'Diario'!$AH$8:$AH$507,1))</x:f>
      </x:c>
      <x:c r="C26" s="2" t="str">
        <x:f>IF(A26="","",COUNTIFS('Diario'!$F$8:$F$507,A26,'Diario'!$AD$8:$AD$507,"Green"))</x:f>
      </x:c>
      <x:c r="D26" s="2" t="str">
        <x:f>IF(A26="","",COUNTIFS('Diario'!$F$8:$F$507,A26,'Diario'!$AD$8:$AD$507,"Red"))</x:f>
      </x:c>
      <x:c r="E26" s="2" t="str">
        <x:f>IF(A26="","",COUNTIFS('Diario'!$F$8:$F$507,A26,'Diario'!$AD$8:$AD$507,"Flat"))</x:f>
      </x:c>
      <x:c r="F26" s="35" t="str">
        <x:f>IF(C26+D26=0,"",C26/(C26+D26))</x:f>
      </x:c>
      <x:c r="G26" s="34" t="str">
        <x:f>IF(OR(A26="",B26=0),"",SUMIFS('Diario'!$AC$8:$AC$507,'Diario'!$F$8:$F$507,A26,'Diario'!$AH$8:$AH$507,1))</x:f>
      </x:c>
      <x:c r="H26" s="34" t="str">
        <x:f>IF(OR(A26="",B26=0),"",SUMIFS('Diario'!$Z$8:$Z$507,'Diario'!$F$8:$F$507,A26,'Diario'!$AH$8:$AH$507,1))</x:f>
      </x:c>
      <x:c r="I26" s="35" t="str">
        <x:f>IF(OR(NOT(ISNUMBER(H26)),H26=0),"",G26/H26)</x:f>
      </x:c>
      <x:c r="J26" s="36" t="str">
        <x:f>IF(OR(A26="",B26=0),"",IF(SUMIFS('Diario'!$AC$8:$AC$507,'Diario'!$F$8:$F$507,A26,'Diario'!$AH$8:$AH$507,1,'Diario'!$AC$8:$AC$507,"&lt;0")=0,"n.a.",SUMIFS('Diario'!$AC$8:$AC$507,'Diario'!$F$8:$F$507,A26,'Diario'!$AH$8:$AH$507,1,'Diario'!$AC$8:$AC$507,"&gt;0")/-SUMIFS('Diario'!$AC$8:$AC$507,'Diario'!$F$8:$F$507,A26,'Diario'!$AH$8:$AH$507,1,'Diario'!$AC$8:$AC$507,"&lt;0")))</x:f>
      </x:c>
      <x:c r="K26" s="2" t="str">
        <x:f>IF(A26="","",IF(B26&lt;'Impostazioni'!$B$10,"Sotto soglia","Soglia raggiunta"))</x:f>
      </x:c>
      <x:c r="L26" s="2" t="str">
        <x:f>IF(B26=0,"",COUNTIFS($G$8:$G$27,"&gt;"&amp;G26,$B$8:$B$27,"&gt;0")+COUNTIFS($G$8:G26,G26,$B$8:B26,"&gt;0"))</x:f>
      </x:c>
      <x:c r="M26" s="2"/>
      <x:c r="N26" s="2" t="str">
        <x:v>Stop 76</x:v>
      </x:c>
      <x:c r="O26" s="2" t="n">
        <x:f>COUNTIFS('Diario'!$N$8:$N$507,N26,'Diario'!$AH$8:$AH$507,1)</x:f>
        <x:v>0</x:v>
      </x:c>
      <x:c r="P26" s="2" t="n">
        <x:f>COUNTIFS('Diario'!$N$8:$N$507,N26,'Diario'!$AH$8:$AH$507,1,'Diario'!$AC$8:$AC$507,"&gt;0")</x:f>
        <x:v>0</x:v>
      </x:c>
      <x:c r="Q26" s="2" t="n">
        <x:f>COUNTIFS('Diario'!$N$8:$N$507,N26,'Diario'!$AH$8:$AH$507,1,'Diario'!$AC$8:$AC$507,"&lt;0")</x:f>
        <x:v>0</x:v>
      </x:c>
      <x:c r="R26" s="34" t="str">
        <x:f>IF(O26=0,"",SUMIFS('Diario'!$AC$8:$AC$507,'Diario'!$N$8:$N$507,N26,'Diario'!$AH$8:$AH$507,1))</x:f>
      </x:c>
      <x:c r="S26" s="34" t="str">
        <x:f>IF(O26=0,"",SUMIFS('Diario'!$Z$8:$Z$507,'Diario'!$N$8:$N$507,N26,'Diario'!$AH$8:$AH$507,1))</x:f>
      </x:c>
      <x:c r="T26" s="35" t="str">
        <x:f>IF(OR(S26="",S26=0),"",R26/S26)</x:f>
      </x:c>
      <x:c r="U26" s="35" t="str">
        <x:f>IF(P26+Q26=0,"",P26/(P26+Q26))</x:f>
      </x:c>
    </x:row>
    <x:row r="27" ht="22" customHeight="1">
      <x:c r="A27" s="2" t="str">
        <x:f>IF('Impostazioni'!J25="","",'Impostazioni'!J25)</x:f>
      </x:c>
      <x:c r="B27" s="2" t="str">
        <x:f>IF(A27="","",COUNTIFS('Diario'!$F$8:$F$507,A27,'Diario'!$AH$8:$AH$507,1))</x:f>
      </x:c>
      <x:c r="C27" s="2" t="str">
        <x:f>IF(A27="","",COUNTIFS('Diario'!$F$8:$F$507,A27,'Diario'!$AD$8:$AD$507,"Green"))</x:f>
      </x:c>
      <x:c r="D27" s="2" t="str">
        <x:f>IF(A27="","",COUNTIFS('Diario'!$F$8:$F$507,A27,'Diario'!$AD$8:$AD$507,"Red"))</x:f>
      </x:c>
      <x:c r="E27" s="2" t="str">
        <x:f>IF(A27="","",COUNTIFS('Diario'!$F$8:$F$507,A27,'Diario'!$AD$8:$AD$507,"Flat"))</x:f>
      </x:c>
      <x:c r="F27" s="35" t="str">
        <x:f>IF(C27+D27=0,"",C27/(C27+D27))</x:f>
      </x:c>
      <x:c r="G27" s="34" t="str">
        <x:f>IF(OR(A27="",B27=0),"",SUMIFS('Diario'!$AC$8:$AC$507,'Diario'!$F$8:$F$507,A27,'Diario'!$AH$8:$AH$507,1))</x:f>
      </x:c>
      <x:c r="H27" s="34" t="str">
        <x:f>IF(OR(A27="",B27=0),"",SUMIFS('Diario'!$Z$8:$Z$507,'Diario'!$F$8:$F$507,A27,'Diario'!$AH$8:$AH$507,1))</x:f>
      </x:c>
      <x:c r="I27" s="35" t="str">
        <x:f>IF(OR(NOT(ISNUMBER(H27)),H27=0),"",G27/H27)</x:f>
      </x:c>
      <x:c r="J27" s="36" t="str">
        <x:f>IF(OR(A27="",B27=0),"",IF(SUMIFS('Diario'!$AC$8:$AC$507,'Diario'!$F$8:$F$507,A27,'Diario'!$AH$8:$AH$507,1,'Diario'!$AC$8:$AC$507,"&lt;0")=0,"n.a.",SUMIFS('Diario'!$AC$8:$AC$507,'Diario'!$F$8:$F$507,A27,'Diario'!$AH$8:$AH$507,1,'Diario'!$AC$8:$AC$507,"&gt;0")/-SUMIFS('Diario'!$AC$8:$AC$507,'Diario'!$F$8:$F$507,A27,'Diario'!$AH$8:$AH$507,1,'Diario'!$AC$8:$AC$507,"&lt;0")))</x:f>
      </x:c>
      <x:c r="K27" s="2" t="str">
        <x:f>IF(A27="","",IF(B27&lt;'Impostazioni'!$B$10,"Sotto soglia","Soglia raggiunta"))</x:f>
      </x:c>
      <x:c r="L27" s="2" t="str">
        <x:f>IF(B27=0,"",COUNTIFS($G$8:$G$27,"&gt;"&amp;G27,$B$8:$B$27,"&gt;0")+COUNTIFS($G$8:G27,G27,$B$8:B27,"&gt;0"))</x:f>
      </x:c>
      <x:c r="M27" s="2"/>
      <x:c r="N27" s="2" t="str">
        <x:v>Stop-loss</x:v>
      </x:c>
      <x:c r="O27" s="2" t="n">
        <x:f>COUNTIFS('Diario'!$N$8:$N$507,N27,'Diario'!$AH$8:$AH$507,1)</x:f>
        <x:v>0</x:v>
      </x:c>
      <x:c r="P27" s="2" t="n">
        <x:f>COUNTIFS('Diario'!$N$8:$N$507,N27,'Diario'!$AH$8:$AH$507,1,'Diario'!$AC$8:$AC$507,"&gt;0")</x:f>
        <x:v>0</x:v>
      </x:c>
      <x:c r="Q27" s="2" t="n">
        <x:f>COUNTIFS('Diario'!$N$8:$N$507,N27,'Diario'!$AH$8:$AH$507,1,'Diario'!$AC$8:$AC$507,"&lt;0")</x:f>
        <x:v>0</x:v>
      </x:c>
      <x:c r="R27" s="34" t="str">
        <x:f>IF(O27=0,"",SUMIFS('Diario'!$AC$8:$AC$507,'Diario'!$N$8:$N$507,N27,'Diario'!$AH$8:$AH$507,1))</x:f>
      </x:c>
      <x:c r="S27" s="34" t="str">
        <x:f>IF(O27=0,"",SUMIFS('Diario'!$Z$8:$Z$507,'Diario'!$N$8:$N$507,N27,'Diario'!$AH$8:$AH$507,1))</x:f>
      </x:c>
      <x:c r="T27" s="35" t="str">
        <x:f>IF(OR(S27="",S27=0),"",R27/S27)</x:f>
      </x:c>
      <x:c r="U27" s="35" t="str">
        <x:f>IF(P27+Q27=0,"",P27/(P27+Q27))</x:f>
      </x:c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 t="str">
        <x:v>Take-profit</x:v>
      </x:c>
      <x:c r="O28" s="2" t="n">
        <x:f>COUNTIFS('Diario'!$N$8:$N$507,N28,'Diario'!$AH$8:$AH$507,1)</x:f>
        <x:v>0</x:v>
      </x:c>
      <x:c r="P28" s="2" t="n">
        <x:f>COUNTIFS('Diario'!$N$8:$N$507,N28,'Diario'!$AH$8:$AH$507,1,'Diario'!$AC$8:$AC$507,"&gt;0")</x:f>
        <x:v>0</x:v>
      </x:c>
      <x:c r="Q28" s="2" t="n">
        <x:f>COUNTIFS('Diario'!$N$8:$N$507,N28,'Diario'!$AH$8:$AH$507,1,'Diario'!$AC$8:$AC$507,"&lt;0")</x:f>
        <x:v>0</x:v>
      </x:c>
      <x:c r="R28" s="34" t="str">
        <x:f>IF(O28=0,"",SUMIFS('Diario'!$AC$8:$AC$507,'Diario'!$N$8:$N$507,N28,'Diario'!$AH$8:$AH$507,1))</x:f>
      </x:c>
      <x:c r="S28" s="34" t="str">
        <x:f>IF(O28=0,"",SUMIFS('Diario'!$Z$8:$Z$507,'Diario'!$N$8:$N$507,N28,'Diario'!$AH$8:$AH$507,1))</x:f>
      </x:c>
      <x:c r="T28" s="35" t="str">
        <x:f>IF(OR(S28="",S28=0),"",R28/S28)</x:f>
      </x:c>
      <x:c r="U28" s="35" t="str">
        <x:f>IF(P28+Q28=0,"",P28/(P28+Q28))</x:f>
      </x:c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 t="str">
        <x:v>Fine mercato</x:v>
      </x:c>
      <x:c r="O29" s="2" t="n">
        <x:f>COUNTIFS('Diario'!$N$8:$N$507,N29,'Diario'!$AH$8:$AH$507,1)</x:f>
        <x:v>0</x:v>
      </x:c>
      <x:c r="P29" s="2" t="n">
        <x:f>COUNTIFS('Diario'!$N$8:$N$507,N29,'Diario'!$AH$8:$AH$507,1,'Diario'!$AC$8:$AC$507,"&gt;0")</x:f>
        <x:v>0</x:v>
      </x:c>
      <x:c r="Q29" s="2" t="n">
        <x:f>COUNTIFS('Diario'!$N$8:$N$507,N29,'Diario'!$AH$8:$AH$507,1,'Diario'!$AC$8:$AC$507,"&lt;0")</x:f>
        <x:v>0</x:v>
      </x:c>
      <x:c r="R29" s="34" t="str">
        <x:f>IF(O29=0,"",SUMIFS('Diario'!$AC$8:$AC$507,'Diario'!$N$8:$N$507,N29,'Diario'!$AH$8:$AH$507,1))</x:f>
      </x:c>
      <x:c r="S29" s="34" t="str">
        <x:f>IF(O29=0,"",SUMIFS('Diario'!$Z$8:$Z$507,'Diario'!$N$8:$N$507,N29,'Diario'!$AH$8:$AH$507,1))</x:f>
      </x:c>
      <x:c r="T29" s="35" t="str">
        <x:f>IF(OR(S29="",S29=0),"",R29/S29)</x:f>
      </x:c>
      <x:c r="U29" s="35" t="str">
        <x:f>IF(P29+Q29=0,"",P29/(P29+Q29))</x:f>
      </x:c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 t="str">
        <x:v>Manuale</x:v>
      </x:c>
      <x:c r="O30" s="2" t="n">
        <x:f>COUNTIFS('Diario'!$N$8:$N$507,N30,'Diario'!$AH$8:$AH$507,1)</x:f>
        <x:v>0</x:v>
      </x:c>
      <x:c r="P30" s="2" t="n">
        <x:f>COUNTIFS('Diario'!$N$8:$N$507,N30,'Diario'!$AH$8:$AH$507,1,'Diario'!$AC$8:$AC$507,"&gt;0")</x:f>
        <x:v>0</x:v>
      </x:c>
      <x:c r="Q30" s="2" t="n">
        <x:f>COUNTIFS('Diario'!$N$8:$N$507,N30,'Diario'!$AH$8:$AH$507,1,'Diario'!$AC$8:$AC$507,"&lt;0")</x:f>
        <x:v>0</x:v>
      </x:c>
      <x:c r="R30" s="34" t="str">
        <x:f>IF(O30=0,"",SUMIFS('Diario'!$AC$8:$AC$507,'Diario'!$N$8:$N$507,N30,'Diario'!$AH$8:$AH$507,1))</x:f>
      </x:c>
      <x:c r="S30" s="34" t="str">
        <x:f>IF(O30=0,"",SUMIFS('Diario'!$Z$8:$Z$507,'Diario'!$N$8:$N$507,N30,'Diario'!$AH$8:$AH$507,1))</x:f>
      </x:c>
      <x:c r="T30" s="35" t="str">
        <x:f>IF(OR(S30="",S30=0),"",R30/S30)</x:f>
      </x:c>
      <x:c r="U30" s="35" t="str">
        <x:f>IF(P30+Q30=0,"",P30/(P30+Q30))</x:f>
      </x:c>
    </x:row>
    <x:row r="31" ht="24" customHeight="1">
      <x:c r="A31" s="32" t="str">
        <x:v>Risultati per lega (prime 30 distinte nel Diario)</x:v>
      </x:c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2"/>
      <x:c r="M31" s="2"/>
      <x:c r="N31" s="2" t="str">
        <x:v>Altro</x:v>
      </x:c>
      <x:c r="O31" s="2" t="n">
        <x:f>COUNTIFS('Diario'!$N$8:$N$507,N31,'Diario'!$AH$8:$AH$507,1)</x:f>
        <x:v>0</x:v>
      </x:c>
      <x:c r="P31" s="2" t="n">
        <x:f>COUNTIFS('Diario'!$N$8:$N$507,N31,'Diario'!$AH$8:$AH$507,1,'Diario'!$AC$8:$AC$507,"&gt;0")</x:f>
        <x:v>0</x:v>
      </x:c>
      <x:c r="Q31" s="2" t="n">
        <x:f>COUNTIFS('Diario'!$N$8:$N$507,N31,'Diario'!$AH$8:$AH$507,1,'Diario'!$AC$8:$AC$507,"&lt;0")</x:f>
        <x:v>0</x:v>
      </x:c>
      <x:c r="R31" s="34" t="str">
        <x:f>IF(O31=0,"",SUMIFS('Diario'!$AC$8:$AC$507,'Diario'!$N$8:$N$507,N31,'Diario'!$AH$8:$AH$507,1))</x:f>
      </x:c>
      <x:c r="S31" s="34" t="str">
        <x:f>IF(O31=0,"",SUMIFS('Diario'!$Z$8:$Z$507,'Diario'!$N$8:$N$507,N31,'Diario'!$AH$8:$AH$507,1))</x:f>
      </x:c>
      <x:c r="T31" s="35" t="str">
        <x:f>IF(OR(S31="",S31=0),"",R31/S31)</x:f>
      </x:c>
      <x:c r="U31" s="35" t="str">
        <x:f>IF(P31+Q31=0,"",P31/(P31+Q31))</x:f>
      </x:c>
    </x:row>
    <x:row r="32" ht="40" customHeight="1">
      <x:c r="A32" s="15" t="str">
        <x:v>Lega</x:v>
      </x:c>
      <x:c r="B32" s="16" t="str">
        <x:v>Chiuse</x:v>
      </x:c>
      <x:c r="C32" s="16" t="str">
        <x:v>Green</x:v>
      </x:c>
      <x:c r="D32" s="16" t="str">
        <x:v>Red</x:v>
      </x:c>
      <x:c r="E32" s="16" t="str">
        <x:v>Flat</x:v>
      </x:c>
      <x:c r="F32" s="16" t="str">
        <x:v>Strike rate</x:v>
      </x:c>
      <x:c r="G32" s="16" t="str">
        <x:v>P/L netto €</x:v>
      </x:c>
      <x:c r="H32" s="16" t="str">
        <x:v>Rischio €</x:v>
      </x:c>
      <x:c r="I32" s="16" t="str">
        <x:v>Rendimento</x:v>
      </x:c>
      <x:c r="J32" s="16" t="str">
        <x:v>Profit factor</x:v>
      </x:c>
      <x:c r="K32" s="17" t="str">
        <x:v>Campione</x:v>
      </x:c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2" customHeight="1">
      <x:c r="A33" s="2" t="str">
        <x:f>IF(COUNTIFS('Diario'!$AS$8:$AS$507,1)=0,"",INDEX('Diario'!$E$8:$E$507,MATCH(1,'Diario'!$AS$8:$AS$507,0)))</x:f>
      </x:c>
      <x:c r="B33" s="2" t="str">
        <x:f>IF(A33="","",COUNTIFS('Diario'!$E$8:$E$507,A33,'Diario'!$AH$8:$AH$507,1))</x:f>
      </x:c>
      <x:c r="C33" s="2" t="str">
        <x:f>IF(A33="","",COUNTIFS('Diario'!$E$8:$E$507,A33,'Diario'!$AD$8:$AD$507,"Green"))</x:f>
      </x:c>
      <x:c r="D33" s="2" t="str">
        <x:f>IF(A33="","",COUNTIFS('Diario'!$E$8:$E$507,A33,'Diario'!$AD$8:$AD$507,"Red"))</x:f>
      </x:c>
      <x:c r="E33" s="2" t="str">
        <x:f>IF(A33="","",COUNTIFS('Diario'!$E$8:$E$507,A33,'Diario'!$AD$8:$AD$507,"Flat"))</x:f>
      </x:c>
      <x:c r="F33" s="35" t="str">
        <x:f>IF(C33+D33=0,"",C33/(C33+D33))</x:f>
      </x:c>
      <x:c r="G33" s="34" t="str">
        <x:f>IF(OR(A33="",B33=0),"",SUMIFS('Diario'!$AC$8:$AC$507,'Diario'!$E$8:$E$507,A33,'Diario'!$AH$8:$AH$507,1))</x:f>
      </x:c>
      <x:c r="H33" s="34" t="str">
        <x:f>IF(OR(A33="",B33=0),"",SUMIFS('Diario'!$Z$8:$Z$507,'Diario'!$E$8:$E$507,A33,'Diario'!$AH$8:$AH$507,1))</x:f>
      </x:c>
      <x:c r="I33" s="35" t="str">
        <x:f>IF(OR(NOT(ISNUMBER(H33)),H33=0),"",G33/H33)</x:f>
      </x:c>
      <x:c r="J33" s="36" t="str">
        <x:f>IF(OR(A33="",B33=0),"",IF(SUMIFS('Diario'!$AC$8:$AC$507,'Diario'!$E$8:$E$507,A33,'Diario'!$AH$8:$AH$507,1,'Diario'!$AC$8:$AC$507,"&lt;0")=0,"n.a.",SUMIFS('Diario'!$AC$8:$AC$507,'Diario'!$E$8:$E$507,A33,'Diario'!$AH$8:$AH$507,1,'Diario'!$AC$8:$AC$507,"&gt;0")/-SUMIFS('Diario'!$AC$8:$AC$507,'Diario'!$E$8:$E$507,A33,'Diario'!$AH$8:$AH$507,1,'Diario'!$AC$8:$AC$507,"&lt;0")))</x:f>
      </x:c>
      <x:c r="K33" s="2" t="str">
        <x:f>IF(A33="","",IF(B33&lt;'Impostazioni'!$B$10,"Sotto soglia","Soglia raggiunta"))</x:f>
      </x:c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2" customHeight="1">
      <x:c r="A34" s="2" t="str">
        <x:f>IF(COUNTIFS('Diario'!$AS$8:$AS$507,2)=0,"",INDEX('Diario'!$E$8:$E$507,MATCH(2,'Diario'!$AS$8:$AS$507,0)))</x:f>
      </x:c>
      <x:c r="B34" s="2" t="str">
        <x:f>IF(A34="","",COUNTIFS('Diario'!$E$8:$E$507,A34,'Diario'!$AH$8:$AH$507,1))</x:f>
      </x:c>
      <x:c r="C34" s="2" t="str">
        <x:f>IF(A34="","",COUNTIFS('Diario'!$E$8:$E$507,A34,'Diario'!$AD$8:$AD$507,"Green"))</x:f>
      </x:c>
      <x:c r="D34" s="2" t="str">
        <x:f>IF(A34="","",COUNTIFS('Diario'!$E$8:$E$507,A34,'Diario'!$AD$8:$AD$507,"Red"))</x:f>
      </x:c>
      <x:c r="E34" s="2" t="str">
        <x:f>IF(A34="","",COUNTIFS('Diario'!$E$8:$E$507,A34,'Diario'!$AD$8:$AD$507,"Flat"))</x:f>
      </x:c>
      <x:c r="F34" s="35" t="str">
        <x:f>IF(C34+D34=0,"",C34/(C34+D34))</x:f>
      </x:c>
      <x:c r="G34" s="34" t="str">
        <x:f>IF(OR(A34="",B34=0),"",SUMIFS('Diario'!$AC$8:$AC$507,'Diario'!$E$8:$E$507,A34,'Diario'!$AH$8:$AH$507,1))</x:f>
      </x:c>
      <x:c r="H34" s="34" t="str">
        <x:f>IF(OR(A34="",B34=0),"",SUMIFS('Diario'!$Z$8:$Z$507,'Diario'!$E$8:$E$507,A34,'Diario'!$AH$8:$AH$507,1))</x:f>
      </x:c>
      <x:c r="I34" s="35" t="str">
        <x:f>IF(OR(NOT(ISNUMBER(H34)),H34=0),"",G34/H34)</x:f>
      </x:c>
      <x:c r="J34" s="36" t="str">
        <x:f>IF(OR(A34="",B34=0),"",IF(SUMIFS('Diario'!$AC$8:$AC$507,'Diario'!$E$8:$E$507,A34,'Diario'!$AH$8:$AH$507,1,'Diario'!$AC$8:$AC$507,"&lt;0")=0,"n.a.",SUMIFS('Diario'!$AC$8:$AC$507,'Diario'!$E$8:$E$507,A34,'Diario'!$AH$8:$AH$507,1,'Diario'!$AC$8:$AC$507,"&gt;0")/-SUMIFS('Diario'!$AC$8:$AC$507,'Diario'!$E$8:$E$507,A34,'Diario'!$AH$8:$AH$507,1,'Diario'!$AC$8:$AC$507,"&lt;0")))</x:f>
      </x:c>
      <x:c r="K34" s="2" t="str">
        <x:f>IF(A34="","",IF(B34&lt;'Impostazioni'!$B$10,"Sotto soglia","Soglia raggiunta"))</x:f>
      </x:c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4" customHeight="1">
      <x:c r="A35" s="2" t="str">
        <x:f>IF(COUNTIFS('Diario'!$AS$8:$AS$507,3)=0,"",INDEX('Diario'!$E$8:$E$507,MATCH(3,'Diario'!$AS$8:$AS$507,0)))</x:f>
      </x:c>
      <x:c r="B35" s="2" t="str">
        <x:f>IF(A35="","",COUNTIFS('Diario'!$E$8:$E$507,A35,'Diario'!$AH$8:$AH$507,1))</x:f>
      </x:c>
      <x:c r="C35" s="2" t="str">
        <x:f>IF(A35="","",COUNTIFS('Diario'!$E$8:$E$507,A35,'Diario'!$AD$8:$AD$507,"Green"))</x:f>
      </x:c>
      <x:c r="D35" s="2" t="str">
        <x:f>IF(A35="","",COUNTIFS('Diario'!$E$8:$E$507,A35,'Diario'!$AD$8:$AD$507,"Red"))</x:f>
      </x:c>
      <x:c r="E35" s="2" t="str">
        <x:f>IF(A35="","",COUNTIFS('Diario'!$E$8:$E$507,A35,'Diario'!$AD$8:$AD$507,"Flat"))</x:f>
      </x:c>
      <x:c r="F35" s="35" t="str">
        <x:f>IF(C35+D35=0,"",C35/(C35+D35))</x:f>
      </x:c>
      <x:c r="G35" s="34" t="str">
        <x:f>IF(OR(A35="",B35=0),"",SUMIFS('Diario'!$AC$8:$AC$507,'Diario'!$E$8:$E$507,A35,'Diario'!$AH$8:$AH$507,1))</x:f>
      </x:c>
      <x:c r="H35" s="34" t="str">
        <x:f>IF(OR(A35="",B35=0),"",SUMIFS('Diario'!$Z$8:$Z$507,'Diario'!$E$8:$E$507,A35,'Diario'!$AH$8:$AH$507,1))</x:f>
      </x:c>
      <x:c r="I35" s="35" t="str">
        <x:f>IF(OR(NOT(ISNUMBER(H35)),H35=0),"",G35/H35)</x:f>
      </x:c>
      <x:c r="J35" s="36" t="str">
        <x:f>IF(OR(A35="",B35=0),"",IF(SUMIFS('Diario'!$AC$8:$AC$507,'Diario'!$E$8:$E$507,A35,'Diario'!$AH$8:$AH$507,1,'Diario'!$AC$8:$AC$507,"&lt;0")=0,"n.a.",SUMIFS('Diario'!$AC$8:$AC$507,'Diario'!$E$8:$E$507,A35,'Diario'!$AH$8:$AH$507,1,'Diario'!$AC$8:$AC$507,"&gt;0")/-SUMIFS('Diario'!$AC$8:$AC$507,'Diario'!$E$8:$E$507,A35,'Diario'!$AH$8:$AH$507,1,'Diario'!$AC$8:$AC$507,"&lt;0")))</x:f>
      </x:c>
      <x:c r="K35" s="2" t="str">
        <x:f>IF(A35="","",IF(B35&lt;'Impostazioni'!$B$10,"Sotto soglia","Soglia raggiunta"))</x:f>
      </x:c>
      <x:c r="L35" s="2"/>
      <x:c r="M35" s="2"/>
      <x:c r="N35" s="32" t="str">
        <x:v>Risultati per minuto di ingresso</x:v>
      </x:c>
      <x:c r="O35" s="32"/>
      <x:c r="P35" s="32"/>
      <x:c r="Q35" s="32"/>
      <x:c r="R35" s="32"/>
      <x:c r="S35" s="32"/>
      <x:c r="T35" s="32"/>
      <x:c r="U35" s="32"/>
    </x:row>
    <x:row r="36" ht="40" customHeight="1">
      <x:c r="A36" s="2" t="str">
        <x:f>IF(COUNTIFS('Diario'!$AS$8:$AS$507,4)=0,"",INDEX('Diario'!$E$8:$E$507,MATCH(4,'Diario'!$AS$8:$AS$507,0)))</x:f>
      </x:c>
      <x:c r="B36" s="2" t="str">
        <x:f>IF(A36="","",COUNTIFS('Diario'!$E$8:$E$507,A36,'Diario'!$AH$8:$AH$507,1))</x:f>
      </x:c>
      <x:c r="C36" s="2" t="str">
        <x:f>IF(A36="","",COUNTIFS('Diario'!$E$8:$E$507,A36,'Diario'!$AD$8:$AD$507,"Green"))</x:f>
      </x:c>
      <x:c r="D36" s="2" t="str">
        <x:f>IF(A36="","",COUNTIFS('Diario'!$E$8:$E$507,A36,'Diario'!$AD$8:$AD$507,"Red"))</x:f>
      </x:c>
      <x:c r="E36" s="2" t="str">
        <x:f>IF(A36="","",COUNTIFS('Diario'!$E$8:$E$507,A36,'Diario'!$AD$8:$AD$507,"Flat"))</x:f>
      </x:c>
      <x:c r="F36" s="35" t="str">
        <x:f>IF(C36+D36=0,"",C36/(C36+D36))</x:f>
      </x:c>
      <x:c r="G36" s="34" t="str">
        <x:f>IF(OR(A36="",B36=0),"",SUMIFS('Diario'!$AC$8:$AC$507,'Diario'!$E$8:$E$507,A36,'Diario'!$AH$8:$AH$507,1))</x:f>
      </x:c>
      <x:c r="H36" s="34" t="str">
        <x:f>IF(OR(A36="",B36=0),"",SUMIFS('Diario'!$Z$8:$Z$507,'Diario'!$E$8:$E$507,A36,'Diario'!$AH$8:$AH$507,1))</x:f>
      </x:c>
      <x:c r="I36" s="35" t="str">
        <x:f>IF(OR(NOT(ISNUMBER(H36)),H36=0),"",G36/H36)</x:f>
      </x:c>
      <x:c r="J36" s="36" t="str">
        <x:f>IF(OR(A36="",B36=0),"",IF(SUMIFS('Diario'!$AC$8:$AC$507,'Diario'!$E$8:$E$507,A36,'Diario'!$AH$8:$AH$507,1,'Diario'!$AC$8:$AC$507,"&lt;0")=0,"n.a.",SUMIFS('Diario'!$AC$8:$AC$507,'Diario'!$E$8:$E$507,A36,'Diario'!$AH$8:$AH$507,1,'Diario'!$AC$8:$AC$507,"&gt;0")/-SUMIFS('Diario'!$AC$8:$AC$507,'Diario'!$E$8:$E$507,A36,'Diario'!$AH$8:$AH$507,1,'Diario'!$AC$8:$AC$507,"&lt;0")))</x:f>
      </x:c>
      <x:c r="K36" s="2" t="str">
        <x:f>IF(A36="","",IF(B36&lt;'Impostazioni'!$B$10,"Sotto soglia","Soglia raggiunta"))</x:f>
      </x:c>
      <x:c r="L36" s="2"/>
      <x:c r="M36" s="2"/>
      <x:c r="N36" s="15" t="str">
        <x:v>Minuto</x:v>
      </x:c>
      <x:c r="O36" s="16" t="str">
        <x:v>Chiuse</x:v>
      </x:c>
      <x:c r="P36" s="16" t="str">
        <x:v>Green</x:v>
      </x:c>
      <x:c r="Q36" s="16" t="str">
        <x:v>Red</x:v>
      </x:c>
      <x:c r="R36" s="16" t="str">
        <x:v>P/L netto €</x:v>
      </x:c>
      <x:c r="S36" s="16" t="str">
        <x:v>Rischio €</x:v>
      </x:c>
      <x:c r="T36" s="16" t="str">
        <x:v>Rendimento</x:v>
      </x:c>
      <x:c r="U36" s="17" t="str">
        <x:v>Strike rate</x:v>
      </x:c>
    </x:row>
    <x:row r="37" ht="22" customHeight="1">
      <x:c r="A37" s="2" t="str">
        <x:f>IF(COUNTIFS('Diario'!$AS$8:$AS$507,5)=0,"",INDEX('Diario'!$E$8:$E$507,MATCH(5,'Diario'!$AS$8:$AS$507,0)))</x:f>
      </x:c>
      <x:c r="B37" s="2" t="str">
        <x:f>IF(A37="","",COUNTIFS('Diario'!$E$8:$E$507,A37,'Diario'!$AH$8:$AH$507,1))</x:f>
      </x:c>
      <x:c r="C37" s="2" t="str">
        <x:f>IF(A37="","",COUNTIFS('Diario'!$E$8:$E$507,A37,'Diario'!$AD$8:$AD$507,"Green"))</x:f>
      </x:c>
      <x:c r="D37" s="2" t="str">
        <x:f>IF(A37="","",COUNTIFS('Diario'!$E$8:$E$507,A37,'Diario'!$AD$8:$AD$507,"Red"))</x:f>
      </x:c>
      <x:c r="E37" s="2" t="str">
        <x:f>IF(A37="","",COUNTIFS('Diario'!$E$8:$E$507,A37,'Diario'!$AD$8:$AD$507,"Flat"))</x:f>
      </x:c>
      <x:c r="F37" s="35" t="str">
        <x:f>IF(C37+D37=0,"",C37/(C37+D37))</x:f>
      </x:c>
      <x:c r="G37" s="34" t="str">
        <x:f>IF(OR(A37="",B37=0),"",SUMIFS('Diario'!$AC$8:$AC$507,'Diario'!$E$8:$E$507,A37,'Diario'!$AH$8:$AH$507,1))</x:f>
      </x:c>
      <x:c r="H37" s="34" t="str">
        <x:f>IF(OR(A37="",B37=0),"",SUMIFS('Diario'!$Z$8:$Z$507,'Diario'!$E$8:$E$507,A37,'Diario'!$AH$8:$AH$507,1))</x:f>
      </x:c>
      <x:c r="I37" s="35" t="str">
        <x:f>IF(OR(NOT(ISNUMBER(H37)),H37=0),"",G37/H37)</x:f>
      </x:c>
      <x:c r="J37" s="36" t="str">
        <x:f>IF(OR(A37="",B37=0),"",IF(SUMIFS('Diario'!$AC$8:$AC$507,'Diario'!$E$8:$E$507,A37,'Diario'!$AH$8:$AH$507,1,'Diario'!$AC$8:$AC$507,"&lt;0")=0,"n.a.",SUMIFS('Diario'!$AC$8:$AC$507,'Diario'!$E$8:$E$507,A37,'Diario'!$AH$8:$AH$507,1,'Diario'!$AC$8:$AC$507,"&gt;0")/-SUMIFS('Diario'!$AC$8:$AC$507,'Diario'!$E$8:$E$507,A37,'Diario'!$AH$8:$AH$507,1,'Diario'!$AC$8:$AC$507,"&lt;0")))</x:f>
      </x:c>
      <x:c r="K37" s="2" t="str">
        <x:f>IF(A37="","",IF(B37&lt;'Impostazioni'!$B$10,"Sotto soglia","Soglia raggiunta"))</x:f>
      </x:c>
      <x:c r="L37" s="2"/>
      <x:c r="M37" s="2"/>
      <x:c r="N37" s="2" t="str">
        <x:v>0–44</x:v>
      </x:c>
      <x:c r="O37" s="2" t="n">
        <x:f>COUNTIFS('Diario'!$K$8:$K$507,"&gt;="&amp;0,'Diario'!$K$8:$K$507,"&lt;="&amp;44,'Diario'!$K$8:$K$507,"&lt;&gt;",'Diario'!$AH$8:$AH$507,1)</x:f>
        <x:v>0</x:v>
      </x:c>
      <x:c r="P37" s="2" t="n">
        <x:f>COUNTIFS('Diario'!$K$8:$K$507,"&gt;="&amp;0,'Diario'!$K$8:$K$507,"&lt;="&amp;44,'Diario'!$K$8:$K$507,"&lt;&gt;",'Diario'!$AH$8:$AH$507,1,'Diario'!$AC$8:$AC$507,"&gt;0")</x:f>
        <x:v>0</x:v>
      </x:c>
      <x:c r="Q37" s="2" t="n">
        <x:f>COUNTIFS('Diario'!$K$8:$K$507,"&gt;="&amp;0,'Diario'!$K$8:$K$507,"&lt;="&amp;44,'Diario'!$K$8:$K$507,"&lt;&gt;",'Diario'!$AH$8:$AH$507,1,'Diario'!$AC$8:$AC$507,"&lt;0")</x:f>
        <x:v>0</x:v>
      </x:c>
      <x:c r="R37" s="34" t="str">
        <x:f>IF(O37=0,"",SUMIFS('Diario'!$AC$8:$AC$507,'Diario'!$K$8:$K$507,"&gt;="&amp;0,'Diario'!$K$8:$K$507,"&lt;="&amp;44,'Diario'!$K$8:$K$507,"&lt;&gt;",'Diario'!$AH$8:$AH$507,1))</x:f>
      </x:c>
      <x:c r="S37" s="34" t="str">
        <x:f>IF(O37=0,"",SUMIFS('Diario'!$Z$8:$Z$507,'Diario'!$K$8:$K$507,"&gt;="&amp;0,'Diario'!$K$8:$K$507,"&lt;="&amp;44,'Diario'!$K$8:$K$507,"&lt;&gt;",'Diario'!$AH$8:$AH$507,1))</x:f>
      </x:c>
      <x:c r="T37" s="35" t="str">
        <x:f>IF(OR(S37="",S37=0),"",R37/S37)</x:f>
      </x:c>
      <x:c r="U37" s="35" t="str">
        <x:f>IF(P37+Q37=0,"",P37/(P37+Q37))</x:f>
      </x:c>
    </x:row>
    <x:row r="38" ht="22" customHeight="1">
      <x:c r="A38" s="2" t="str">
        <x:f>IF(COUNTIFS('Diario'!$AS$8:$AS$507,6)=0,"",INDEX('Diario'!$E$8:$E$507,MATCH(6,'Diario'!$AS$8:$AS$507,0)))</x:f>
      </x:c>
      <x:c r="B38" s="2" t="str">
        <x:f>IF(A38="","",COUNTIFS('Diario'!$E$8:$E$507,A38,'Diario'!$AH$8:$AH$507,1))</x:f>
      </x:c>
      <x:c r="C38" s="2" t="str">
        <x:f>IF(A38="","",COUNTIFS('Diario'!$E$8:$E$507,A38,'Diario'!$AD$8:$AD$507,"Green"))</x:f>
      </x:c>
      <x:c r="D38" s="2" t="str">
        <x:f>IF(A38="","",COUNTIFS('Diario'!$E$8:$E$507,A38,'Diario'!$AD$8:$AD$507,"Red"))</x:f>
      </x:c>
      <x:c r="E38" s="2" t="str">
        <x:f>IF(A38="","",COUNTIFS('Diario'!$E$8:$E$507,A38,'Diario'!$AD$8:$AD$507,"Flat"))</x:f>
      </x:c>
      <x:c r="F38" s="35" t="str">
        <x:f>IF(C38+D38=0,"",C38/(C38+D38))</x:f>
      </x:c>
      <x:c r="G38" s="34" t="str">
        <x:f>IF(OR(A38="",B38=0),"",SUMIFS('Diario'!$AC$8:$AC$507,'Diario'!$E$8:$E$507,A38,'Diario'!$AH$8:$AH$507,1))</x:f>
      </x:c>
      <x:c r="H38" s="34" t="str">
        <x:f>IF(OR(A38="",B38=0),"",SUMIFS('Diario'!$Z$8:$Z$507,'Diario'!$E$8:$E$507,A38,'Diario'!$AH$8:$AH$507,1))</x:f>
      </x:c>
      <x:c r="I38" s="35" t="str">
        <x:f>IF(OR(NOT(ISNUMBER(H38)),H38=0),"",G38/H38)</x:f>
      </x:c>
      <x:c r="J38" s="36" t="str">
        <x:f>IF(OR(A38="",B38=0),"",IF(SUMIFS('Diario'!$AC$8:$AC$507,'Diario'!$E$8:$E$507,A38,'Diario'!$AH$8:$AH$507,1,'Diario'!$AC$8:$AC$507,"&lt;0")=0,"n.a.",SUMIFS('Diario'!$AC$8:$AC$507,'Diario'!$E$8:$E$507,A38,'Diario'!$AH$8:$AH$507,1,'Diario'!$AC$8:$AC$507,"&gt;0")/-SUMIFS('Diario'!$AC$8:$AC$507,'Diario'!$E$8:$E$507,A38,'Diario'!$AH$8:$AH$507,1,'Diario'!$AC$8:$AC$507,"&lt;0")))</x:f>
      </x:c>
      <x:c r="K38" s="2" t="str">
        <x:f>IF(A38="","",IF(B38&lt;'Impostazioni'!$B$10,"Sotto soglia","Soglia raggiunta"))</x:f>
      </x:c>
      <x:c r="L38" s="2"/>
      <x:c r="M38" s="2"/>
      <x:c r="N38" s="2" t="str">
        <x:v>45–59</x:v>
      </x:c>
      <x:c r="O38" s="2" t="n">
        <x:f>COUNTIFS('Diario'!$K$8:$K$507,"&gt;="&amp;45,'Diario'!$K$8:$K$507,"&lt;="&amp;59,'Diario'!$K$8:$K$507,"&lt;&gt;",'Diario'!$AH$8:$AH$507,1)</x:f>
        <x:v>0</x:v>
      </x:c>
      <x:c r="P38" s="2" t="n">
        <x:f>COUNTIFS('Diario'!$K$8:$K$507,"&gt;="&amp;45,'Diario'!$K$8:$K$507,"&lt;="&amp;59,'Diario'!$K$8:$K$507,"&lt;&gt;",'Diario'!$AH$8:$AH$507,1,'Diario'!$AC$8:$AC$507,"&gt;0")</x:f>
        <x:v>0</x:v>
      </x:c>
      <x:c r="Q38" s="2" t="n">
        <x:f>COUNTIFS('Diario'!$K$8:$K$507,"&gt;="&amp;45,'Diario'!$K$8:$K$507,"&lt;="&amp;59,'Diario'!$K$8:$K$507,"&lt;&gt;",'Diario'!$AH$8:$AH$507,1,'Diario'!$AC$8:$AC$507,"&lt;0")</x:f>
        <x:v>0</x:v>
      </x:c>
      <x:c r="R38" s="34" t="str">
        <x:f>IF(O38=0,"",SUMIFS('Diario'!$AC$8:$AC$507,'Diario'!$K$8:$K$507,"&gt;="&amp;45,'Diario'!$K$8:$K$507,"&lt;="&amp;59,'Diario'!$K$8:$K$507,"&lt;&gt;",'Diario'!$AH$8:$AH$507,1))</x:f>
      </x:c>
      <x:c r="S38" s="34" t="str">
        <x:f>IF(O38=0,"",SUMIFS('Diario'!$Z$8:$Z$507,'Diario'!$K$8:$K$507,"&gt;="&amp;45,'Diario'!$K$8:$K$507,"&lt;="&amp;59,'Diario'!$K$8:$K$507,"&lt;&gt;",'Diario'!$AH$8:$AH$507,1))</x:f>
      </x:c>
      <x:c r="T38" s="35" t="str">
        <x:f>IF(OR(S38="",S38=0),"",R38/S38)</x:f>
      </x:c>
      <x:c r="U38" s="35" t="str">
        <x:f>IF(P38+Q38=0,"",P38/(P38+Q38))</x:f>
      </x:c>
    </x:row>
    <x:row r="39" ht="22" customHeight="1">
      <x:c r="A39" s="2" t="str">
        <x:f>IF(COUNTIFS('Diario'!$AS$8:$AS$507,7)=0,"",INDEX('Diario'!$E$8:$E$507,MATCH(7,'Diario'!$AS$8:$AS$507,0)))</x:f>
      </x:c>
      <x:c r="B39" s="2" t="str">
        <x:f>IF(A39="","",COUNTIFS('Diario'!$E$8:$E$507,A39,'Diario'!$AH$8:$AH$507,1))</x:f>
      </x:c>
      <x:c r="C39" s="2" t="str">
        <x:f>IF(A39="","",COUNTIFS('Diario'!$E$8:$E$507,A39,'Diario'!$AD$8:$AD$507,"Green"))</x:f>
      </x:c>
      <x:c r="D39" s="2" t="str">
        <x:f>IF(A39="","",COUNTIFS('Diario'!$E$8:$E$507,A39,'Diario'!$AD$8:$AD$507,"Red"))</x:f>
      </x:c>
      <x:c r="E39" s="2" t="str">
        <x:f>IF(A39="","",COUNTIFS('Diario'!$E$8:$E$507,A39,'Diario'!$AD$8:$AD$507,"Flat"))</x:f>
      </x:c>
      <x:c r="F39" s="35" t="str">
        <x:f>IF(C39+D39=0,"",C39/(C39+D39))</x:f>
      </x:c>
      <x:c r="G39" s="34" t="str">
        <x:f>IF(OR(A39="",B39=0),"",SUMIFS('Diario'!$AC$8:$AC$507,'Diario'!$E$8:$E$507,A39,'Diario'!$AH$8:$AH$507,1))</x:f>
      </x:c>
      <x:c r="H39" s="34" t="str">
        <x:f>IF(OR(A39="",B39=0),"",SUMIFS('Diario'!$Z$8:$Z$507,'Diario'!$E$8:$E$507,A39,'Diario'!$AH$8:$AH$507,1))</x:f>
      </x:c>
      <x:c r="I39" s="35" t="str">
        <x:f>IF(OR(NOT(ISNUMBER(H39)),H39=0),"",G39/H39)</x:f>
      </x:c>
      <x:c r="J39" s="36" t="str">
        <x:f>IF(OR(A39="",B39=0),"",IF(SUMIFS('Diario'!$AC$8:$AC$507,'Diario'!$E$8:$E$507,A39,'Diario'!$AH$8:$AH$507,1,'Diario'!$AC$8:$AC$507,"&lt;0")=0,"n.a.",SUMIFS('Diario'!$AC$8:$AC$507,'Diario'!$E$8:$E$507,A39,'Diario'!$AH$8:$AH$507,1,'Diario'!$AC$8:$AC$507,"&gt;0")/-SUMIFS('Diario'!$AC$8:$AC$507,'Diario'!$E$8:$E$507,A39,'Diario'!$AH$8:$AH$507,1,'Diario'!$AC$8:$AC$507,"&lt;0")))</x:f>
      </x:c>
      <x:c r="K39" s="2" t="str">
        <x:f>IF(A39="","",IF(B39&lt;'Impostazioni'!$B$10,"Sotto soglia","Soglia raggiunta"))</x:f>
      </x:c>
      <x:c r="L39" s="2"/>
      <x:c r="M39" s="2"/>
      <x:c r="N39" s="2" t="str">
        <x:v>60–74</x:v>
      </x:c>
      <x:c r="O39" s="2" t="n">
        <x:f>COUNTIFS('Diario'!$K$8:$K$507,"&gt;="&amp;60,'Diario'!$K$8:$K$507,"&lt;="&amp;74,'Diario'!$K$8:$K$507,"&lt;&gt;",'Diario'!$AH$8:$AH$507,1)</x:f>
        <x:v>0</x:v>
      </x:c>
      <x:c r="P39" s="2" t="n">
        <x:f>COUNTIFS('Diario'!$K$8:$K$507,"&gt;="&amp;60,'Diario'!$K$8:$K$507,"&lt;="&amp;74,'Diario'!$K$8:$K$507,"&lt;&gt;",'Diario'!$AH$8:$AH$507,1,'Diario'!$AC$8:$AC$507,"&gt;0")</x:f>
        <x:v>0</x:v>
      </x:c>
      <x:c r="Q39" s="2" t="n">
        <x:f>COUNTIFS('Diario'!$K$8:$K$507,"&gt;="&amp;60,'Diario'!$K$8:$K$507,"&lt;="&amp;74,'Diario'!$K$8:$K$507,"&lt;&gt;",'Diario'!$AH$8:$AH$507,1,'Diario'!$AC$8:$AC$507,"&lt;0")</x:f>
        <x:v>0</x:v>
      </x:c>
      <x:c r="R39" s="34" t="str">
        <x:f>IF(O39=0,"",SUMIFS('Diario'!$AC$8:$AC$507,'Diario'!$K$8:$K$507,"&gt;="&amp;60,'Diario'!$K$8:$K$507,"&lt;="&amp;74,'Diario'!$K$8:$K$507,"&lt;&gt;",'Diario'!$AH$8:$AH$507,1))</x:f>
      </x:c>
      <x:c r="S39" s="34" t="str">
        <x:f>IF(O39=0,"",SUMIFS('Diario'!$Z$8:$Z$507,'Diario'!$K$8:$K$507,"&gt;="&amp;60,'Diario'!$K$8:$K$507,"&lt;="&amp;74,'Diario'!$K$8:$K$507,"&lt;&gt;",'Diario'!$AH$8:$AH$507,1))</x:f>
      </x:c>
      <x:c r="T39" s="35" t="str">
        <x:f>IF(OR(S39="",S39=0),"",R39/S39)</x:f>
      </x:c>
      <x:c r="U39" s="35" t="str">
        <x:f>IF(P39+Q39=0,"",P39/(P39+Q39))</x:f>
      </x:c>
    </x:row>
    <x:row r="40" ht="22" customHeight="1">
      <x:c r="A40" s="2" t="str">
        <x:f>IF(COUNTIFS('Diario'!$AS$8:$AS$507,8)=0,"",INDEX('Diario'!$E$8:$E$507,MATCH(8,'Diario'!$AS$8:$AS$507,0)))</x:f>
      </x:c>
      <x:c r="B40" s="2" t="str">
        <x:f>IF(A40="","",COUNTIFS('Diario'!$E$8:$E$507,A40,'Diario'!$AH$8:$AH$507,1))</x:f>
      </x:c>
      <x:c r="C40" s="2" t="str">
        <x:f>IF(A40="","",COUNTIFS('Diario'!$E$8:$E$507,A40,'Diario'!$AD$8:$AD$507,"Green"))</x:f>
      </x:c>
      <x:c r="D40" s="2" t="str">
        <x:f>IF(A40="","",COUNTIFS('Diario'!$E$8:$E$507,A40,'Diario'!$AD$8:$AD$507,"Red"))</x:f>
      </x:c>
      <x:c r="E40" s="2" t="str">
        <x:f>IF(A40="","",COUNTIFS('Diario'!$E$8:$E$507,A40,'Diario'!$AD$8:$AD$507,"Flat"))</x:f>
      </x:c>
      <x:c r="F40" s="35" t="str">
        <x:f>IF(C40+D40=0,"",C40/(C40+D40))</x:f>
      </x:c>
      <x:c r="G40" s="34" t="str">
        <x:f>IF(OR(A40="",B40=0),"",SUMIFS('Diario'!$AC$8:$AC$507,'Diario'!$E$8:$E$507,A40,'Diario'!$AH$8:$AH$507,1))</x:f>
      </x:c>
      <x:c r="H40" s="34" t="str">
        <x:f>IF(OR(A40="",B40=0),"",SUMIFS('Diario'!$Z$8:$Z$507,'Diario'!$E$8:$E$507,A40,'Diario'!$AH$8:$AH$507,1))</x:f>
      </x:c>
      <x:c r="I40" s="35" t="str">
        <x:f>IF(OR(NOT(ISNUMBER(H40)),H40=0),"",G40/H40)</x:f>
      </x:c>
      <x:c r="J40" s="36" t="str">
        <x:f>IF(OR(A40="",B40=0),"",IF(SUMIFS('Diario'!$AC$8:$AC$507,'Diario'!$E$8:$E$507,A40,'Diario'!$AH$8:$AH$507,1,'Diario'!$AC$8:$AC$507,"&lt;0")=0,"n.a.",SUMIFS('Diario'!$AC$8:$AC$507,'Diario'!$E$8:$E$507,A40,'Diario'!$AH$8:$AH$507,1,'Diario'!$AC$8:$AC$507,"&gt;0")/-SUMIFS('Diario'!$AC$8:$AC$507,'Diario'!$E$8:$E$507,A40,'Diario'!$AH$8:$AH$507,1,'Diario'!$AC$8:$AC$507,"&lt;0")))</x:f>
      </x:c>
      <x:c r="K40" s="2" t="str">
        <x:f>IF(A40="","",IF(B40&lt;'Impostazioni'!$B$10,"Sotto soglia","Soglia raggiunta"))</x:f>
      </x:c>
      <x:c r="L40" s="2"/>
      <x:c r="M40" s="2"/>
      <x:c r="N40" s="2" t="str">
        <x:v>75 e oltre</x:v>
      </x:c>
      <x:c r="O40" s="2" t="n">
        <x:f>COUNTIFS('Diario'!$K$8:$K$507,"&gt;="&amp;75,'Diario'!$K$8:$K$507,"&lt;="&amp;150,'Diario'!$K$8:$K$507,"&lt;&gt;",'Diario'!$AH$8:$AH$507,1)</x:f>
        <x:v>0</x:v>
      </x:c>
      <x:c r="P40" s="2" t="n">
        <x:f>COUNTIFS('Diario'!$K$8:$K$507,"&gt;="&amp;75,'Diario'!$K$8:$K$507,"&lt;="&amp;150,'Diario'!$K$8:$K$507,"&lt;&gt;",'Diario'!$AH$8:$AH$507,1,'Diario'!$AC$8:$AC$507,"&gt;0")</x:f>
        <x:v>0</x:v>
      </x:c>
      <x:c r="Q40" s="2" t="n">
        <x:f>COUNTIFS('Diario'!$K$8:$K$507,"&gt;="&amp;75,'Diario'!$K$8:$K$507,"&lt;="&amp;150,'Diario'!$K$8:$K$507,"&lt;&gt;",'Diario'!$AH$8:$AH$507,1,'Diario'!$AC$8:$AC$507,"&lt;0")</x:f>
        <x:v>0</x:v>
      </x:c>
      <x:c r="R40" s="34" t="str">
        <x:f>IF(O40=0,"",SUMIFS('Diario'!$AC$8:$AC$507,'Diario'!$K$8:$K$507,"&gt;="&amp;75,'Diario'!$K$8:$K$507,"&lt;="&amp;150,'Diario'!$K$8:$K$507,"&lt;&gt;",'Diario'!$AH$8:$AH$507,1))</x:f>
      </x:c>
      <x:c r="S40" s="34" t="str">
        <x:f>IF(O40=0,"",SUMIFS('Diario'!$Z$8:$Z$507,'Diario'!$K$8:$K$507,"&gt;="&amp;75,'Diario'!$K$8:$K$507,"&lt;="&amp;150,'Diario'!$K$8:$K$507,"&lt;&gt;",'Diario'!$AH$8:$AH$507,1))</x:f>
      </x:c>
      <x:c r="T40" s="35" t="str">
        <x:f>IF(OR(S40="",S40=0),"",R40/S40)</x:f>
      </x:c>
      <x:c r="U40" s="35" t="str">
        <x:f>IF(P40+Q40=0,"",P40/(P40+Q40))</x:f>
      </x:c>
    </x:row>
    <x:row r="41" ht="22" customHeight="1">
      <x:c r="A41" s="2" t="str">
        <x:f>IF(COUNTIFS('Diario'!$AS$8:$AS$507,9)=0,"",INDEX('Diario'!$E$8:$E$507,MATCH(9,'Diario'!$AS$8:$AS$507,0)))</x:f>
      </x:c>
      <x:c r="B41" s="2" t="str">
        <x:f>IF(A41="","",COUNTIFS('Diario'!$E$8:$E$507,A41,'Diario'!$AH$8:$AH$507,1))</x:f>
      </x:c>
      <x:c r="C41" s="2" t="str">
        <x:f>IF(A41="","",COUNTIFS('Diario'!$E$8:$E$507,A41,'Diario'!$AD$8:$AD$507,"Green"))</x:f>
      </x:c>
      <x:c r="D41" s="2" t="str">
        <x:f>IF(A41="","",COUNTIFS('Diario'!$E$8:$E$507,A41,'Diario'!$AD$8:$AD$507,"Red"))</x:f>
      </x:c>
      <x:c r="E41" s="2" t="str">
        <x:f>IF(A41="","",COUNTIFS('Diario'!$E$8:$E$507,A41,'Diario'!$AD$8:$AD$507,"Flat"))</x:f>
      </x:c>
      <x:c r="F41" s="35" t="str">
        <x:f>IF(C41+D41=0,"",C41/(C41+D41))</x:f>
      </x:c>
      <x:c r="G41" s="34" t="str">
        <x:f>IF(OR(A41="",B41=0),"",SUMIFS('Diario'!$AC$8:$AC$507,'Diario'!$E$8:$E$507,A41,'Diario'!$AH$8:$AH$507,1))</x:f>
      </x:c>
      <x:c r="H41" s="34" t="str">
        <x:f>IF(OR(A41="",B41=0),"",SUMIFS('Diario'!$Z$8:$Z$507,'Diario'!$E$8:$E$507,A41,'Diario'!$AH$8:$AH$507,1))</x:f>
      </x:c>
      <x:c r="I41" s="35" t="str">
        <x:f>IF(OR(NOT(ISNUMBER(H41)),H41=0),"",G41/H41)</x:f>
      </x:c>
      <x:c r="J41" s="36" t="str">
        <x:f>IF(OR(A41="",B41=0),"",IF(SUMIFS('Diario'!$AC$8:$AC$507,'Diario'!$E$8:$E$507,A41,'Diario'!$AH$8:$AH$507,1,'Diario'!$AC$8:$AC$507,"&lt;0")=0,"n.a.",SUMIFS('Diario'!$AC$8:$AC$507,'Diario'!$E$8:$E$507,A41,'Diario'!$AH$8:$AH$507,1,'Diario'!$AC$8:$AC$507,"&gt;0")/-SUMIFS('Diario'!$AC$8:$AC$507,'Diario'!$E$8:$E$507,A41,'Diario'!$AH$8:$AH$507,1,'Diario'!$AC$8:$AC$507,"&lt;0")))</x:f>
      </x:c>
      <x:c r="K41" s="2" t="str">
        <x:f>IF(A41="","",IF(B41&lt;'Impostazioni'!$B$10,"Sotto soglia","Soglia raggiunta"))</x:f>
      </x:c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22" customHeight="1">
      <x:c r="A42" s="2" t="str">
        <x:f>IF(COUNTIFS('Diario'!$AS$8:$AS$507,10)=0,"",INDEX('Diario'!$E$8:$E$507,MATCH(10,'Diario'!$AS$8:$AS$507,0)))</x:f>
      </x:c>
      <x:c r="B42" s="2" t="str">
        <x:f>IF(A42="","",COUNTIFS('Diario'!$E$8:$E$507,A42,'Diario'!$AH$8:$AH$507,1))</x:f>
      </x:c>
      <x:c r="C42" s="2" t="str">
        <x:f>IF(A42="","",COUNTIFS('Diario'!$E$8:$E$507,A42,'Diario'!$AD$8:$AD$507,"Green"))</x:f>
      </x:c>
      <x:c r="D42" s="2" t="str">
        <x:f>IF(A42="","",COUNTIFS('Diario'!$E$8:$E$507,A42,'Diario'!$AD$8:$AD$507,"Red"))</x:f>
      </x:c>
      <x:c r="E42" s="2" t="str">
        <x:f>IF(A42="","",COUNTIFS('Diario'!$E$8:$E$507,A42,'Diario'!$AD$8:$AD$507,"Flat"))</x:f>
      </x:c>
      <x:c r="F42" s="35" t="str">
        <x:f>IF(C42+D42=0,"",C42/(C42+D42))</x:f>
      </x:c>
      <x:c r="G42" s="34" t="str">
        <x:f>IF(OR(A42="",B42=0),"",SUMIFS('Diario'!$AC$8:$AC$507,'Diario'!$E$8:$E$507,A42,'Diario'!$AH$8:$AH$507,1))</x:f>
      </x:c>
      <x:c r="H42" s="34" t="str">
        <x:f>IF(OR(A42="",B42=0),"",SUMIFS('Diario'!$Z$8:$Z$507,'Diario'!$E$8:$E$507,A42,'Diario'!$AH$8:$AH$507,1))</x:f>
      </x:c>
      <x:c r="I42" s="35" t="str">
        <x:f>IF(OR(NOT(ISNUMBER(H42)),H42=0),"",G42/H42)</x:f>
      </x:c>
      <x:c r="J42" s="36" t="str">
        <x:f>IF(OR(A42="",B42=0),"",IF(SUMIFS('Diario'!$AC$8:$AC$507,'Diario'!$E$8:$E$507,A42,'Diario'!$AH$8:$AH$507,1,'Diario'!$AC$8:$AC$507,"&lt;0")=0,"n.a.",SUMIFS('Diario'!$AC$8:$AC$507,'Diario'!$E$8:$E$507,A42,'Diario'!$AH$8:$AH$507,1,'Diario'!$AC$8:$AC$507,"&gt;0")/-SUMIFS('Diario'!$AC$8:$AC$507,'Diario'!$E$8:$E$507,A42,'Diario'!$AH$8:$AH$507,1,'Diario'!$AC$8:$AC$507,"&lt;0")))</x:f>
      </x:c>
      <x:c r="K42" s="2" t="str">
        <x:f>IF(A42="","",IF(B42&lt;'Impostazioni'!$B$10,"Sotto soglia","Soglia raggiunta"))</x:f>
      </x:c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22" customHeight="1">
      <x:c r="A43" s="2" t="str">
        <x:f>IF(COUNTIFS('Diario'!$AS$8:$AS$507,11)=0,"",INDEX('Diario'!$E$8:$E$507,MATCH(11,'Diario'!$AS$8:$AS$507,0)))</x:f>
      </x:c>
      <x:c r="B43" s="2" t="str">
        <x:f>IF(A43="","",COUNTIFS('Diario'!$E$8:$E$507,A43,'Diario'!$AH$8:$AH$507,1))</x:f>
      </x:c>
      <x:c r="C43" s="2" t="str">
        <x:f>IF(A43="","",COUNTIFS('Diario'!$E$8:$E$507,A43,'Diario'!$AD$8:$AD$507,"Green"))</x:f>
      </x:c>
      <x:c r="D43" s="2" t="str">
        <x:f>IF(A43="","",COUNTIFS('Diario'!$E$8:$E$507,A43,'Diario'!$AD$8:$AD$507,"Red"))</x:f>
      </x:c>
      <x:c r="E43" s="2" t="str">
        <x:f>IF(A43="","",COUNTIFS('Diario'!$E$8:$E$507,A43,'Diario'!$AD$8:$AD$507,"Flat"))</x:f>
      </x:c>
      <x:c r="F43" s="35" t="str">
        <x:f>IF(C43+D43=0,"",C43/(C43+D43))</x:f>
      </x:c>
      <x:c r="G43" s="34" t="str">
        <x:f>IF(OR(A43="",B43=0),"",SUMIFS('Diario'!$AC$8:$AC$507,'Diario'!$E$8:$E$507,A43,'Diario'!$AH$8:$AH$507,1))</x:f>
      </x:c>
      <x:c r="H43" s="34" t="str">
        <x:f>IF(OR(A43="",B43=0),"",SUMIFS('Diario'!$Z$8:$Z$507,'Diario'!$E$8:$E$507,A43,'Diario'!$AH$8:$AH$507,1))</x:f>
      </x:c>
      <x:c r="I43" s="35" t="str">
        <x:f>IF(OR(NOT(ISNUMBER(H43)),H43=0),"",G43/H43)</x:f>
      </x:c>
      <x:c r="J43" s="36" t="str">
        <x:f>IF(OR(A43="",B43=0),"",IF(SUMIFS('Diario'!$AC$8:$AC$507,'Diario'!$E$8:$E$507,A43,'Diario'!$AH$8:$AH$507,1,'Diario'!$AC$8:$AC$507,"&lt;0")=0,"n.a.",SUMIFS('Diario'!$AC$8:$AC$507,'Diario'!$E$8:$E$507,A43,'Diario'!$AH$8:$AH$507,1,'Diario'!$AC$8:$AC$507,"&gt;0")/-SUMIFS('Diario'!$AC$8:$AC$507,'Diario'!$E$8:$E$507,A43,'Diario'!$AH$8:$AH$507,1,'Diario'!$AC$8:$AC$507,"&lt;0")))</x:f>
      </x:c>
      <x:c r="K43" s="2" t="str">
        <x:f>IF(A43="","",IF(B43&lt;'Impostazioni'!$B$10,"Sotto soglia","Soglia raggiunta"))</x:f>
      </x:c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22" customHeight="1">
      <x:c r="A44" s="2" t="str">
        <x:f>IF(COUNTIFS('Diario'!$AS$8:$AS$507,12)=0,"",INDEX('Diario'!$E$8:$E$507,MATCH(12,'Diario'!$AS$8:$AS$507,0)))</x:f>
      </x:c>
      <x:c r="B44" s="2" t="str">
        <x:f>IF(A44="","",COUNTIFS('Diario'!$E$8:$E$507,A44,'Diario'!$AH$8:$AH$507,1))</x:f>
      </x:c>
      <x:c r="C44" s="2" t="str">
        <x:f>IF(A44="","",COUNTIFS('Diario'!$E$8:$E$507,A44,'Diario'!$AD$8:$AD$507,"Green"))</x:f>
      </x:c>
      <x:c r="D44" s="2" t="str">
        <x:f>IF(A44="","",COUNTIFS('Diario'!$E$8:$E$507,A44,'Diario'!$AD$8:$AD$507,"Red"))</x:f>
      </x:c>
      <x:c r="E44" s="2" t="str">
        <x:f>IF(A44="","",COUNTIFS('Diario'!$E$8:$E$507,A44,'Diario'!$AD$8:$AD$507,"Flat"))</x:f>
      </x:c>
      <x:c r="F44" s="35" t="str">
        <x:f>IF(C44+D44=0,"",C44/(C44+D44))</x:f>
      </x:c>
      <x:c r="G44" s="34" t="str">
        <x:f>IF(OR(A44="",B44=0),"",SUMIFS('Diario'!$AC$8:$AC$507,'Diario'!$E$8:$E$507,A44,'Diario'!$AH$8:$AH$507,1))</x:f>
      </x:c>
      <x:c r="H44" s="34" t="str">
        <x:f>IF(OR(A44="",B44=0),"",SUMIFS('Diario'!$Z$8:$Z$507,'Diario'!$E$8:$E$507,A44,'Diario'!$AH$8:$AH$507,1))</x:f>
      </x:c>
      <x:c r="I44" s="35" t="str">
        <x:f>IF(OR(NOT(ISNUMBER(H44)),H44=0),"",G44/H44)</x:f>
      </x:c>
      <x:c r="J44" s="36" t="str">
        <x:f>IF(OR(A44="",B44=0),"",IF(SUMIFS('Diario'!$AC$8:$AC$507,'Diario'!$E$8:$E$507,A44,'Diario'!$AH$8:$AH$507,1,'Diario'!$AC$8:$AC$507,"&lt;0")=0,"n.a.",SUMIFS('Diario'!$AC$8:$AC$507,'Diario'!$E$8:$E$507,A44,'Diario'!$AH$8:$AH$507,1,'Diario'!$AC$8:$AC$507,"&gt;0")/-SUMIFS('Diario'!$AC$8:$AC$507,'Diario'!$E$8:$E$507,A44,'Diario'!$AH$8:$AH$507,1,'Diario'!$AC$8:$AC$507,"&lt;0")))</x:f>
      </x:c>
      <x:c r="K44" s="2" t="str">
        <x:f>IF(A44="","",IF(B44&lt;'Impostazioni'!$B$10,"Sotto soglia","Soglia raggiunta"))</x:f>
      </x:c>
      <x:c r="L44" s="2"/>
      <x:c r="M44" s="2"/>
      <x:c r="N44" s="5" t="str">
        <x:v>Strike rate = green / (green + red). Flat esclusi.</x:v>
      </x:c>
      <x:c r="O44" s="2"/>
      <x:c r="P44" s="2"/>
      <x:c r="Q44" s="2"/>
      <x:c r="R44" s="2"/>
      <x:c r="S44" s="2"/>
      <x:c r="T44" s="2"/>
      <x:c r="U44" s="2"/>
    </x:row>
    <x:row r="45" ht="22" customHeight="1">
      <x:c r="A45" s="2" t="str">
        <x:f>IF(COUNTIFS('Diario'!$AS$8:$AS$507,13)=0,"",INDEX('Diario'!$E$8:$E$507,MATCH(13,'Diario'!$AS$8:$AS$507,0)))</x:f>
      </x:c>
      <x:c r="B45" s="2" t="str">
        <x:f>IF(A45="","",COUNTIFS('Diario'!$E$8:$E$507,A45,'Diario'!$AH$8:$AH$507,1))</x:f>
      </x:c>
      <x:c r="C45" s="2" t="str">
        <x:f>IF(A45="","",COUNTIFS('Diario'!$E$8:$E$507,A45,'Diario'!$AD$8:$AD$507,"Green"))</x:f>
      </x:c>
      <x:c r="D45" s="2" t="str">
        <x:f>IF(A45="","",COUNTIFS('Diario'!$E$8:$E$507,A45,'Diario'!$AD$8:$AD$507,"Red"))</x:f>
      </x:c>
      <x:c r="E45" s="2" t="str">
        <x:f>IF(A45="","",COUNTIFS('Diario'!$E$8:$E$507,A45,'Diario'!$AD$8:$AD$507,"Flat"))</x:f>
      </x:c>
      <x:c r="F45" s="35" t="str">
        <x:f>IF(C45+D45=0,"",C45/(C45+D45))</x:f>
      </x:c>
      <x:c r="G45" s="34" t="str">
        <x:f>IF(OR(A45="",B45=0),"",SUMIFS('Diario'!$AC$8:$AC$507,'Diario'!$E$8:$E$507,A45,'Diario'!$AH$8:$AH$507,1))</x:f>
      </x:c>
      <x:c r="H45" s="34" t="str">
        <x:f>IF(OR(A45="",B45=0),"",SUMIFS('Diario'!$Z$8:$Z$507,'Diario'!$E$8:$E$507,A45,'Diario'!$AH$8:$AH$507,1))</x:f>
      </x:c>
      <x:c r="I45" s="35" t="str">
        <x:f>IF(OR(NOT(ISNUMBER(H45)),H45=0),"",G45/H45)</x:f>
      </x:c>
      <x:c r="J45" s="36" t="str">
        <x:f>IF(OR(A45="",B45=0),"",IF(SUMIFS('Diario'!$AC$8:$AC$507,'Diario'!$E$8:$E$507,A45,'Diario'!$AH$8:$AH$507,1,'Diario'!$AC$8:$AC$507,"&lt;0")=0,"n.a.",SUMIFS('Diario'!$AC$8:$AC$507,'Diario'!$E$8:$E$507,A45,'Diario'!$AH$8:$AH$507,1,'Diario'!$AC$8:$AC$507,"&gt;0")/-SUMIFS('Diario'!$AC$8:$AC$507,'Diario'!$E$8:$E$507,A45,'Diario'!$AH$8:$AH$507,1,'Diario'!$AC$8:$AC$507,"&lt;0")))</x:f>
      </x:c>
      <x:c r="K45" s="2" t="str">
        <x:f>IF(A45="","",IF(B45&lt;'Impostazioni'!$B$10,"Sotto soglia","Soglia raggiunta"))</x:f>
      </x:c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 ht="22" customHeight="1">
      <x:c r="A46" s="2" t="str">
        <x:f>IF(COUNTIFS('Diario'!$AS$8:$AS$507,14)=0,"",INDEX('Diario'!$E$8:$E$507,MATCH(14,'Diario'!$AS$8:$AS$507,0)))</x:f>
      </x:c>
      <x:c r="B46" s="2" t="str">
        <x:f>IF(A46="","",COUNTIFS('Diario'!$E$8:$E$507,A46,'Diario'!$AH$8:$AH$507,1))</x:f>
      </x:c>
      <x:c r="C46" s="2" t="str">
        <x:f>IF(A46="","",COUNTIFS('Diario'!$E$8:$E$507,A46,'Diario'!$AD$8:$AD$507,"Green"))</x:f>
      </x:c>
      <x:c r="D46" s="2" t="str">
        <x:f>IF(A46="","",COUNTIFS('Diario'!$E$8:$E$507,A46,'Diario'!$AD$8:$AD$507,"Red"))</x:f>
      </x:c>
      <x:c r="E46" s="2" t="str">
        <x:f>IF(A46="","",COUNTIFS('Diario'!$E$8:$E$507,A46,'Diario'!$AD$8:$AD$507,"Flat"))</x:f>
      </x:c>
      <x:c r="F46" s="35" t="str">
        <x:f>IF(C46+D46=0,"",C46/(C46+D46))</x:f>
      </x:c>
      <x:c r="G46" s="34" t="str">
        <x:f>IF(OR(A46="",B46=0),"",SUMIFS('Diario'!$AC$8:$AC$507,'Diario'!$E$8:$E$507,A46,'Diario'!$AH$8:$AH$507,1))</x:f>
      </x:c>
      <x:c r="H46" s="34" t="str">
        <x:f>IF(OR(A46="",B46=0),"",SUMIFS('Diario'!$Z$8:$Z$507,'Diario'!$E$8:$E$507,A46,'Diario'!$AH$8:$AH$507,1))</x:f>
      </x:c>
      <x:c r="I46" s="35" t="str">
        <x:f>IF(OR(NOT(ISNUMBER(H46)),H46=0),"",G46/H46)</x:f>
      </x:c>
      <x:c r="J46" s="36" t="str">
        <x:f>IF(OR(A46="",B46=0),"",IF(SUMIFS('Diario'!$AC$8:$AC$507,'Diario'!$E$8:$E$507,A46,'Diario'!$AH$8:$AH$507,1,'Diario'!$AC$8:$AC$507,"&lt;0")=0,"n.a.",SUMIFS('Diario'!$AC$8:$AC$507,'Diario'!$E$8:$E$507,A46,'Diario'!$AH$8:$AH$507,1,'Diario'!$AC$8:$AC$507,"&gt;0")/-SUMIFS('Diario'!$AC$8:$AC$507,'Diario'!$E$8:$E$507,A46,'Diario'!$AH$8:$AH$507,1,'Diario'!$AC$8:$AC$507,"&lt;0")))</x:f>
      </x:c>
      <x:c r="K46" s="2" t="str">
        <x:f>IF(A46="","",IF(B46&lt;'Impostazioni'!$B$10,"Sotto soglia","Soglia raggiunta"))</x:f>
      </x:c>
      <x:c r="L46" s="2"/>
      <x:c r="M46" s="2"/>
      <x:c r="N46" s="5" t="str">
        <x:v>Rendimento = P/L netto / somma rischi massimi.</x:v>
      </x:c>
      <x:c r="O46" s="2"/>
      <x:c r="P46" s="2"/>
      <x:c r="Q46" s="2"/>
      <x:c r="R46" s="2"/>
      <x:c r="S46" s="2"/>
      <x:c r="T46" s="2"/>
      <x:c r="U46" s="2"/>
    </x:row>
    <x:row r="47" ht="22" customHeight="1">
      <x:c r="A47" s="2" t="str">
        <x:f>IF(COUNTIFS('Diario'!$AS$8:$AS$507,15)=0,"",INDEX('Diario'!$E$8:$E$507,MATCH(15,'Diario'!$AS$8:$AS$507,0)))</x:f>
      </x:c>
      <x:c r="B47" s="2" t="str">
        <x:f>IF(A47="","",COUNTIFS('Diario'!$E$8:$E$507,A47,'Diario'!$AH$8:$AH$507,1))</x:f>
      </x:c>
      <x:c r="C47" s="2" t="str">
        <x:f>IF(A47="","",COUNTIFS('Diario'!$E$8:$E$507,A47,'Diario'!$AD$8:$AD$507,"Green"))</x:f>
      </x:c>
      <x:c r="D47" s="2" t="str">
        <x:f>IF(A47="","",COUNTIFS('Diario'!$E$8:$E$507,A47,'Diario'!$AD$8:$AD$507,"Red"))</x:f>
      </x:c>
      <x:c r="E47" s="2" t="str">
        <x:f>IF(A47="","",COUNTIFS('Diario'!$E$8:$E$507,A47,'Diario'!$AD$8:$AD$507,"Flat"))</x:f>
      </x:c>
      <x:c r="F47" s="35" t="str">
        <x:f>IF(C47+D47=0,"",C47/(C47+D47))</x:f>
      </x:c>
      <x:c r="G47" s="34" t="str">
        <x:f>IF(OR(A47="",B47=0),"",SUMIFS('Diario'!$AC$8:$AC$507,'Diario'!$E$8:$E$507,A47,'Diario'!$AH$8:$AH$507,1))</x:f>
      </x:c>
      <x:c r="H47" s="34" t="str">
        <x:f>IF(OR(A47="",B47=0),"",SUMIFS('Diario'!$Z$8:$Z$507,'Diario'!$E$8:$E$507,A47,'Diario'!$AH$8:$AH$507,1))</x:f>
      </x:c>
      <x:c r="I47" s="35" t="str">
        <x:f>IF(OR(NOT(ISNUMBER(H47)),H47=0),"",G47/H47)</x:f>
      </x:c>
      <x:c r="J47" s="36" t="str">
        <x:f>IF(OR(A47="",B47=0),"",IF(SUMIFS('Diario'!$AC$8:$AC$507,'Diario'!$E$8:$E$507,A47,'Diario'!$AH$8:$AH$507,1,'Diario'!$AC$8:$AC$507,"&lt;0")=0,"n.a.",SUMIFS('Diario'!$AC$8:$AC$507,'Diario'!$E$8:$E$507,A47,'Diario'!$AH$8:$AH$507,1,'Diario'!$AC$8:$AC$507,"&gt;0")/-SUMIFS('Diario'!$AC$8:$AC$507,'Diario'!$E$8:$E$507,A47,'Diario'!$AH$8:$AH$507,1,'Diario'!$AC$8:$AC$507,"&lt;0")))</x:f>
      </x:c>
      <x:c r="K47" s="2" t="str">
        <x:f>IF(A47="","",IF(B47&lt;'Impostazioni'!$B$10,"Sotto soglia","Soglia raggiunta"))</x:f>
      </x:c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 ht="22" customHeight="1">
      <x:c r="A48" s="2" t="str">
        <x:f>IF(COUNTIFS('Diario'!$AS$8:$AS$507,16)=0,"",INDEX('Diario'!$E$8:$E$507,MATCH(16,'Diario'!$AS$8:$AS$507,0)))</x:f>
      </x:c>
      <x:c r="B48" s="2" t="str">
        <x:f>IF(A48="","",COUNTIFS('Diario'!$E$8:$E$507,A48,'Diario'!$AH$8:$AH$507,1))</x:f>
      </x:c>
      <x:c r="C48" s="2" t="str">
        <x:f>IF(A48="","",COUNTIFS('Diario'!$E$8:$E$507,A48,'Diario'!$AD$8:$AD$507,"Green"))</x:f>
      </x:c>
      <x:c r="D48" s="2" t="str">
        <x:f>IF(A48="","",COUNTIFS('Diario'!$E$8:$E$507,A48,'Diario'!$AD$8:$AD$507,"Red"))</x:f>
      </x:c>
      <x:c r="E48" s="2" t="str">
        <x:f>IF(A48="","",COUNTIFS('Diario'!$E$8:$E$507,A48,'Diario'!$AD$8:$AD$507,"Flat"))</x:f>
      </x:c>
      <x:c r="F48" s="35" t="str">
        <x:f>IF(C48+D48=0,"",C48/(C48+D48))</x:f>
      </x:c>
      <x:c r="G48" s="34" t="str">
        <x:f>IF(OR(A48="",B48=0),"",SUMIFS('Diario'!$AC$8:$AC$507,'Diario'!$E$8:$E$507,A48,'Diario'!$AH$8:$AH$507,1))</x:f>
      </x:c>
      <x:c r="H48" s="34" t="str">
        <x:f>IF(OR(A48="",B48=0),"",SUMIFS('Diario'!$Z$8:$Z$507,'Diario'!$E$8:$E$507,A48,'Diario'!$AH$8:$AH$507,1))</x:f>
      </x:c>
      <x:c r="I48" s="35" t="str">
        <x:f>IF(OR(NOT(ISNUMBER(H48)),H48=0),"",G48/H48)</x:f>
      </x:c>
      <x:c r="J48" s="36" t="str">
        <x:f>IF(OR(A48="",B48=0),"",IF(SUMIFS('Diario'!$AC$8:$AC$507,'Diario'!$E$8:$E$507,A48,'Diario'!$AH$8:$AH$507,1,'Diario'!$AC$8:$AC$507,"&lt;0")=0,"n.a.",SUMIFS('Diario'!$AC$8:$AC$507,'Diario'!$E$8:$E$507,A48,'Diario'!$AH$8:$AH$507,1,'Diario'!$AC$8:$AC$507,"&gt;0")/-SUMIFS('Diario'!$AC$8:$AC$507,'Diario'!$E$8:$E$507,A48,'Diario'!$AH$8:$AH$507,1,'Diario'!$AC$8:$AC$507,"&lt;0")))</x:f>
      </x:c>
      <x:c r="K48" s="2" t="str">
        <x:f>IF(A48="","",IF(B48&lt;'Impostazioni'!$B$10,"Sotto soglia","Soglia raggiunta"))</x:f>
      </x:c>
      <x:c r="L48" s="2"/>
      <x:c r="M48" s="2"/>
      <x:c r="N48" s="5" t="str">
        <x:v>Profit factor = totale green / valore assoluto dei red.</x:v>
      </x:c>
      <x:c r="O48" s="2"/>
      <x:c r="P48" s="2"/>
      <x:c r="Q48" s="2"/>
      <x:c r="R48" s="2"/>
      <x:c r="S48" s="2"/>
      <x:c r="T48" s="2"/>
      <x:c r="U48" s="2"/>
    </x:row>
    <x:row r="49" ht="22" customHeight="1">
      <x:c r="A49" s="2" t="str">
        <x:f>IF(COUNTIFS('Diario'!$AS$8:$AS$507,17)=0,"",INDEX('Diario'!$E$8:$E$507,MATCH(17,'Diario'!$AS$8:$AS$507,0)))</x:f>
      </x:c>
      <x:c r="B49" s="2" t="str">
        <x:f>IF(A49="","",COUNTIFS('Diario'!$E$8:$E$507,A49,'Diario'!$AH$8:$AH$507,1))</x:f>
      </x:c>
      <x:c r="C49" s="2" t="str">
        <x:f>IF(A49="","",COUNTIFS('Diario'!$E$8:$E$507,A49,'Diario'!$AD$8:$AD$507,"Green"))</x:f>
      </x:c>
      <x:c r="D49" s="2" t="str">
        <x:f>IF(A49="","",COUNTIFS('Diario'!$E$8:$E$507,A49,'Diario'!$AD$8:$AD$507,"Red"))</x:f>
      </x:c>
      <x:c r="E49" s="2" t="str">
        <x:f>IF(A49="","",COUNTIFS('Diario'!$E$8:$E$507,A49,'Diario'!$AD$8:$AD$507,"Flat"))</x:f>
      </x:c>
      <x:c r="F49" s="35" t="str">
        <x:f>IF(C49+D49=0,"",C49/(C49+D49))</x:f>
      </x:c>
      <x:c r="G49" s="34" t="str">
        <x:f>IF(OR(A49="",B49=0),"",SUMIFS('Diario'!$AC$8:$AC$507,'Diario'!$E$8:$E$507,A49,'Diario'!$AH$8:$AH$507,1))</x:f>
      </x:c>
      <x:c r="H49" s="34" t="str">
        <x:f>IF(OR(A49="",B49=0),"",SUMIFS('Diario'!$Z$8:$Z$507,'Diario'!$E$8:$E$507,A49,'Diario'!$AH$8:$AH$507,1))</x:f>
      </x:c>
      <x:c r="I49" s="35" t="str">
        <x:f>IF(OR(NOT(ISNUMBER(H49)),H49=0),"",G49/H49)</x:f>
      </x:c>
      <x:c r="J49" s="36" t="str">
        <x:f>IF(OR(A49="",B49=0),"",IF(SUMIFS('Diario'!$AC$8:$AC$507,'Diario'!$E$8:$E$507,A49,'Diario'!$AH$8:$AH$507,1,'Diario'!$AC$8:$AC$507,"&lt;0")=0,"n.a.",SUMIFS('Diario'!$AC$8:$AC$507,'Diario'!$E$8:$E$507,A49,'Diario'!$AH$8:$AH$507,1,'Diario'!$AC$8:$AC$507,"&gt;0")/-SUMIFS('Diario'!$AC$8:$AC$507,'Diario'!$E$8:$E$507,A49,'Diario'!$AH$8:$AH$507,1,'Diario'!$AC$8:$AC$507,"&lt;0")))</x:f>
      </x:c>
      <x:c r="K49" s="2" t="str">
        <x:f>IF(A49="","",IF(B49&lt;'Impostazioni'!$B$10,"Sotto soglia","Soglia raggiunta"))</x:f>
      </x:c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 ht="22" customHeight="1">
      <x:c r="A50" s="2" t="str">
        <x:f>IF(COUNTIFS('Diario'!$AS$8:$AS$507,18)=0,"",INDEX('Diario'!$E$8:$E$507,MATCH(18,'Diario'!$AS$8:$AS$507,0)))</x:f>
      </x:c>
      <x:c r="B50" s="2" t="str">
        <x:f>IF(A50="","",COUNTIFS('Diario'!$E$8:$E$507,A50,'Diario'!$AH$8:$AH$507,1))</x:f>
      </x:c>
      <x:c r="C50" s="2" t="str">
        <x:f>IF(A50="","",COUNTIFS('Diario'!$E$8:$E$507,A50,'Diario'!$AD$8:$AD$507,"Green"))</x:f>
      </x:c>
      <x:c r="D50" s="2" t="str">
        <x:f>IF(A50="","",COUNTIFS('Diario'!$E$8:$E$507,A50,'Diario'!$AD$8:$AD$507,"Red"))</x:f>
      </x:c>
      <x:c r="E50" s="2" t="str">
        <x:f>IF(A50="","",COUNTIFS('Diario'!$E$8:$E$507,A50,'Diario'!$AD$8:$AD$507,"Flat"))</x:f>
      </x:c>
      <x:c r="F50" s="35" t="str">
        <x:f>IF(C50+D50=0,"",C50/(C50+D50))</x:f>
      </x:c>
      <x:c r="G50" s="34" t="str">
        <x:f>IF(OR(A50="",B50=0),"",SUMIFS('Diario'!$AC$8:$AC$507,'Diario'!$E$8:$E$507,A50,'Diario'!$AH$8:$AH$507,1))</x:f>
      </x:c>
      <x:c r="H50" s="34" t="str">
        <x:f>IF(OR(A50="",B50=0),"",SUMIFS('Diario'!$Z$8:$Z$507,'Diario'!$E$8:$E$507,A50,'Diario'!$AH$8:$AH$507,1))</x:f>
      </x:c>
      <x:c r="I50" s="35" t="str">
        <x:f>IF(OR(NOT(ISNUMBER(H50)),H50=0),"",G50/H50)</x:f>
      </x:c>
      <x:c r="J50" s="36" t="str">
        <x:f>IF(OR(A50="",B50=0),"",IF(SUMIFS('Diario'!$AC$8:$AC$507,'Diario'!$E$8:$E$507,A50,'Diario'!$AH$8:$AH$507,1,'Diario'!$AC$8:$AC$507,"&lt;0")=0,"n.a.",SUMIFS('Diario'!$AC$8:$AC$507,'Diario'!$E$8:$E$507,A50,'Diario'!$AH$8:$AH$507,1,'Diario'!$AC$8:$AC$507,"&gt;0")/-SUMIFS('Diario'!$AC$8:$AC$507,'Diario'!$E$8:$E$507,A50,'Diario'!$AH$8:$AH$507,1,'Diario'!$AC$8:$AC$507,"&lt;0")))</x:f>
      </x:c>
      <x:c r="K50" s="2" t="str">
        <x:f>IF(A50="","",IF(B50&lt;'Impostazioni'!$B$10,"Sotto soglia","Soglia raggiunta"))</x:f>
      </x:c>
      <x:c r="L50" s="2"/>
      <x:c r="M50" s="2"/>
      <x:c r="N50" s="5" t="str">
        <x:v>n.a. se non sono presenti perdite.</x:v>
      </x:c>
      <x:c r="O50" s="2"/>
      <x:c r="P50" s="2"/>
      <x:c r="Q50" s="2"/>
      <x:c r="R50" s="2"/>
      <x:c r="S50" s="2"/>
      <x:c r="T50" s="2"/>
      <x:c r="U50" s="2"/>
    </x:row>
    <x:row r="51" ht="22" customHeight="1">
      <x:c r="A51" s="2" t="str">
        <x:f>IF(COUNTIFS('Diario'!$AS$8:$AS$507,19)=0,"",INDEX('Diario'!$E$8:$E$507,MATCH(19,'Diario'!$AS$8:$AS$507,0)))</x:f>
      </x:c>
      <x:c r="B51" s="2" t="str">
        <x:f>IF(A51="","",COUNTIFS('Diario'!$E$8:$E$507,A51,'Diario'!$AH$8:$AH$507,1))</x:f>
      </x:c>
      <x:c r="C51" s="2" t="str">
        <x:f>IF(A51="","",COUNTIFS('Diario'!$E$8:$E$507,A51,'Diario'!$AD$8:$AD$507,"Green"))</x:f>
      </x:c>
      <x:c r="D51" s="2" t="str">
        <x:f>IF(A51="","",COUNTIFS('Diario'!$E$8:$E$507,A51,'Diario'!$AD$8:$AD$507,"Red"))</x:f>
      </x:c>
      <x:c r="E51" s="2" t="str">
        <x:f>IF(A51="","",COUNTIFS('Diario'!$E$8:$E$507,A51,'Diario'!$AD$8:$AD$507,"Flat"))</x:f>
      </x:c>
      <x:c r="F51" s="35" t="str">
        <x:f>IF(C51+D51=0,"",C51/(C51+D51))</x:f>
      </x:c>
      <x:c r="G51" s="34" t="str">
        <x:f>IF(OR(A51="",B51=0),"",SUMIFS('Diario'!$AC$8:$AC$507,'Diario'!$E$8:$E$507,A51,'Diario'!$AH$8:$AH$507,1))</x:f>
      </x:c>
      <x:c r="H51" s="34" t="str">
        <x:f>IF(OR(A51="",B51=0),"",SUMIFS('Diario'!$Z$8:$Z$507,'Diario'!$E$8:$E$507,A51,'Diario'!$AH$8:$AH$507,1))</x:f>
      </x:c>
      <x:c r="I51" s="35" t="str">
        <x:f>IF(OR(NOT(ISNUMBER(H51)),H51=0),"",G51/H51)</x:f>
      </x:c>
      <x:c r="J51" s="36" t="str">
        <x:f>IF(OR(A51="",B51=0),"",IF(SUMIFS('Diario'!$AC$8:$AC$507,'Diario'!$E$8:$E$507,A51,'Diario'!$AH$8:$AH$507,1,'Diario'!$AC$8:$AC$507,"&lt;0")=0,"n.a.",SUMIFS('Diario'!$AC$8:$AC$507,'Diario'!$E$8:$E$507,A51,'Diario'!$AH$8:$AH$507,1,'Diario'!$AC$8:$AC$507,"&gt;0")/-SUMIFS('Diario'!$AC$8:$AC$507,'Diario'!$E$8:$E$507,A51,'Diario'!$AH$8:$AH$507,1,'Diario'!$AC$8:$AC$507,"&lt;0")))</x:f>
      </x:c>
      <x:c r="K51" s="2" t="str">
        <x:f>IF(A51="","",IF(B51&lt;'Impostazioni'!$B$10,"Sotto soglia","Soglia raggiunta"))</x:f>
      </x:c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 ht="22" customHeight="1">
      <x:c r="A52" s="2" t="str">
        <x:f>IF(COUNTIFS('Diario'!$AS$8:$AS$507,20)=0,"",INDEX('Diario'!$E$8:$E$507,MATCH(20,'Diario'!$AS$8:$AS$507,0)))</x:f>
      </x:c>
      <x:c r="B52" s="2" t="str">
        <x:f>IF(A52="","",COUNTIFS('Diario'!$E$8:$E$507,A52,'Diario'!$AH$8:$AH$507,1))</x:f>
      </x:c>
      <x:c r="C52" s="2" t="str">
        <x:f>IF(A52="","",COUNTIFS('Diario'!$E$8:$E$507,A52,'Diario'!$AD$8:$AD$507,"Green"))</x:f>
      </x:c>
      <x:c r="D52" s="2" t="str">
        <x:f>IF(A52="","",COUNTIFS('Diario'!$E$8:$E$507,A52,'Diario'!$AD$8:$AD$507,"Red"))</x:f>
      </x:c>
      <x:c r="E52" s="2" t="str">
        <x:f>IF(A52="","",COUNTIFS('Diario'!$E$8:$E$507,A52,'Diario'!$AD$8:$AD$507,"Flat"))</x:f>
      </x:c>
      <x:c r="F52" s="35" t="str">
        <x:f>IF(C52+D52=0,"",C52/(C52+D52))</x:f>
      </x:c>
      <x:c r="G52" s="34" t="str">
        <x:f>IF(OR(A52="",B52=0),"",SUMIFS('Diario'!$AC$8:$AC$507,'Diario'!$E$8:$E$507,A52,'Diario'!$AH$8:$AH$507,1))</x:f>
      </x:c>
      <x:c r="H52" s="34" t="str">
        <x:f>IF(OR(A52="",B52=0),"",SUMIFS('Diario'!$Z$8:$Z$507,'Diario'!$E$8:$E$507,A52,'Diario'!$AH$8:$AH$507,1))</x:f>
      </x:c>
      <x:c r="I52" s="35" t="str">
        <x:f>IF(OR(NOT(ISNUMBER(H52)),H52=0),"",G52/H52)</x:f>
      </x:c>
      <x:c r="J52" s="36" t="str">
        <x:f>IF(OR(A52="",B52=0),"",IF(SUMIFS('Diario'!$AC$8:$AC$507,'Diario'!$E$8:$E$507,A52,'Diario'!$AH$8:$AH$507,1,'Diario'!$AC$8:$AC$507,"&lt;0")=0,"n.a.",SUMIFS('Diario'!$AC$8:$AC$507,'Diario'!$E$8:$E$507,A52,'Diario'!$AH$8:$AH$507,1,'Diario'!$AC$8:$AC$507,"&gt;0")/-SUMIFS('Diario'!$AC$8:$AC$507,'Diario'!$E$8:$E$507,A52,'Diario'!$AH$8:$AH$507,1,'Diario'!$AC$8:$AC$507,"&lt;0")))</x:f>
      </x:c>
      <x:c r="K52" s="2" t="str">
        <x:f>IF(A52="","",IF(B52&lt;'Impostazioni'!$B$10,"Sotto soglia","Soglia raggiunta"))</x:f>
      </x:c>
      <x:c r="L52" s="2"/>
      <x:c r="M52" s="2"/>
      <x:c r="N52" s="5" t="str">
        <x:v>Campione: confronto di conteggio, senza giudizio di redditività.</x:v>
      </x:c>
      <x:c r="O52" s="2"/>
      <x:c r="P52" s="2"/>
      <x:c r="Q52" s="2"/>
      <x:c r="R52" s="2"/>
      <x:c r="S52" s="2"/>
      <x:c r="T52" s="2"/>
      <x:c r="U52" s="2"/>
    </x:row>
    <x:row r="53" ht="22" customHeight="1">
      <x:c r="A53" s="2" t="str">
        <x:f>IF(COUNTIFS('Diario'!$AS$8:$AS$507,21)=0,"",INDEX('Diario'!$E$8:$E$507,MATCH(21,'Diario'!$AS$8:$AS$507,0)))</x:f>
      </x:c>
      <x:c r="B53" s="2" t="str">
        <x:f>IF(A53="","",COUNTIFS('Diario'!$E$8:$E$507,A53,'Diario'!$AH$8:$AH$507,1))</x:f>
      </x:c>
      <x:c r="C53" s="2" t="str">
        <x:f>IF(A53="","",COUNTIFS('Diario'!$E$8:$E$507,A53,'Diario'!$AD$8:$AD$507,"Green"))</x:f>
      </x:c>
      <x:c r="D53" s="2" t="str">
        <x:f>IF(A53="","",COUNTIFS('Diario'!$E$8:$E$507,A53,'Diario'!$AD$8:$AD$507,"Red"))</x:f>
      </x:c>
      <x:c r="E53" s="2" t="str">
        <x:f>IF(A53="","",COUNTIFS('Diario'!$E$8:$E$507,A53,'Diario'!$AD$8:$AD$507,"Flat"))</x:f>
      </x:c>
      <x:c r="F53" s="35" t="str">
        <x:f>IF(C53+D53=0,"",C53/(C53+D53))</x:f>
      </x:c>
      <x:c r="G53" s="34" t="str">
        <x:f>IF(OR(A53="",B53=0),"",SUMIFS('Diario'!$AC$8:$AC$507,'Diario'!$E$8:$E$507,A53,'Diario'!$AH$8:$AH$507,1))</x:f>
      </x:c>
      <x:c r="H53" s="34" t="str">
        <x:f>IF(OR(A53="",B53=0),"",SUMIFS('Diario'!$Z$8:$Z$507,'Diario'!$E$8:$E$507,A53,'Diario'!$AH$8:$AH$507,1))</x:f>
      </x:c>
      <x:c r="I53" s="35" t="str">
        <x:f>IF(OR(NOT(ISNUMBER(H53)),H53=0),"",G53/H53)</x:f>
      </x:c>
      <x:c r="J53" s="36" t="str">
        <x:f>IF(OR(A53="",B53=0),"",IF(SUMIFS('Diario'!$AC$8:$AC$507,'Diario'!$E$8:$E$507,A53,'Diario'!$AH$8:$AH$507,1,'Diario'!$AC$8:$AC$507,"&lt;0")=0,"n.a.",SUMIFS('Diario'!$AC$8:$AC$507,'Diario'!$E$8:$E$507,A53,'Diario'!$AH$8:$AH$507,1,'Diario'!$AC$8:$AC$507,"&gt;0")/-SUMIFS('Diario'!$AC$8:$AC$507,'Diario'!$E$8:$E$507,A53,'Diario'!$AH$8:$AH$507,1,'Diario'!$AC$8:$AC$507,"&lt;0")))</x:f>
      </x:c>
      <x:c r="K53" s="2" t="str">
        <x:f>IF(A53="","",IF(B53&lt;'Impostazioni'!$B$10,"Sotto soglia","Soglia raggiunta"))</x:f>
      </x:c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 ht="22" customHeight="1">
      <x:c r="A54" s="2" t="str">
        <x:f>IF(COUNTIFS('Diario'!$AS$8:$AS$507,22)=0,"",INDEX('Diario'!$E$8:$E$507,MATCH(22,'Diario'!$AS$8:$AS$507,0)))</x:f>
      </x:c>
      <x:c r="B54" s="2" t="str">
        <x:f>IF(A54="","",COUNTIFS('Diario'!$E$8:$E$507,A54,'Diario'!$AH$8:$AH$507,1))</x:f>
      </x:c>
      <x:c r="C54" s="2" t="str">
        <x:f>IF(A54="","",COUNTIFS('Diario'!$E$8:$E$507,A54,'Diario'!$AD$8:$AD$507,"Green"))</x:f>
      </x:c>
      <x:c r="D54" s="2" t="str">
        <x:f>IF(A54="","",COUNTIFS('Diario'!$E$8:$E$507,A54,'Diario'!$AD$8:$AD$507,"Red"))</x:f>
      </x:c>
      <x:c r="E54" s="2" t="str">
        <x:f>IF(A54="","",COUNTIFS('Diario'!$E$8:$E$507,A54,'Diario'!$AD$8:$AD$507,"Flat"))</x:f>
      </x:c>
      <x:c r="F54" s="35" t="str">
        <x:f>IF(C54+D54=0,"",C54/(C54+D54))</x:f>
      </x:c>
      <x:c r="G54" s="34" t="str">
        <x:f>IF(OR(A54="",B54=0),"",SUMIFS('Diario'!$AC$8:$AC$507,'Diario'!$E$8:$E$507,A54,'Diario'!$AH$8:$AH$507,1))</x:f>
      </x:c>
      <x:c r="H54" s="34" t="str">
        <x:f>IF(OR(A54="",B54=0),"",SUMIFS('Diario'!$Z$8:$Z$507,'Diario'!$E$8:$E$507,A54,'Diario'!$AH$8:$AH$507,1))</x:f>
      </x:c>
      <x:c r="I54" s="35" t="str">
        <x:f>IF(OR(NOT(ISNUMBER(H54)),H54=0),"",G54/H54)</x:f>
      </x:c>
      <x:c r="J54" s="36" t="str">
        <x:f>IF(OR(A54="",B54=0),"",IF(SUMIFS('Diario'!$AC$8:$AC$507,'Diario'!$E$8:$E$507,A54,'Diario'!$AH$8:$AH$507,1,'Diario'!$AC$8:$AC$507,"&lt;0")=0,"n.a.",SUMIFS('Diario'!$AC$8:$AC$507,'Diario'!$E$8:$E$507,A54,'Diario'!$AH$8:$AH$507,1,'Diario'!$AC$8:$AC$507,"&gt;0")/-SUMIFS('Diario'!$AC$8:$AC$507,'Diario'!$E$8:$E$507,A54,'Diario'!$AH$8:$AH$507,1,'Diario'!$AC$8:$AC$507,"&lt;0")))</x:f>
      </x:c>
      <x:c r="K54" s="2" t="str">
        <x:f>IF(A54="","",IF(B54&lt;'Impostazioni'!$B$10,"Sotto soglia","Soglia raggiunta"))</x:f>
      </x:c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 ht="22" customHeight="1">
      <x:c r="A55" s="2" t="str">
        <x:f>IF(COUNTIFS('Diario'!$AS$8:$AS$507,23)=0,"",INDEX('Diario'!$E$8:$E$507,MATCH(23,'Diario'!$AS$8:$AS$507,0)))</x:f>
      </x:c>
      <x:c r="B55" s="2" t="str">
        <x:f>IF(A55="","",COUNTIFS('Diario'!$E$8:$E$507,A55,'Diario'!$AH$8:$AH$507,1))</x:f>
      </x:c>
      <x:c r="C55" s="2" t="str">
        <x:f>IF(A55="","",COUNTIFS('Diario'!$E$8:$E$507,A55,'Diario'!$AD$8:$AD$507,"Green"))</x:f>
      </x:c>
      <x:c r="D55" s="2" t="str">
        <x:f>IF(A55="","",COUNTIFS('Diario'!$E$8:$E$507,A55,'Diario'!$AD$8:$AD$507,"Red"))</x:f>
      </x:c>
      <x:c r="E55" s="2" t="str">
        <x:f>IF(A55="","",COUNTIFS('Diario'!$E$8:$E$507,A55,'Diario'!$AD$8:$AD$507,"Flat"))</x:f>
      </x:c>
      <x:c r="F55" s="35" t="str">
        <x:f>IF(C55+D55=0,"",C55/(C55+D55))</x:f>
      </x:c>
      <x:c r="G55" s="34" t="str">
        <x:f>IF(OR(A55="",B55=0),"",SUMIFS('Diario'!$AC$8:$AC$507,'Diario'!$E$8:$E$507,A55,'Diario'!$AH$8:$AH$507,1))</x:f>
      </x:c>
      <x:c r="H55" s="34" t="str">
        <x:f>IF(OR(A55="",B55=0),"",SUMIFS('Diario'!$Z$8:$Z$507,'Diario'!$E$8:$E$507,A55,'Diario'!$AH$8:$AH$507,1))</x:f>
      </x:c>
      <x:c r="I55" s="35" t="str">
        <x:f>IF(OR(NOT(ISNUMBER(H55)),H55=0),"",G55/H55)</x:f>
      </x:c>
      <x:c r="J55" s="36" t="str">
        <x:f>IF(OR(A55="",B55=0),"",IF(SUMIFS('Diario'!$AC$8:$AC$507,'Diario'!$E$8:$E$507,A55,'Diario'!$AH$8:$AH$507,1,'Diario'!$AC$8:$AC$507,"&lt;0")=0,"n.a.",SUMIFS('Diario'!$AC$8:$AC$507,'Diario'!$E$8:$E$507,A55,'Diario'!$AH$8:$AH$507,1,'Diario'!$AC$8:$AC$507,"&gt;0")/-SUMIFS('Diario'!$AC$8:$AC$507,'Diario'!$E$8:$E$507,A55,'Diario'!$AH$8:$AH$507,1,'Diario'!$AC$8:$AC$507,"&lt;0")))</x:f>
      </x:c>
      <x:c r="K55" s="2" t="str">
        <x:f>IF(A55="","",IF(B55&lt;'Impostazioni'!$B$10,"Sotto soglia","Soglia raggiunta"))</x:f>
      </x:c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22" customHeight="1">
      <x:c r="A56" s="2" t="str">
        <x:f>IF(COUNTIFS('Diario'!$AS$8:$AS$507,24)=0,"",INDEX('Diario'!$E$8:$E$507,MATCH(24,'Diario'!$AS$8:$AS$507,0)))</x:f>
      </x:c>
      <x:c r="B56" s="2" t="str">
        <x:f>IF(A56="","",COUNTIFS('Diario'!$E$8:$E$507,A56,'Diario'!$AH$8:$AH$507,1))</x:f>
      </x:c>
      <x:c r="C56" s="2" t="str">
        <x:f>IF(A56="","",COUNTIFS('Diario'!$E$8:$E$507,A56,'Diario'!$AD$8:$AD$507,"Green"))</x:f>
      </x:c>
      <x:c r="D56" s="2" t="str">
        <x:f>IF(A56="","",COUNTIFS('Diario'!$E$8:$E$507,A56,'Diario'!$AD$8:$AD$507,"Red"))</x:f>
      </x:c>
      <x:c r="E56" s="2" t="str">
        <x:f>IF(A56="","",COUNTIFS('Diario'!$E$8:$E$507,A56,'Diario'!$AD$8:$AD$507,"Flat"))</x:f>
      </x:c>
      <x:c r="F56" s="35" t="str">
        <x:f>IF(C56+D56=0,"",C56/(C56+D56))</x:f>
      </x:c>
      <x:c r="G56" s="34" t="str">
        <x:f>IF(OR(A56="",B56=0),"",SUMIFS('Diario'!$AC$8:$AC$507,'Diario'!$E$8:$E$507,A56,'Diario'!$AH$8:$AH$507,1))</x:f>
      </x:c>
      <x:c r="H56" s="34" t="str">
        <x:f>IF(OR(A56="",B56=0),"",SUMIFS('Diario'!$Z$8:$Z$507,'Diario'!$E$8:$E$507,A56,'Diario'!$AH$8:$AH$507,1))</x:f>
      </x:c>
      <x:c r="I56" s="35" t="str">
        <x:f>IF(OR(NOT(ISNUMBER(H56)),H56=0),"",G56/H56)</x:f>
      </x:c>
      <x:c r="J56" s="36" t="str">
        <x:f>IF(OR(A56="",B56=0),"",IF(SUMIFS('Diario'!$AC$8:$AC$507,'Diario'!$E$8:$E$507,A56,'Diario'!$AH$8:$AH$507,1,'Diario'!$AC$8:$AC$507,"&lt;0")=0,"n.a.",SUMIFS('Diario'!$AC$8:$AC$507,'Diario'!$E$8:$E$507,A56,'Diario'!$AH$8:$AH$507,1,'Diario'!$AC$8:$AC$507,"&gt;0")/-SUMIFS('Diario'!$AC$8:$AC$507,'Diario'!$E$8:$E$507,A56,'Diario'!$AH$8:$AH$507,1,'Diario'!$AC$8:$AC$507,"&lt;0")))</x:f>
      </x:c>
      <x:c r="K56" s="2" t="str">
        <x:f>IF(A56="","",IF(B56&lt;'Impostazioni'!$B$10,"Sotto soglia","Soglia raggiunta"))</x:f>
      </x:c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 ht="22" customHeight="1">
      <x:c r="A57" s="2" t="str">
        <x:f>IF(COUNTIFS('Diario'!$AS$8:$AS$507,25)=0,"",INDEX('Diario'!$E$8:$E$507,MATCH(25,'Diario'!$AS$8:$AS$507,0)))</x:f>
      </x:c>
      <x:c r="B57" s="2" t="str">
        <x:f>IF(A57="","",COUNTIFS('Diario'!$E$8:$E$507,A57,'Diario'!$AH$8:$AH$507,1))</x:f>
      </x:c>
      <x:c r="C57" s="2" t="str">
        <x:f>IF(A57="","",COUNTIFS('Diario'!$E$8:$E$507,A57,'Diario'!$AD$8:$AD$507,"Green"))</x:f>
      </x:c>
      <x:c r="D57" s="2" t="str">
        <x:f>IF(A57="","",COUNTIFS('Diario'!$E$8:$E$507,A57,'Diario'!$AD$8:$AD$507,"Red"))</x:f>
      </x:c>
      <x:c r="E57" s="2" t="str">
        <x:f>IF(A57="","",COUNTIFS('Diario'!$E$8:$E$507,A57,'Diario'!$AD$8:$AD$507,"Flat"))</x:f>
      </x:c>
      <x:c r="F57" s="35" t="str">
        <x:f>IF(C57+D57=0,"",C57/(C57+D57))</x:f>
      </x:c>
      <x:c r="G57" s="34" t="str">
        <x:f>IF(OR(A57="",B57=0),"",SUMIFS('Diario'!$AC$8:$AC$507,'Diario'!$E$8:$E$507,A57,'Diario'!$AH$8:$AH$507,1))</x:f>
      </x:c>
      <x:c r="H57" s="34" t="str">
        <x:f>IF(OR(A57="",B57=0),"",SUMIFS('Diario'!$Z$8:$Z$507,'Diario'!$E$8:$E$507,A57,'Diario'!$AH$8:$AH$507,1))</x:f>
      </x:c>
      <x:c r="I57" s="35" t="str">
        <x:f>IF(OR(NOT(ISNUMBER(H57)),H57=0),"",G57/H57)</x:f>
      </x:c>
      <x:c r="J57" s="36" t="str">
        <x:f>IF(OR(A57="",B57=0),"",IF(SUMIFS('Diario'!$AC$8:$AC$507,'Diario'!$E$8:$E$507,A57,'Diario'!$AH$8:$AH$507,1,'Diario'!$AC$8:$AC$507,"&lt;0")=0,"n.a.",SUMIFS('Diario'!$AC$8:$AC$507,'Diario'!$E$8:$E$507,A57,'Diario'!$AH$8:$AH$507,1,'Diario'!$AC$8:$AC$507,"&gt;0")/-SUMIFS('Diario'!$AC$8:$AC$507,'Diario'!$E$8:$E$507,A57,'Diario'!$AH$8:$AH$507,1,'Diario'!$AC$8:$AC$507,"&lt;0")))</x:f>
      </x:c>
      <x:c r="K57" s="2" t="str">
        <x:f>IF(A57="","",IF(B57&lt;'Impostazioni'!$B$10,"Sotto soglia","Soglia raggiunta"))</x:f>
      </x:c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22" customHeight="1">
      <x:c r="A58" s="2" t="str">
        <x:f>IF(COUNTIFS('Diario'!$AS$8:$AS$507,26)=0,"",INDEX('Diario'!$E$8:$E$507,MATCH(26,'Diario'!$AS$8:$AS$507,0)))</x:f>
      </x:c>
      <x:c r="B58" s="2" t="str">
        <x:f>IF(A58="","",COUNTIFS('Diario'!$E$8:$E$507,A58,'Diario'!$AH$8:$AH$507,1))</x:f>
      </x:c>
      <x:c r="C58" s="2" t="str">
        <x:f>IF(A58="","",COUNTIFS('Diario'!$E$8:$E$507,A58,'Diario'!$AD$8:$AD$507,"Green"))</x:f>
      </x:c>
      <x:c r="D58" s="2" t="str">
        <x:f>IF(A58="","",COUNTIFS('Diario'!$E$8:$E$507,A58,'Diario'!$AD$8:$AD$507,"Red"))</x:f>
      </x:c>
      <x:c r="E58" s="2" t="str">
        <x:f>IF(A58="","",COUNTIFS('Diario'!$E$8:$E$507,A58,'Diario'!$AD$8:$AD$507,"Flat"))</x:f>
      </x:c>
      <x:c r="F58" s="35" t="str">
        <x:f>IF(C58+D58=0,"",C58/(C58+D58))</x:f>
      </x:c>
      <x:c r="G58" s="34" t="str">
        <x:f>IF(OR(A58="",B58=0),"",SUMIFS('Diario'!$AC$8:$AC$507,'Diario'!$E$8:$E$507,A58,'Diario'!$AH$8:$AH$507,1))</x:f>
      </x:c>
      <x:c r="H58" s="34" t="str">
        <x:f>IF(OR(A58="",B58=0),"",SUMIFS('Diario'!$Z$8:$Z$507,'Diario'!$E$8:$E$507,A58,'Diario'!$AH$8:$AH$507,1))</x:f>
      </x:c>
      <x:c r="I58" s="35" t="str">
        <x:f>IF(OR(NOT(ISNUMBER(H58)),H58=0),"",G58/H58)</x:f>
      </x:c>
      <x:c r="J58" s="36" t="str">
        <x:f>IF(OR(A58="",B58=0),"",IF(SUMIFS('Diario'!$AC$8:$AC$507,'Diario'!$E$8:$E$507,A58,'Diario'!$AH$8:$AH$507,1,'Diario'!$AC$8:$AC$507,"&lt;0")=0,"n.a.",SUMIFS('Diario'!$AC$8:$AC$507,'Diario'!$E$8:$E$507,A58,'Diario'!$AH$8:$AH$507,1,'Diario'!$AC$8:$AC$507,"&gt;0")/-SUMIFS('Diario'!$AC$8:$AC$507,'Diario'!$E$8:$E$507,A58,'Diario'!$AH$8:$AH$507,1,'Diario'!$AC$8:$AC$507,"&lt;0")))</x:f>
      </x:c>
      <x:c r="K58" s="2" t="str">
        <x:f>IF(A58="","",IF(B58&lt;'Impostazioni'!$B$10,"Sotto soglia","Soglia raggiunta"))</x:f>
      </x:c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22" customHeight="1">
      <x:c r="A59" s="2" t="str">
        <x:f>IF(COUNTIFS('Diario'!$AS$8:$AS$507,27)=0,"",INDEX('Diario'!$E$8:$E$507,MATCH(27,'Diario'!$AS$8:$AS$507,0)))</x:f>
      </x:c>
      <x:c r="B59" s="2" t="str">
        <x:f>IF(A59="","",COUNTIFS('Diario'!$E$8:$E$507,A59,'Diario'!$AH$8:$AH$507,1))</x:f>
      </x:c>
      <x:c r="C59" s="2" t="str">
        <x:f>IF(A59="","",COUNTIFS('Diario'!$E$8:$E$507,A59,'Diario'!$AD$8:$AD$507,"Green"))</x:f>
      </x:c>
      <x:c r="D59" s="2" t="str">
        <x:f>IF(A59="","",COUNTIFS('Diario'!$E$8:$E$507,A59,'Diario'!$AD$8:$AD$507,"Red"))</x:f>
      </x:c>
      <x:c r="E59" s="2" t="str">
        <x:f>IF(A59="","",COUNTIFS('Diario'!$E$8:$E$507,A59,'Diario'!$AD$8:$AD$507,"Flat"))</x:f>
      </x:c>
      <x:c r="F59" s="35" t="str">
        <x:f>IF(C59+D59=0,"",C59/(C59+D59))</x:f>
      </x:c>
      <x:c r="G59" s="34" t="str">
        <x:f>IF(OR(A59="",B59=0),"",SUMIFS('Diario'!$AC$8:$AC$507,'Diario'!$E$8:$E$507,A59,'Diario'!$AH$8:$AH$507,1))</x:f>
      </x:c>
      <x:c r="H59" s="34" t="str">
        <x:f>IF(OR(A59="",B59=0),"",SUMIFS('Diario'!$Z$8:$Z$507,'Diario'!$E$8:$E$507,A59,'Diario'!$AH$8:$AH$507,1))</x:f>
      </x:c>
      <x:c r="I59" s="35" t="str">
        <x:f>IF(OR(NOT(ISNUMBER(H59)),H59=0),"",G59/H59)</x:f>
      </x:c>
      <x:c r="J59" s="36" t="str">
        <x:f>IF(OR(A59="",B59=0),"",IF(SUMIFS('Diario'!$AC$8:$AC$507,'Diario'!$E$8:$E$507,A59,'Diario'!$AH$8:$AH$507,1,'Diario'!$AC$8:$AC$507,"&lt;0")=0,"n.a.",SUMIFS('Diario'!$AC$8:$AC$507,'Diario'!$E$8:$E$507,A59,'Diario'!$AH$8:$AH$507,1,'Diario'!$AC$8:$AC$507,"&gt;0")/-SUMIFS('Diario'!$AC$8:$AC$507,'Diario'!$E$8:$E$507,A59,'Diario'!$AH$8:$AH$507,1,'Diario'!$AC$8:$AC$507,"&lt;0")))</x:f>
      </x:c>
      <x:c r="K59" s="2" t="str">
        <x:f>IF(A59="","",IF(B59&lt;'Impostazioni'!$B$10,"Sotto soglia","Soglia raggiunta"))</x:f>
      </x:c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22" customHeight="1">
      <x:c r="A60" s="2" t="str">
        <x:f>IF(COUNTIFS('Diario'!$AS$8:$AS$507,28)=0,"",INDEX('Diario'!$E$8:$E$507,MATCH(28,'Diario'!$AS$8:$AS$507,0)))</x:f>
      </x:c>
      <x:c r="B60" s="2" t="str">
        <x:f>IF(A60="","",COUNTIFS('Diario'!$E$8:$E$507,A60,'Diario'!$AH$8:$AH$507,1))</x:f>
      </x:c>
      <x:c r="C60" s="2" t="str">
        <x:f>IF(A60="","",COUNTIFS('Diario'!$E$8:$E$507,A60,'Diario'!$AD$8:$AD$507,"Green"))</x:f>
      </x:c>
      <x:c r="D60" s="2" t="str">
        <x:f>IF(A60="","",COUNTIFS('Diario'!$E$8:$E$507,A60,'Diario'!$AD$8:$AD$507,"Red"))</x:f>
      </x:c>
      <x:c r="E60" s="2" t="str">
        <x:f>IF(A60="","",COUNTIFS('Diario'!$E$8:$E$507,A60,'Diario'!$AD$8:$AD$507,"Flat"))</x:f>
      </x:c>
      <x:c r="F60" s="35" t="str">
        <x:f>IF(C60+D60=0,"",C60/(C60+D60))</x:f>
      </x:c>
      <x:c r="G60" s="34" t="str">
        <x:f>IF(OR(A60="",B60=0),"",SUMIFS('Diario'!$AC$8:$AC$507,'Diario'!$E$8:$E$507,A60,'Diario'!$AH$8:$AH$507,1))</x:f>
      </x:c>
      <x:c r="H60" s="34" t="str">
        <x:f>IF(OR(A60="",B60=0),"",SUMIFS('Diario'!$Z$8:$Z$507,'Diario'!$E$8:$E$507,A60,'Diario'!$AH$8:$AH$507,1))</x:f>
      </x:c>
      <x:c r="I60" s="35" t="str">
        <x:f>IF(OR(NOT(ISNUMBER(H60)),H60=0),"",G60/H60)</x:f>
      </x:c>
      <x:c r="J60" s="36" t="str">
        <x:f>IF(OR(A60="",B60=0),"",IF(SUMIFS('Diario'!$AC$8:$AC$507,'Diario'!$E$8:$E$507,A60,'Diario'!$AH$8:$AH$507,1,'Diario'!$AC$8:$AC$507,"&lt;0")=0,"n.a.",SUMIFS('Diario'!$AC$8:$AC$507,'Diario'!$E$8:$E$507,A60,'Diario'!$AH$8:$AH$507,1,'Diario'!$AC$8:$AC$507,"&gt;0")/-SUMIFS('Diario'!$AC$8:$AC$507,'Diario'!$E$8:$E$507,A60,'Diario'!$AH$8:$AH$507,1,'Diario'!$AC$8:$AC$507,"&lt;0")))</x:f>
      </x:c>
      <x:c r="K60" s="2" t="str">
        <x:f>IF(A60="","",IF(B60&lt;'Impostazioni'!$B$10,"Sotto soglia","Soglia raggiunta"))</x:f>
      </x:c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 ht="22" customHeight="1">
      <x:c r="A61" s="2" t="str">
        <x:f>IF(COUNTIFS('Diario'!$AS$8:$AS$507,29)=0,"",INDEX('Diario'!$E$8:$E$507,MATCH(29,'Diario'!$AS$8:$AS$507,0)))</x:f>
      </x:c>
      <x:c r="B61" s="2" t="str">
        <x:f>IF(A61="","",COUNTIFS('Diario'!$E$8:$E$507,A61,'Diario'!$AH$8:$AH$507,1))</x:f>
      </x:c>
      <x:c r="C61" s="2" t="str">
        <x:f>IF(A61="","",COUNTIFS('Diario'!$E$8:$E$507,A61,'Diario'!$AD$8:$AD$507,"Green"))</x:f>
      </x:c>
      <x:c r="D61" s="2" t="str">
        <x:f>IF(A61="","",COUNTIFS('Diario'!$E$8:$E$507,A61,'Diario'!$AD$8:$AD$507,"Red"))</x:f>
      </x:c>
      <x:c r="E61" s="2" t="str">
        <x:f>IF(A61="","",COUNTIFS('Diario'!$E$8:$E$507,A61,'Diario'!$AD$8:$AD$507,"Flat"))</x:f>
      </x:c>
      <x:c r="F61" s="35" t="str">
        <x:f>IF(C61+D61=0,"",C61/(C61+D61))</x:f>
      </x:c>
      <x:c r="G61" s="34" t="str">
        <x:f>IF(OR(A61="",B61=0),"",SUMIFS('Diario'!$AC$8:$AC$507,'Diario'!$E$8:$E$507,A61,'Diario'!$AH$8:$AH$507,1))</x:f>
      </x:c>
      <x:c r="H61" s="34" t="str">
        <x:f>IF(OR(A61="",B61=0),"",SUMIFS('Diario'!$Z$8:$Z$507,'Diario'!$E$8:$E$507,A61,'Diario'!$AH$8:$AH$507,1))</x:f>
      </x:c>
      <x:c r="I61" s="35" t="str">
        <x:f>IF(OR(NOT(ISNUMBER(H61)),H61=0),"",G61/H61)</x:f>
      </x:c>
      <x:c r="J61" s="36" t="str">
        <x:f>IF(OR(A61="",B61=0),"",IF(SUMIFS('Diario'!$AC$8:$AC$507,'Diario'!$E$8:$E$507,A61,'Diario'!$AH$8:$AH$507,1,'Diario'!$AC$8:$AC$507,"&lt;0")=0,"n.a.",SUMIFS('Diario'!$AC$8:$AC$507,'Diario'!$E$8:$E$507,A61,'Diario'!$AH$8:$AH$507,1,'Diario'!$AC$8:$AC$507,"&gt;0")/-SUMIFS('Diario'!$AC$8:$AC$507,'Diario'!$E$8:$E$507,A61,'Diario'!$AH$8:$AH$507,1,'Diario'!$AC$8:$AC$507,"&lt;0")))</x:f>
      </x:c>
      <x:c r="K61" s="2" t="str">
        <x:f>IF(A61="","",IF(B61&lt;'Impostazioni'!$B$10,"Sotto soglia","Soglia raggiunta"))</x:f>
      </x:c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22" customHeight="1">
      <x:c r="A62" s="2" t="str">
        <x:f>IF(COUNTIFS('Diario'!$AS$8:$AS$507,30)=0,"",INDEX('Diario'!$E$8:$E$507,MATCH(30,'Diario'!$AS$8:$AS$507,0)))</x:f>
      </x:c>
      <x:c r="B62" s="2" t="str">
        <x:f>IF(A62="","",COUNTIFS('Diario'!$E$8:$E$507,A62,'Diario'!$AH$8:$AH$507,1))</x:f>
      </x:c>
      <x:c r="C62" s="2" t="str">
        <x:f>IF(A62="","",COUNTIFS('Diario'!$E$8:$E$507,A62,'Diario'!$AD$8:$AD$507,"Green"))</x:f>
      </x:c>
      <x:c r="D62" s="2" t="str">
        <x:f>IF(A62="","",COUNTIFS('Diario'!$E$8:$E$507,A62,'Diario'!$AD$8:$AD$507,"Red"))</x:f>
      </x:c>
      <x:c r="E62" s="2" t="str">
        <x:f>IF(A62="","",COUNTIFS('Diario'!$E$8:$E$507,A62,'Diario'!$AD$8:$AD$507,"Flat"))</x:f>
      </x:c>
      <x:c r="F62" s="35" t="str">
        <x:f>IF(C62+D62=0,"",C62/(C62+D62))</x:f>
      </x:c>
      <x:c r="G62" s="34" t="str">
        <x:f>IF(OR(A62="",B62=0),"",SUMIFS('Diario'!$AC$8:$AC$507,'Diario'!$E$8:$E$507,A62,'Diario'!$AH$8:$AH$507,1))</x:f>
      </x:c>
      <x:c r="H62" s="34" t="str">
        <x:f>IF(OR(A62="",B62=0),"",SUMIFS('Diario'!$Z$8:$Z$507,'Diario'!$E$8:$E$507,A62,'Diario'!$AH$8:$AH$507,1))</x:f>
      </x:c>
      <x:c r="I62" s="35" t="str">
        <x:f>IF(OR(NOT(ISNUMBER(H62)),H62=0),"",G62/H62)</x:f>
      </x:c>
      <x:c r="J62" s="36" t="str">
        <x:f>IF(OR(A62="",B62=0),"",IF(SUMIFS('Diario'!$AC$8:$AC$507,'Diario'!$E$8:$E$507,A62,'Diario'!$AH$8:$AH$507,1,'Diario'!$AC$8:$AC$507,"&lt;0")=0,"n.a.",SUMIFS('Diario'!$AC$8:$AC$507,'Diario'!$E$8:$E$507,A62,'Diario'!$AH$8:$AH$507,1,'Diario'!$AC$8:$AC$507,"&gt;0")/-SUMIFS('Diario'!$AC$8:$AC$507,'Diario'!$E$8:$E$507,A62,'Diario'!$AH$8:$AH$507,1,'Diario'!$AC$8:$AC$507,"&lt;0")))</x:f>
      </x:c>
      <x:c r="K62" s="2" t="str">
        <x:f>IF(A62="","",IF(B62&lt;'Impostazioni'!$B$10,"Sotto soglia","Soglia raggiunta"))</x:f>
      </x:c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</x:sheetData>
  <x:mergeCells>
    <x:mergeCell ref="A31:K31"/>
  </x:mergeCells>
  <x:conditionalFormatting sqref="G8:G27">
    <x:cfRule type="cellIs" dxfId="8" priority="1" operator="greaterThan">
      <x:formula>0</x:formula>
    </x:cfRule>
    <x:cfRule type="cellIs" dxfId="9" priority="2" operator="lessThan">
      <x:formula>0</x:formula>
    </x:cfRule>
  </x:conditionalFormatting>
  <x:conditionalFormatting sqref="G33:G62">
    <x:cfRule type="cellIs" dxfId="10" priority="3" operator="greaterThan">
      <x:formula>0</x:formula>
    </x:cfRule>
    <x:cfRule type="cellIs" dxfId="11" priority="4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5A81"/>
  </x:sheetPr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3" hidden="0" customWidth="1"/>
    <x:col min="4" max="4" width="75" hidden="0" customWidth="1"/>
    <x:col min="5" max="5" width="3" hidden="0" customWidth="1"/>
    <x:col min="10" max="10" width="24" hidden="0" customWidth="1"/>
    <x:col min="11" max="11" width="3" hidden="0" customWidth="1"/>
    <x:col min="13" max="13" width="2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9" customHeight="1">
      <x:c r="A2" s="3" t="str">
        <x:v>Impostazioni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2" customHeight="1">
      <x:c r="A4" s="5" t="str">
        <x:v>Compila il capitale iniziale. Le altre impostazioni sono modificabili.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0" customHeight="1">
      <x:c r="A5" s="2"/>
      <x:c r="B5" s="2"/>
      <x:c r="C5" s="2"/>
      <x:c r="D5" s="2"/>
      <x:c r="E5" s="2"/>
      <x:c r="F5" s="2"/>
      <x:c r="G5" s="2"/>
      <x:c r="H5" s="2"/>
      <x:c r="I5" s="2"/>
      <x:c r="J5" s="14" t="str">
        <x:v>Strategie</x:v>
      </x:c>
      <x:c r="K5" s="2"/>
      <x:c r="L5" s="2"/>
      <x:c r="M5" s="14" t="str">
        <x:v>Leghe / competizioni</x:v>
      </x:c>
      <x:c r="N5" s="2"/>
      <x:c r="O5" s="2"/>
    </x:row>
    <x:row r="6" ht="22" customHeight="1">
      <x:c r="A6" s="2" t="str">
        <x:v>Bankroll prima del primo record (€)</x:v>
      </x:c>
      <x:c r="B6" s="8"/>
      <x:c r="C6" s="2"/>
      <x:c r="D6" s="5" t="str">
        <x:v>Saldo precedente al primo trade e al primo movimento registrati.</x:v>
      </x:c>
      <x:c r="E6" s="2"/>
      <x:c r="F6" s="2"/>
      <x:c r="G6" s="2"/>
      <x:c r="H6" s="2"/>
      <x:c r="I6" s="2"/>
      <x:c r="J6" s="7" t="str">
        <x:v>Split Over</x:v>
      </x:c>
      <x:c r="K6" s="2"/>
      <x:c r="L6" s="2"/>
      <x:c r="M6" s="7" t="str">
        <x:v>Serie A</x:v>
      </x:c>
      <x:c r="N6" s="2"/>
      <x:c r="O6" s="2"/>
    </x:row>
    <x:row r="7" ht="22" customHeight="1">
      <x:c r="A7" s="2" t="str">
        <x:v>Soglia personale di rischio</x:v>
      </x:c>
      <x:c r="B7" s="9" t="n">
        <x:v>0.05</x:v>
      </x:c>
      <x:c r="C7" s="2"/>
      <x:c r="D7" s="5" t="str">
        <x:v>Solo un controllo rispetto al limite personale. Non determina la puntata.</x:v>
      </x:c>
      <x:c r="E7" s="2"/>
      <x:c r="F7" s="2"/>
      <x:c r="G7" s="2"/>
      <x:c r="H7" s="2"/>
      <x:c r="I7" s="2"/>
      <x:c r="J7" s="7" t="str">
        <x:v>LTD FT</x:v>
      </x:c>
      <x:c r="K7" s="2"/>
      <x:c r="L7" s="2"/>
      <x:c r="M7" s="7" t="str">
        <x:v>Serie B</x:v>
      </x:c>
      <x:c r="N7" s="2"/>
      <x:c r="O7" s="2"/>
    </x:row>
    <x:row r="8" ht="22" customHeight="1">
      <x:c r="A8" s="2" t="str">
        <x:v>Commissione standard</x:v>
      </x:c>
      <x:c r="B8" s="9" t="n">
        <x:v>0.045</x:v>
      </x:c>
      <x:c r="C8" s="2"/>
      <x:c r="D8" s="5" t="str">
        <x:v>Valore iniziale 4,5% da Betfair.it. Verifica il tuo conto o usa la commissione effettiva.</x:v>
      </x:c>
      <x:c r="E8" s="2"/>
      <x:c r="F8" s="2"/>
      <x:c r="G8" s="2"/>
      <x:c r="H8" s="2"/>
      <x:c r="I8" s="2"/>
      <x:c r="J8" s="7" t="str">
        <x:v>LTD SH</x:v>
      </x:c>
      <x:c r="K8" s="2"/>
      <x:c r="L8" s="2"/>
      <x:c r="M8" s="7" t="str">
        <x:v>Premier League</x:v>
      </x:c>
      <x:c r="N8" s="2"/>
      <x:c r="O8" s="2"/>
    </x:row>
    <x:row r="9" ht="22" customHeight="1">
      <x:c r="A9" s="2" t="str">
        <x:v>Anno analisi mensile</x:v>
      </x:c>
      <x:c r="B9" s="10" t="n">
        <x:v>2026</x:v>
      </x:c>
      <x:c r="C9" s="2"/>
      <x:c r="D9" s="5" t="str">
        <x:v>Le statistiche complessive restano su tutti gli anni.</x:v>
      </x:c>
      <x:c r="E9" s="2"/>
      <x:c r="F9" s="2"/>
      <x:c r="G9" s="2"/>
      <x:c r="H9" s="2"/>
      <x:c r="I9" s="2"/>
      <x:c r="J9" s="7" t="str">
        <x:v>Over 0.5 HT</x:v>
      </x:c>
      <x:c r="K9" s="2"/>
      <x:c r="L9" s="2"/>
      <x:c r="M9" s="7" t="str">
        <x:v>LaLiga</x:v>
      </x:c>
      <x:c r="N9" s="2"/>
      <x:c r="O9" s="2"/>
    </x:row>
    <x:row r="10" ht="22" customHeight="1">
      <x:c r="A10" s="2" t="str">
        <x:v>Soglia conteggio campione</x:v>
      </x:c>
      <x:c r="B10" s="10" t="n">
        <x:v>100</x:v>
      </x:c>
      <x:c r="C10" s="2"/>
      <x:c r="D10" s="5" t="str">
        <x:v>Solo un promemoria numerico. Non certifica una strategia o una lega.</x:v>
      </x:c>
      <x:c r="E10" s="2"/>
      <x:c r="F10" s="2"/>
      <x:c r="G10" s="2"/>
      <x:c r="H10" s="2"/>
      <x:c r="I10" s="2"/>
      <x:c r="J10" s="7" t="str">
        <x:v>Over 0.5 SH</x:v>
      </x:c>
      <x:c r="K10" s="2"/>
      <x:c r="L10" s="2"/>
      <x:c r="M10" s="7" t="str">
        <x:v>Bundesliga</x:v>
      </x:c>
      <x:c r="N10" s="2"/>
      <x:c r="O10" s="2"/>
    </x:row>
    <x:row r="11" ht="22" customHeight="1">
      <x:c r="A11" s="2" t="str">
        <x:v>Tolleranza copertura (€)</x:v>
      </x:c>
      <x:c r="B11" s="8" t="n">
        <x:v>0.02</x:v>
      </x:c>
      <x:c r="C11" s="2"/>
      <x:c r="D11" s="5" t="str">
        <x:v>Differenza massima tra i due P/L per usare l’esito Coperto.</x:v>
      </x:c>
      <x:c r="E11" s="2"/>
      <x:c r="F11" s="2"/>
      <x:c r="G11" s="2"/>
      <x:c r="H11" s="2"/>
      <x:c r="I11" s="2"/>
      <x:c r="J11" s="7" t="str">
        <x:v>HT drop asiatico</x:v>
      </x:c>
      <x:c r="K11" s="2"/>
      <x:c r="L11" s="2"/>
      <x:c r="M11" s="7" t="str">
        <x:v>Ligue 1</x:v>
      </x:c>
      <x:c r="N11" s="2"/>
      <x:c r="O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7" t="str">
        <x:v>Lay favorita</x:v>
      </x:c>
      <x:c r="K12" s="2"/>
      <x:c r="L12" s="2"/>
      <x:c r="M12" s="7" t="str">
        <x:v>Eredivisie</x:v>
      </x:c>
      <x:c r="N12" s="2"/>
      <x:c r="O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7" t="str">
        <x:v>Altro</x:v>
      </x:c>
      <x:c r="K13" s="2"/>
      <x:c r="L13" s="2"/>
      <x:c r="M13" s="7" t="str">
        <x:v>Primeira Liga</x:v>
      </x:c>
      <x:c r="N13" s="2"/>
      <x:c r="O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7" t="str">
        <x:v>Next Goal</x:v>
      </x:c>
      <x:c r="K14" s="2"/>
      <x:c r="L14" s="2"/>
      <x:c r="M14" s="7" t="str">
        <x:v>Champions League</x:v>
      </x:c>
      <x:c r="N14" s="2"/>
      <x:c r="O14" s="2"/>
    </x:row>
    <x:row r="15" ht="22" customHeight="1">
      <x:c r="A15" s="5" t="str">
        <x:v>Elenchi: strategie univoche. Le leghe sono suggerimenti; le analisi leggono i nomi inseriti nel Diario.</x:v>
      </x:c>
      <x:c r="B15" s="2"/>
      <x:c r="C15" s="2"/>
      <x:c r="D15" s="2"/>
      <x:c r="E15" s="2"/>
      <x:c r="F15" s="2"/>
      <x:c r="G15" s="2"/>
      <x:c r="H15" s="2"/>
      <x:c r="I15" s="2"/>
      <x:c r="J15" s="7"/>
      <x:c r="K15" s="2"/>
      <x:c r="L15" s="2"/>
      <x:c r="M15" s="7" t="str">
        <x:v>Europa League</x:v>
      </x:c>
      <x:c r="N15" s="2"/>
      <x:c r="O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7"/>
      <x:c r="K16" s="2"/>
      <x:c r="L16" s="2"/>
      <x:c r="M16" s="7" t="str">
        <x:v>El Salvador Liga de Ascenso</x:v>
      </x:c>
      <x:c r="N16" s="2"/>
      <x:c r="O16" s="2"/>
    </x:row>
    <x:row r="17" ht="22" customHeight="1">
      <x:c r="A17" s="5" t="str">
        <x:v>Fonte commissione: Betfair Italia, Commissioni, consultata il 16/10/2026.</x:v>
      </x:c>
      <x:c r="B17" s="2"/>
      <x:c r="C17" s="2"/>
      <x:c r="D17" s="2"/>
      <x:c r="E17" s="2"/>
      <x:c r="F17" s="2"/>
      <x:c r="G17" s="2"/>
      <x:c r="H17" s="2"/>
      <x:c r="I17" s="2"/>
      <x:c r="J17" s="7"/>
      <x:c r="K17" s="2"/>
      <x:c r="L17" s="2"/>
      <x:c r="M17" s="7" t="str">
        <x:v>UEFA Conference League</x:v>
      </x:c>
      <x:c r="N17" s="2"/>
      <x:c r="O17" s="2"/>
    </x:row>
    <x:row r="18" ht="22" customHeight="1">
      <x:c r="A18" s="5" t="str">
        <x:v>https://www.betfair.it/aboutUs/commissioni/</x:v>
      </x:c>
      <x:c r="B18" s="2"/>
      <x:c r="C18" s="2"/>
      <x:c r="D18" s="2"/>
      <x:c r="E18" s="2"/>
      <x:c r="F18" s="2"/>
      <x:c r="G18" s="2"/>
      <x:c r="H18" s="2"/>
      <x:c r="I18" s="2"/>
      <x:c r="J18" s="7"/>
      <x:c r="K18" s="2"/>
      <x:c r="L18" s="2"/>
      <x:c r="M18" s="7"/>
      <x:c r="N18" s="2"/>
      <x:c r="O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7"/>
      <x:c r="K19" s="2"/>
      <x:c r="L19" s="2"/>
      <x:c r="M19" s="7"/>
      <x:c r="N19" s="2"/>
      <x:c r="O19" s="2"/>
    </x:row>
    <x:row r="20" ht="22" customHeight="1">
      <x:c r="A20" s="5" t="str">
        <x:v>La commissione automatica si applica al profitto positivo dell’intero mercato registrato.</x:v>
      </x:c>
      <x:c r="B20" s="2"/>
      <x:c r="C20" s="2"/>
      <x:c r="D20" s="2"/>
      <x:c r="E20" s="2"/>
      <x:c r="F20" s="2"/>
      <x:c r="G20" s="2"/>
      <x:c r="H20" s="2"/>
      <x:c r="I20" s="2"/>
      <x:c r="J20" s="7"/>
      <x:c r="K20" s="2"/>
      <x:c r="L20" s="2"/>
      <x:c r="M20" s="7"/>
      <x:c r="N20" s="2"/>
      <x:c r="O20" s="2"/>
    </x:row>
    <x:row r="21" ht="22" customHeight="1">
      <x:c r="A21" s="5" t="str">
        <x:v>Una campagna per conto e mercato: riunisci rientri e ingressi multipli nello stesso ID.</x:v>
      </x:c>
      <x:c r="B21" s="2"/>
      <x:c r="C21" s="2"/>
      <x:c r="D21" s="2"/>
      <x:c r="E21" s="2"/>
      <x:c r="F21" s="2"/>
      <x:c r="G21" s="2"/>
      <x:c r="H21" s="2"/>
      <x:c r="I21" s="2"/>
      <x:c r="J21" s="7"/>
      <x:c r="K21" s="2"/>
      <x:c r="L21" s="2"/>
      <x:c r="M21" s="7"/>
      <x:c r="N21" s="2"/>
      <x:c r="O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7"/>
      <x:c r="K22" s="2"/>
      <x:c r="L22" s="2"/>
      <x:c r="M22" s="7"/>
      <x:c r="N22" s="2"/>
      <x:c r="O22" s="2"/>
    </x:row>
    <x:row r="23" ht="22" customHeight="1">
      <x:c r="A23" s="5" t="str">
        <x:v>Giallo: dati da inserire. Grigio chiaro: formule. Verde/rosso: segno dei risultati.</x:v>
      </x:c>
      <x:c r="B23" s="2"/>
      <x:c r="C23" s="2"/>
      <x:c r="D23" s="2"/>
      <x:c r="E23" s="2"/>
      <x:c r="F23" s="2"/>
      <x:c r="G23" s="2"/>
      <x:c r="H23" s="2"/>
      <x:c r="I23" s="2"/>
      <x:c r="J23" s="7"/>
      <x:c r="K23" s="2"/>
      <x:c r="L23" s="2"/>
      <x:c r="M23" s="7"/>
      <x:c r="N23" s="2"/>
      <x:c r="O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7"/>
      <x:c r="K24" s="2"/>
      <x:c r="L24" s="2"/>
      <x:c r="M24" s="7"/>
      <x:c r="N24" s="2"/>
      <x:c r="O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7"/>
      <x:c r="K25" s="2"/>
      <x:c r="L25" s="2"/>
      <x:c r="M25" s="7"/>
      <x:c r="N25" s="2"/>
      <x:c r="O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7"/>
      <x:c r="N26" s="2"/>
      <x:c r="O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7"/>
      <x:c r="N27" s="2"/>
      <x:c r="O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7"/>
      <x:c r="N28" s="2"/>
      <x:c r="O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7"/>
      <x:c r="N29" s="2"/>
      <x:c r="O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7"/>
      <x:c r="N30" s="2"/>
      <x:c r="O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7"/>
      <x:c r="N31" s="2"/>
      <x:c r="O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7"/>
      <x:c r="N32" s="2"/>
      <x:c r="O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7"/>
      <x:c r="N33" s="2"/>
      <x:c r="O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7"/>
      <x:c r="N34" s="2"/>
      <x:c r="O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7"/>
      <x:c r="N35" s="2"/>
      <x:c r="O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</x:sheetData>
  <x:dataValidations count="5">
    <x:dataValidation type="decimal" operator="between" sqref="B6">
      <x:formula1>0</x:formula1>
      <x:formula2>1000000000</x:formula2>
    </x:dataValidation>
    <x:dataValidation type="decimal" operator="between" sqref="B7:B8">
      <x:formula1>0</x:formula1>
      <x:formula2>1</x:formula2>
    </x:dataValidation>
    <x:dataValidation type="whole" operator="between" sqref="B9">
      <x:formula1>2000</x:formula1>
      <x:formula2>2100</x:formula2>
    </x:dataValidation>
    <x:dataValidation type="whole" operator="between" sqref="B10">
      <x:formula1>1</x:formula1>
      <x:formula2>100000</x:formula2>
    </x:dataValidation>
    <x:dataValidation type="decimal" operator="between" sqref="B11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32" hidden="0" customWidth="1"/>
    <x:col min="5" max="5" width="23" hidden="0" customWidth="1"/>
    <x:col min="6" max="6" width="23" hidden="0" customWidth="1"/>
    <x:col min="7" max="7" width="29" hidden="0" customWidth="1"/>
    <x:col min="8" max="8" width="22" hidden="0" customWidth="1"/>
    <x:col min="9" max="9" width="21" hidden="0" customWidth="1"/>
    <x:col min="10" max="10" width="16" hidden="0" customWidth="1"/>
    <x:col min="11" max="11" width="13" hidden="0" customWidth="1"/>
    <x:col min="12" max="12" width="14" hidden="0" customWidth="1"/>
    <x:col min="13" max="13" width="13" hidden="0" customWidth="1"/>
    <x:col min="14" max="14" width="20" hidden="0" customWidth="1"/>
    <x:col min="15" max="15" width="18" hidden="0" customWidth="1"/>
    <x:col min="16" max="16" width="20" hidden="0" customWidth="1"/>
    <x:col min="17" max="17" width="21" hidden="0" customWidth="1"/>
    <x:col min="18" max="18" width="16" hidden="0" customWidth="1"/>
    <x:col min="19" max="19" width="17" hidden="0" customWidth="1"/>
    <x:col min="20" max="20" width="18" hidden="0" customWidth="1"/>
    <x:col min="21" max="21" width="45" hidden="0" customWidth="1"/>
    <x:col min="22" max="22" width="35" hidden="0" customWidth="1"/>
    <x:col min="23" max="23" width="14" hidden="0" customWidth="1"/>
    <x:col min="24" max="24" width="18" hidden="0" customWidth="1"/>
    <x:col min="25" max="25" width="18" hidden="0" customWidth="1"/>
    <x:col min="26" max="26" width="19" hidden="0" customWidth="1"/>
    <x:col min="27" max="27" width="18" hidden="0" customWidth="1"/>
    <x:col min="28" max="28" width="18" hidden="0" customWidth="1"/>
    <x:col min="29" max="29" width="18" hidden="0" customWidth="1"/>
    <x:col min="30" max="30" width="19" hidden="0" customWidth="1"/>
    <x:col min="31" max="31" width="18" hidden="0" customWidth="1"/>
    <x:col min="32" max="32" width="16" hidden="0" customWidth="1"/>
    <x:col min="33" max="33" width="19" hidden="0" customWidth="1"/>
    <x:col min="34" max="34" width="16" hidden="0" customWidth="1"/>
    <x:col min="35" max="35" width="18" hidden="0" customWidth="1"/>
    <x:col min="36" max="36" width="18" hidden="0" customWidth="1"/>
    <x:col min="37" max="37" width="16" hidden="0" customWidth="1"/>
    <x:col min="38" max="38" width="14" hidden="0" customWidth="1"/>
    <x:col min="39" max="39" width="14" hidden="0" customWidth="1"/>
    <x:col min="40" max="40" width="21" hidden="0" customWidth="1"/>
    <x:col min="41" max="41" width="18" hidden="0" customWidth="1"/>
    <x:col min="42" max="42" width="24" hidden="0" customWidth="1"/>
    <x:col min="43" max="43" width="27" hidden="0" customWidth="1"/>
    <x:col min="44" max="44" width="18" hidden="0" customWidth="1"/>
    <x:col min="45" max="45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</x:row>
    <x:row r="2" ht="29" customHeight="1">
      <x:c r="A2" s="3" t="str">
        <x:v>Diario delle campagne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</x:row>
    <x:row r="4" ht="22" customHeight="1">
      <x:c r="A4" s="5" t="str">
        <x:v>Una riga per conto e mercato. Compila A:V. Le formule da W in avanti si aggiornano automaticamente.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</x:row>
    <x:row r="7" ht="40" customHeight="1">
      <x:c r="A7" s="15" t="str">
        <x:v>ID campagna</x:v>
      </x:c>
      <x:c r="B7" s="16" t="str">
        <x:v>Data/ora apertura</x:v>
      </x:c>
      <x:c r="C7" s="16" t="str">
        <x:v>Data/ora chiusura</x:v>
      </x:c>
      <x:c r="D7" s="16" t="str">
        <x:v>Evento</x:v>
      </x:c>
      <x:c r="E7" s="16" t="str">
        <x:v>Lega</x:v>
      </x:c>
      <x:c r="F7" s="16" t="str">
        <x:v>Strategia</x:v>
      </x:c>
      <x:c r="G7" s="16" t="str">
        <x:v>Mercato / selezione</x:v>
      </x:c>
      <x:c r="H7" s="16" t="str">
        <x:v>Conto / exchange</x:v>
      </x:c>
      <x:c r="I7" s="16" t="str">
        <x:v>Modalità risultato</x:v>
      </x:c>
      <x:c r="J7" s="16" t="str">
        <x:v>Stato</x:v>
      </x:c>
      <x:c r="K7" s="16" t="str">
        <x:v>Minuto ingresso</x:v>
      </x:c>
      <x:c r="L7" s="16" t="str">
        <x:v>Score ingresso</x:v>
      </x:c>
      <x:c r="M7" s="16" t="str">
        <x:v>Minuto uscita</x:v>
      </x:c>
      <x:c r="N7" s="16" t="str">
        <x:v>Motivo uscita</x:v>
      </x:c>
      <x:c r="O7" s="16" t="str">
        <x:v>Rischio manuale €</x:v>
      </x:c>
      <x:c r="P7" s="16" t="str">
        <x:v>Risultato manuale €</x:v>
      </x:c>
      <x:c r="Q7" s="16" t="str">
        <x:v>Commissione effettiva €</x:v>
      </x:c>
      <x:c r="R7" s="16" t="str">
        <x:v>Aliquota specifica</x:v>
      </x:c>
      <x:c r="S7" s="16" t="str">
        <x:v>Esito selezione</x:v>
      </x:c>
      <x:c r="T7" s="16" t="str">
        <x:v>Piano rispettato</x:v>
      </x:c>
      <x:c r="U7" s="16" t="str">
        <x:v>Note / errori</x:v>
      </x:c>
      <x:c r="V7" s="16" t="str">
        <x:v>Link screenshot</x:v>
      </x:c>
      <x:c r="W7" s="16" t="str">
        <x:v>Ordini validi</x:v>
      </x:c>
      <x:c r="X7" s="16" t="str">
        <x:v>P/L se vince €</x:v>
      </x:c>
      <x:c r="Y7" s="16" t="str">
        <x:v>P/L se perde €</x:v>
      </x:c>
      <x:c r="Z7" s="16" t="str">
        <x:v>Rischio massimo €</x:v>
      </x:c>
      <x:c r="AA7" s="16" t="str">
        <x:v>P/L lordo €</x:v>
      </x:c>
      <x:c r="AB7" s="16" t="str">
        <x:v>Commissione €</x:v>
      </x:c>
      <x:c r="AC7" s="16" t="str">
        <x:v>P/L netto €</x:v>
      </x:c>
      <x:c r="AD7" s="16" t="str">
        <x:v>Esito campagna</x:v>
      </x:c>
      <x:c r="AE7" s="16" t="str">
        <x:v>Rendimento / rischio</x:v>
      </x:c>
      <x:c r="AF7" s="16" t="str">
        <x:v>Ordine chiusura</x:v>
      </x:c>
      <x:c r="AG7" s="16" t="str">
        <x:v>Utile cumulato €</x:v>
      </x:c>
      <x:c r="AH7" s="16" t="str">
        <x:v>Contabilizzato</x:v>
      </x:c>
      <x:c r="AI7" s="16" t="str">
        <x:v>Picco utile €</x:v>
      </x:c>
      <x:c r="AJ7" s="16" t="str">
        <x:v>Drawdown €</x:v>
      </x:c>
      <x:c r="AK7" s="16" t="str">
        <x:v>Drawdown %</x:v>
      </x:c>
      <x:c r="AL7" s="16" t="str">
        <x:v>Serie green</x:v>
      </x:c>
      <x:c r="AM7" s="16" t="str">
        <x:v>Serie red</x:v>
      </x:c>
      <x:c r="AN7" s="16" t="str">
        <x:v>Bankroll apertura €</x:v>
      </x:c>
      <x:c r="AO7" s="16" t="str">
        <x:v>Rischio / bankroll</x:v>
      </x:c>
      <x:c r="AP7" s="16" t="str">
        <x:v>Controllo rischio</x:v>
      </x:c>
      <x:c r="AQ7" s="16" t="str">
        <x:v>Dati campagna</x:v>
      </x:c>
      <x:c r="AR7" s="17" t="str">
        <x:v>Rischio aperto €</x:v>
      </x:c>
      <x:c r="AS7" s="46" t="str">
        <x:v>Indice lega</x:v>
      </x:c>
    </x:row>
    <x:row r="8" ht="22" customHeight="1">
      <x:c r="A8" s="7"/>
      <x:c r="B8" s="19"/>
      <x:c r="C8" s="19"/>
      <x:c r="D8" s="7"/>
      <x:c r="E8" s="7"/>
      <x:c r="F8" s="7"/>
      <x:c r="G8" s="7"/>
      <x:c r="H8" s="7"/>
      <x:c r="I8" s="7"/>
      <x:c r="J8" s="7"/>
      <x:c r="K8" s="10"/>
      <x:c r="L8" s="7"/>
      <x:c r="M8" s="10"/>
      <x:c r="N8" s="7"/>
      <x:c r="O8" s="8"/>
      <x:c r="P8" s="8"/>
      <x:c r="Q8" s="8"/>
      <x:c r="R8" s="9"/>
      <x:c r="S8" s="7"/>
      <x:c r="T8" s="7"/>
      <x:c r="U8" s="7"/>
      <x:c r="V8" s="7"/>
      <x:c r="W8" s="22" t="str">
        <x:f>IF(A8="","",COUNTIFS('Esecuzioni'!$A$8:$A$1007,A8,'Esecuzioni'!$Q$8:$Q$1007,"OK"))</x:f>
      </x:c>
      <x:c r="X8" s="20" t="str">
        <x:f>IF(OR(A8="",I8&lt;&gt;"Esecuzioni",W8=0),"",SUMIFS('Esecuzioni'!$L$8:$L$1007,'Esecuzioni'!$A$8:$A$1007,A8))</x:f>
      </x:c>
      <x:c r="Y8" s="20" t="str">
        <x:f>IF(OR(A8="",I8&lt;&gt;"Esecuzioni",W8=0),"",SUMIFS('Esecuzioni'!$M$8:$M$1007,'Esecuzioni'!$A$8:$A$1007,A8))</x:f>
      </x:c>
      <x:c r="Z8" s="20" t="str">
        <x:f>IF(A8="","",IF(J8="Annullato",0,IF(ISNUMBER(O8),O8,IF(AND(I8="Esecuzioni",W8&gt;0),_xlfn.MAXIFS('Esecuzioni'!$P$8:$P$1007,'Esecuzioni'!$A$8:$A$1007,A8),""))))</x:f>
      </x:c>
      <x:c r="AA8" s="20" t="str">
        <x:f>IF(OR(A8="",J8="Aperto"),"",IF(J8="Annullato",0,IF(I8="Lordo manuale",IF(ISNUMBER(P8),P8,""),IF(I8="Netto manuale",IF(AND(ISNUMBER(P8),ISNUMBER(Q8)),P8+Q8,""),IF(OR(W8=0,COUNTIFS('Esecuzioni'!$A$8:$A$1007,A8,'Esecuzioni'!$Q$8:$Q$1007,"&lt;&gt;OK")&gt;0),"",IF(S8="Vince",X8,IF(S8="Perde",Y8,IF(AND(S8="Coperto",ABS(X8-Y8)&lt;='Impostazioni'!$B$11),ROUND((X8+Y8)/2,2),""))))))))</x:f>
      </x:c>
      <x:c r="AB8" s="20" t="str">
        <x:f>IF(NOT(ISNUMBER(AA8)),"",IF(J8="Annullato",0,IF(ISNUMBER(Q8),Q8,ROUND(MAX(0,AA8)*IF(ISNUMBER(R8),R8,'Impostazioni'!$B$8),2))))</x:f>
      </x:c>
      <x:c r="AC8" s="20" t="str">
        <x:f>IF(AND(ISNUMBER(AA8),ISNUMBER(AB8)),ROUND(AA8-AB8,2),"")</x:f>
      </x:c>
      <x:c r="AD8" s="18" t="str">
        <x:f>IF(A8="","",IF(AQ8&lt;&gt;"OK","Incompleto",IF(J8="Aperto","Aperto",IF(J8="Annullato","Annullato",IF(AC8&gt;0,"Green",IF(AC8&lt;0,"Red","Flat"))))))</x:f>
      </x:c>
      <x:c r="AE8" s="21" t="str">
        <x:f>IF(AND(AH8=1,Z8&gt;0),AC8/Z8,"")</x:f>
      </x:c>
      <x:c r="AF8" s="22" t="str">
        <x:f>IF(AH8&lt;&gt;1,"",COUNTIFS($C$8:$C$507,"&lt;"&amp;C8,$AH$8:$AH$507,1)+COUNTIFS($C$8:$C$507,C8,$A$8:$A$507,"&lt;="&amp;A8,$AH$8:$AH$507,1))</x:f>
      </x:c>
      <x:c r="AG8" s="20" t="str">
        <x:f>IF(AH8&lt;&gt;1,"",SUMIFS($AC$8:$AC$507,$C$8:$C$507,"&lt;"&amp;C8,$AH$8:$AH$507,1)+SUMIFS($AC$8:$AC$507,$C$8:$C$507,C8,$A$8:$A$507,"&lt;="&amp;A8,$AH$8:$AH$507,1))</x:f>
      </x:c>
      <x:c r="AH8" s="22" t="str">
        <x:f>IF(A8="","",IF(AND(J8="Chiuso",AQ8="OK",ISNUMBER(AC8)),1,0))</x:f>
      </x:c>
      <x:c r="AI8" s="20" t="str">
        <x:f>IF(AH8&lt;&gt;1,"",MAX(0,_xlfn.MAXIFS($AG$8:$AG$507,$AF$8:$AF$507,"&lt;="&amp;AF8,$AH$8:$AH$507,1)))</x:f>
      </x:c>
      <x:c r="AJ8" s="20" t="str">
        <x:f>IF(AH8&lt;&gt;1,"",MAX(0,AI8-AG8))</x:f>
      </x:c>
      <x:c r="AK8" s="21" t="str">
        <x:f>IF(OR(AH8&lt;&gt;1,NOT(ISNUMBER('Impostazioni'!$B$6)),'Impostazioni'!$B$6+AI8&lt;=0),"",AJ8/('Impostazioni'!$B$6+AI8))</x:f>
      </x:c>
      <x:c r="AL8" s="22" t="str">
        <x:f>IF(AH8&lt;&gt;1,"",IF(AC8&gt;0,AF8-_xlfn.MAXIFS($AF$8:$AF$507,$AF$8:$AF$507,"&lt;="&amp;AF8,$AC$8:$AC$507,"&lt;=0",$AH$8:$AH$507,1),0))</x:f>
      </x:c>
      <x:c r="AM8" s="22" t="str">
        <x:f>IF(AH8&lt;&gt;1,"",IF(AC8&lt;0,AF8-_xlfn.MAXIFS($AF$8:$AF$507,$AF$8:$AF$507,"&lt;="&amp;AF8,$AC$8:$AC$507,"&gt;=0",$AH$8:$AH$507,1),0))</x:f>
      </x:c>
      <x:c r="AN8" s="20" t="str">
        <x:f>IF(OR(A8="",NOT(ISNUMBER(B8)),NOT(ISNUMBER('Impostazioni'!$B$6))),"",'Impostazioni'!$B$6+SUMIFS($AC$8:$AC$507,$C$8:$C$507,"&lt;"&amp;B8,$AH$8:$AH$507,1)+SUMIFS('Cassa'!$F$8:$F$307,'Cassa'!$A$8:$A$307,"&lt;="&amp;B8,'Cassa'!$G$8:$G$307,"OK"))</x:f>
      </x:c>
      <x:c r="AO8" s="21" t="str">
        <x:f>IF(AND(ISNUMBER(Z8),ISNUMBER(AN8),AN8&gt;0),Z8/AN8,"")</x:f>
      </x:c>
      <x:c r="AP8" s="18" t="str">
        <x:f>IF(NOT(ISNUMBER(AO8)),"",IF(AO8&gt;'Impostazioni'!$B$7,"Oltre soglia personale","Nella soglia personale"))</x:f>
      </x:c>
      <x:c r="AQ8" s="18" t="str">
        <x:f>IF(A8="",IF(COUNTA(B8:V8)=0,"","Inserisci ID"),IF(COUNTIFS($A$8:$A$507,A8)&lt;&gt;1,"ID duplicato",IF(OR(NOT(ISNUMBER(B8)),D8="",E8="",F8="",G8="",H8="",COUNTIFS('Impostazioni'!$J$6:$J$25,F8)&lt;&gt;1),"Completa dati / elenchi",IF(OR(AND(I8&lt;&gt;"Lordo manuale",I8&lt;&gt;"Netto manuale",I8&lt;&gt;"Esecuzioni"),AND(J8&lt;&gt;"Aperto",J8&lt;&gt;"Chiuso",J8&lt;&gt;"Annullato")),"Modalità / stato mancanti",IF(AND(J8&lt;&gt;"Aperto",OR(NOT(ISNUMBER(C8)),C8&lt;B8)),"Correggi data chiusura",IF(OR(AND(Q8&lt;&gt;"",OR(NOT(ISNUMBER(Q8)),Q8&lt;0)),AND(R8&lt;&gt;"",OR(NOT(ISNUMBER(R8)),R8&lt;0,R8&gt;1))),"Commissione non valida",IF(J8="Annullato","OK",IF(OR(NOT(ISNUMBER(Z8)),Z8&lt;0,AND(O8&lt;&gt;"",NOT(ISNUMBER(O8)))),"Inserisci rischio",IF(AND(I8="Esecuzioni",OR(W8=0,COUNTIFS('Esecuzioni'!$A$8:$A$1007,A8,'Esecuzioni'!$Q$8:$Q$1007,"&lt;&gt;OK")&gt;0)),"Correggi esecuzioni",IF(J8="Aperto","OK",IF(AND(I8="Esecuzioni",S8="Coperto",ABS(X8-Y8)&gt;'Impostazioni'!$B$11),"Copertura residua",IF(NOT(ISNUMBER(AC8)),"Completa risultato / esito",IF(AND(Z8=0,AC8&lt;&gt;0),"Rischio nullo con P/L","OK")))))))))))))</x:f>
      </x:c>
      <x:c r="AR8" s="20" t="str">
        <x:f>IF(OR(A8="",J8&lt;&gt;"Aperto",AQ8&lt;&gt;"OK"),"",IF(I8="Esecuzioni",SUMIFS('Esecuzioni'!$P$8:$P$1007,'Esecuzioni'!$A$8:$A$1007,A8,'Esecuzioni'!$B$8:$B$1007,_xlfn.MAXIFS('Esecuzioni'!$B$8:$B$1007,'Esecuzioni'!$A$8:$A$1007,A8)),IF(LEFT(U8,8)="FREEBET:",0,Z8)))</x:f>
      </x:c>
      <x:c r="AS8" s="48" t="str">
        <x:f>IF(OR(A8="",E8=""),"",IF(COUNTIFS($E$8:E8,E8)=1,COUNT($AS$7:AS7)+1,""))</x:f>
      </x:c>
    </x:row>
    <x:row r="9" ht="22" customHeight="1">
      <x:c r="A9" s="7"/>
      <x:c r="B9" s="19"/>
      <x:c r="C9" s="19"/>
      <x:c r="D9" s="7"/>
      <x:c r="E9" s="7"/>
      <x:c r="F9" s="7"/>
      <x:c r="G9" s="7"/>
      <x:c r="H9" s="7"/>
      <x:c r="I9" s="7"/>
      <x:c r="J9" s="7"/>
      <x:c r="K9" s="10"/>
      <x:c r="L9" s="7"/>
      <x:c r="M9" s="10"/>
      <x:c r="N9" s="7"/>
      <x:c r="O9" s="8"/>
      <x:c r="P9" s="8"/>
      <x:c r="Q9" s="8"/>
      <x:c r="R9" s="9"/>
      <x:c r="S9" s="7"/>
      <x:c r="T9" s="7"/>
      <x:c r="U9" s="7"/>
      <x:c r="V9" s="7"/>
      <x:c r="W9" s="22" t="str">
        <x:f>IF(A9="","",COUNTIFS('Esecuzioni'!$A$8:$A$1007,A9,'Esecuzioni'!$Q$8:$Q$1007,"OK"))</x:f>
      </x:c>
      <x:c r="X9" s="20" t="str">
        <x:f>IF(OR(A9="",I9&lt;&gt;"Esecuzioni",W9=0),"",SUMIFS('Esecuzioni'!$L$8:$L$1007,'Esecuzioni'!$A$8:$A$1007,A9))</x:f>
      </x:c>
      <x:c r="Y9" s="20" t="str">
        <x:f>IF(OR(A9="",I9&lt;&gt;"Esecuzioni",W9=0),"",SUMIFS('Esecuzioni'!$M$8:$M$1007,'Esecuzioni'!$A$8:$A$1007,A9))</x:f>
      </x:c>
      <x:c r="Z9" s="20" t="str">
        <x:f>IF(A9="","",IF(J9="Annullato",0,IF(ISNUMBER(O9),O9,IF(AND(I9="Esecuzioni",W9&gt;0),_xlfn.MAXIFS('Esecuzioni'!$P$8:$P$1007,'Esecuzioni'!$A$8:$A$1007,A9),""))))</x:f>
      </x:c>
      <x:c r="AA9" s="20" t="str">
        <x:f>IF(OR(A9="",J9="Aperto"),"",IF(J9="Annullato",0,IF(I9="Lordo manuale",IF(ISNUMBER(P9),P9,""),IF(I9="Netto manuale",IF(AND(ISNUMBER(P9),ISNUMBER(Q9)),P9+Q9,""),IF(OR(W9=0,COUNTIFS('Esecuzioni'!$A$8:$A$1007,A9,'Esecuzioni'!$Q$8:$Q$1007,"&lt;&gt;OK")&gt;0),"",IF(S9="Vince",X9,IF(S9="Perde",Y9,IF(AND(S9="Coperto",ABS(X9-Y9)&lt;='Impostazioni'!$B$11),ROUND((X9+Y9)/2,2),""))))))))</x:f>
      </x:c>
      <x:c r="AB9" s="20" t="str">
        <x:f>IF(NOT(ISNUMBER(AA9)),"",IF(J9="Annullato",0,IF(ISNUMBER(Q9),Q9,ROUND(MAX(0,AA9)*IF(ISNUMBER(R9),R9,'Impostazioni'!$B$8),2))))</x:f>
      </x:c>
      <x:c r="AC9" s="20" t="str">
        <x:f>IF(AND(ISNUMBER(AA9),ISNUMBER(AB9)),ROUND(AA9-AB9,2),"")</x:f>
      </x:c>
      <x:c r="AD9" s="18" t="str">
        <x:f>IF(A9="","",IF(AQ9&lt;&gt;"OK","Incompleto",IF(J9="Aperto","Aperto",IF(J9="Annullato","Annullato",IF(AC9&gt;0,"Green",IF(AC9&lt;0,"Red","Flat"))))))</x:f>
      </x:c>
      <x:c r="AE9" s="21" t="str">
        <x:f>IF(AND(AH9=1,Z9&gt;0),AC9/Z9,"")</x:f>
      </x:c>
      <x:c r="AF9" s="22" t="str">
        <x:f>IF(AH9&lt;&gt;1,"",COUNTIFS($C$8:$C$507,"&lt;"&amp;C9,$AH$8:$AH$507,1)+COUNTIFS($C$8:$C$507,C9,$A$8:$A$507,"&lt;="&amp;A9,$AH$8:$AH$507,1))</x:f>
      </x:c>
      <x:c r="AG9" s="20" t="str">
        <x:f>IF(AH9&lt;&gt;1,"",SUMIFS($AC$8:$AC$507,$C$8:$C$507,"&lt;"&amp;C9,$AH$8:$AH$507,1)+SUMIFS($AC$8:$AC$507,$C$8:$C$507,C9,$A$8:$A$507,"&lt;="&amp;A9,$AH$8:$AH$507,1))</x:f>
      </x:c>
      <x:c r="AH9" s="22" t="str">
        <x:f>IF(A9="","",IF(AND(J9="Chiuso",AQ9="OK",ISNUMBER(AC9)),1,0))</x:f>
      </x:c>
      <x:c r="AI9" s="20" t="str">
        <x:f>IF(AH9&lt;&gt;1,"",MAX(0,_xlfn.MAXIFS($AG$8:$AG$507,$AF$8:$AF$507,"&lt;="&amp;AF9,$AH$8:$AH$507,1)))</x:f>
      </x:c>
      <x:c r="AJ9" s="20" t="str">
        <x:f>IF(AH9&lt;&gt;1,"",MAX(0,AI9-AG9))</x:f>
      </x:c>
      <x:c r="AK9" s="21" t="str">
        <x:f>IF(OR(AH9&lt;&gt;1,NOT(ISNUMBER('Impostazioni'!$B$6)),'Impostazioni'!$B$6+AI9&lt;=0),"",AJ9/('Impostazioni'!$B$6+AI9))</x:f>
      </x:c>
      <x:c r="AL9" s="22" t="str">
        <x:f>IF(AH9&lt;&gt;1,"",IF(AC9&gt;0,AF9-_xlfn.MAXIFS($AF$8:$AF$507,$AF$8:$AF$507,"&lt;="&amp;AF9,$AC$8:$AC$507,"&lt;=0",$AH$8:$AH$507,1),0))</x:f>
      </x:c>
      <x:c r="AM9" s="22" t="str">
        <x:f>IF(AH9&lt;&gt;1,"",IF(AC9&lt;0,AF9-_xlfn.MAXIFS($AF$8:$AF$507,$AF$8:$AF$507,"&lt;="&amp;AF9,$AC$8:$AC$507,"&gt;=0",$AH$8:$AH$507,1),0))</x:f>
      </x:c>
      <x:c r="AN9" s="20" t="str">
        <x:f>IF(OR(A9="",NOT(ISNUMBER(B9)),NOT(ISNUMBER('Impostazioni'!$B$6))),"",'Impostazioni'!$B$6+SUMIFS($AC$8:$AC$507,$C$8:$C$507,"&lt;"&amp;B9,$AH$8:$AH$507,1)+SUMIFS('Cassa'!$F$8:$F$307,'Cassa'!$A$8:$A$307,"&lt;="&amp;B9,'Cassa'!$G$8:$G$307,"OK"))</x:f>
      </x:c>
      <x:c r="AO9" s="21" t="str">
        <x:f>IF(AND(ISNUMBER(Z9),ISNUMBER(AN9),AN9&gt;0),Z9/AN9,"")</x:f>
      </x:c>
      <x:c r="AP9" s="18" t="str">
        <x:f>IF(NOT(ISNUMBER(AO9)),"",IF(AO9&gt;'Impostazioni'!$B$7,"Oltre soglia personale","Nella soglia personale"))</x:f>
      </x:c>
      <x:c r="AQ9" s="18" t="str">
        <x:f>IF(A9="",IF(COUNTA(B9:V9)=0,"","Inserisci ID"),IF(COUNTIFS($A$8:$A$507,A9)&lt;&gt;1,"ID duplicato",IF(OR(NOT(ISNUMBER(B9)),D9="",E9="",F9="",G9="",H9="",COUNTIFS('Impostazioni'!$J$6:$J$25,F9)&lt;&gt;1),"Completa dati / elenchi",IF(OR(AND(I9&lt;&gt;"Lordo manuale",I9&lt;&gt;"Netto manuale",I9&lt;&gt;"Esecuzioni"),AND(J9&lt;&gt;"Aperto",J9&lt;&gt;"Chiuso",J9&lt;&gt;"Annullato")),"Modalità / stato mancanti",IF(AND(J9&lt;&gt;"Aperto",OR(NOT(ISNUMBER(C9)),C9&lt;B9)),"Correggi data chiusura",IF(OR(AND(Q9&lt;&gt;"",OR(NOT(ISNUMBER(Q9)),Q9&lt;0)),AND(R9&lt;&gt;"",OR(NOT(ISNUMBER(R9)),R9&lt;0,R9&gt;1))),"Commissione non valida",IF(J9="Annullato","OK",IF(OR(NOT(ISNUMBER(Z9)),Z9&lt;0,AND(O9&lt;&gt;"",NOT(ISNUMBER(O9)))),"Inserisci rischio",IF(AND(I9="Esecuzioni",OR(W9=0,COUNTIFS('Esecuzioni'!$A$8:$A$1007,A9,'Esecuzioni'!$Q$8:$Q$1007,"&lt;&gt;OK")&gt;0)),"Correggi esecuzioni",IF(J9="Aperto","OK",IF(AND(I9="Esecuzioni",S9="Coperto",ABS(X9-Y9)&gt;'Impostazioni'!$B$11),"Copertura residua",IF(NOT(ISNUMBER(AC9)),"Completa risultato / esito",IF(AND(Z9=0,AC9&lt;&gt;0),"Rischio nullo con P/L","OK")))))))))))))</x:f>
      </x:c>
      <x:c r="AR9" s="20" t="str">
        <x:f>IF(OR(A9="",J9&lt;&gt;"Aperto",AQ9&lt;&gt;"OK"),"",IF(I9="Esecuzioni",SUMIFS('Esecuzioni'!$P$8:$P$1007,'Esecuzioni'!$A$8:$A$1007,A9,'Esecuzioni'!$B$8:$B$1007,_xlfn.MAXIFS('Esecuzioni'!$B$8:$B$1007,'Esecuzioni'!$A$8:$A$1007,A9)),IF(LEFT(U9,8)="FREEBET:",0,Z9)))</x:f>
      </x:c>
      <x:c r="AS9" s="48" t="str">
        <x:f>IF(OR(A9="",E9=""),"",IF(COUNTIFS($E$8:E9,E9)=1,COUNT($AS$7:AS8)+1,""))</x:f>
      </x:c>
    </x:row>
    <x:row r="10" ht="22" customHeight="1">
      <x:c r="A10" s="7"/>
      <x:c r="B10" s="19"/>
      <x:c r="C10" s="19"/>
      <x:c r="D10" s="7"/>
      <x:c r="E10" s="7"/>
      <x:c r="F10" s="7"/>
      <x:c r="G10" s="7"/>
      <x:c r="H10" s="7"/>
      <x:c r="I10" s="7"/>
      <x:c r="J10" s="7"/>
      <x:c r="K10" s="10"/>
      <x:c r="L10" s="7"/>
      <x:c r="M10" s="10"/>
      <x:c r="N10" s="7"/>
      <x:c r="O10" s="8"/>
      <x:c r="P10" s="8"/>
      <x:c r="Q10" s="8"/>
      <x:c r="R10" s="9"/>
      <x:c r="S10" s="7"/>
      <x:c r="T10" s="7"/>
      <x:c r="U10" s="7"/>
      <x:c r="V10" s="7"/>
      <x:c r="W10" s="22" t="str">
        <x:f>IF(A10="","",COUNTIFS('Esecuzioni'!$A$8:$A$1007,A10,'Esecuzioni'!$Q$8:$Q$1007,"OK"))</x:f>
      </x:c>
      <x:c r="X10" s="20" t="str">
        <x:f>IF(OR(A10="",I10&lt;&gt;"Esecuzioni",W10=0),"",SUMIFS('Esecuzioni'!$L$8:$L$1007,'Esecuzioni'!$A$8:$A$1007,A10))</x:f>
      </x:c>
      <x:c r="Y10" s="20" t="str">
        <x:f>IF(OR(A10="",I10&lt;&gt;"Esecuzioni",W10=0),"",SUMIFS('Esecuzioni'!$M$8:$M$1007,'Esecuzioni'!$A$8:$A$1007,A10))</x:f>
      </x:c>
      <x:c r="Z10" s="20" t="str">
        <x:f>IF(A10="","",IF(J10="Annullato",0,IF(ISNUMBER(O10),O10,IF(AND(I10="Esecuzioni",W10&gt;0),_xlfn.MAXIFS('Esecuzioni'!$P$8:$P$1007,'Esecuzioni'!$A$8:$A$1007,A10),""))))</x:f>
      </x:c>
      <x:c r="AA10" s="20" t="str">
        <x:f>IF(OR(A10="",J10="Aperto"),"",IF(J10="Annullato",0,IF(I10="Lordo manuale",IF(ISNUMBER(P10),P10,""),IF(I10="Netto manuale",IF(AND(ISNUMBER(P10),ISNUMBER(Q10)),P10+Q10,""),IF(OR(W10=0,COUNTIFS('Esecuzioni'!$A$8:$A$1007,A10,'Esecuzioni'!$Q$8:$Q$1007,"&lt;&gt;OK")&gt;0),"",IF(S10="Vince",X10,IF(S10="Perde",Y10,IF(AND(S10="Coperto",ABS(X10-Y10)&lt;='Impostazioni'!$B$11),ROUND((X10+Y10)/2,2),""))))))))</x:f>
      </x:c>
      <x:c r="AB10" s="20" t="str">
        <x:f>IF(NOT(ISNUMBER(AA10)),"",IF(J10="Annullato",0,IF(ISNUMBER(Q10),Q10,ROUND(MAX(0,AA10)*IF(ISNUMBER(R10),R10,'Impostazioni'!$B$8),2))))</x:f>
      </x:c>
      <x:c r="AC10" s="20" t="str">
        <x:f>IF(AND(ISNUMBER(AA10),ISNUMBER(AB10)),ROUND(AA10-AB10,2),"")</x:f>
      </x:c>
      <x:c r="AD10" s="18" t="str">
        <x:f>IF(A10="","",IF(AQ10&lt;&gt;"OK","Incompleto",IF(J10="Aperto","Aperto",IF(J10="Annullato","Annullato",IF(AC10&gt;0,"Green",IF(AC10&lt;0,"Red","Flat"))))))</x:f>
      </x:c>
      <x:c r="AE10" s="21" t="str">
        <x:f>IF(AND(AH10=1,Z10&gt;0),AC10/Z10,"")</x:f>
      </x:c>
      <x:c r="AF10" s="22" t="str">
        <x:f>IF(AH10&lt;&gt;1,"",COUNTIFS($C$8:$C$507,"&lt;"&amp;C10,$AH$8:$AH$507,1)+COUNTIFS($C$8:$C$507,C10,$A$8:$A$507,"&lt;="&amp;A10,$AH$8:$AH$507,1))</x:f>
      </x:c>
      <x:c r="AG10" s="20" t="str">
        <x:f>IF(AH10&lt;&gt;1,"",SUMIFS($AC$8:$AC$507,$C$8:$C$507,"&lt;"&amp;C10,$AH$8:$AH$507,1)+SUMIFS($AC$8:$AC$507,$C$8:$C$507,C10,$A$8:$A$507,"&lt;="&amp;A10,$AH$8:$AH$507,1))</x:f>
      </x:c>
      <x:c r="AH10" s="22" t="str">
        <x:f>IF(A10="","",IF(AND(J10="Chiuso",AQ10="OK",ISNUMBER(AC10)),1,0))</x:f>
      </x:c>
      <x:c r="AI10" s="20" t="str">
        <x:f>IF(AH10&lt;&gt;1,"",MAX(0,_xlfn.MAXIFS($AG$8:$AG$507,$AF$8:$AF$507,"&lt;="&amp;AF10,$AH$8:$AH$507,1)))</x:f>
      </x:c>
      <x:c r="AJ10" s="20" t="str">
        <x:f>IF(AH10&lt;&gt;1,"",MAX(0,AI10-AG10))</x:f>
      </x:c>
      <x:c r="AK10" s="21" t="str">
        <x:f>IF(OR(AH10&lt;&gt;1,NOT(ISNUMBER('Impostazioni'!$B$6)),'Impostazioni'!$B$6+AI10&lt;=0),"",AJ10/('Impostazioni'!$B$6+AI10))</x:f>
      </x:c>
      <x:c r="AL10" s="22" t="str">
        <x:f>IF(AH10&lt;&gt;1,"",IF(AC10&gt;0,AF10-_xlfn.MAXIFS($AF$8:$AF$507,$AF$8:$AF$507,"&lt;="&amp;AF10,$AC$8:$AC$507,"&lt;=0",$AH$8:$AH$507,1),0))</x:f>
      </x:c>
      <x:c r="AM10" s="22" t="str">
        <x:f>IF(AH10&lt;&gt;1,"",IF(AC10&lt;0,AF10-_xlfn.MAXIFS($AF$8:$AF$507,$AF$8:$AF$507,"&lt;="&amp;AF10,$AC$8:$AC$507,"&gt;=0",$AH$8:$AH$507,1),0))</x:f>
      </x:c>
      <x:c r="AN10" s="20" t="str">
        <x:f>IF(OR(A10="",NOT(ISNUMBER(B10)),NOT(ISNUMBER('Impostazioni'!$B$6))),"",'Impostazioni'!$B$6+SUMIFS($AC$8:$AC$507,$C$8:$C$507,"&lt;"&amp;B10,$AH$8:$AH$507,1)+SUMIFS('Cassa'!$F$8:$F$307,'Cassa'!$A$8:$A$307,"&lt;="&amp;B10,'Cassa'!$G$8:$G$307,"OK"))</x:f>
      </x:c>
      <x:c r="AO10" s="21" t="str">
        <x:f>IF(AND(ISNUMBER(Z10),ISNUMBER(AN10),AN10&gt;0),Z10/AN10,"")</x:f>
      </x:c>
      <x:c r="AP10" s="18" t="str">
        <x:f>IF(NOT(ISNUMBER(AO10)),"",IF(AO10&gt;'Impostazioni'!$B$7,"Oltre soglia personale","Nella soglia personale"))</x:f>
      </x:c>
      <x:c r="AQ10" s="18" t="str">
        <x:f>IF(A10="",IF(COUNTA(B10:V10)=0,"","Inserisci ID"),IF(COUNTIFS($A$8:$A$507,A10)&lt;&gt;1,"ID duplicato",IF(OR(NOT(ISNUMBER(B10)),D10="",E10="",F10="",G10="",H10="",COUNTIFS('Impostazioni'!$J$6:$J$25,F10)&lt;&gt;1),"Completa dati / elenchi",IF(OR(AND(I10&lt;&gt;"Lordo manuale",I10&lt;&gt;"Netto manuale",I10&lt;&gt;"Esecuzioni"),AND(J10&lt;&gt;"Aperto",J10&lt;&gt;"Chiuso",J10&lt;&gt;"Annullato")),"Modalità / stato mancanti",IF(AND(J10&lt;&gt;"Aperto",OR(NOT(ISNUMBER(C10)),C10&lt;B10)),"Correggi data chiusura",IF(OR(AND(Q10&lt;&gt;"",OR(NOT(ISNUMBER(Q10)),Q10&lt;0)),AND(R10&lt;&gt;"",OR(NOT(ISNUMBER(R10)),R10&lt;0,R10&gt;1))),"Commissione non valida",IF(J10="Annullato","OK",IF(OR(NOT(ISNUMBER(Z10)),Z10&lt;0,AND(O10&lt;&gt;"",NOT(ISNUMBER(O10)))),"Inserisci rischio",IF(AND(I10="Esecuzioni",OR(W10=0,COUNTIFS('Esecuzioni'!$A$8:$A$1007,A10,'Esecuzioni'!$Q$8:$Q$1007,"&lt;&gt;OK")&gt;0)),"Correggi esecuzioni",IF(J10="Aperto","OK",IF(AND(I10="Esecuzioni",S10="Coperto",ABS(X10-Y10)&gt;'Impostazioni'!$B$11),"Copertura residua",IF(NOT(ISNUMBER(AC10)),"Completa risultato / esito",IF(AND(Z10=0,AC10&lt;&gt;0),"Rischio nullo con P/L","OK")))))))))))))</x:f>
      </x:c>
      <x:c r="AR10" s="20" t="str">
        <x:f>IF(OR(A10="",J10&lt;&gt;"Aperto",AQ10&lt;&gt;"OK"),"",IF(I10="Esecuzioni",SUMIFS('Esecuzioni'!$P$8:$P$1007,'Esecuzioni'!$A$8:$A$1007,A10,'Esecuzioni'!$B$8:$B$1007,_xlfn.MAXIFS('Esecuzioni'!$B$8:$B$1007,'Esecuzioni'!$A$8:$A$1007,A10)),IF(LEFT(U10,8)="FREEBET:",0,Z10)))</x:f>
      </x:c>
      <x:c r="AS10" s="48" t="str">
        <x:f>IF(OR(A10="",E10=""),"",IF(COUNTIFS($E$8:E10,E10)=1,COUNT($AS$7:AS9)+1,""))</x:f>
      </x:c>
    </x:row>
    <x:row r="11" ht="22" customHeight="1">
      <x:c r="A11" s="7"/>
      <x:c r="B11" s="19"/>
      <x:c r="C11" s="19"/>
      <x:c r="D11" s="7"/>
      <x:c r="E11" s="7"/>
      <x:c r="F11" s="7"/>
      <x:c r="G11" s="7"/>
      <x:c r="H11" s="7"/>
      <x:c r="I11" s="7"/>
      <x:c r="J11" s="7"/>
      <x:c r="K11" s="10"/>
      <x:c r="L11" s="7"/>
      <x:c r="M11" s="10"/>
      <x:c r="N11" s="7"/>
      <x:c r="O11" s="8"/>
      <x:c r="P11" s="8"/>
      <x:c r="Q11" s="8"/>
      <x:c r="R11" s="9"/>
      <x:c r="S11" s="7"/>
      <x:c r="T11" s="7"/>
      <x:c r="U11" s="7"/>
      <x:c r="V11" s="7"/>
      <x:c r="W11" s="22" t="str">
        <x:f>IF(A11="","",COUNTIFS('Esecuzioni'!$A$8:$A$1007,A11,'Esecuzioni'!$Q$8:$Q$1007,"OK"))</x:f>
      </x:c>
      <x:c r="X11" s="20" t="str">
        <x:f>IF(OR(A11="",I11&lt;&gt;"Esecuzioni",W11=0),"",SUMIFS('Esecuzioni'!$L$8:$L$1007,'Esecuzioni'!$A$8:$A$1007,A11))</x:f>
      </x:c>
      <x:c r="Y11" s="20" t="str">
        <x:f>IF(OR(A11="",I11&lt;&gt;"Esecuzioni",W11=0),"",SUMIFS('Esecuzioni'!$M$8:$M$1007,'Esecuzioni'!$A$8:$A$1007,A11))</x:f>
      </x:c>
      <x:c r="Z11" s="20" t="str">
        <x:f>IF(A11="","",IF(J11="Annullato",0,IF(ISNUMBER(O11),O11,IF(AND(I11="Esecuzioni",W11&gt;0),_xlfn.MAXIFS('Esecuzioni'!$P$8:$P$1007,'Esecuzioni'!$A$8:$A$1007,A11),""))))</x:f>
      </x:c>
      <x:c r="AA11" s="20" t="str">
        <x:f>IF(OR(A11="",J11="Aperto"),"",IF(J11="Annullato",0,IF(I11="Lordo manuale",IF(ISNUMBER(P11),P11,""),IF(I11="Netto manuale",IF(AND(ISNUMBER(P11),ISNUMBER(Q11)),P11+Q11,""),IF(OR(W11=0,COUNTIFS('Esecuzioni'!$A$8:$A$1007,A11,'Esecuzioni'!$Q$8:$Q$1007,"&lt;&gt;OK")&gt;0),"",IF(S11="Vince",X11,IF(S11="Perde",Y11,IF(AND(S11="Coperto",ABS(X11-Y11)&lt;='Impostazioni'!$B$11),ROUND((X11+Y11)/2,2),""))))))))</x:f>
      </x:c>
      <x:c r="AB11" s="20" t="str">
        <x:f>IF(NOT(ISNUMBER(AA11)),"",IF(J11="Annullato",0,IF(ISNUMBER(Q11),Q11,ROUND(MAX(0,AA11)*IF(ISNUMBER(R11),R11,'Impostazioni'!$B$8),2))))</x:f>
      </x:c>
      <x:c r="AC11" s="20" t="str">
        <x:f>IF(AND(ISNUMBER(AA11),ISNUMBER(AB11)),ROUND(AA11-AB11,2),"")</x:f>
      </x:c>
      <x:c r="AD11" s="18" t="str">
        <x:f>IF(A11="","",IF(AQ11&lt;&gt;"OK","Incompleto",IF(J11="Aperto","Aperto",IF(J11="Annullato","Annullato",IF(AC11&gt;0,"Green",IF(AC11&lt;0,"Red","Flat"))))))</x:f>
      </x:c>
      <x:c r="AE11" s="21" t="str">
        <x:f>IF(AND(AH11=1,Z11&gt;0),AC11/Z11,"")</x:f>
      </x:c>
      <x:c r="AF11" s="22" t="str">
        <x:f>IF(AH11&lt;&gt;1,"",COUNTIFS($C$8:$C$507,"&lt;"&amp;C11,$AH$8:$AH$507,1)+COUNTIFS($C$8:$C$507,C11,$A$8:$A$507,"&lt;="&amp;A11,$AH$8:$AH$507,1))</x:f>
      </x:c>
      <x:c r="AG11" s="20" t="str">
        <x:f>IF(AH11&lt;&gt;1,"",SUMIFS($AC$8:$AC$507,$C$8:$C$507,"&lt;"&amp;C11,$AH$8:$AH$507,1)+SUMIFS($AC$8:$AC$507,$C$8:$C$507,C11,$A$8:$A$507,"&lt;="&amp;A11,$AH$8:$AH$507,1))</x:f>
      </x:c>
      <x:c r="AH11" s="22" t="str">
        <x:f>IF(A11="","",IF(AND(J11="Chiuso",AQ11="OK",ISNUMBER(AC11)),1,0))</x:f>
      </x:c>
      <x:c r="AI11" s="20" t="str">
        <x:f>IF(AH11&lt;&gt;1,"",MAX(0,_xlfn.MAXIFS($AG$8:$AG$507,$AF$8:$AF$507,"&lt;="&amp;AF11,$AH$8:$AH$507,1)))</x:f>
      </x:c>
      <x:c r="AJ11" s="20" t="str">
        <x:f>IF(AH11&lt;&gt;1,"",MAX(0,AI11-AG11))</x:f>
      </x:c>
      <x:c r="AK11" s="21" t="str">
        <x:f>IF(OR(AH11&lt;&gt;1,NOT(ISNUMBER('Impostazioni'!$B$6)),'Impostazioni'!$B$6+AI11&lt;=0),"",AJ11/('Impostazioni'!$B$6+AI11))</x:f>
      </x:c>
      <x:c r="AL11" s="22" t="str">
        <x:f>IF(AH11&lt;&gt;1,"",IF(AC11&gt;0,AF11-_xlfn.MAXIFS($AF$8:$AF$507,$AF$8:$AF$507,"&lt;="&amp;AF11,$AC$8:$AC$507,"&lt;=0",$AH$8:$AH$507,1),0))</x:f>
      </x:c>
      <x:c r="AM11" s="22" t="str">
        <x:f>IF(AH11&lt;&gt;1,"",IF(AC11&lt;0,AF11-_xlfn.MAXIFS($AF$8:$AF$507,$AF$8:$AF$507,"&lt;="&amp;AF11,$AC$8:$AC$507,"&gt;=0",$AH$8:$AH$507,1),0))</x:f>
      </x:c>
      <x:c r="AN11" s="20" t="str">
        <x:f>IF(OR(A11="",NOT(ISNUMBER(B11)),NOT(ISNUMBER('Impostazioni'!$B$6))),"",'Impostazioni'!$B$6+SUMIFS($AC$8:$AC$507,$C$8:$C$507,"&lt;"&amp;B11,$AH$8:$AH$507,1)+SUMIFS('Cassa'!$F$8:$F$307,'Cassa'!$A$8:$A$307,"&lt;="&amp;B11,'Cassa'!$G$8:$G$307,"OK"))</x:f>
      </x:c>
      <x:c r="AO11" s="21" t="str">
        <x:f>IF(AND(ISNUMBER(Z11),ISNUMBER(AN11),AN11&gt;0),Z11/AN11,"")</x:f>
      </x:c>
      <x:c r="AP11" s="18" t="str">
        <x:f>IF(NOT(ISNUMBER(AO11)),"",IF(AO11&gt;'Impostazioni'!$B$7,"Oltre soglia personale","Nella soglia personale"))</x:f>
      </x:c>
      <x:c r="AQ11" s="18" t="str">
        <x:f>IF(A11="",IF(COUNTA(B11:V11)=0,"","Inserisci ID"),IF(COUNTIFS($A$8:$A$507,A11)&lt;&gt;1,"ID duplicato",IF(OR(NOT(ISNUMBER(B11)),D11="",E11="",F11="",G11="",H11="",COUNTIFS('Impostazioni'!$J$6:$J$25,F11)&lt;&gt;1),"Completa dati / elenchi",IF(OR(AND(I11&lt;&gt;"Lordo manuale",I11&lt;&gt;"Netto manuale",I11&lt;&gt;"Esecuzioni"),AND(J11&lt;&gt;"Aperto",J11&lt;&gt;"Chiuso",J11&lt;&gt;"Annullato")),"Modalità / stato mancanti",IF(AND(J11&lt;&gt;"Aperto",OR(NOT(ISNUMBER(C11)),C11&lt;B11)),"Correggi data chiusura",IF(OR(AND(Q11&lt;&gt;"",OR(NOT(ISNUMBER(Q11)),Q11&lt;0)),AND(R11&lt;&gt;"",OR(NOT(ISNUMBER(R11)),R11&lt;0,R11&gt;1))),"Commissione non valida",IF(J11="Annullato","OK",IF(OR(NOT(ISNUMBER(Z11)),Z11&lt;0,AND(O11&lt;&gt;"",NOT(ISNUMBER(O11)))),"Inserisci rischio",IF(AND(I11="Esecuzioni",OR(W11=0,COUNTIFS('Esecuzioni'!$A$8:$A$1007,A11,'Esecuzioni'!$Q$8:$Q$1007,"&lt;&gt;OK")&gt;0)),"Correggi esecuzioni",IF(J11="Aperto","OK",IF(AND(I11="Esecuzioni",S11="Coperto",ABS(X11-Y11)&gt;'Impostazioni'!$B$11),"Copertura residua",IF(NOT(ISNUMBER(AC11)),"Completa risultato / esito",IF(AND(Z11=0,AC11&lt;&gt;0),"Rischio nullo con P/L","OK")))))))))))))</x:f>
      </x:c>
      <x:c r="AR11" s="20" t="str">
        <x:f>IF(OR(A11="",J11&lt;&gt;"Aperto",AQ11&lt;&gt;"OK"),"",IF(I11="Esecuzioni",SUMIFS('Esecuzioni'!$P$8:$P$1007,'Esecuzioni'!$A$8:$A$1007,A11,'Esecuzioni'!$B$8:$B$1007,_xlfn.MAXIFS('Esecuzioni'!$B$8:$B$1007,'Esecuzioni'!$A$8:$A$1007,A11)),IF(LEFT(U11,8)="FREEBET:",0,Z11)))</x:f>
      </x:c>
      <x:c r="AS11" s="48" t="str">
        <x:f>IF(OR(A11="",E11=""),"",IF(COUNTIFS($E$8:E11,E11)=1,COUNT($AS$7:AS10)+1,""))</x:f>
      </x:c>
    </x:row>
    <x:row r="12" ht="22" customHeight="1">
      <x:c r="A12" s="7"/>
      <x:c r="B12" s="19"/>
      <x:c r="C12" s="19"/>
      <x:c r="D12" s="7"/>
      <x:c r="E12" s="7"/>
      <x:c r="F12" s="7"/>
      <x:c r="G12" s="7"/>
      <x:c r="H12" s="7"/>
      <x:c r="I12" s="7"/>
      <x:c r="J12" s="7"/>
      <x:c r="K12" s="10"/>
      <x:c r="L12" s="7"/>
      <x:c r="M12" s="10"/>
      <x:c r="N12" s="7"/>
      <x:c r="O12" s="8"/>
      <x:c r="P12" s="8"/>
      <x:c r="Q12" s="8"/>
      <x:c r="R12" s="9"/>
      <x:c r="S12" s="7"/>
      <x:c r="T12" s="7"/>
      <x:c r="U12" s="7"/>
      <x:c r="V12" s="7"/>
      <x:c r="W12" s="22" t="str">
        <x:f>IF(A12="","",COUNTIFS('Esecuzioni'!$A$8:$A$1007,A12,'Esecuzioni'!$Q$8:$Q$1007,"OK"))</x:f>
      </x:c>
      <x:c r="X12" s="20" t="str">
        <x:f>IF(OR(A12="",I12&lt;&gt;"Esecuzioni",W12=0),"",SUMIFS('Esecuzioni'!$L$8:$L$1007,'Esecuzioni'!$A$8:$A$1007,A12))</x:f>
      </x:c>
      <x:c r="Y12" s="20" t="str">
        <x:f>IF(OR(A12="",I12&lt;&gt;"Esecuzioni",W12=0),"",SUMIFS('Esecuzioni'!$M$8:$M$1007,'Esecuzioni'!$A$8:$A$1007,A12))</x:f>
      </x:c>
      <x:c r="Z12" s="20" t="str">
        <x:f>IF(A12="","",IF(J12="Annullato",0,IF(ISNUMBER(O12),O12,IF(AND(I12="Esecuzioni",W12&gt;0),_xlfn.MAXIFS('Esecuzioni'!$P$8:$P$1007,'Esecuzioni'!$A$8:$A$1007,A12),""))))</x:f>
      </x:c>
      <x:c r="AA12" s="20" t="str">
        <x:f>IF(OR(A12="",J12="Aperto"),"",IF(J12="Annullato",0,IF(I12="Lordo manuale",IF(ISNUMBER(P12),P12,""),IF(I12="Netto manuale",IF(AND(ISNUMBER(P12),ISNUMBER(Q12)),P12+Q12,""),IF(OR(W12=0,COUNTIFS('Esecuzioni'!$A$8:$A$1007,A12,'Esecuzioni'!$Q$8:$Q$1007,"&lt;&gt;OK")&gt;0),"",IF(S12="Vince",X12,IF(S12="Perde",Y12,IF(AND(S12="Coperto",ABS(X12-Y12)&lt;='Impostazioni'!$B$11),ROUND((X12+Y12)/2,2),""))))))))</x:f>
      </x:c>
      <x:c r="AB12" s="20" t="str">
        <x:f>IF(NOT(ISNUMBER(AA12)),"",IF(J12="Annullato",0,IF(ISNUMBER(Q12),Q12,ROUND(MAX(0,AA12)*IF(ISNUMBER(R12),R12,'Impostazioni'!$B$8),2))))</x:f>
      </x:c>
      <x:c r="AC12" s="20" t="str">
        <x:f>IF(AND(ISNUMBER(AA12),ISNUMBER(AB12)),ROUND(AA12-AB12,2),"")</x:f>
      </x:c>
      <x:c r="AD12" s="18" t="str">
        <x:f>IF(A12="","",IF(AQ12&lt;&gt;"OK","Incompleto",IF(J12="Aperto","Aperto",IF(J12="Annullato","Annullato",IF(AC12&gt;0,"Green",IF(AC12&lt;0,"Red","Flat"))))))</x:f>
      </x:c>
      <x:c r="AE12" s="21" t="str">
        <x:f>IF(AND(AH12=1,Z12&gt;0),AC12/Z12,"")</x:f>
      </x:c>
      <x:c r="AF12" s="22" t="str">
        <x:f>IF(AH12&lt;&gt;1,"",COUNTIFS($C$8:$C$507,"&lt;"&amp;C12,$AH$8:$AH$507,1)+COUNTIFS($C$8:$C$507,C12,$A$8:$A$507,"&lt;="&amp;A12,$AH$8:$AH$507,1))</x:f>
      </x:c>
      <x:c r="AG12" s="20" t="str">
        <x:f>IF(AH12&lt;&gt;1,"",SUMIFS($AC$8:$AC$507,$C$8:$C$507,"&lt;"&amp;C12,$AH$8:$AH$507,1)+SUMIFS($AC$8:$AC$507,$C$8:$C$507,C12,$A$8:$A$507,"&lt;="&amp;A12,$AH$8:$AH$507,1))</x:f>
      </x:c>
      <x:c r="AH12" s="22" t="str">
        <x:f>IF(A12="","",IF(AND(J12="Chiuso",AQ12="OK",ISNUMBER(AC12)),1,0))</x:f>
      </x:c>
      <x:c r="AI12" s="20" t="str">
        <x:f>IF(AH12&lt;&gt;1,"",MAX(0,_xlfn.MAXIFS($AG$8:$AG$507,$AF$8:$AF$507,"&lt;="&amp;AF12,$AH$8:$AH$507,1)))</x:f>
      </x:c>
      <x:c r="AJ12" s="20" t="str">
        <x:f>IF(AH12&lt;&gt;1,"",MAX(0,AI12-AG12))</x:f>
      </x:c>
      <x:c r="AK12" s="21" t="str">
        <x:f>IF(OR(AH12&lt;&gt;1,NOT(ISNUMBER('Impostazioni'!$B$6)),'Impostazioni'!$B$6+AI12&lt;=0),"",AJ12/('Impostazioni'!$B$6+AI12))</x:f>
      </x:c>
      <x:c r="AL12" s="22" t="str">
        <x:f>IF(AH12&lt;&gt;1,"",IF(AC12&gt;0,AF12-_xlfn.MAXIFS($AF$8:$AF$507,$AF$8:$AF$507,"&lt;="&amp;AF12,$AC$8:$AC$507,"&lt;=0",$AH$8:$AH$507,1),0))</x:f>
      </x:c>
      <x:c r="AM12" s="22" t="str">
        <x:f>IF(AH12&lt;&gt;1,"",IF(AC12&lt;0,AF12-_xlfn.MAXIFS($AF$8:$AF$507,$AF$8:$AF$507,"&lt;="&amp;AF12,$AC$8:$AC$507,"&gt;=0",$AH$8:$AH$507,1),0))</x:f>
      </x:c>
      <x:c r="AN12" s="20" t="str">
        <x:f>IF(OR(A12="",NOT(ISNUMBER(B12)),NOT(ISNUMBER('Impostazioni'!$B$6))),"",'Impostazioni'!$B$6+SUMIFS($AC$8:$AC$507,$C$8:$C$507,"&lt;"&amp;B12,$AH$8:$AH$507,1)+SUMIFS('Cassa'!$F$8:$F$307,'Cassa'!$A$8:$A$307,"&lt;="&amp;B12,'Cassa'!$G$8:$G$307,"OK"))</x:f>
      </x:c>
      <x:c r="AO12" s="21" t="str">
        <x:f>IF(AND(ISNUMBER(Z12),ISNUMBER(AN12),AN12&gt;0),Z12/AN12,"")</x:f>
      </x:c>
      <x:c r="AP12" s="18" t="str">
        <x:f>IF(NOT(ISNUMBER(AO12)),"",IF(AO12&gt;'Impostazioni'!$B$7,"Oltre soglia personale","Nella soglia personale"))</x:f>
      </x:c>
      <x:c r="AQ12" s="18" t="str">
        <x:f>IF(A12="",IF(COUNTA(B12:V12)=0,"","Inserisci ID"),IF(COUNTIFS($A$8:$A$507,A12)&lt;&gt;1,"ID duplicato",IF(OR(NOT(ISNUMBER(B12)),D12="",E12="",F12="",G12="",H12="",COUNTIFS('Impostazioni'!$J$6:$J$25,F12)&lt;&gt;1),"Completa dati / elenchi",IF(OR(AND(I12&lt;&gt;"Lordo manuale",I12&lt;&gt;"Netto manuale",I12&lt;&gt;"Esecuzioni"),AND(J12&lt;&gt;"Aperto",J12&lt;&gt;"Chiuso",J12&lt;&gt;"Annullato")),"Modalità / stato mancanti",IF(AND(J12&lt;&gt;"Aperto",OR(NOT(ISNUMBER(C12)),C12&lt;B12)),"Correggi data chiusura",IF(OR(AND(Q12&lt;&gt;"",OR(NOT(ISNUMBER(Q12)),Q12&lt;0)),AND(R12&lt;&gt;"",OR(NOT(ISNUMBER(R12)),R12&lt;0,R12&gt;1))),"Commissione non valida",IF(J12="Annullato","OK",IF(OR(NOT(ISNUMBER(Z12)),Z12&lt;0,AND(O12&lt;&gt;"",NOT(ISNUMBER(O12)))),"Inserisci rischio",IF(AND(I12="Esecuzioni",OR(W12=0,COUNTIFS('Esecuzioni'!$A$8:$A$1007,A12,'Esecuzioni'!$Q$8:$Q$1007,"&lt;&gt;OK")&gt;0)),"Correggi esecuzioni",IF(J12="Aperto","OK",IF(AND(I12="Esecuzioni",S12="Coperto",ABS(X12-Y12)&gt;'Impostazioni'!$B$11),"Copertura residua",IF(NOT(ISNUMBER(AC12)),"Completa risultato / esito",IF(AND(Z12=0,AC12&lt;&gt;0),"Rischio nullo con P/L","OK")))))))))))))</x:f>
      </x:c>
      <x:c r="AR12" s="20" t="str">
        <x:f>IF(OR(A12="",J12&lt;&gt;"Aperto",AQ12&lt;&gt;"OK"),"",IF(I12="Esecuzioni",SUMIFS('Esecuzioni'!$P$8:$P$1007,'Esecuzioni'!$A$8:$A$1007,A12,'Esecuzioni'!$B$8:$B$1007,_xlfn.MAXIFS('Esecuzioni'!$B$8:$B$1007,'Esecuzioni'!$A$8:$A$1007,A12)),IF(LEFT(U12,8)="FREEBET:",0,Z12)))</x:f>
      </x:c>
      <x:c r="AS12" s="48" t="str">
        <x:f>IF(OR(A12="",E12=""),"",IF(COUNTIFS($E$8:E12,E12)=1,COUNT($AS$7:AS11)+1,""))</x:f>
      </x:c>
    </x:row>
    <x:row r="13" ht="22" customHeight="1">
      <x:c r="A13" s="7"/>
      <x:c r="B13" s="19"/>
      <x:c r="C13" s="19"/>
      <x:c r="D13" s="7"/>
      <x:c r="E13" s="7"/>
      <x:c r="F13" s="7"/>
      <x:c r="G13" s="7"/>
      <x:c r="H13" s="7"/>
      <x:c r="I13" s="7"/>
      <x:c r="J13" s="7"/>
      <x:c r="K13" s="10"/>
      <x:c r="L13" s="7"/>
      <x:c r="M13" s="10"/>
      <x:c r="N13" s="7"/>
      <x:c r="O13" s="8"/>
      <x:c r="P13" s="8"/>
      <x:c r="Q13" s="8"/>
      <x:c r="R13" s="9"/>
      <x:c r="S13" s="7"/>
      <x:c r="T13" s="7"/>
      <x:c r="U13" s="7"/>
      <x:c r="V13" s="7"/>
      <x:c r="W13" s="22" t="str">
        <x:f>IF(A13="","",COUNTIFS('Esecuzioni'!$A$8:$A$1007,A13,'Esecuzioni'!$Q$8:$Q$1007,"OK"))</x:f>
      </x:c>
      <x:c r="X13" s="20" t="str">
        <x:f>IF(OR(A13="",I13&lt;&gt;"Esecuzioni",W13=0),"",SUMIFS('Esecuzioni'!$L$8:$L$1007,'Esecuzioni'!$A$8:$A$1007,A13))</x:f>
      </x:c>
      <x:c r="Y13" s="20" t="str">
        <x:f>IF(OR(A13="",I13&lt;&gt;"Esecuzioni",W13=0),"",SUMIFS('Esecuzioni'!$M$8:$M$1007,'Esecuzioni'!$A$8:$A$1007,A13))</x:f>
      </x:c>
      <x:c r="Z13" s="20" t="str">
        <x:f>IF(A13="","",IF(J13="Annullato",0,IF(ISNUMBER(O13),O13,IF(AND(I13="Esecuzioni",W13&gt;0),_xlfn.MAXIFS('Esecuzioni'!$P$8:$P$1007,'Esecuzioni'!$A$8:$A$1007,A13),""))))</x:f>
      </x:c>
      <x:c r="AA13" s="20" t="str">
        <x:f>IF(OR(A13="",J13="Aperto"),"",IF(J13="Annullato",0,IF(I13="Lordo manuale",IF(ISNUMBER(P13),P13,""),IF(I13="Netto manuale",IF(AND(ISNUMBER(P13),ISNUMBER(Q13)),P13+Q13,""),IF(OR(W13=0,COUNTIFS('Esecuzioni'!$A$8:$A$1007,A13,'Esecuzioni'!$Q$8:$Q$1007,"&lt;&gt;OK")&gt;0),"",IF(S13="Vince",X13,IF(S13="Perde",Y13,IF(AND(S13="Coperto",ABS(X13-Y13)&lt;='Impostazioni'!$B$11),ROUND((X13+Y13)/2,2),""))))))))</x:f>
      </x:c>
      <x:c r="AB13" s="20" t="str">
        <x:f>IF(NOT(ISNUMBER(AA13)),"",IF(J13="Annullato",0,IF(ISNUMBER(Q13),Q13,ROUND(MAX(0,AA13)*IF(ISNUMBER(R13),R13,'Impostazioni'!$B$8),2))))</x:f>
      </x:c>
      <x:c r="AC13" s="20" t="str">
        <x:f>IF(AND(ISNUMBER(AA13),ISNUMBER(AB13)),ROUND(AA13-AB13,2),"")</x:f>
      </x:c>
      <x:c r="AD13" s="18" t="str">
        <x:f>IF(A13="","",IF(AQ13&lt;&gt;"OK","Incompleto",IF(J13="Aperto","Aperto",IF(J13="Annullato","Annullato",IF(AC13&gt;0,"Green",IF(AC13&lt;0,"Red","Flat"))))))</x:f>
      </x:c>
      <x:c r="AE13" s="21" t="str">
        <x:f>IF(AND(AH13=1,Z13&gt;0),AC13/Z13,"")</x:f>
      </x:c>
      <x:c r="AF13" s="22" t="str">
        <x:f>IF(AH13&lt;&gt;1,"",COUNTIFS($C$8:$C$507,"&lt;"&amp;C13,$AH$8:$AH$507,1)+COUNTIFS($C$8:$C$507,C13,$A$8:$A$507,"&lt;="&amp;A13,$AH$8:$AH$507,1))</x:f>
      </x:c>
      <x:c r="AG13" s="20" t="str">
        <x:f>IF(AH13&lt;&gt;1,"",SUMIFS($AC$8:$AC$507,$C$8:$C$507,"&lt;"&amp;C13,$AH$8:$AH$507,1)+SUMIFS($AC$8:$AC$507,$C$8:$C$507,C13,$A$8:$A$507,"&lt;="&amp;A13,$AH$8:$AH$507,1))</x:f>
      </x:c>
      <x:c r="AH13" s="22" t="str">
        <x:f>IF(A13="","",IF(AND(J13="Chiuso",AQ13="OK",ISNUMBER(AC13)),1,0))</x:f>
      </x:c>
      <x:c r="AI13" s="20" t="str">
        <x:f>IF(AH13&lt;&gt;1,"",MAX(0,_xlfn.MAXIFS($AG$8:$AG$507,$AF$8:$AF$507,"&lt;="&amp;AF13,$AH$8:$AH$507,1)))</x:f>
      </x:c>
      <x:c r="AJ13" s="20" t="str">
        <x:f>IF(AH13&lt;&gt;1,"",MAX(0,AI13-AG13))</x:f>
      </x:c>
      <x:c r="AK13" s="21" t="str">
        <x:f>IF(OR(AH13&lt;&gt;1,NOT(ISNUMBER('Impostazioni'!$B$6)),'Impostazioni'!$B$6+AI13&lt;=0),"",AJ13/('Impostazioni'!$B$6+AI13))</x:f>
      </x:c>
      <x:c r="AL13" s="22" t="str">
        <x:f>IF(AH13&lt;&gt;1,"",IF(AC13&gt;0,AF13-_xlfn.MAXIFS($AF$8:$AF$507,$AF$8:$AF$507,"&lt;="&amp;AF13,$AC$8:$AC$507,"&lt;=0",$AH$8:$AH$507,1),0))</x:f>
      </x:c>
      <x:c r="AM13" s="22" t="str">
        <x:f>IF(AH13&lt;&gt;1,"",IF(AC13&lt;0,AF13-_xlfn.MAXIFS($AF$8:$AF$507,$AF$8:$AF$507,"&lt;="&amp;AF13,$AC$8:$AC$507,"&gt;=0",$AH$8:$AH$507,1),0))</x:f>
      </x:c>
      <x:c r="AN13" s="20" t="str">
        <x:f>IF(OR(A13="",NOT(ISNUMBER(B13)),NOT(ISNUMBER('Impostazioni'!$B$6))),"",'Impostazioni'!$B$6+SUMIFS($AC$8:$AC$507,$C$8:$C$507,"&lt;"&amp;B13,$AH$8:$AH$507,1)+SUMIFS('Cassa'!$F$8:$F$307,'Cassa'!$A$8:$A$307,"&lt;="&amp;B13,'Cassa'!$G$8:$G$307,"OK"))</x:f>
      </x:c>
      <x:c r="AO13" s="21" t="str">
        <x:f>IF(AND(ISNUMBER(Z13),ISNUMBER(AN13),AN13&gt;0),Z13/AN13,"")</x:f>
      </x:c>
      <x:c r="AP13" s="18" t="str">
        <x:f>IF(NOT(ISNUMBER(AO13)),"",IF(AO13&gt;'Impostazioni'!$B$7,"Oltre soglia personale","Nella soglia personale"))</x:f>
      </x:c>
      <x:c r="AQ13" s="18" t="str">
        <x:f>IF(A13="",IF(COUNTA(B13:V13)=0,"","Inserisci ID"),IF(COUNTIFS($A$8:$A$507,A13)&lt;&gt;1,"ID duplicato",IF(OR(NOT(ISNUMBER(B13)),D13="",E13="",F13="",G13="",H13="",COUNTIFS('Impostazioni'!$J$6:$J$25,F13)&lt;&gt;1),"Completa dati / elenchi",IF(OR(AND(I13&lt;&gt;"Lordo manuale",I13&lt;&gt;"Netto manuale",I13&lt;&gt;"Esecuzioni"),AND(J13&lt;&gt;"Aperto",J13&lt;&gt;"Chiuso",J13&lt;&gt;"Annullato")),"Modalità / stato mancanti",IF(AND(J13&lt;&gt;"Aperto",OR(NOT(ISNUMBER(C13)),C13&lt;B13)),"Correggi data chiusura",IF(OR(AND(Q13&lt;&gt;"",OR(NOT(ISNUMBER(Q13)),Q13&lt;0)),AND(R13&lt;&gt;"",OR(NOT(ISNUMBER(R13)),R13&lt;0,R13&gt;1))),"Commissione non valida",IF(J13="Annullato","OK",IF(OR(NOT(ISNUMBER(Z13)),Z13&lt;0,AND(O13&lt;&gt;"",NOT(ISNUMBER(O13)))),"Inserisci rischio",IF(AND(I13="Esecuzioni",OR(W13=0,COUNTIFS('Esecuzioni'!$A$8:$A$1007,A13,'Esecuzioni'!$Q$8:$Q$1007,"&lt;&gt;OK")&gt;0)),"Correggi esecuzioni",IF(J13="Aperto","OK",IF(AND(I13="Esecuzioni",S13="Coperto",ABS(X13-Y13)&gt;'Impostazioni'!$B$11),"Copertura residua",IF(NOT(ISNUMBER(AC13)),"Completa risultato / esito",IF(AND(Z13=0,AC13&lt;&gt;0),"Rischio nullo con P/L","OK")))))))))))))</x:f>
      </x:c>
      <x:c r="AR13" s="20" t="str">
        <x:f>IF(OR(A13="",J13&lt;&gt;"Aperto",AQ13&lt;&gt;"OK"),"",IF(I13="Esecuzioni",SUMIFS('Esecuzioni'!$P$8:$P$1007,'Esecuzioni'!$A$8:$A$1007,A13,'Esecuzioni'!$B$8:$B$1007,_xlfn.MAXIFS('Esecuzioni'!$B$8:$B$1007,'Esecuzioni'!$A$8:$A$1007,A13)),IF(LEFT(U13,8)="FREEBET:",0,Z13)))</x:f>
      </x:c>
      <x:c r="AS13" s="48" t="str">
        <x:f>IF(OR(A13="",E13=""),"",IF(COUNTIFS($E$8:E13,E13)=1,COUNT($AS$7:AS12)+1,""))</x:f>
      </x:c>
    </x:row>
    <x:row r="14" ht="22" customHeight="1">
      <x:c r="A14" s="7"/>
      <x:c r="B14" s="19"/>
      <x:c r="C14" s="19"/>
      <x:c r="D14" s="7"/>
      <x:c r="E14" s="7"/>
      <x:c r="F14" s="7"/>
      <x:c r="G14" s="7"/>
      <x:c r="H14" s="7"/>
      <x:c r="I14" s="7"/>
      <x:c r="J14" s="7"/>
      <x:c r="K14" s="10"/>
      <x:c r="L14" s="7"/>
      <x:c r="M14" s="10"/>
      <x:c r="N14" s="7"/>
      <x:c r="O14" s="8"/>
      <x:c r="P14" s="8"/>
      <x:c r="Q14" s="8"/>
      <x:c r="R14" s="9"/>
      <x:c r="S14" s="7"/>
      <x:c r="T14" s="7"/>
      <x:c r="U14" s="7"/>
      <x:c r="V14" s="7"/>
      <x:c r="W14" s="22" t="str">
        <x:f>IF(A14="","",COUNTIFS('Esecuzioni'!$A$8:$A$1007,A14,'Esecuzioni'!$Q$8:$Q$1007,"OK"))</x:f>
      </x:c>
      <x:c r="X14" s="20" t="str">
        <x:f>IF(OR(A14="",I14&lt;&gt;"Esecuzioni",W14=0),"",SUMIFS('Esecuzioni'!$L$8:$L$1007,'Esecuzioni'!$A$8:$A$1007,A14))</x:f>
      </x:c>
      <x:c r="Y14" s="20" t="str">
        <x:f>IF(OR(A14="",I14&lt;&gt;"Esecuzioni",W14=0),"",SUMIFS('Esecuzioni'!$M$8:$M$1007,'Esecuzioni'!$A$8:$A$1007,A14))</x:f>
      </x:c>
      <x:c r="Z14" s="20" t="str">
        <x:f>IF(A14="","",IF(J14="Annullato",0,IF(ISNUMBER(O14),O14,IF(AND(I14="Esecuzioni",W14&gt;0),_xlfn.MAXIFS('Esecuzioni'!$P$8:$P$1007,'Esecuzioni'!$A$8:$A$1007,A14),""))))</x:f>
      </x:c>
      <x:c r="AA14" s="20" t="str">
        <x:f>IF(OR(A14="",J14="Aperto"),"",IF(J14="Annullato",0,IF(I14="Lordo manuale",IF(ISNUMBER(P14),P14,""),IF(I14="Netto manuale",IF(AND(ISNUMBER(P14),ISNUMBER(Q14)),P14+Q14,""),IF(OR(W14=0,COUNTIFS('Esecuzioni'!$A$8:$A$1007,A14,'Esecuzioni'!$Q$8:$Q$1007,"&lt;&gt;OK")&gt;0),"",IF(S14="Vince",X14,IF(S14="Perde",Y14,IF(AND(S14="Coperto",ABS(X14-Y14)&lt;='Impostazioni'!$B$11),ROUND((X14+Y14)/2,2),""))))))))</x:f>
      </x:c>
      <x:c r="AB14" s="20" t="str">
        <x:f>IF(NOT(ISNUMBER(AA14)),"",IF(J14="Annullato",0,IF(ISNUMBER(Q14),Q14,ROUND(MAX(0,AA14)*IF(ISNUMBER(R14),R14,'Impostazioni'!$B$8),2))))</x:f>
      </x:c>
      <x:c r="AC14" s="20" t="str">
        <x:f>IF(AND(ISNUMBER(AA14),ISNUMBER(AB14)),ROUND(AA14-AB14,2),"")</x:f>
      </x:c>
      <x:c r="AD14" s="18" t="str">
        <x:f>IF(A14="","",IF(AQ14&lt;&gt;"OK","Incompleto",IF(J14="Aperto","Aperto",IF(J14="Annullato","Annullato",IF(AC14&gt;0,"Green",IF(AC14&lt;0,"Red","Flat"))))))</x:f>
      </x:c>
      <x:c r="AE14" s="21" t="str">
        <x:f>IF(AND(AH14=1,Z14&gt;0),AC14/Z14,"")</x:f>
      </x:c>
      <x:c r="AF14" s="22" t="str">
        <x:f>IF(AH14&lt;&gt;1,"",COUNTIFS($C$8:$C$507,"&lt;"&amp;C14,$AH$8:$AH$507,1)+COUNTIFS($C$8:$C$507,C14,$A$8:$A$507,"&lt;="&amp;A14,$AH$8:$AH$507,1))</x:f>
      </x:c>
      <x:c r="AG14" s="20" t="str">
        <x:f>IF(AH14&lt;&gt;1,"",SUMIFS($AC$8:$AC$507,$C$8:$C$507,"&lt;"&amp;C14,$AH$8:$AH$507,1)+SUMIFS($AC$8:$AC$507,$C$8:$C$507,C14,$A$8:$A$507,"&lt;="&amp;A14,$AH$8:$AH$507,1))</x:f>
      </x:c>
      <x:c r="AH14" s="22" t="str">
        <x:f>IF(A14="","",IF(AND(J14="Chiuso",AQ14="OK",ISNUMBER(AC14)),1,0))</x:f>
      </x:c>
      <x:c r="AI14" s="20" t="str">
        <x:f>IF(AH14&lt;&gt;1,"",MAX(0,_xlfn.MAXIFS($AG$8:$AG$507,$AF$8:$AF$507,"&lt;="&amp;AF14,$AH$8:$AH$507,1)))</x:f>
      </x:c>
      <x:c r="AJ14" s="20" t="str">
        <x:f>IF(AH14&lt;&gt;1,"",MAX(0,AI14-AG14))</x:f>
      </x:c>
      <x:c r="AK14" s="21" t="str">
        <x:f>IF(OR(AH14&lt;&gt;1,NOT(ISNUMBER('Impostazioni'!$B$6)),'Impostazioni'!$B$6+AI14&lt;=0),"",AJ14/('Impostazioni'!$B$6+AI14))</x:f>
      </x:c>
      <x:c r="AL14" s="22" t="str">
        <x:f>IF(AH14&lt;&gt;1,"",IF(AC14&gt;0,AF14-_xlfn.MAXIFS($AF$8:$AF$507,$AF$8:$AF$507,"&lt;="&amp;AF14,$AC$8:$AC$507,"&lt;=0",$AH$8:$AH$507,1),0))</x:f>
      </x:c>
      <x:c r="AM14" s="22" t="str">
        <x:f>IF(AH14&lt;&gt;1,"",IF(AC14&lt;0,AF14-_xlfn.MAXIFS($AF$8:$AF$507,$AF$8:$AF$507,"&lt;="&amp;AF14,$AC$8:$AC$507,"&gt;=0",$AH$8:$AH$507,1),0))</x:f>
      </x:c>
      <x:c r="AN14" s="20" t="str">
        <x:f>IF(OR(A14="",NOT(ISNUMBER(B14)),NOT(ISNUMBER('Impostazioni'!$B$6))),"",'Impostazioni'!$B$6+SUMIFS($AC$8:$AC$507,$C$8:$C$507,"&lt;"&amp;B14,$AH$8:$AH$507,1)+SUMIFS('Cassa'!$F$8:$F$307,'Cassa'!$A$8:$A$307,"&lt;="&amp;B14,'Cassa'!$G$8:$G$307,"OK"))</x:f>
      </x:c>
      <x:c r="AO14" s="21" t="str">
        <x:f>IF(AND(ISNUMBER(Z14),ISNUMBER(AN14),AN14&gt;0),Z14/AN14,"")</x:f>
      </x:c>
      <x:c r="AP14" s="18" t="str">
        <x:f>IF(NOT(ISNUMBER(AO14)),"",IF(AO14&gt;'Impostazioni'!$B$7,"Oltre soglia personale","Nella soglia personale"))</x:f>
      </x:c>
      <x:c r="AQ14" s="18" t="str">
        <x:f>IF(A14="",IF(COUNTA(B14:V14)=0,"","Inserisci ID"),IF(COUNTIFS($A$8:$A$507,A14)&lt;&gt;1,"ID duplicato",IF(OR(NOT(ISNUMBER(B14)),D14="",E14="",F14="",G14="",H14="",COUNTIFS('Impostazioni'!$J$6:$J$25,F14)&lt;&gt;1),"Completa dati / elenchi",IF(OR(AND(I14&lt;&gt;"Lordo manuale",I14&lt;&gt;"Netto manuale",I14&lt;&gt;"Esecuzioni"),AND(J14&lt;&gt;"Aperto",J14&lt;&gt;"Chiuso",J14&lt;&gt;"Annullato")),"Modalità / stato mancanti",IF(AND(J14&lt;&gt;"Aperto",OR(NOT(ISNUMBER(C14)),C14&lt;B14)),"Correggi data chiusura",IF(OR(AND(Q14&lt;&gt;"",OR(NOT(ISNUMBER(Q14)),Q14&lt;0)),AND(R14&lt;&gt;"",OR(NOT(ISNUMBER(R14)),R14&lt;0,R14&gt;1))),"Commissione non valida",IF(J14="Annullato","OK",IF(OR(NOT(ISNUMBER(Z14)),Z14&lt;0,AND(O14&lt;&gt;"",NOT(ISNUMBER(O14)))),"Inserisci rischio",IF(AND(I14="Esecuzioni",OR(W14=0,COUNTIFS('Esecuzioni'!$A$8:$A$1007,A14,'Esecuzioni'!$Q$8:$Q$1007,"&lt;&gt;OK")&gt;0)),"Correggi esecuzioni",IF(J14="Aperto","OK",IF(AND(I14="Esecuzioni",S14="Coperto",ABS(X14-Y14)&gt;'Impostazioni'!$B$11),"Copertura residua",IF(NOT(ISNUMBER(AC14)),"Completa risultato / esito",IF(AND(Z14=0,AC14&lt;&gt;0),"Rischio nullo con P/L","OK")))))))))))))</x:f>
      </x:c>
      <x:c r="AR14" s="20" t="str">
        <x:f>IF(OR(A14="",J14&lt;&gt;"Aperto",AQ14&lt;&gt;"OK"),"",IF(I14="Esecuzioni",SUMIFS('Esecuzioni'!$P$8:$P$1007,'Esecuzioni'!$A$8:$A$1007,A14,'Esecuzioni'!$B$8:$B$1007,_xlfn.MAXIFS('Esecuzioni'!$B$8:$B$1007,'Esecuzioni'!$A$8:$A$1007,A14)),IF(LEFT(U14,8)="FREEBET:",0,Z14)))</x:f>
      </x:c>
      <x:c r="AS14" s="48" t="str">
        <x:f>IF(OR(A14="",E14=""),"",IF(COUNTIFS($E$8:E14,E14)=1,COUNT($AS$7:AS13)+1,""))</x:f>
      </x:c>
    </x:row>
    <x:row r="15" ht="22" customHeight="1">
      <x:c r="A15" s="7"/>
      <x:c r="B15" s="19"/>
      <x:c r="C15" s="19"/>
      <x:c r="D15" s="7"/>
      <x:c r="E15" s="7"/>
      <x:c r="F15" s="7"/>
      <x:c r="G15" s="7"/>
      <x:c r="H15" s="7"/>
      <x:c r="I15" s="7"/>
      <x:c r="J15" s="7"/>
      <x:c r="K15" s="10"/>
      <x:c r="L15" s="7"/>
      <x:c r="M15" s="10"/>
      <x:c r="N15" s="7"/>
      <x:c r="O15" s="8"/>
      <x:c r="P15" s="8"/>
      <x:c r="Q15" s="8"/>
      <x:c r="R15" s="9"/>
      <x:c r="S15" s="7"/>
      <x:c r="T15" s="7"/>
      <x:c r="U15" s="7"/>
      <x:c r="V15" s="7"/>
      <x:c r="W15" s="22" t="str">
        <x:f>IF(A15="","",COUNTIFS('Esecuzioni'!$A$8:$A$1007,A15,'Esecuzioni'!$Q$8:$Q$1007,"OK"))</x:f>
      </x:c>
      <x:c r="X15" s="20" t="str">
        <x:f>IF(OR(A15="",I15&lt;&gt;"Esecuzioni",W15=0),"",SUMIFS('Esecuzioni'!$L$8:$L$1007,'Esecuzioni'!$A$8:$A$1007,A15))</x:f>
      </x:c>
      <x:c r="Y15" s="20" t="str">
        <x:f>IF(OR(A15="",I15&lt;&gt;"Esecuzioni",W15=0),"",SUMIFS('Esecuzioni'!$M$8:$M$1007,'Esecuzioni'!$A$8:$A$1007,A15))</x:f>
      </x:c>
      <x:c r="Z15" s="20" t="str">
        <x:f>IF(A15="","",IF(J15="Annullato",0,IF(ISNUMBER(O15),O15,IF(AND(I15="Esecuzioni",W15&gt;0),_xlfn.MAXIFS('Esecuzioni'!$P$8:$P$1007,'Esecuzioni'!$A$8:$A$1007,A15),""))))</x:f>
      </x:c>
      <x:c r="AA15" s="20" t="str">
        <x:f>IF(OR(A15="",J15="Aperto"),"",IF(J15="Annullato",0,IF(I15="Lordo manuale",IF(ISNUMBER(P15),P15,""),IF(I15="Netto manuale",IF(AND(ISNUMBER(P15),ISNUMBER(Q15)),P15+Q15,""),IF(OR(W15=0,COUNTIFS('Esecuzioni'!$A$8:$A$1007,A15,'Esecuzioni'!$Q$8:$Q$1007,"&lt;&gt;OK")&gt;0),"",IF(S15="Vince",X15,IF(S15="Perde",Y15,IF(AND(S15="Coperto",ABS(X15-Y15)&lt;='Impostazioni'!$B$11),ROUND((X15+Y15)/2,2),""))))))))</x:f>
      </x:c>
      <x:c r="AB15" s="20" t="str">
        <x:f>IF(NOT(ISNUMBER(AA15)),"",IF(J15="Annullato",0,IF(ISNUMBER(Q15),Q15,ROUND(MAX(0,AA15)*IF(ISNUMBER(R15),R15,'Impostazioni'!$B$8),2))))</x:f>
      </x:c>
      <x:c r="AC15" s="20" t="str">
        <x:f>IF(AND(ISNUMBER(AA15),ISNUMBER(AB15)),ROUND(AA15-AB15,2),"")</x:f>
      </x:c>
      <x:c r="AD15" s="18" t="str">
        <x:f>IF(A15="","",IF(AQ15&lt;&gt;"OK","Incompleto",IF(J15="Aperto","Aperto",IF(J15="Annullato","Annullato",IF(AC15&gt;0,"Green",IF(AC15&lt;0,"Red","Flat"))))))</x:f>
      </x:c>
      <x:c r="AE15" s="21" t="str">
        <x:f>IF(AND(AH15=1,Z15&gt;0),AC15/Z15,"")</x:f>
      </x:c>
      <x:c r="AF15" s="22" t="str">
        <x:f>IF(AH15&lt;&gt;1,"",COUNTIFS($C$8:$C$507,"&lt;"&amp;C15,$AH$8:$AH$507,1)+COUNTIFS($C$8:$C$507,C15,$A$8:$A$507,"&lt;="&amp;A15,$AH$8:$AH$507,1))</x:f>
      </x:c>
      <x:c r="AG15" s="20" t="str">
        <x:f>IF(AH15&lt;&gt;1,"",SUMIFS($AC$8:$AC$507,$C$8:$C$507,"&lt;"&amp;C15,$AH$8:$AH$507,1)+SUMIFS($AC$8:$AC$507,$C$8:$C$507,C15,$A$8:$A$507,"&lt;="&amp;A15,$AH$8:$AH$507,1))</x:f>
      </x:c>
      <x:c r="AH15" s="22" t="str">
        <x:f>IF(A15="","",IF(AND(J15="Chiuso",AQ15="OK",ISNUMBER(AC15)),1,0))</x:f>
      </x:c>
      <x:c r="AI15" s="20" t="str">
        <x:f>IF(AH15&lt;&gt;1,"",MAX(0,_xlfn.MAXIFS($AG$8:$AG$507,$AF$8:$AF$507,"&lt;="&amp;AF15,$AH$8:$AH$507,1)))</x:f>
      </x:c>
      <x:c r="AJ15" s="20" t="str">
        <x:f>IF(AH15&lt;&gt;1,"",MAX(0,AI15-AG15))</x:f>
      </x:c>
      <x:c r="AK15" s="21" t="str">
        <x:f>IF(OR(AH15&lt;&gt;1,NOT(ISNUMBER('Impostazioni'!$B$6)),'Impostazioni'!$B$6+AI15&lt;=0),"",AJ15/('Impostazioni'!$B$6+AI15))</x:f>
      </x:c>
      <x:c r="AL15" s="22" t="str">
        <x:f>IF(AH15&lt;&gt;1,"",IF(AC15&gt;0,AF15-_xlfn.MAXIFS($AF$8:$AF$507,$AF$8:$AF$507,"&lt;="&amp;AF15,$AC$8:$AC$507,"&lt;=0",$AH$8:$AH$507,1),0))</x:f>
      </x:c>
      <x:c r="AM15" s="22" t="str">
        <x:f>IF(AH15&lt;&gt;1,"",IF(AC15&lt;0,AF15-_xlfn.MAXIFS($AF$8:$AF$507,$AF$8:$AF$507,"&lt;="&amp;AF15,$AC$8:$AC$507,"&gt;=0",$AH$8:$AH$507,1),0))</x:f>
      </x:c>
      <x:c r="AN15" s="20" t="str">
        <x:f>IF(OR(A15="",NOT(ISNUMBER(B15)),NOT(ISNUMBER('Impostazioni'!$B$6))),"",'Impostazioni'!$B$6+SUMIFS($AC$8:$AC$507,$C$8:$C$507,"&lt;"&amp;B15,$AH$8:$AH$507,1)+SUMIFS('Cassa'!$F$8:$F$307,'Cassa'!$A$8:$A$307,"&lt;="&amp;B15,'Cassa'!$G$8:$G$307,"OK"))</x:f>
      </x:c>
      <x:c r="AO15" s="21" t="str">
        <x:f>IF(AND(ISNUMBER(Z15),ISNUMBER(AN15),AN15&gt;0),Z15/AN15,"")</x:f>
      </x:c>
      <x:c r="AP15" s="18" t="str">
        <x:f>IF(NOT(ISNUMBER(AO15)),"",IF(AO15&gt;'Impostazioni'!$B$7,"Oltre soglia personale","Nella soglia personale"))</x:f>
      </x:c>
      <x:c r="AQ15" s="18" t="str">
        <x:f>IF(A15="",IF(COUNTA(B15:V15)=0,"","Inserisci ID"),IF(COUNTIFS($A$8:$A$507,A15)&lt;&gt;1,"ID duplicato",IF(OR(NOT(ISNUMBER(B15)),D15="",E15="",F15="",G15="",H15="",COUNTIFS('Impostazioni'!$J$6:$J$25,F15)&lt;&gt;1),"Completa dati / elenchi",IF(OR(AND(I15&lt;&gt;"Lordo manuale",I15&lt;&gt;"Netto manuale",I15&lt;&gt;"Esecuzioni"),AND(J15&lt;&gt;"Aperto",J15&lt;&gt;"Chiuso",J15&lt;&gt;"Annullato")),"Modalità / stato mancanti",IF(AND(J15&lt;&gt;"Aperto",OR(NOT(ISNUMBER(C15)),C15&lt;B15)),"Correggi data chiusura",IF(OR(AND(Q15&lt;&gt;"",OR(NOT(ISNUMBER(Q15)),Q15&lt;0)),AND(R15&lt;&gt;"",OR(NOT(ISNUMBER(R15)),R15&lt;0,R15&gt;1))),"Commissione non valida",IF(J15="Annullato","OK",IF(OR(NOT(ISNUMBER(Z15)),Z15&lt;0,AND(O15&lt;&gt;"",NOT(ISNUMBER(O15)))),"Inserisci rischio",IF(AND(I15="Esecuzioni",OR(W15=0,COUNTIFS('Esecuzioni'!$A$8:$A$1007,A15,'Esecuzioni'!$Q$8:$Q$1007,"&lt;&gt;OK")&gt;0)),"Correggi esecuzioni",IF(J15="Aperto","OK",IF(AND(I15="Esecuzioni",S15="Coperto",ABS(X15-Y15)&gt;'Impostazioni'!$B$11),"Copertura residua",IF(NOT(ISNUMBER(AC15)),"Completa risultato / esito",IF(AND(Z15=0,AC15&lt;&gt;0),"Rischio nullo con P/L","OK")))))))))))))</x:f>
      </x:c>
      <x:c r="AR15" s="20" t="str">
        <x:f>IF(OR(A15="",J15&lt;&gt;"Aperto",AQ15&lt;&gt;"OK"),"",IF(I15="Esecuzioni",SUMIFS('Esecuzioni'!$P$8:$P$1007,'Esecuzioni'!$A$8:$A$1007,A15,'Esecuzioni'!$B$8:$B$1007,_xlfn.MAXIFS('Esecuzioni'!$B$8:$B$1007,'Esecuzioni'!$A$8:$A$1007,A15)),IF(LEFT(U15,8)="FREEBET:",0,Z15)))</x:f>
      </x:c>
      <x:c r="AS15" s="48" t="str">
        <x:f>IF(OR(A15="",E15=""),"",IF(COUNTIFS($E$8:E15,E15)=1,COUNT($AS$7:AS14)+1,""))</x:f>
      </x:c>
    </x:row>
    <x:row r="16" ht="22" customHeight="1">
      <x:c r="A16" s="7"/>
      <x:c r="B16" s="19"/>
      <x:c r="C16" s="19"/>
      <x:c r="D16" s="7"/>
      <x:c r="E16" s="7"/>
      <x:c r="F16" s="7"/>
      <x:c r="G16" s="7"/>
      <x:c r="H16" s="7"/>
      <x:c r="I16" s="7"/>
      <x:c r="J16" s="7"/>
      <x:c r="K16" s="10"/>
      <x:c r="L16" s="7"/>
      <x:c r="M16" s="10"/>
      <x:c r="N16" s="7"/>
      <x:c r="O16" s="8"/>
      <x:c r="P16" s="8"/>
      <x:c r="Q16" s="8"/>
      <x:c r="R16" s="9"/>
      <x:c r="S16" s="7"/>
      <x:c r="T16" s="7"/>
      <x:c r="U16" s="7"/>
      <x:c r="V16" s="7"/>
      <x:c r="W16" s="22" t="str">
        <x:f>IF(A16="","",COUNTIFS('Esecuzioni'!$A$8:$A$1007,A16,'Esecuzioni'!$Q$8:$Q$1007,"OK"))</x:f>
      </x:c>
      <x:c r="X16" s="20" t="str">
        <x:f>IF(OR(A16="",I16&lt;&gt;"Esecuzioni",W16=0),"",SUMIFS('Esecuzioni'!$L$8:$L$1007,'Esecuzioni'!$A$8:$A$1007,A16))</x:f>
      </x:c>
      <x:c r="Y16" s="20" t="str">
        <x:f>IF(OR(A16="",I16&lt;&gt;"Esecuzioni",W16=0),"",SUMIFS('Esecuzioni'!$M$8:$M$1007,'Esecuzioni'!$A$8:$A$1007,A16))</x:f>
      </x:c>
      <x:c r="Z16" s="20" t="str">
        <x:f>IF(A16="","",IF(J16="Annullato",0,IF(ISNUMBER(O16),O16,IF(AND(I16="Esecuzioni",W16&gt;0),_xlfn.MAXIFS('Esecuzioni'!$P$8:$P$1007,'Esecuzioni'!$A$8:$A$1007,A16),""))))</x:f>
      </x:c>
      <x:c r="AA16" s="20" t="str">
        <x:f>IF(OR(A16="",J16="Aperto"),"",IF(J16="Annullato",0,IF(I16="Lordo manuale",IF(ISNUMBER(P16),P16,""),IF(I16="Netto manuale",IF(AND(ISNUMBER(P16),ISNUMBER(Q16)),P16+Q16,""),IF(OR(W16=0,COUNTIFS('Esecuzioni'!$A$8:$A$1007,A16,'Esecuzioni'!$Q$8:$Q$1007,"&lt;&gt;OK")&gt;0),"",IF(S16="Vince",X16,IF(S16="Perde",Y16,IF(AND(S16="Coperto",ABS(X16-Y16)&lt;='Impostazioni'!$B$11),ROUND((X16+Y16)/2,2),""))))))))</x:f>
      </x:c>
      <x:c r="AB16" s="20" t="str">
        <x:f>IF(NOT(ISNUMBER(AA16)),"",IF(J16="Annullato",0,IF(ISNUMBER(Q16),Q16,ROUND(MAX(0,AA16)*IF(ISNUMBER(R16),R16,'Impostazioni'!$B$8),2))))</x:f>
      </x:c>
      <x:c r="AC16" s="20" t="str">
        <x:f>IF(AND(ISNUMBER(AA16),ISNUMBER(AB16)),ROUND(AA16-AB16,2),"")</x:f>
      </x:c>
      <x:c r="AD16" s="18" t="str">
        <x:f>IF(A16="","",IF(AQ16&lt;&gt;"OK","Incompleto",IF(J16="Aperto","Aperto",IF(J16="Annullato","Annullato",IF(AC16&gt;0,"Green",IF(AC16&lt;0,"Red","Flat"))))))</x:f>
      </x:c>
      <x:c r="AE16" s="21" t="str">
        <x:f>IF(AND(AH16=1,Z16&gt;0),AC16/Z16,"")</x:f>
      </x:c>
      <x:c r="AF16" s="22" t="str">
        <x:f>IF(AH16&lt;&gt;1,"",COUNTIFS($C$8:$C$507,"&lt;"&amp;C16,$AH$8:$AH$507,1)+COUNTIFS($C$8:$C$507,C16,$A$8:$A$507,"&lt;="&amp;A16,$AH$8:$AH$507,1))</x:f>
      </x:c>
      <x:c r="AG16" s="20" t="str">
        <x:f>IF(AH16&lt;&gt;1,"",SUMIFS($AC$8:$AC$507,$C$8:$C$507,"&lt;"&amp;C16,$AH$8:$AH$507,1)+SUMIFS($AC$8:$AC$507,$C$8:$C$507,C16,$A$8:$A$507,"&lt;="&amp;A16,$AH$8:$AH$507,1))</x:f>
      </x:c>
      <x:c r="AH16" s="22" t="str">
        <x:f>IF(A16="","",IF(AND(J16="Chiuso",AQ16="OK",ISNUMBER(AC16)),1,0))</x:f>
      </x:c>
      <x:c r="AI16" s="20" t="str">
        <x:f>IF(AH16&lt;&gt;1,"",MAX(0,_xlfn.MAXIFS($AG$8:$AG$507,$AF$8:$AF$507,"&lt;="&amp;AF16,$AH$8:$AH$507,1)))</x:f>
      </x:c>
      <x:c r="AJ16" s="20" t="str">
        <x:f>IF(AH16&lt;&gt;1,"",MAX(0,AI16-AG16))</x:f>
      </x:c>
      <x:c r="AK16" s="21" t="str">
        <x:f>IF(OR(AH16&lt;&gt;1,NOT(ISNUMBER('Impostazioni'!$B$6)),'Impostazioni'!$B$6+AI16&lt;=0),"",AJ16/('Impostazioni'!$B$6+AI16))</x:f>
      </x:c>
      <x:c r="AL16" s="22" t="str">
        <x:f>IF(AH16&lt;&gt;1,"",IF(AC16&gt;0,AF16-_xlfn.MAXIFS($AF$8:$AF$507,$AF$8:$AF$507,"&lt;="&amp;AF16,$AC$8:$AC$507,"&lt;=0",$AH$8:$AH$507,1),0))</x:f>
      </x:c>
      <x:c r="AM16" s="22" t="str">
        <x:f>IF(AH16&lt;&gt;1,"",IF(AC16&lt;0,AF16-_xlfn.MAXIFS($AF$8:$AF$507,$AF$8:$AF$507,"&lt;="&amp;AF16,$AC$8:$AC$507,"&gt;=0",$AH$8:$AH$507,1),0))</x:f>
      </x:c>
      <x:c r="AN16" s="20" t="str">
        <x:f>IF(OR(A16="",NOT(ISNUMBER(B16)),NOT(ISNUMBER('Impostazioni'!$B$6))),"",'Impostazioni'!$B$6+SUMIFS($AC$8:$AC$507,$C$8:$C$507,"&lt;"&amp;B16,$AH$8:$AH$507,1)+SUMIFS('Cassa'!$F$8:$F$307,'Cassa'!$A$8:$A$307,"&lt;="&amp;B16,'Cassa'!$G$8:$G$307,"OK"))</x:f>
      </x:c>
      <x:c r="AO16" s="21" t="str">
        <x:f>IF(AND(ISNUMBER(Z16),ISNUMBER(AN16),AN16&gt;0),Z16/AN16,"")</x:f>
      </x:c>
      <x:c r="AP16" s="18" t="str">
        <x:f>IF(NOT(ISNUMBER(AO16)),"",IF(AO16&gt;'Impostazioni'!$B$7,"Oltre soglia personale","Nella soglia personale"))</x:f>
      </x:c>
      <x:c r="AQ16" s="18" t="str">
        <x:f>IF(A16="",IF(COUNTA(B16:V16)=0,"","Inserisci ID"),IF(COUNTIFS($A$8:$A$507,A16)&lt;&gt;1,"ID duplicato",IF(OR(NOT(ISNUMBER(B16)),D16="",E16="",F16="",G16="",H16="",COUNTIFS('Impostazioni'!$J$6:$J$25,F16)&lt;&gt;1),"Completa dati / elenchi",IF(OR(AND(I16&lt;&gt;"Lordo manuale",I16&lt;&gt;"Netto manuale",I16&lt;&gt;"Esecuzioni"),AND(J16&lt;&gt;"Aperto",J16&lt;&gt;"Chiuso",J16&lt;&gt;"Annullato")),"Modalità / stato mancanti",IF(AND(J16&lt;&gt;"Aperto",OR(NOT(ISNUMBER(C16)),C16&lt;B16)),"Correggi data chiusura",IF(OR(AND(Q16&lt;&gt;"",OR(NOT(ISNUMBER(Q16)),Q16&lt;0)),AND(R16&lt;&gt;"",OR(NOT(ISNUMBER(R16)),R16&lt;0,R16&gt;1))),"Commissione non valida",IF(J16="Annullato","OK",IF(OR(NOT(ISNUMBER(Z16)),Z16&lt;0,AND(O16&lt;&gt;"",NOT(ISNUMBER(O16)))),"Inserisci rischio",IF(AND(I16="Esecuzioni",OR(W16=0,COUNTIFS('Esecuzioni'!$A$8:$A$1007,A16,'Esecuzioni'!$Q$8:$Q$1007,"&lt;&gt;OK")&gt;0)),"Correggi esecuzioni",IF(J16="Aperto","OK",IF(AND(I16="Esecuzioni",S16="Coperto",ABS(X16-Y16)&gt;'Impostazioni'!$B$11),"Copertura residua",IF(NOT(ISNUMBER(AC16)),"Completa risultato / esito",IF(AND(Z16=0,AC16&lt;&gt;0),"Rischio nullo con P/L","OK")))))))))))))</x:f>
      </x:c>
      <x:c r="AR16" s="20" t="str">
        <x:f>IF(OR(A16="",J16&lt;&gt;"Aperto",AQ16&lt;&gt;"OK"),"",IF(I16="Esecuzioni",SUMIFS('Esecuzioni'!$P$8:$P$1007,'Esecuzioni'!$A$8:$A$1007,A16,'Esecuzioni'!$B$8:$B$1007,_xlfn.MAXIFS('Esecuzioni'!$B$8:$B$1007,'Esecuzioni'!$A$8:$A$1007,A16)),IF(LEFT(U16,8)="FREEBET:",0,Z16)))</x:f>
      </x:c>
      <x:c r="AS16" s="48" t="str">
        <x:f>IF(OR(A16="",E16=""),"",IF(COUNTIFS($E$8:E16,E16)=1,COUNT($AS$7:AS15)+1,""))</x:f>
      </x:c>
    </x:row>
    <x:row r="17" ht="22" customHeight="1">
      <x:c r="A17" s="7"/>
      <x:c r="B17" s="19"/>
      <x:c r="C17" s="19"/>
      <x:c r="D17" s="7"/>
      <x:c r="E17" s="7"/>
      <x:c r="F17" s="7"/>
      <x:c r="G17" s="7"/>
      <x:c r="H17" s="7"/>
      <x:c r="I17" s="7"/>
      <x:c r="J17" s="7"/>
      <x:c r="K17" s="10"/>
      <x:c r="L17" s="7"/>
      <x:c r="M17" s="10"/>
      <x:c r="N17" s="7"/>
      <x:c r="O17" s="8"/>
      <x:c r="P17" s="8"/>
      <x:c r="Q17" s="8"/>
      <x:c r="R17" s="9"/>
      <x:c r="S17" s="7"/>
      <x:c r="T17" s="7"/>
      <x:c r="U17" s="7"/>
      <x:c r="V17" s="7"/>
      <x:c r="W17" s="22" t="str">
        <x:f>IF(A17="","",COUNTIFS('Esecuzioni'!$A$8:$A$1007,A17,'Esecuzioni'!$Q$8:$Q$1007,"OK"))</x:f>
      </x:c>
      <x:c r="X17" s="20" t="str">
        <x:f>IF(OR(A17="",I17&lt;&gt;"Esecuzioni",W17=0),"",SUMIFS('Esecuzioni'!$L$8:$L$1007,'Esecuzioni'!$A$8:$A$1007,A17))</x:f>
      </x:c>
      <x:c r="Y17" s="20" t="str">
        <x:f>IF(OR(A17="",I17&lt;&gt;"Esecuzioni",W17=0),"",SUMIFS('Esecuzioni'!$M$8:$M$1007,'Esecuzioni'!$A$8:$A$1007,A17))</x:f>
      </x:c>
      <x:c r="Z17" s="20" t="str">
        <x:f>IF(A17="","",IF(J17="Annullato",0,IF(ISNUMBER(O17),O17,IF(AND(I17="Esecuzioni",W17&gt;0),_xlfn.MAXIFS('Esecuzioni'!$P$8:$P$1007,'Esecuzioni'!$A$8:$A$1007,A17),""))))</x:f>
      </x:c>
      <x:c r="AA17" s="20" t="str">
        <x:f>IF(OR(A17="",J17="Aperto"),"",IF(J17="Annullato",0,IF(I17="Lordo manuale",IF(ISNUMBER(P17),P17,""),IF(I17="Netto manuale",IF(AND(ISNUMBER(P17),ISNUMBER(Q17)),P17+Q17,""),IF(OR(W17=0,COUNTIFS('Esecuzioni'!$A$8:$A$1007,A17,'Esecuzioni'!$Q$8:$Q$1007,"&lt;&gt;OK")&gt;0),"",IF(S17="Vince",X17,IF(S17="Perde",Y17,IF(AND(S17="Coperto",ABS(X17-Y17)&lt;='Impostazioni'!$B$11),ROUND((X17+Y17)/2,2),""))))))))</x:f>
      </x:c>
      <x:c r="AB17" s="20" t="str">
        <x:f>IF(NOT(ISNUMBER(AA17)),"",IF(J17="Annullato",0,IF(ISNUMBER(Q17),Q17,ROUND(MAX(0,AA17)*IF(ISNUMBER(R17),R17,'Impostazioni'!$B$8),2))))</x:f>
      </x:c>
      <x:c r="AC17" s="20" t="str">
        <x:f>IF(AND(ISNUMBER(AA17),ISNUMBER(AB17)),ROUND(AA17-AB17,2),"")</x:f>
      </x:c>
      <x:c r="AD17" s="18" t="str">
        <x:f>IF(A17="","",IF(AQ17&lt;&gt;"OK","Incompleto",IF(J17="Aperto","Aperto",IF(J17="Annullato","Annullato",IF(AC17&gt;0,"Green",IF(AC17&lt;0,"Red","Flat"))))))</x:f>
      </x:c>
      <x:c r="AE17" s="21" t="str">
        <x:f>IF(AND(AH17=1,Z17&gt;0),AC17/Z17,"")</x:f>
      </x:c>
      <x:c r="AF17" s="22" t="str">
        <x:f>IF(AH17&lt;&gt;1,"",COUNTIFS($C$8:$C$507,"&lt;"&amp;C17,$AH$8:$AH$507,1)+COUNTIFS($C$8:$C$507,C17,$A$8:$A$507,"&lt;="&amp;A17,$AH$8:$AH$507,1))</x:f>
      </x:c>
      <x:c r="AG17" s="20" t="str">
        <x:f>IF(AH17&lt;&gt;1,"",SUMIFS($AC$8:$AC$507,$C$8:$C$507,"&lt;"&amp;C17,$AH$8:$AH$507,1)+SUMIFS($AC$8:$AC$507,$C$8:$C$507,C17,$A$8:$A$507,"&lt;="&amp;A17,$AH$8:$AH$507,1))</x:f>
      </x:c>
      <x:c r="AH17" s="22" t="str">
        <x:f>IF(A17="","",IF(AND(J17="Chiuso",AQ17="OK",ISNUMBER(AC17)),1,0))</x:f>
      </x:c>
      <x:c r="AI17" s="20" t="str">
        <x:f>IF(AH17&lt;&gt;1,"",MAX(0,_xlfn.MAXIFS($AG$8:$AG$507,$AF$8:$AF$507,"&lt;="&amp;AF17,$AH$8:$AH$507,1)))</x:f>
      </x:c>
      <x:c r="AJ17" s="20" t="str">
        <x:f>IF(AH17&lt;&gt;1,"",MAX(0,AI17-AG17))</x:f>
      </x:c>
      <x:c r="AK17" s="21" t="str">
        <x:f>IF(OR(AH17&lt;&gt;1,NOT(ISNUMBER('Impostazioni'!$B$6)),'Impostazioni'!$B$6+AI17&lt;=0),"",AJ17/('Impostazioni'!$B$6+AI17))</x:f>
      </x:c>
      <x:c r="AL17" s="22" t="str">
        <x:f>IF(AH17&lt;&gt;1,"",IF(AC17&gt;0,AF17-_xlfn.MAXIFS($AF$8:$AF$507,$AF$8:$AF$507,"&lt;="&amp;AF17,$AC$8:$AC$507,"&lt;=0",$AH$8:$AH$507,1),0))</x:f>
      </x:c>
      <x:c r="AM17" s="22" t="str">
        <x:f>IF(AH17&lt;&gt;1,"",IF(AC17&lt;0,AF17-_xlfn.MAXIFS($AF$8:$AF$507,$AF$8:$AF$507,"&lt;="&amp;AF17,$AC$8:$AC$507,"&gt;=0",$AH$8:$AH$507,1),0))</x:f>
      </x:c>
      <x:c r="AN17" s="20" t="str">
        <x:f>IF(OR(A17="",NOT(ISNUMBER(B17)),NOT(ISNUMBER('Impostazioni'!$B$6))),"",'Impostazioni'!$B$6+SUMIFS($AC$8:$AC$507,$C$8:$C$507,"&lt;"&amp;B17,$AH$8:$AH$507,1)+SUMIFS('Cassa'!$F$8:$F$307,'Cassa'!$A$8:$A$307,"&lt;="&amp;B17,'Cassa'!$G$8:$G$307,"OK"))</x:f>
      </x:c>
      <x:c r="AO17" s="21" t="str">
        <x:f>IF(AND(ISNUMBER(Z17),ISNUMBER(AN17),AN17&gt;0),Z17/AN17,"")</x:f>
      </x:c>
      <x:c r="AP17" s="18" t="str">
        <x:f>IF(NOT(ISNUMBER(AO17)),"",IF(AO17&gt;'Impostazioni'!$B$7,"Oltre soglia personale","Nella soglia personale"))</x:f>
      </x:c>
      <x:c r="AQ17" s="18" t="str">
        <x:f>IF(A17="",IF(COUNTA(B17:V17)=0,"","Inserisci ID"),IF(COUNTIFS($A$8:$A$507,A17)&lt;&gt;1,"ID duplicato",IF(OR(NOT(ISNUMBER(B17)),D17="",E17="",F17="",G17="",H17="",COUNTIFS('Impostazioni'!$J$6:$J$25,F17)&lt;&gt;1),"Completa dati / elenchi",IF(OR(AND(I17&lt;&gt;"Lordo manuale",I17&lt;&gt;"Netto manuale",I17&lt;&gt;"Esecuzioni"),AND(J17&lt;&gt;"Aperto",J17&lt;&gt;"Chiuso",J17&lt;&gt;"Annullato")),"Modalità / stato mancanti",IF(AND(J17&lt;&gt;"Aperto",OR(NOT(ISNUMBER(C17)),C17&lt;B17)),"Correggi data chiusura",IF(OR(AND(Q17&lt;&gt;"",OR(NOT(ISNUMBER(Q17)),Q17&lt;0)),AND(R17&lt;&gt;"",OR(NOT(ISNUMBER(R17)),R17&lt;0,R17&gt;1))),"Commissione non valida",IF(J17="Annullato","OK",IF(OR(NOT(ISNUMBER(Z17)),Z17&lt;0,AND(O17&lt;&gt;"",NOT(ISNUMBER(O17)))),"Inserisci rischio",IF(AND(I17="Esecuzioni",OR(W17=0,COUNTIFS('Esecuzioni'!$A$8:$A$1007,A17,'Esecuzioni'!$Q$8:$Q$1007,"&lt;&gt;OK")&gt;0)),"Correggi esecuzioni",IF(J17="Aperto","OK",IF(AND(I17="Esecuzioni",S17="Coperto",ABS(X17-Y17)&gt;'Impostazioni'!$B$11),"Copertura residua",IF(NOT(ISNUMBER(AC17)),"Completa risultato / esito",IF(AND(Z17=0,AC17&lt;&gt;0),"Rischio nullo con P/L","OK")))))))))))))</x:f>
      </x:c>
      <x:c r="AR17" s="20" t="str">
        <x:f>IF(OR(A17="",J17&lt;&gt;"Aperto",AQ17&lt;&gt;"OK"),"",IF(I17="Esecuzioni",SUMIFS('Esecuzioni'!$P$8:$P$1007,'Esecuzioni'!$A$8:$A$1007,A17,'Esecuzioni'!$B$8:$B$1007,_xlfn.MAXIFS('Esecuzioni'!$B$8:$B$1007,'Esecuzioni'!$A$8:$A$1007,A17)),IF(LEFT(U17,8)="FREEBET:",0,Z17)))</x:f>
      </x:c>
      <x:c r="AS17" s="48" t="str">
        <x:f>IF(OR(A17="",E17=""),"",IF(COUNTIFS($E$8:E17,E17)=1,COUNT($AS$7:AS16)+1,""))</x:f>
      </x:c>
    </x:row>
    <x:row r="18" ht="22" customHeight="1">
      <x:c r="A18" s="7"/>
      <x:c r="B18" s="19"/>
      <x:c r="C18" s="19"/>
      <x:c r="D18" s="7"/>
      <x:c r="E18" s="7"/>
      <x:c r="F18" s="7"/>
      <x:c r="G18" s="7"/>
      <x:c r="H18" s="7"/>
      <x:c r="I18" s="7"/>
      <x:c r="J18" s="7"/>
      <x:c r="K18" s="10"/>
      <x:c r="L18" s="7"/>
      <x:c r="M18" s="10"/>
      <x:c r="N18" s="7"/>
      <x:c r="O18" s="8"/>
      <x:c r="P18" s="8"/>
      <x:c r="Q18" s="8"/>
      <x:c r="R18" s="9"/>
      <x:c r="S18" s="7"/>
      <x:c r="T18" s="7"/>
      <x:c r="U18" s="7"/>
      <x:c r="V18" s="7"/>
      <x:c r="W18" s="22" t="str">
        <x:f>IF(A18="","",COUNTIFS('Esecuzioni'!$A$8:$A$1007,A18,'Esecuzioni'!$Q$8:$Q$1007,"OK"))</x:f>
      </x:c>
      <x:c r="X18" s="20" t="str">
        <x:f>IF(OR(A18="",I18&lt;&gt;"Esecuzioni",W18=0),"",SUMIFS('Esecuzioni'!$L$8:$L$1007,'Esecuzioni'!$A$8:$A$1007,A18))</x:f>
      </x:c>
      <x:c r="Y18" s="20" t="str">
        <x:f>IF(OR(A18="",I18&lt;&gt;"Esecuzioni",W18=0),"",SUMIFS('Esecuzioni'!$M$8:$M$1007,'Esecuzioni'!$A$8:$A$1007,A18))</x:f>
      </x:c>
      <x:c r="Z18" s="20" t="str">
        <x:f>IF(A18="","",IF(J18="Annullato",0,IF(ISNUMBER(O18),O18,IF(AND(I18="Esecuzioni",W18&gt;0),_xlfn.MAXIFS('Esecuzioni'!$P$8:$P$1007,'Esecuzioni'!$A$8:$A$1007,A18),""))))</x:f>
      </x:c>
      <x:c r="AA18" s="20" t="str">
        <x:f>IF(OR(A18="",J18="Aperto"),"",IF(J18="Annullato",0,IF(I18="Lordo manuale",IF(ISNUMBER(P18),P18,""),IF(I18="Netto manuale",IF(AND(ISNUMBER(P18),ISNUMBER(Q18)),P18+Q18,""),IF(OR(W18=0,COUNTIFS('Esecuzioni'!$A$8:$A$1007,A18,'Esecuzioni'!$Q$8:$Q$1007,"&lt;&gt;OK")&gt;0),"",IF(S18="Vince",X18,IF(S18="Perde",Y18,IF(AND(S18="Coperto",ABS(X18-Y18)&lt;='Impostazioni'!$B$11),ROUND((X18+Y18)/2,2),""))))))))</x:f>
      </x:c>
      <x:c r="AB18" s="20" t="str">
        <x:f>IF(NOT(ISNUMBER(AA18)),"",IF(J18="Annullato",0,IF(ISNUMBER(Q18),Q18,ROUND(MAX(0,AA18)*IF(ISNUMBER(R18),R18,'Impostazioni'!$B$8),2))))</x:f>
      </x:c>
      <x:c r="AC18" s="20" t="str">
        <x:f>IF(AND(ISNUMBER(AA18),ISNUMBER(AB18)),ROUND(AA18-AB18,2),"")</x:f>
      </x:c>
      <x:c r="AD18" s="18" t="str">
        <x:f>IF(A18="","",IF(AQ18&lt;&gt;"OK","Incompleto",IF(J18="Aperto","Aperto",IF(J18="Annullato","Annullato",IF(AC18&gt;0,"Green",IF(AC18&lt;0,"Red","Flat"))))))</x:f>
      </x:c>
      <x:c r="AE18" s="21" t="str">
        <x:f>IF(AND(AH18=1,Z18&gt;0),AC18/Z18,"")</x:f>
      </x:c>
      <x:c r="AF18" s="22" t="str">
        <x:f>IF(AH18&lt;&gt;1,"",COUNTIFS($C$8:$C$507,"&lt;"&amp;C18,$AH$8:$AH$507,1)+COUNTIFS($C$8:$C$507,C18,$A$8:$A$507,"&lt;="&amp;A18,$AH$8:$AH$507,1))</x:f>
      </x:c>
      <x:c r="AG18" s="20" t="str">
        <x:f>IF(AH18&lt;&gt;1,"",SUMIFS($AC$8:$AC$507,$C$8:$C$507,"&lt;"&amp;C18,$AH$8:$AH$507,1)+SUMIFS($AC$8:$AC$507,$C$8:$C$507,C18,$A$8:$A$507,"&lt;="&amp;A18,$AH$8:$AH$507,1))</x:f>
      </x:c>
      <x:c r="AH18" s="22" t="str">
        <x:f>IF(A18="","",IF(AND(J18="Chiuso",AQ18="OK",ISNUMBER(AC18)),1,0))</x:f>
      </x:c>
      <x:c r="AI18" s="20" t="str">
        <x:f>IF(AH18&lt;&gt;1,"",MAX(0,_xlfn.MAXIFS($AG$8:$AG$507,$AF$8:$AF$507,"&lt;="&amp;AF18,$AH$8:$AH$507,1)))</x:f>
      </x:c>
      <x:c r="AJ18" s="20" t="str">
        <x:f>IF(AH18&lt;&gt;1,"",MAX(0,AI18-AG18))</x:f>
      </x:c>
      <x:c r="AK18" s="21" t="str">
        <x:f>IF(OR(AH18&lt;&gt;1,NOT(ISNUMBER('Impostazioni'!$B$6)),'Impostazioni'!$B$6+AI18&lt;=0),"",AJ18/('Impostazioni'!$B$6+AI18))</x:f>
      </x:c>
      <x:c r="AL18" s="22" t="str">
        <x:f>IF(AH18&lt;&gt;1,"",IF(AC18&gt;0,AF18-_xlfn.MAXIFS($AF$8:$AF$507,$AF$8:$AF$507,"&lt;="&amp;AF18,$AC$8:$AC$507,"&lt;=0",$AH$8:$AH$507,1),0))</x:f>
      </x:c>
      <x:c r="AM18" s="22" t="str">
        <x:f>IF(AH18&lt;&gt;1,"",IF(AC18&lt;0,AF18-_xlfn.MAXIFS($AF$8:$AF$507,$AF$8:$AF$507,"&lt;="&amp;AF18,$AC$8:$AC$507,"&gt;=0",$AH$8:$AH$507,1),0))</x:f>
      </x:c>
      <x:c r="AN18" s="20" t="str">
        <x:f>IF(OR(A18="",NOT(ISNUMBER(B18)),NOT(ISNUMBER('Impostazioni'!$B$6))),"",'Impostazioni'!$B$6+SUMIFS($AC$8:$AC$507,$C$8:$C$507,"&lt;"&amp;B18,$AH$8:$AH$507,1)+SUMIFS('Cassa'!$F$8:$F$307,'Cassa'!$A$8:$A$307,"&lt;="&amp;B18,'Cassa'!$G$8:$G$307,"OK"))</x:f>
      </x:c>
      <x:c r="AO18" s="21" t="str">
        <x:f>IF(AND(ISNUMBER(Z18),ISNUMBER(AN18),AN18&gt;0),Z18/AN18,"")</x:f>
      </x:c>
      <x:c r="AP18" s="18" t="str">
        <x:f>IF(NOT(ISNUMBER(AO18)),"",IF(AO18&gt;'Impostazioni'!$B$7,"Oltre soglia personale","Nella soglia personale"))</x:f>
      </x:c>
      <x:c r="AQ18" s="18" t="str">
        <x:f>IF(A18="",IF(COUNTA(B18:V18)=0,"","Inserisci ID"),IF(COUNTIFS($A$8:$A$507,A18)&lt;&gt;1,"ID duplicato",IF(OR(NOT(ISNUMBER(B18)),D18="",E18="",F18="",G18="",H18="",COUNTIFS('Impostazioni'!$J$6:$J$25,F18)&lt;&gt;1),"Completa dati / elenchi",IF(OR(AND(I18&lt;&gt;"Lordo manuale",I18&lt;&gt;"Netto manuale",I18&lt;&gt;"Esecuzioni"),AND(J18&lt;&gt;"Aperto",J18&lt;&gt;"Chiuso",J18&lt;&gt;"Annullato")),"Modalità / stato mancanti",IF(AND(J18&lt;&gt;"Aperto",OR(NOT(ISNUMBER(C18)),C18&lt;B18)),"Correggi data chiusura",IF(OR(AND(Q18&lt;&gt;"",OR(NOT(ISNUMBER(Q18)),Q18&lt;0)),AND(R18&lt;&gt;"",OR(NOT(ISNUMBER(R18)),R18&lt;0,R18&gt;1))),"Commissione non valida",IF(J18="Annullato","OK",IF(OR(NOT(ISNUMBER(Z18)),Z18&lt;0,AND(O18&lt;&gt;"",NOT(ISNUMBER(O18)))),"Inserisci rischio",IF(AND(I18="Esecuzioni",OR(W18=0,COUNTIFS('Esecuzioni'!$A$8:$A$1007,A18,'Esecuzioni'!$Q$8:$Q$1007,"&lt;&gt;OK")&gt;0)),"Correggi esecuzioni",IF(J18="Aperto","OK",IF(AND(I18="Esecuzioni",S18="Coperto",ABS(X18-Y18)&gt;'Impostazioni'!$B$11),"Copertura residua",IF(NOT(ISNUMBER(AC18)),"Completa risultato / esito",IF(AND(Z18=0,AC18&lt;&gt;0),"Rischio nullo con P/L","OK")))))))))))))</x:f>
      </x:c>
      <x:c r="AR18" s="20" t="str">
        <x:f>IF(OR(A18="",J18&lt;&gt;"Aperto",AQ18&lt;&gt;"OK"),"",IF(I18="Esecuzioni",SUMIFS('Esecuzioni'!$P$8:$P$1007,'Esecuzioni'!$A$8:$A$1007,A18,'Esecuzioni'!$B$8:$B$1007,_xlfn.MAXIFS('Esecuzioni'!$B$8:$B$1007,'Esecuzioni'!$A$8:$A$1007,A18)),IF(LEFT(U18,8)="FREEBET:",0,Z18)))</x:f>
      </x:c>
      <x:c r="AS18" s="48" t="str">
        <x:f>IF(OR(A18="",E18=""),"",IF(COUNTIFS($E$8:E18,E18)=1,COUNT($AS$7:AS17)+1,""))</x:f>
      </x:c>
    </x:row>
    <x:row r="19" ht="22" customHeight="1">
      <x:c r="A19" s="7"/>
      <x:c r="B19" s="19"/>
      <x:c r="C19" s="19"/>
      <x:c r="D19" s="7"/>
      <x:c r="E19" s="7"/>
      <x:c r="F19" s="7"/>
      <x:c r="G19" s="7"/>
      <x:c r="H19" s="7"/>
      <x:c r="I19" s="7"/>
      <x:c r="J19" s="7"/>
      <x:c r="K19" s="10"/>
      <x:c r="L19" s="7"/>
      <x:c r="M19" s="10"/>
      <x:c r="N19" s="7"/>
      <x:c r="O19" s="8"/>
      <x:c r="P19" s="8"/>
      <x:c r="Q19" s="8"/>
      <x:c r="R19" s="9"/>
      <x:c r="S19" s="7"/>
      <x:c r="T19" s="7"/>
      <x:c r="U19" s="7"/>
      <x:c r="V19" s="7"/>
      <x:c r="W19" s="22" t="str">
        <x:f>IF(A19="","",COUNTIFS('Esecuzioni'!$A$8:$A$1007,A19,'Esecuzioni'!$Q$8:$Q$1007,"OK"))</x:f>
      </x:c>
      <x:c r="X19" s="20" t="str">
        <x:f>IF(OR(A19="",I19&lt;&gt;"Esecuzioni",W19=0),"",SUMIFS('Esecuzioni'!$L$8:$L$1007,'Esecuzioni'!$A$8:$A$1007,A19))</x:f>
      </x:c>
      <x:c r="Y19" s="20" t="str">
        <x:f>IF(OR(A19="",I19&lt;&gt;"Esecuzioni",W19=0),"",SUMIFS('Esecuzioni'!$M$8:$M$1007,'Esecuzioni'!$A$8:$A$1007,A19))</x:f>
      </x:c>
      <x:c r="Z19" s="20" t="str">
        <x:f>IF(A19="","",IF(J19="Annullato",0,IF(ISNUMBER(O19),O19,IF(AND(I19="Esecuzioni",W19&gt;0),_xlfn.MAXIFS('Esecuzioni'!$P$8:$P$1007,'Esecuzioni'!$A$8:$A$1007,A19),""))))</x:f>
      </x:c>
      <x:c r="AA19" s="20" t="str">
        <x:f>IF(OR(A19="",J19="Aperto"),"",IF(J19="Annullato",0,IF(I19="Lordo manuale",IF(ISNUMBER(P19),P19,""),IF(I19="Netto manuale",IF(AND(ISNUMBER(P19),ISNUMBER(Q19)),P19+Q19,""),IF(OR(W19=0,COUNTIFS('Esecuzioni'!$A$8:$A$1007,A19,'Esecuzioni'!$Q$8:$Q$1007,"&lt;&gt;OK")&gt;0),"",IF(S19="Vince",X19,IF(S19="Perde",Y19,IF(AND(S19="Coperto",ABS(X19-Y19)&lt;='Impostazioni'!$B$11),ROUND((X19+Y19)/2,2),""))))))))</x:f>
      </x:c>
      <x:c r="AB19" s="20" t="str">
        <x:f>IF(NOT(ISNUMBER(AA19)),"",IF(J19="Annullato",0,IF(ISNUMBER(Q19),Q19,ROUND(MAX(0,AA19)*IF(ISNUMBER(R19),R19,'Impostazioni'!$B$8),2))))</x:f>
      </x:c>
      <x:c r="AC19" s="20" t="str">
        <x:f>IF(AND(ISNUMBER(AA19),ISNUMBER(AB19)),ROUND(AA19-AB19,2),"")</x:f>
      </x:c>
      <x:c r="AD19" s="18" t="str">
        <x:f>IF(A19="","",IF(AQ19&lt;&gt;"OK","Incompleto",IF(J19="Aperto","Aperto",IF(J19="Annullato","Annullato",IF(AC19&gt;0,"Green",IF(AC19&lt;0,"Red","Flat"))))))</x:f>
      </x:c>
      <x:c r="AE19" s="21" t="str">
        <x:f>IF(AND(AH19=1,Z19&gt;0),AC19/Z19,"")</x:f>
      </x:c>
      <x:c r="AF19" s="22" t="str">
        <x:f>IF(AH19&lt;&gt;1,"",COUNTIFS($C$8:$C$507,"&lt;"&amp;C19,$AH$8:$AH$507,1)+COUNTIFS($C$8:$C$507,C19,$A$8:$A$507,"&lt;="&amp;A19,$AH$8:$AH$507,1))</x:f>
      </x:c>
      <x:c r="AG19" s="20" t="str">
        <x:f>IF(AH19&lt;&gt;1,"",SUMIFS($AC$8:$AC$507,$C$8:$C$507,"&lt;"&amp;C19,$AH$8:$AH$507,1)+SUMIFS($AC$8:$AC$507,$C$8:$C$507,C19,$A$8:$A$507,"&lt;="&amp;A19,$AH$8:$AH$507,1))</x:f>
      </x:c>
      <x:c r="AH19" s="22" t="str">
        <x:f>IF(A19="","",IF(AND(J19="Chiuso",AQ19="OK",ISNUMBER(AC19)),1,0))</x:f>
      </x:c>
      <x:c r="AI19" s="20" t="str">
        <x:f>IF(AH19&lt;&gt;1,"",MAX(0,_xlfn.MAXIFS($AG$8:$AG$507,$AF$8:$AF$507,"&lt;="&amp;AF19,$AH$8:$AH$507,1)))</x:f>
      </x:c>
      <x:c r="AJ19" s="20" t="str">
        <x:f>IF(AH19&lt;&gt;1,"",MAX(0,AI19-AG19))</x:f>
      </x:c>
      <x:c r="AK19" s="21" t="str">
        <x:f>IF(OR(AH19&lt;&gt;1,NOT(ISNUMBER('Impostazioni'!$B$6)),'Impostazioni'!$B$6+AI19&lt;=0),"",AJ19/('Impostazioni'!$B$6+AI19))</x:f>
      </x:c>
      <x:c r="AL19" s="22" t="str">
        <x:f>IF(AH19&lt;&gt;1,"",IF(AC19&gt;0,AF19-_xlfn.MAXIFS($AF$8:$AF$507,$AF$8:$AF$507,"&lt;="&amp;AF19,$AC$8:$AC$507,"&lt;=0",$AH$8:$AH$507,1),0))</x:f>
      </x:c>
      <x:c r="AM19" s="22" t="str">
        <x:f>IF(AH19&lt;&gt;1,"",IF(AC19&lt;0,AF19-_xlfn.MAXIFS($AF$8:$AF$507,$AF$8:$AF$507,"&lt;="&amp;AF19,$AC$8:$AC$507,"&gt;=0",$AH$8:$AH$507,1),0))</x:f>
      </x:c>
      <x:c r="AN19" s="20" t="str">
        <x:f>IF(OR(A19="",NOT(ISNUMBER(B19)),NOT(ISNUMBER('Impostazioni'!$B$6))),"",'Impostazioni'!$B$6+SUMIFS($AC$8:$AC$507,$C$8:$C$507,"&lt;"&amp;B19,$AH$8:$AH$507,1)+SUMIFS('Cassa'!$F$8:$F$307,'Cassa'!$A$8:$A$307,"&lt;="&amp;B19,'Cassa'!$G$8:$G$307,"OK"))</x:f>
      </x:c>
      <x:c r="AO19" s="21" t="str">
        <x:f>IF(AND(ISNUMBER(Z19),ISNUMBER(AN19),AN19&gt;0),Z19/AN19,"")</x:f>
      </x:c>
      <x:c r="AP19" s="18" t="str">
        <x:f>IF(NOT(ISNUMBER(AO19)),"",IF(AO19&gt;'Impostazioni'!$B$7,"Oltre soglia personale","Nella soglia personale"))</x:f>
      </x:c>
      <x:c r="AQ19" s="18" t="str">
        <x:f>IF(A19="",IF(COUNTA(B19:V19)=0,"","Inserisci ID"),IF(COUNTIFS($A$8:$A$507,A19)&lt;&gt;1,"ID duplicato",IF(OR(NOT(ISNUMBER(B19)),D19="",E19="",F19="",G19="",H19="",COUNTIFS('Impostazioni'!$J$6:$J$25,F19)&lt;&gt;1),"Completa dati / elenchi",IF(OR(AND(I19&lt;&gt;"Lordo manuale",I19&lt;&gt;"Netto manuale",I19&lt;&gt;"Esecuzioni"),AND(J19&lt;&gt;"Aperto",J19&lt;&gt;"Chiuso",J19&lt;&gt;"Annullato")),"Modalità / stato mancanti",IF(AND(J19&lt;&gt;"Aperto",OR(NOT(ISNUMBER(C19)),C19&lt;B19)),"Correggi data chiusura",IF(OR(AND(Q19&lt;&gt;"",OR(NOT(ISNUMBER(Q19)),Q19&lt;0)),AND(R19&lt;&gt;"",OR(NOT(ISNUMBER(R19)),R19&lt;0,R19&gt;1))),"Commissione non valida",IF(J19="Annullato","OK",IF(OR(NOT(ISNUMBER(Z19)),Z19&lt;0,AND(O19&lt;&gt;"",NOT(ISNUMBER(O19)))),"Inserisci rischio",IF(AND(I19="Esecuzioni",OR(W19=0,COUNTIFS('Esecuzioni'!$A$8:$A$1007,A19,'Esecuzioni'!$Q$8:$Q$1007,"&lt;&gt;OK")&gt;0)),"Correggi esecuzioni",IF(J19="Aperto","OK",IF(AND(I19="Esecuzioni",S19="Coperto",ABS(X19-Y19)&gt;'Impostazioni'!$B$11),"Copertura residua",IF(NOT(ISNUMBER(AC19)),"Completa risultato / esito",IF(AND(Z19=0,AC19&lt;&gt;0),"Rischio nullo con P/L","OK")))))))))))))</x:f>
      </x:c>
      <x:c r="AR19" s="20" t="str">
        <x:f>IF(OR(A19="",J19&lt;&gt;"Aperto",AQ19&lt;&gt;"OK"),"",IF(I19="Esecuzioni",SUMIFS('Esecuzioni'!$P$8:$P$1007,'Esecuzioni'!$A$8:$A$1007,A19,'Esecuzioni'!$B$8:$B$1007,_xlfn.MAXIFS('Esecuzioni'!$B$8:$B$1007,'Esecuzioni'!$A$8:$A$1007,A19)),IF(LEFT(U19,8)="FREEBET:",0,Z19)))</x:f>
      </x:c>
      <x:c r="AS19" s="48" t="str">
        <x:f>IF(OR(A19="",E19=""),"",IF(COUNTIFS($E$8:E19,E19)=1,COUNT($AS$7:AS18)+1,""))</x:f>
      </x:c>
    </x:row>
    <x:row r="20" ht="22" customHeight="1">
      <x:c r="A20" s="7"/>
      <x:c r="B20" s="19"/>
      <x:c r="C20" s="19"/>
      <x:c r="D20" s="7"/>
      <x:c r="E20" s="7"/>
      <x:c r="F20" s="7"/>
      <x:c r="G20" s="7"/>
      <x:c r="H20" s="7"/>
      <x:c r="I20" s="7"/>
      <x:c r="J20" s="7"/>
      <x:c r="K20" s="10"/>
      <x:c r="L20" s="7"/>
      <x:c r="M20" s="10"/>
      <x:c r="N20" s="7"/>
      <x:c r="O20" s="8"/>
      <x:c r="P20" s="8"/>
      <x:c r="Q20" s="8"/>
      <x:c r="R20" s="9"/>
      <x:c r="S20" s="7"/>
      <x:c r="T20" s="7"/>
      <x:c r="U20" s="7"/>
      <x:c r="V20" s="7"/>
      <x:c r="W20" s="22" t="str">
        <x:f>IF(A20="","",COUNTIFS('Esecuzioni'!$A$8:$A$1007,A20,'Esecuzioni'!$Q$8:$Q$1007,"OK"))</x:f>
      </x:c>
      <x:c r="X20" s="20" t="str">
        <x:f>IF(OR(A20="",I20&lt;&gt;"Esecuzioni",W20=0),"",SUMIFS('Esecuzioni'!$L$8:$L$1007,'Esecuzioni'!$A$8:$A$1007,A20))</x:f>
      </x:c>
      <x:c r="Y20" s="20" t="str">
        <x:f>IF(OR(A20="",I20&lt;&gt;"Esecuzioni",W20=0),"",SUMIFS('Esecuzioni'!$M$8:$M$1007,'Esecuzioni'!$A$8:$A$1007,A20))</x:f>
      </x:c>
      <x:c r="Z20" s="20" t="str">
        <x:f>IF(A20="","",IF(J20="Annullato",0,IF(ISNUMBER(O20),O20,IF(AND(I20="Esecuzioni",W20&gt;0),_xlfn.MAXIFS('Esecuzioni'!$P$8:$P$1007,'Esecuzioni'!$A$8:$A$1007,A20),""))))</x:f>
      </x:c>
      <x:c r="AA20" s="20" t="str">
        <x:f>IF(OR(A20="",J20="Aperto"),"",IF(J20="Annullato",0,IF(I20="Lordo manuale",IF(ISNUMBER(P20),P20,""),IF(I20="Netto manuale",IF(AND(ISNUMBER(P20),ISNUMBER(Q20)),P20+Q20,""),IF(OR(W20=0,COUNTIFS('Esecuzioni'!$A$8:$A$1007,A20,'Esecuzioni'!$Q$8:$Q$1007,"&lt;&gt;OK")&gt;0),"",IF(S20="Vince",X20,IF(S20="Perde",Y20,IF(AND(S20="Coperto",ABS(X20-Y20)&lt;='Impostazioni'!$B$11),ROUND((X20+Y20)/2,2),""))))))))</x:f>
      </x:c>
      <x:c r="AB20" s="20" t="str">
        <x:f>IF(NOT(ISNUMBER(AA20)),"",IF(J20="Annullato",0,IF(ISNUMBER(Q20),Q20,ROUND(MAX(0,AA20)*IF(ISNUMBER(R20),R20,'Impostazioni'!$B$8),2))))</x:f>
      </x:c>
      <x:c r="AC20" s="20" t="str">
        <x:f>IF(AND(ISNUMBER(AA20),ISNUMBER(AB20)),ROUND(AA20-AB20,2),"")</x:f>
      </x:c>
      <x:c r="AD20" s="18" t="str">
        <x:f>IF(A20="","",IF(AQ20&lt;&gt;"OK","Incompleto",IF(J20="Aperto","Aperto",IF(J20="Annullato","Annullato",IF(AC20&gt;0,"Green",IF(AC20&lt;0,"Red","Flat"))))))</x:f>
      </x:c>
      <x:c r="AE20" s="21" t="str">
        <x:f>IF(AND(AH20=1,Z20&gt;0),AC20/Z20,"")</x:f>
      </x:c>
      <x:c r="AF20" s="22" t="str">
        <x:f>IF(AH20&lt;&gt;1,"",COUNTIFS($C$8:$C$507,"&lt;"&amp;C20,$AH$8:$AH$507,1)+COUNTIFS($C$8:$C$507,C20,$A$8:$A$507,"&lt;="&amp;A20,$AH$8:$AH$507,1))</x:f>
      </x:c>
      <x:c r="AG20" s="20" t="str">
        <x:f>IF(AH20&lt;&gt;1,"",SUMIFS($AC$8:$AC$507,$C$8:$C$507,"&lt;"&amp;C20,$AH$8:$AH$507,1)+SUMIFS($AC$8:$AC$507,$C$8:$C$507,C20,$A$8:$A$507,"&lt;="&amp;A20,$AH$8:$AH$507,1))</x:f>
      </x:c>
      <x:c r="AH20" s="22" t="str">
        <x:f>IF(A20="","",IF(AND(J20="Chiuso",AQ20="OK",ISNUMBER(AC20)),1,0))</x:f>
      </x:c>
      <x:c r="AI20" s="20" t="str">
        <x:f>IF(AH20&lt;&gt;1,"",MAX(0,_xlfn.MAXIFS($AG$8:$AG$507,$AF$8:$AF$507,"&lt;="&amp;AF20,$AH$8:$AH$507,1)))</x:f>
      </x:c>
      <x:c r="AJ20" s="20" t="str">
        <x:f>IF(AH20&lt;&gt;1,"",MAX(0,AI20-AG20))</x:f>
      </x:c>
      <x:c r="AK20" s="21" t="str">
        <x:f>IF(OR(AH20&lt;&gt;1,NOT(ISNUMBER('Impostazioni'!$B$6)),'Impostazioni'!$B$6+AI20&lt;=0),"",AJ20/('Impostazioni'!$B$6+AI20))</x:f>
      </x:c>
      <x:c r="AL20" s="22" t="str">
        <x:f>IF(AH20&lt;&gt;1,"",IF(AC20&gt;0,AF20-_xlfn.MAXIFS($AF$8:$AF$507,$AF$8:$AF$507,"&lt;="&amp;AF20,$AC$8:$AC$507,"&lt;=0",$AH$8:$AH$507,1),0))</x:f>
      </x:c>
      <x:c r="AM20" s="22" t="str">
        <x:f>IF(AH20&lt;&gt;1,"",IF(AC20&lt;0,AF20-_xlfn.MAXIFS($AF$8:$AF$507,$AF$8:$AF$507,"&lt;="&amp;AF20,$AC$8:$AC$507,"&gt;=0",$AH$8:$AH$507,1),0))</x:f>
      </x:c>
      <x:c r="AN20" s="20" t="str">
        <x:f>IF(OR(A20="",NOT(ISNUMBER(B20)),NOT(ISNUMBER('Impostazioni'!$B$6))),"",'Impostazioni'!$B$6+SUMIFS($AC$8:$AC$507,$C$8:$C$507,"&lt;"&amp;B20,$AH$8:$AH$507,1)+SUMIFS('Cassa'!$F$8:$F$307,'Cassa'!$A$8:$A$307,"&lt;="&amp;B20,'Cassa'!$G$8:$G$307,"OK"))</x:f>
      </x:c>
      <x:c r="AO20" s="21" t="str">
        <x:f>IF(AND(ISNUMBER(Z20),ISNUMBER(AN20),AN20&gt;0),Z20/AN20,"")</x:f>
      </x:c>
      <x:c r="AP20" s="18" t="str">
        <x:f>IF(NOT(ISNUMBER(AO20)),"",IF(AO20&gt;'Impostazioni'!$B$7,"Oltre soglia personale","Nella soglia personale"))</x:f>
      </x:c>
      <x:c r="AQ20" s="18" t="str">
        <x:f>IF(A20="",IF(COUNTA(B20:V20)=0,"","Inserisci ID"),IF(COUNTIFS($A$8:$A$507,A20)&lt;&gt;1,"ID duplicato",IF(OR(NOT(ISNUMBER(B20)),D20="",E20="",F20="",G20="",H20="",COUNTIFS('Impostazioni'!$J$6:$J$25,F20)&lt;&gt;1),"Completa dati / elenchi",IF(OR(AND(I20&lt;&gt;"Lordo manuale",I20&lt;&gt;"Netto manuale",I20&lt;&gt;"Esecuzioni"),AND(J20&lt;&gt;"Aperto",J20&lt;&gt;"Chiuso",J20&lt;&gt;"Annullato")),"Modalità / stato mancanti",IF(AND(J20&lt;&gt;"Aperto",OR(NOT(ISNUMBER(C20)),C20&lt;B20)),"Correggi data chiusura",IF(OR(AND(Q20&lt;&gt;"",OR(NOT(ISNUMBER(Q20)),Q20&lt;0)),AND(R20&lt;&gt;"",OR(NOT(ISNUMBER(R20)),R20&lt;0,R20&gt;1))),"Commissione non valida",IF(J20="Annullato","OK",IF(OR(NOT(ISNUMBER(Z20)),Z20&lt;0,AND(O20&lt;&gt;"",NOT(ISNUMBER(O20)))),"Inserisci rischio",IF(AND(I20="Esecuzioni",OR(W20=0,COUNTIFS('Esecuzioni'!$A$8:$A$1007,A20,'Esecuzioni'!$Q$8:$Q$1007,"&lt;&gt;OK")&gt;0)),"Correggi esecuzioni",IF(J20="Aperto","OK",IF(AND(I20="Esecuzioni",S20="Coperto",ABS(X20-Y20)&gt;'Impostazioni'!$B$11),"Copertura residua",IF(NOT(ISNUMBER(AC20)),"Completa risultato / esito",IF(AND(Z20=0,AC20&lt;&gt;0),"Rischio nullo con P/L","OK")))))))))))))</x:f>
      </x:c>
      <x:c r="AR20" s="20" t="str">
        <x:f>IF(OR(A20="",J20&lt;&gt;"Aperto",AQ20&lt;&gt;"OK"),"",IF(I20="Esecuzioni",SUMIFS('Esecuzioni'!$P$8:$P$1007,'Esecuzioni'!$A$8:$A$1007,A20,'Esecuzioni'!$B$8:$B$1007,_xlfn.MAXIFS('Esecuzioni'!$B$8:$B$1007,'Esecuzioni'!$A$8:$A$1007,A20)),IF(LEFT(U20,8)="FREEBET:",0,Z20)))</x:f>
      </x:c>
      <x:c r="AS20" s="48" t="str">
        <x:f>IF(OR(A20="",E20=""),"",IF(COUNTIFS($E$8:E20,E20)=1,COUNT($AS$7:AS19)+1,""))</x:f>
      </x:c>
    </x:row>
    <x:row r="21" ht="22" customHeight="1">
      <x:c r="A21" s="7"/>
      <x:c r="B21" s="19"/>
      <x:c r="C21" s="19"/>
      <x:c r="D21" s="7"/>
      <x:c r="E21" s="7"/>
      <x:c r="F21" s="7"/>
      <x:c r="G21" s="7"/>
      <x:c r="H21" s="7"/>
      <x:c r="I21" s="7"/>
      <x:c r="J21" s="7"/>
      <x:c r="K21" s="10"/>
      <x:c r="L21" s="7"/>
      <x:c r="M21" s="10"/>
      <x:c r="N21" s="7"/>
      <x:c r="O21" s="8"/>
      <x:c r="P21" s="8"/>
      <x:c r="Q21" s="8"/>
      <x:c r="R21" s="9"/>
      <x:c r="S21" s="7"/>
      <x:c r="T21" s="7"/>
      <x:c r="U21" s="7"/>
      <x:c r="V21" s="7"/>
      <x:c r="W21" s="22" t="str">
        <x:f>IF(A21="","",COUNTIFS('Esecuzioni'!$A$8:$A$1007,A21,'Esecuzioni'!$Q$8:$Q$1007,"OK"))</x:f>
      </x:c>
      <x:c r="X21" s="20" t="str">
        <x:f>IF(OR(A21="",I21&lt;&gt;"Esecuzioni",W21=0),"",SUMIFS('Esecuzioni'!$L$8:$L$1007,'Esecuzioni'!$A$8:$A$1007,A21))</x:f>
      </x:c>
      <x:c r="Y21" s="20" t="str">
        <x:f>IF(OR(A21="",I21&lt;&gt;"Esecuzioni",W21=0),"",SUMIFS('Esecuzioni'!$M$8:$M$1007,'Esecuzioni'!$A$8:$A$1007,A21))</x:f>
      </x:c>
      <x:c r="Z21" s="20" t="str">
        <x:f>IF(A21="","",IF(J21="Annullato",0,IF(ISNUMBER(O21),O21,IF(AND(I21="Esecuzioni",W21&gt;0),_xlfn.MAXIFS('Esecuzioni'!$P$8:$P$1007,'Esecuzioni'!$A$8:$A$1007,A21),""))))</x:f>
      </x:c>
      <x:c r="AA21" s="20" t="str">
        <x:f>IF(OR(A21="",J21="Aperto"),"",IF(J21="Annullato",0,IF(I21="Lordo manuale",IF(ISNUMBER(P21),P21,""),IF(I21="Netto manuale",IF(AND(ISNUMBER(P21),ISNUMBER(Q21)),P21+Q21,""),IF(OR(W21=0,COUNTIFS('Esecuzioni'!$A$8:$A$1007,A21,'Esecuzioni'!$Q$8:$Q$1007,"&lt;&gt;OK")&gt;0),"",IF(S21="Vince",X21,IF(S21="Perde",Y21,IF(AND(S21="Coperto",ABS(X21-Y21)&lt;='Impostazioni'!$B$11),ROUND((X21+Y21)/2,2),""))))))))</x:f>
      </x:c>
      <x:c r="AB21" s="20" t="str">
        <x:f>IF(NOT(ISNUMBER(AA21)),"",IF(J21="Annullato",0,IF(ISNUMBER(Q21),Q21,ROUND(MAX(0,AA21)*IF(ISNUMBER(R21),R21,'Impostazioni'!$B$8),2))))</x:f>
      </x:c>
      <x:c r="AC21" s="20" t="str">
        <x:f>IF(AND(ISNUMBER(AA21),ISNUMBER(AB21)),ROUND(AA21-AB21,2),"")</x:f>
      </x:c>
      <x:c r="AD21" s="18" t="str">
        <x:f>IF(A21="","",IF(AQ21&lt;&gt;"OK","Incompleto",IF(J21="Aperto","Aperto",IF(J21="Annullato","Annullato",IF(AC21&gt;0,"Green",IF(AC21&lt;0,"Red","Flat"))))))</x:f>
      </x:c>
      <x:c r="AE21" s="21" t="str">
        <x:f>IF(AND(AH21=1,Z21&gt;0),AC21/Z21,"")</x:f>
      </x:c>
      <x:c r="AF21" s="22" t="str">
        <x:f>IF(AH21&lt;&gt;1,"",COUNTIFS($C$8:$C$507,"&lt;"&amp;C21,$AH$8:$AH$507,1)+COUNTIFS($C$8:$C$507,C21,$A$8:$A$507,"&lt;="&amp;A21,$AH$8:$AH$507,1))</x:f>
      </x:c>
      <x:c r="AG21" s="20" t="str">
        <x:f>IF(AH21&lt;&gt;1,"",SUMIFS($AC$8:$AC$507,$C$8:$C$507,"&lt;"&amp;C21,$AH$8:$AH$507,1)+SUMIFS($AC$8:$AC$507,$C$8:$C$507,C21,$A$8:$A$507,"&lt;="&amp;A21,$AH$8:$AH$507,1))</x:f>
      </x:c>
      <x:c r="AH21" s="22" t="str">
        <x:f>IF(A21="","",IF(AND(J21="Chiuso",AQ21="OK",ISNUMBER(AC21)),1,0))</x:f>
      </x:c>
      <x:c r="AI21" s="20" t="str">
        <x:f>IF(AH21&lt;&gt;1,"",MAX(0,_xlfn.MAXIFS($AG$8:$AG$507,$AF$8:$AF$507,"&lt;="&amp;AF21,$AH$8:$AH$507,1)))</x:f>
      </x:c>
      <x:c r="AJ21" s="20" t="str">
        <x:f>IF(AH21&lt;&gt;1,"",MAX(0,AI21-AG21))</x:f>
      </x:c>
      <x:c r="AK21" s="21" t="str">
        <x:f>IF(OR(AH21&lt;&gt;1,NOT(ISNUMBER('Impostazioni'!$B$6)),'Impostazioni'!$B$6+AI21&lt;=0),"",AJ21/('Impostazioni'!$B$6+AI21))</x:f>
      </x:c>
      <x:c r="AL21" s="22" t="str">
        <x:f>IF(AH21&lt;&gt;1,"",IF(AC21&gt;0,AF21-_xlfn.MAXIFS($AF$8:$AF$507,$AF$8:$AF$507,"&lt;="&amp;AF21,$AC$8:$AC$507,"&lt;=0",$AH$8:$AH$507,1),0))</x:f>
      </x:c>
      <x:c r="AM21" s="22" t="str">
        <x:f>IF(AH21&lt;&gt;1,"",IF(AC21&lt;0,AF21-_xlfn.MAXIFS($AF$8:$AF$507,$AF$8:$AF$507,"&lt;="&amp;AF21,$AC$8:$AC$507,"&gt;=0",$AH$8:$AH$507,1),0))</x:f>
      </x:c>
      <x:c r="AN21" s="20" t="str">
        <x:f>IF(OR(A21="",NOT(ISNUMBER(B21)),NOT(ISNUMBER('Impostazioni'!$B$6))),"",'Impostazioni'!$B$6+SUMIFS($AC$8:$AC$507,$C$8:$C$507,"&lt;"&amp;B21,$AH$8:$AH$507,1)+SUMIFS('Cassa'!$F$8:$F$307,'Cassa'!$A$8:$A$307,"&lt;="&amp;B21,'Cassa'!$G$8:$G$307,"OK"))</x:f>
      </x:c>
      <x:c r="AO21" s="21" t="str">
        <x:f>IF(AND(ISNUMBER(Z21),ISNUMBER(AN21),AN21&gt;0),Z21/AN21,"")</x:f>
      </x:c>
      <x:c r="AP21" s="18" t="str">
        <x:f>IF(NOT(ISNUMBER(AO21)),"",IF(AO21&gt;'Impostazioni'!$B$7,"Oltre soglia personale","Nella soglia personale"))</x:f>
      </x:c>
      <x:c r="AQ21" s="18" t="str">
        <x:f>IF(A21="",IF(COUNTA(B21:V21)=0,"","Inserisci ID"),IF(COUNTIFS($A$8:$A$507,A21)&lt;&gt;1,"ID duplicato",IF(OR(NOT(ISNUMBER(B21)),D21="",E21="",F21="",G21="",H21="",COUNTIFS('Impostazioni'!$J$6:$J$25,F21)&lt;&gt;1),"Completa dati / elenchi",IF(OR(AND(I21&lt;&gt;"Lordo manuale",I21&lt;&gt;"Netto manuale",I21&lt;&gt;"Esecuzioni"),AND(J21&lt;&gt;"Aperto",J21&lt;&gt;"Chiuso",J21&lt;&gt;"Annullato")),"Modalità / stato mancanti",IF(AND(J21&lt;&gt;"Aperto",OR(NOT(ISNUMBER(C21)),C21&lt;B21)),"Correggi data chiusura",IF(OR(AND(Q21&lt;&gt;"",OR(NOT(ISNUMBER(Q21)),Q21&lt;0)),AND(R21&lt;&gt;"",OR(NOT(ISNUMBER(R21)),R21&lt;0,R21&gt;1))),"Commissione non valida",IF(J21="Annullato","OK",IF(OR(NOT(ISNUMBER(Z21)),Z21&lt;0,AND(O21&lt;&gt;"",NOT(ISNUMBER(O21)))),"Inserisci rischio",IF(AND(I21="Esecuzioni",OR(W21=0,COUNTIFS('Esecuzioni'!$A$8:$A$1007,A21,'Esecuzioni'!$Q$8:$Q$1007,"&lt;&gt;OK")&gt;0)),"Correggi esecuzioni",IF(J21="Aperto","OK",IF(AND(I21="Esecuzioni",S21="Coperto",ABS(X21-Y21)&gt;'Impostazioni'!$B$11),"Copertura residua",IF(NOT(ISNUMBER(AC21)),"Completa risultato / esito",IF(AND(Z21=0,AC21&lt;&gt;0),"Rischio nullo con P/L","OK")))))))))))))</x:f>
      </x:c>
      <x:c r="AR21" s="20" t="str">
        <x:f>IF(OR(A21="",J21&lt;&gt;"Aperto",AQ21&lt;&gt;"OK"),"",IF(I21="Esecuzioni",SUMIFS('Esecuzioni'!$P$8:$P$1007,'Esecuzioni'!$A$8:$A$1007,A21,'Esecuzioni'!$B$8:$B$1007,_xlfn.MAXIFS('Esecuzioni'!$B$8:$B$1007,'Esecuzioni'!$A$8:$A$1007,A21)),IF(LEFT(U21,8)="FREEBET:",0,Z21)))</x:f>
      </x:c>
      <x:c r="AS21" s="48" t="str">
        <x:f>IF(OR(A21="",E21=""),"",IF(COUNTIFS($E$8:E21,E21)=1,COUNT($AS$7:AS20)+1,""))</x:f>
      </x:c>
    </x:row>
    <x:row r="22" ht="22" customHeight="1">
      <x:c r="A22" s="7"/>
      <x:c r="B22" s="19"/>
      <x:c r="C22" s="19"/>
      <x:c r="D22" s="7"/>
      <x:c r="E22" s="7"/>
      <x:c r="F22" s="7"/>
      <x:c r="G22" s="7"/>
      <x:c r="H22" s="7"/>
      <x:c r="I22" s="7"/>
      <x:c r="J22" s="7"/>
      <x:c r="K22" s="10"/>
      <x:c r="L22" s="7"/>
      <x:c r="M22" s="10"/>
      <x:c r="N22" s="7"/>
      <x:c r="O22" s="8"/>
      <x:c r="P22" s="8"/>
      <x:c r="Q22" s="8"/>
      <x:c r="R22" s="9"/>
      <x:c r="S22" s="7"/>
      <x:c r="T22" s="7"/>
      <x:c r="U22" s="7"/>
      <x:c r="V22" s="7"/>
      <x:c r="W22" s="22" t="str">
        <x:f>IF(A22="","",COUNTIFS('Esecuzioni'!$A$8:$A$1007,A22,'Esecuzioni'!$Q$8:$Q$1007,"OK"))</x:f>
      </x:c>
      <x:c r="X22" s="20" t="str">
        <x:f>IF(OR(A22="",I22&lt;&gt;"Esecuzioni",W22=0),"",SUMIFS('Esecuzioni'!$L$8:$L$1007,'Esecuzioni'!$A$8:$A$1007,A22))</x:f>
      </x:c>
      <x:c r="Y22" s="20" t="str">
        <x:f>IF(OR(A22="",I22&lt;&gt;"Esecuzioni",W22=0),"",SUMIFS('Esecuzioni'!$M$8:$M$1007,'Esecuzioni'!$A$8:$A$1007,A22))</x:f>
      </x:c>
      <x:c r="Z22" s="20" t="str">
        <x:f>IF(A22="","",IF(J22="Annullato",0,IF(ISNUMBER(O22),O22,IF(AND(I22="Esecuzioni",W22&gt;0),_xlfn.MAXIFS('Esecuzioni'!$P$8:$P$1007,'Esecuzioni'!$A$8:$A$1007,A22),""))))</x:f>
      </x:c>
      <x:c r="AA22" s="20" t="str">
        <x:f>IF(OR(A22="",J22="Aperto"),"",IF(J22="Annullato",0,IF(I22="Lordo manuale",IF(ISNUMBER(P22),P22,""),IF(I22="Netto manuale",IF(AND(ISNUMBER(P22),ISNUMBER(Q22)),P22+Q22,""),IF(OR(W22=0,COUNTIFS('Esecuzioni'!$A$8:$A$1007,A22,'Esecuzioni'!$Q$8:$Q$1007,"&lt;&gt;OK")&gt;0),"",IF(S22="Vince",X22,IF(S22="Perde",Y22,IF(AND(S22="Coperto",ABS(X22-Y22)&lt;='Impostazioni'!$B$11),ROUND((X22+Y22)/2,2),""))))))))</x:f>
      </x:c>
      <x:c r="AB22" s="20" t="str">
        <x:f>IF(NOT(ISNUMBER(AA22)),"",IF(J22="Annullato",0,IF(ISNUMBER(Q22),Q22,ROUND(MAX(0,AA22)*IF(ISNUMBER(R22),R22,'Impostazioni'!$B$8),2))))</x:f>
      </x:c>
      <x:c r="AC22" s="20" t="str">
        <x:f>IF(AND(ISNUMBER(AA22),ISNUMBER(AB22)),ROUND(AA22-AB22,2),"")</x:f>
      </x:c>
      <x:c r="AD22" s="18" t="str">
        <x:f>IF(A22="","",IF(AQ22&lt;&gt;"OK","Incompleto",IF(J22="Aperto","Aperto",IF(J22="Annullato","Annullato",IF(AC22&gt;0,"Green",IF(AC22&lt;0,"Red","Flat"))))))</x:f>
      </x:c>
      <x:c r="AE22" s="21" t="str">
        <x:f>IF(AND(AH22=1,Z22&gt;0),AC22/Z22,"")</x:f>
      </x:c>
      <x:c r="AF22" s="22" t="str">
        <x:f>IF(AH22&lt;&gt;1,"",COUNTIFS($C$8:$C$507,"&lt;"&amp;C22,$AH$8:$AH$507,1)+COUNTIFS($C$8:$C$507,C22,$A$8:$A$507,"&lt;="&amp;A22,$AH$8:$AH$507,1))</x:f>
      </x:c>
      <x:c r="AG22" s="20" t="str">
        <x:f>IF(AH22&lt;&gt;1,"",SUMIFS($AC$8:$AC$507,$C$8:$C$507,"&lt;"&amp;C22,$AH$8:$AH$507,1)+SUMIFS($AC$8:$AC$507,$C$8:$C$507,C22,$A$8:$A$507,"&lt;="&amp;A22,$AH$8:$AH$507,1))</x:f>
      </x:c>
      <x:c r="AH22" s="22" t="str">
        <x:f>IF(A22="","",IF(AND(J22="Chiuso",AQ22="OK",ISNUMBER(AC22)),1,0))</x:f>
      </x:c>
      <x:c r="AI22" s="20" t="str">
        <x:f>IF(AH22&lt;&gt;1,"",MAX(0,_xlfn.MAXIFS($AG$8:$AG$507,$AF$8:$AF$507,"&lt;="&amp;AF22,$AH$8:$AH$507,1)))</x:f>
      </x:c>
      <x:c r="AJ22" s="20" t="str">
        <x:f>IF(AH22&lt;&gt;1,"",MAX(0,AI22-AG22))</x:f>
      </x:c>
      <x:c r="AK22" s="21" t="str">
        <x:f>IF(OR(AH22&lt;&gt;1,NOT(ISNUMBER('Impostazioni'!$B$6)),'Impostazioni'!$B$6+AI22&lt;=0),"",AJ22/('Impostazioni'!$B$6+AI22))</x:f>
      </x:c>
      <x:c r="AL22" s="22" t="str">
        <x:f>IF(AH22&lt;&gt;1,"",IF(AC22&gt;0,AF22-_xlfn.MAXIFS($AF$8:$AF$507,$AF$8:$AF$507,"&lt;="&amp;AF22,$AC$8:$AC$507,"&lt;=0",$AH$8:$AH$507,1),0))</x:f>
      </x:c>
      <x:c r="AM22" s="22" t="str">
        <x:f>IF(AH22&lt;&gt;1,"",IF(AC22&lt;0,AF22-_xlfn.MAXIFS($AF$8:$AF$507,$AF$8:$AF$507,"&lt;="&amp;AF22,$AC$8:$AC$507,"&gt;=0",$AH$8:$AH$507,1),0))</x:f>
      </x:c>
      <x:c r="AN22" s="20" t="str">
        <x:f>IF(OR(A22="",NOT(ISNUMBER(B22)),NOT(ISNUMBER('Impostazioni'!$B$6))),"",'Impostazioni'!$B$6+SUMIFS($AC$8:$AC$507,$C$8:$C$507,"&lt;"&amp;B22,$AH$8:$AH$507,1)+SUMIFS('Cassa'!$F$8:$F$307,'Cassa'!$A$8:$A$307,"&lt;="&amp;B22,'Cassa'!$G$8:$G$307,"OK"))</x:f>
      </x:c>
      <x:c r="AO22" s="21" t="str">
        <x:f>IF(AND(ISNUMBER(Z22),ISNUMBER(AN22),AN22&gt;0),Z22/AN22,"")</x:f>
      </x:c>
      <x:c r="AP22" s="18" t="str">
        <x:f>IF(NOT(ISNUMBER(AO22)),"",IF(AO22&gt;'Impostazioni'!$B$7,"Oltre soglia personale","Nella soglia personale"))</x:f>
      </x:c>
      <x:c r="AQ22" s="18" t="str">
        <x:f>IF(A22="",IF(COUNTA(B22:V22)=0,"","Inserisci ID"),IF(COUNTIFS($A$8:$A$507,A22)&lt;&gt;1,"ID duplicato",IF(OR(NOT(ISNUMBER(B22)),D22="",E22="",F22="",G22="",H22="",COUNTIFS('Impostazioni'!$J$6:$J$25,F22)&lt;&gt;1),"Completa dati / elenchi",IF(OR(AND(I22&lt;&gt;"Lordo manuale",I22&lt;&gt;"Netto manuale",I22&lt;&gt;"Esecuzioni"),AND(J22&lt;&gt;"Aperto",J22&lt;&gt;"Chiuso",J22&lt;&gt;"Annullato")),"Modalità / stato mancanti",IF(AND(J22&lt;&gt;"Aperto",OR(NOT(ISNUMBER(C22)),C22&lt;B22)),"Correggi data chiusura",IF(OR(AND(Q22&lt;&gt;"",OR(NOT(ISNUMBER(Q22)),Q22&lt;0)),AND(R22&lt;&gt;"",OR(NOT(ISNUMBER(R22)),R22&lt;0,R22&gt;1))),"Commissione non valida",IF(J22="Annullato","OK",IF(OR(NOT(ISNUMBER(Z22)),Z22&lt;0,AND(O22&lt;&gt;"",NOT(ISNUMBER(O22)))),"Inserisci rischio",IF(AND(I22="Esecuzioni",OR(W22=0,COUNTIFS('Esecuzioni'!$A$8:$A$1007,A22,'Esecuzioni'!$Q$8:$Q$1007,"&lt;&gt;OK")&gt;0)),"Correggi esecuzioni",IF(J22="Aperto","OK",IF(AND(I22="Esecuzioni",S22="Coperto",ABS(X22-Y22)&gt;'Impostazioni'!$B$11),"Copertura residua",IF(NOT(ISNUMBER(AC22)),"Completa risultato / esito",IF(AND(Z22=0,AC22&lt;&gt;0),"Rischio nullo con P/L","OK")))))))))))))</x:f>
      </x:c>
      <x:c r="AR22" s="20" t="str">
        <x:f>IF(OR(A22="",J22&lt;&gt;"Aperto",AQ22&lt;&gt;"OK"),"",IF(I22="Esecuzioni",SUMIFS('Esecuzioni'!$P$8:$P$1007,'Esecuzioni'!$A$8:$A$1007,A22,'Esecuzioni'!$B$8:$B$1007,_xlfn.MAXIFS('Esecuzioni'!$B$8:$B$1007,'Esecuzioni'!$A$8:$A$1007,A22)),IF(LEFT(U22,8)="FREEBET:",0,Z22)))</x:f>
      </x:c>
      <x:c r="AS22" s="48" t="str">
        <x:f>IF(OR(A22="",E22=""),"",IF(COUNTIFS($E$8:E22,E22)=1,COUNT($AS$7:AS21)+1,""))</x:f>
      </x:c>
    </x:row>
    <x:row r="23" ht="22" customHeight="1">
      <x:c r="A23" s="7"/>
      <x:c r="B23" s="19"/>
      <x:c r="C23" s="19"/>
      <x:c r="D23" s="7"/>
      <x:c r="E23" s="7"/>
      <x:c r="F23" s="7"/>
      <x:c r="G23" s="7"/>
      <x:c r="H23" s="7"/>
      <x:c r="I23" s="7"/>
      <x:c r="J23" s="7"/>
      <x:c r="K23" s="10"/>
      <x:c r="L23" s="7"/>
      <x:c r="M23" s="10"/>
      <x:c r="N23" s="7"/>
      <x:c r="O23" s="8"/>
      <x:c r="P23" s="8"/>
      <x:c r="Q23" s="8"/>
      <x:c r="R23" s="9"/>
      <x:c r="S23" s="7"/>
      <x:c r="T23" s="7"/>
      <x:c r="U23" s="7"/>
      <x:c r="V23" s="7"/>
      <x:c r="W23" s="22" t="str">
        <x:f>IF(A23="","",COUNTIFS('Esecuzioni'!$A$8:$A$1007,A23,'Esecuzioni'!$Q$8:$Q$1007,"OK"))</x:f>
      </x:c>
      <x:c r="X23" s="20" t="str">
        <x:f>IF(OR(A23="",I23&lt;&gt;"Esecuzioni",W23=0),"",SUMIFS('Esecuzioni'!$L$8:$L$1007,'Esecuzioni'!$A$8:$A$1007,A23))</x:f>
      </x:c>
      <x:c r="Y23" s="20" t="str">
        <x:f>IF(OR(A23="",I23&lt;&gt;"Esecuzioni",W23=0),"",SUMIFS('Esecuzioni'!$M$8:$M$1007,'Esecuzioni'!$A$8:$A$1007,A23))</x:f>
      </x:c>
      <x:c r="Z23" s="20" t="str">
        <x:f>IF(A23="","",IF(J23="Annullato",0,IF(ISNUMBER(O23),O23,IF(AND(I23="Esecuzioni",W23&gt;0),_xlfn.MAXIFS('Esecuzioni'!$P$8:$P$1007,'Esecuzioni'!$A$8:$A$1007,A23),""))))</x:f>
      </x:c>
      <x:c r="AA23" s="20" t="str">
        <x:f>IF(OR(A23="",J23="Aperto"),"",IF(J23="Annullato",0,IF(I23="Lordo manuale",IF(ISNUMBER(P23),P23,""),IF(I23="Netto manuale",IF(AND(ISNUMBER(P23),ISNUMBER(Q23)),P23+Q23,""),IF(OR(W23=0,COUNTIFS('Esecuzioni'!$A$8:$A$1007,A23,'Esecuzioni'!$Q$8:$Q$1007,"&lt;&gt;OK")&gt;0),"",IF(S23="Vince",X23,IF(S23="Perde",Y23,IF(AND(S23="Coperto",ABS(X23-Y23)&lt;='Impostazioni'!$B$11),ROUND((X23+Y23)/2,2),""))))))))</x:f>
      </x:c>
      <x:c r="AB23" s="20" t="str">
        <x:f>IF(NOT(ISNUMBER(AA23)),"",IF(J23="Annullato",0,IF(ISNUMBER(Q23),Q23,ROUND(MAX(0,AA23)*IF(ISNUMBER(R23),R23,'Impostazioni'!$B$8),2))))</x:f>
      </x:c>
      <x:c r="AC23" s="20" t="str">
        <x:f>IF(AND(ISNUMBER(AA23),ISNUMBER(AB23)),ROUND(AA23-AB23,2),"")</x:f>
      </x:c>
      <x:c r="AD23" s="18" t="str">
        <x:f>IF(A23="","",IF(AQ23&lt;&gt;"OK","Incompleto",IF(J23="Aperto","Aperto",IF(J23="Annullato","Annullato",IF(AC23&gt;0,"Green",IF(AC23&lt;0,"Red","Flat"))))))</x:f>
      </x:c>
      <x:c r="AE23" s="21" t="str">
        <x:f>IF(AND(AH23=1,Z23&gt;0),AC23/Z23,"")</x:f>
      </x:c>
      <x:c r="AF23" s="22" t="str">
        <x:f>IF(AH23&lt;&gt;1,"",COUNTIFS($C$8:$C$507,"&lt;"&amp;C23,$AH$8:$AH$507,1)+COUNTIFS($C$8:$C$507,C23,$A$8:$A$507,"&lt;="&amp;A23,$AH$8:$AH$507,1))</x:f>
      </x:c>
      <x:c r="AG23" s="20" t="str">
        <x:f>IF(AH23&lt;&gt;1,"",SUMIFS($AC$8:$AC$507,$C$8:$C$507,"&lt;"&amp;C23,$AH$8:$AH$507,1)+SUMIFS($AC$8:$AC$507,$C$8:$C$507,C23,$A$8:$A$507,"&lt;="&amp;A23,$AH$8:$AH$507,1))</x:f>
      </x:c>
      <x:c r="AH23" s="22" t="str">
        <x:f>IF(A23="","",IF(AND(J23="Chiuso",AQ23="OK",ISNUMBER(AC23)),1,0))</x:f>
      </x:c>
      <x:c r="AI23" s="20" t="str">
        <x:f>IF(AH23&lt;&gt;1,"",MAX(0,_xlfn.MAXIFS($AG$8:$AG$507,$AF$8:$AF$507,"&lt;="&amp;AF23,$AH$8:$AH$507,1)))</x:f>
      </x:c>
      <x:c r="AJ23" s="20" t="str">
        <x:f>IF(AH23&lt;&gt;1,"",MAX(0,AI23-AG23))</x:f>
      </x:c>
      <x:c r="AK23" s="21" t="str">
        <x:f>IF(OR(AH23&lt;&gt;1,NOT(ISNUMBER('Impostazioni'!$B$6)),'Impostazioni'!$B$6+AI23&lt;=0),"",AJ23/('Impostazioni'!$B$6+AI23))</x:f>
      </x:c>
      <x:c r="AL23" s="22" t="str">
        <x:f>IF(AH23&lt;&gt;1,"",IF(AC23&gt;0,AF23-_xlfn.MAXIFS($AF$8:$AF$507,$AF$8:$AF$507,"&lt;="&amp;AF23,$AC$8:$AC$507,"&lt;=0",$AH$8:$AH$507,1),0))</x:f>
      </x:c>
      <x:c r="AM23" s="22" t="str">
        <x:f>IF(AH23&lt;&gt;1,"",IF(AC23&lt;0,AF23-_xlfn.MAXIFS($AF$8:$AF$507,$AF$8:$AF$507,"&lt;="&amp;AF23,$AC$8:$AC$507,"&gt;=0",$AH$8:$AH$507,1),0))</x:f>
      </x:c>
      <x:c r="AN23" s="20" t="str">
        <x:f>IF(OR(A23="",NOT(ISNUMBER(B23)),NOT(ISNUMBER('Impostazioni'!$B$6))),"",'Impostazioni'!$B$6+SUMIFS($AC$8:$AC$507,$C$8:$C$507,"&lt;"&amp;B23,$AH$8:$AH$507,1)+SUMIFS('Cassa'!$F$8:$F$307,'Cassa'!$A$8:$A$307,"&lt;="&amp;B23,'Cassa'!$G$8:$G$307,"OK"))</x:f>
      </x:c>
      <x:c r="AO23" s="21" t="str">
        <x:f>IF(AND(ISNUMBER(Z23),ISNUMBER(AN23),AN23&gt;0),Z23/AN23,"")</x:f>
      </x:c>
      <x:c r="AP23" s="18" t="str">
        <x:f>IF(NOT(ISNUMBER(AO23)),"",IF(AO23&gt;'Impostazioni'!$B$7,"Oltre soglia personale","Nella soglia personale"))</x:f>
      </x:c>
      <x:c r="AQ23" s="18" t="str">
        <x:f>IF(A23="",IF(COUNTA(B23:V23)=0,"","Inserisci ID"),IF(COUNTIFS($A$8:$A$507,A23)&lt;&gt;1,"ID duplicato",IF(OR(NOT(ISNUMBER(B23)),D23="",E23="",F23="",G23="",H23="",COUNTIFS('Impostazioni'!$J$6:$J$25,F23)&lt;&gt;1),"Completa dati / elenchi",IF(OR(AND(I23&lt;&gt;"Lordo manuale",I23&lt;&gt;"Netto manuale",I23&lt;&gt;"Esecuzioni"),AND(J23&lt;&gt;"Aperto",J23&lt;&gt;"Chiuso",J23&lt;&gt;"Annullato")),"Modalità / stato mancanti",IF(AND(J23&lt;&gt;"Aperto",OR(NOT(ISNUMBER(C23)),C23&lt;B23)),"Correggi data chiusura",IF(OR(AND(Q23&lt;&gt;"",OR(NOT(ISNUMBER(Q23)),Q23&lt;0)),AND(R23&lt;&gt;"",OR(NOT(ISNUMBER(R23)),R23&lt;0,R23&gt;1))),"Commissione non valida",IF(J23="Annullato","OK",IF(OR(NOT(ISNUMBER(Z23)),Z23&lt;0,AND(O23&lt;&gt;"",NOT(ISNUMBER(O23)))),"Inserisci rischio",IF(AND(I23="Esecuzioni",OR(W23=0,COUNTIFS('Esecuzioni'!$A$8:$A$1007,A23,'Esecuzioni'!$Q$8:$Q$1007,"&lt;&gt;OK")&gt;0)),"Correggi esecuzioni",IF(J23="Aperto","OK",IF(AND(I23="Esecuzioni",S23="Coperto",ABS(X23-Y23)&gt;'Impostazioni'!$B$11),"Copertura residua",IF(NOT(ISNUMBER(AC23)),"Completa risultato / esito",IF(AND(Z23=0,AC23&lt;&gt;0),"Rischio nullo con P/L","OK")))))))))))))</x:f>
      </x:c>
      <x:c r="AR23" s="20" t="str">
        <x:f>IF(OR(A23="",J23&lt;&gt;"Aperto",AQ23&lt;&gt;"OK"),"",IF(I23="Esecuzioni",SUMIFS('Esecuzioni'!$P$8:$P$1007,'Esecuzioni'!$A$8:$A$1007,A23,'Esecuzioni'!$B$8:$B$1007,_xlfn.MAXIFS('Esecuzioni'!$B$8:$B$1007,'Esecuzioni'!$A$8:$A$1007,A23)),IF(LEFT(U23,8)="FREEBET:",0,Z23)))</x:f>
      </x:c>
      <x:c r="AS23" s="48" t="str">
        <x:f>IF(OR(A23="",E23=""),"",IF(COUNTIFS($E$8:E23,E23)=1,COUNT($AS$7:AS22)+1,""))</x:f>
      </x:c>
    </x:row>
    <x:row r="24" ht="22" customHeight="1">
      <x:c r="A24" s="7"/>
      <x:c r="B24" s="19"/>
      <x:c r="C24" s="19"/>
      <x:c r="D24" s="7"/>
      <x:c r="E24" s="7"/>
      <x:c r="F24" s="7"/>
      <x:c r="G24" s="7"/>
      <x:c r="H24" s="7"/>
      <x:c r="I24" s="7"/>
      <x:c r="J24" s="7"/>
      <x:c r="K24" s="10"/>
      <x:c r="L24" s="7"/>
      <x:c r="M24" s="10"/>
      <x:c r="N24" s="7"/>
      <x:c r="O24" s="8"/>
      <x:c r="P24" s="8"/>
      <x:c r="Q24" s="8"/>
      <x:c r="R24" s="9"/>
      <x:c r="S24" s="7"/>
      <x:c r="T24" s="7"/>
      <x:c r="U24" s="7"/>
      <x:c r="V24" s="7"/>
      <x:c r="W24" s="22" t="str">
        <x:f>IF(A24="","",COUNTIFS('Esecuzioni'!$A$8:$A$1007,A24,'Esecuzioni'!$Q$8:$Q$1007,"OK"))</x:f>
      </x:c>
      <x:c r="X24" s="20" t="str">
        <x:f>IF(OR(A24="",I24&lt;&gt;"Esecuzioni",W24=0),"",SUMIFS('Esecuzioni'!$L$8:$L$1007,'Esecuzioni'!$A$8:$A$1007,A24))</x:f>
      </x:c>
      <x:c r="Y24" s="20" t="str">
        <x:f>IF(OR(A24="",I24&lt;&gt;"Esecuzioni",W24=0),"",SUMIFS('Esecuzioni'!$M$8:$M$1007,'Esecuzioni'!$A$8:$A$1007,A24))</x:f>
      </x:c>
      <x:c r="Z24" s="20" t="str">
        <x:f>IF(A24="","",IF(J24="Annullato",0,IF(ISNUMBER(O24),O24,IF(AND(I24="Esecuzioni",W24&gt;0),_xlfn.MAXIFS('Esecuzioni'!$P$8:$P$1007,'Esecuzioni'!$A$8:$A$1007,A24),""))))</x:f>
      </x:c>
      <x:c r="AA24" s="20" t="str">
        <x:f>IF(OR(A24="",J24="Aperto"),"",IF(J24="Annullato",0,IF(I24="Lordo manuale",IF(ISNUMBER(P24),P24,""),IF(I24="Netto manuale",IF(AND(ISNUMBER(P24),ISNUMBER(Q24)),P24+Q24,""),IF(OR(W24=0,COUNTIFS('Esecuzioni'!$A$8:$A$1007,A24,'Esecuzioni'!$Q$8:$Q$1007,"&lt;&gt;OK")&gt;0),"",IF(S24="Vince",X24,IF(S24="Perde",Y24,IF(AND(S24="Coperto",ABS(X24-Y24)&lt;='Impostazioni'!$B$11),ROUND((X24+Y24)/2,2),""))))))))</x:f>
      </x:c>
      <x:c r="AB24" s="20" t="str">
        <x:f>IF(NOT(ISNUMBER(AA24)),"",IF(J24="Annullato",0,IF(ISNUMBER(Q24),Q24,ROUND(MAX(0,AA24)*IF(ISNUMBER(R24),R24,'Impostazioni'!$B$8),2))))</x:f>
      </x:c>
      <x:c r="AC24" s="20" t="str">
        <x:f>IF(AND(ISNUMBER(AA24),ISNUMBER(AB24)),ROUND(AA24-AB24,2),"")</x:f>
      </x:c>
      <x:c r="AD24" s="18" t="str">
        <x:f>IF(A24="","",IF(AQ24&lt;&gt;"OK","Incompleto",IF(J24="Aperto","Aperto",IF(J24="Annullato","Annullato",IF(AC24&gt;0,"Green",IF(AC24&lt;0,"Red","Flat"))))))</x:f>
      </x:c>
      <x:c r="AE24" s="21" t="str">
        <x:f>IF(AND(AH24=1,Z24&gt;0),AC24/Z24,"")</x:f>
      </x:c>
      <x:c r="AF24" s="22" t="str">
        <x:f>IF(AH24&lt;&gt;1,"",COUNTIFS($C$8:$C$507,"&lt;"&amp;C24,$AH$8:$AH$507,1)+COUNTIFS($C$8:$C$507,C24,$A$8:$A$507,"&lt;="&amp;A24,$AH$8:$AH$507,1))</x:f>
      </x:c>
      <x:c r="AG24" s="20" t="str">
        <x:f>IF(AH24&lt;&gt;1,"",SUMIFS($AC$8:$AC$507,$C$8:$C$507,"&lt;"&amp;C24,$AH$8:$AH$507,1)+SUMIFS($AC$8:$AC$507,$C$8:$C$507,C24,$A$8:$A$507,"&lt;="&amp;A24,$AH$8:$AH$507,1))</x:f>
      </x:c>
      <x:c r="AH24" s="22" t="str">
        <x:f>IF(A24="","",IF(AND(J24="Chiuso",AQ24="OK",ISNUMBER(AC24)),1,0))</x:f>
      </x:c>
      <x:c r="AI24" s="20" t="str">
        <x:f>IF(AH24&lt;&gt;1,"",MAX(0,_xlfn.MAXIFS($AG$8:$AG$507,$AF$8:$AF$507,"&lt;="&amp;AF24,$AH$8:$AH$507,1)))</x:f>
      </x:c>
      <x:c r="AJ24" s="20" t="str">
        <x:f>IF(AH24&lt;&gt;1,"",MAX(0,AI24-AG24))</x:f>
      </x:c>
      <x:c r="AK24" s="21" t="str">
        <x:f>IF(OR(AH24&lt;&gt;1,NOT(ISNUMBER('Impostazioni'!$B$6)),'Impostazioni'!$B$6+AI24&lt;=0),"",AJ24/('Impostazioni'!$B$6+AI24))</x:f>
      </x:c>
      <x:c r="AL24" s="22" t="str">
        <x:f>IF(AH24&lt;&gt;1,"",IF(AC24&gt;0,AF24-_xlfn.MAXIFS($AF$8:$AF$507,$AF$8:$AF$507,"&lt;="&amp;AF24,$AC$8:$AC$507,"&lt;=0",$AH$8:$AH$507,1),0))</x:f>
      </x:c>
      <x:c r="AM24" s="22" t="str">
        <x:f>IF(AH24&lt;&gt;1,"",IF(AC24&lt;0,AF24-_xlfn.MAXIFS($AF$8:$AF$507,$AF$8:$AF$507,"&lt;="&amp;AF24,$AC$8:$AC$507,"&gt;=0",$AH$8:$AH$507,1),0))</x:f>
      </x:c>
      <x:c r="AN24" s="20" t="str">
        <x:f>IF(OR(A24="",NOT(ISNUMBER(B24)),NOT(ISNUMBER('Impostazioni'!$B$6))),"",'Impostazioni'!$B$6+SUMIFS($AC$8:$AC$507,$C$8:$C$507,"&lt;"&amp;B24,$AH$8:$AH$507,1)+SUMIFS('Cassa'!$F$8:$F$307,'Cassa'!$A$8:$A$307,"&lt;="&amp;B24,'Cassa'!$G$8:$G$307,"OK"))</x:f>
      </x:c>
      <x:c r="AO24" s="21" t="str">
        <x:f>IF(AND(ISNUMBER(Z24),ISNUMBER(AN24),AN24&gt;0),Z24/AN24,"")</x:f>
      </x:c>
      <x:c r="AP24" s="18" t="str">
        <x:f>IF(NOT(ISNUMBER(AO24)),"",IF(AO24&gt;'Impostazioni'!$B$7,"Oltre soglia personale","Nella soglia personale"))</x:f>
      </x:c>
      <x:c r="AQ24" s="18" t="str">
        <x:f>IF(A24="",IF(COUNTA(B24:V24)=0,"","Inserisci ID"),IF(COUNTIFS($A$8:$A$507,A24)&lt;&gt;1,"ID duplicato",IF(OR(NOT(ISNUMBER(B24)),D24="",E24="",F24="",G24="",H24="",COUNTIFS('Impostazioni'!$J$6:$J$25,F24)&lt;&gt;1),"Completa dati / elenchi",IF(OR(AND(I24&lt;&gt;"Lordo manuale",I24&lt;&gt;"Netto manuale",I24&lt;&gt;"Esecuzioni"),AND(J24&lt;&gt;"Aperto",J24&lt;&gt;"Chiuso",J24&lt;&gt;"Annullato")),"Modalità / stato mancanti",IF(AND(J24&lt;&gt;"Aperto",OR(NOT(ISNUMBER(C24)),C24&lt;B24)),"Correggi data chiusura",IF(OR(AND(Q24&lt;&gt;"",OR(NOT(ISNUMBER(Q24)),Q24&lt;0)),AND(R24&lt;&gt;"",OR(NOT(ISNUMBER(R24)),R24&lt;0,R24&gt;1))),"Commissione non valida",IF(J24="Annullato","OK",IF(OR(NOT(ISNUMBER(Z24)),Z24&lt;0,AND(O24&lt;&gt;"",NOT(ISNUMBER(O24)))),"Inserisci rischio",IF(AND(I24="Esecuzioni",OR(W24=0,COUNTIFS('Esecuzioni'!$A$8:$A$1007,A24,'Esecuzioni'!$Q$8:$Q$1007,"&lt;&gt;OK")&gt;0)),"Correggi esecuzioni",IF(J24="Aperto","OK",IF(AND(I24="Esecuzioni",S24="Coperto",ABS(X24-Y24)&gt;'Impostazioni'!$B$11),"Copertura residua",IF(NOT(ISNUMBER(AC24)),"Completa risultato / esito",IF(AND(Z24=0,AC24&lt;&gt;0),"Rischio nullo con P/L","OK")))))))))))))</x:f>
      </x:c>
      <x:c r="AR24" s="20" t="str">
        <x:f>IF(OR(A24="",J24&lt;&gt;"Aperto",AQ24&lt;&gt;"OK"),"",IF(I24="Esecuzioni",SUMIFS('Esecuzioni'!$P$8:$P$1007,'Esecuzioni'!$A$8:$A$1007,A24,'Esecuzioni'!$B$8:$B$1007,_xlfn.MAXIFS('Esecuzioni'!$B$8:$B$1007,'Esecuzioni'!$A$8:$A$1007,A24)),IF(LEFT(U24,8)="FREEBET:",0,Z24)))</x:f>
      </x:c>
      <x:c r="AS24" s="48" t="str">
        <x:f>IF(OR(A24="",E24=""),"",IF(COUNTIFS($E$8:E24,E24)=1,COUNT($AS$7:AS23)+1,""))</x:f>
      </x:c>
    </x:row>
    <x:row r="25" ht="22" customHeight="1">
      <x:c r="A25" s="7"/>
      <x:c r="B25" s="19"/>
      <x:c r="C25" s="19"/>
      <x:c r="D25" s="7"/>
      <x:c r="E25" s="7"/>
      <x:c r="F25" s="7"/>
      <x:c r="G25" s="7"/>
      <x:c r="H25" s="7"/>
      <x:c r="I25" s="7"/>
      <x:c r="J25" s="7"/>
      <x:c r="K25" s="10"/>
      <x:c r="L25" s="7"/>
      <x:c r="M25" s="10"/>
      <x:c r="N25" s="7"/>
      <x:c r="O25" s="8"/>
      <x:c r="P25" s="8"/>
      <x:c r="Q25" s="8"/>
      <x:c r="R25" s="9"/>
      <x:c r="S25" s="7"/>
      <x:c r="T25" s="7"/>
      <x:c r="U25" s="7"/>
      <x:c r="V25" s="7"/>
      <x:c r="W25" s="22" t="str">
        <x:f>IF(A25="","",COUNTIFS('Esecuzioni'!$A$8:$A$1007,A25,'Esecuzioni'!$Q$8:$Q$1007,"OK"))</x:f>
      </x:c>
      <x:c r="X25" s="20" t="str">
        <x:f>IF(OR(A25="",I25&lt;&gt;"Esecuzioni",W25=0),"",SUMIFS('Esecuzioni'!$L$8:$L$1007,'Esecuzioni'!$A$8:$A$1007,A25))</x:f>
      </x:c>
      <x:c r="Y25" s="20" t="str">
        <x:f>IF(OR(A25="",I25&lt;&gt;"Esecuzioni",W25=0),"",SUMIFS('Esecuzioni'!$M$8:$M$1007,'Esecuzioni'!$A$8:$A$1007,A25))</x:f>
      </x:c>
      <x:c r="Z25" s="20" t="str">
        <x:f>IF(A25="","",IF(J25="Annullato",0,IF(ISNUMBER(O25),O25,IF(AND(I25="Esecuzioni",W25&gt;0),_xlfn.MAXIFS('Esecuzioni'!$P$8:$P$1007,'Esecuzioni'!$A$8:$A$1007,A25),""))))</x:f>
      </x:c>
      <x:c r="AA25" s="20" t="str">
        <x:f>IF(OR(A25="",J25="Aperto"),"",IF(J25="Annullato",0,IF(I25="Lordo manuale",IF(ISNUMBER(P25),P25,""),IF(I25="Netto manuale",IF(AND(ISNUMBER(P25),ISNUMBER(Q25)),P25+Q25,""),IF(OR(W25=0,COUNTIFS('Esecuzioni'!$A$8:$A$1007,A25,'Esecuzioni'!$Q$8:$Q$1007,"&lt;&gt;OK")&gt;0),"",IF(S25="Vince",X25,IF(S25="Perde",Y25,IF(AND(S25="Coperto",ABS(X25-Y25)&lt;='Impostazioni'!$B$11),ROUND((X25+Y25)/2,2),""))))))))</x:f>
      </x:c>
      <x:c r="AB25" s="20" t="str">
        <x:f>IF(NOT(ISNUMBER(AA25)),"",IF(J25="Annullato",0,IF(ISNUMBER(Q25),Q25,ROUND(MAX(0,AA25)*IF(ISNUMBER(R25),R25,'Impostazioni'!$B$8),2))))</x:f>
      </x:c>
      <x:c r="AC25" s="20" t="str">
        <x:f>IF(AND(ISNUMBER(AA25),ISNUMBER(AB25)),ROUND(AA25-AB25,2),"")</x:f>
      </x:c>
      <x:c r="AD25" s="18" t="str">
        <x:f>IF(A25="","",IF(AQ25&lt;&gt;"OK","Incompleto",IF(J25="Aperto","Aperto",IF(J25="Annullato","Annullato",IF(AC25&gt;0,"Green",IF(AC25&lt;0,"Red","Flat"))))))</x:f>
      </x:c>
      <x:c r="AE25" s="21" t="str">
        <x:f>IF(AND(AH25=1,Z25&gt;0),AC25/Z25,"")</x:f>
      </x:c>
      <x:c r="AF25" s="22" t="str">
        <x:f>IF(AH25&lt;&gt;1,"",COUNTIFS($C$8:$C$507,"&lt;"&amp;C25,$AH$8:$AH$507,1)+COUNTIFS($C$8:$C$507,C25,$A$8:$A$507,"&lt;="&amp;A25,$AH$8:$AH$507,1))</x:f>
      </x:c>
      <x:c r="AG25" s="20" t="str">
        <x:f>IF(AH25&lt;&gt;1,"",SUMIFS($AC$8:$AC$507,$C$8:$C$507,"&lt;"&amp;C25,$AH$8:$AH$507,1)+SUMIFS($AC$8:$AC$507,$C$8:$C$507,C25,$A$8:$A$507,"&lt;="&amp;A25,$AH$8:$AH$507,1))</x:f>
      </x:c>
      <x:c r="AH25" s="22" t="str">
        <x:f>IF(A25="","",IF(AND(J25="Chiuso",AQ25="OK",ISNUMBER(AC25)),1,0))</x:f>
      </x:c>
      <x:c r="AI25" s="20" t="str">
        <x:f>IF(AH25&lt;&gt;1,"",MAX(0,_xlfn.MAXIFS($AG$8:$AG$507,$AF$8:$AF$507,"&lt;="&amp;AF25,$AH$8:$AH$507,1)))</x:f>
      </x:c>
      <x:c r="AJ25" s="20" t="str">
        <x:f>IF(AH25&lt;&gt;1,"",MAX(0,AI25-AG25))</x:f>
      </x:c>
      <x:c r="AK25" s="21" t="str">
        <x:f>IF(OR(AH25&lt;&gt;1,NOT(ISNUMBER('Impostazioni'!$B$6)),'Impostazioni'!$B$6+AI25&lt;=0),"",AJ25/('Impostazioni'!$B$6+AI25))</x:f>
      </x:c>
      <x:c r="AL25" s="22" t="str">
        <x:f>IF(AH25&lt;&gt;1,"",IF(AC25&gt;0,AF25-_xlfn.MAXIFS($AF$8:$AF$507,$AF$8:$AF$507,"&lt;="&amp;AF25,$AC$8:$AC$507,"&lt;=0",$AH$8:$AH$507,1),0))</x:f>
      </x:c>
      <x:c r="AM25" s="22" t="str">
        <x:f>IF(AH25&lt;&gt;1,"",IF(AC25&lt;0,AF25-_xlfn.MAXIFS($AF$8:$AF$507,$AF$8:$AF$507,"&lt;="&amp;AF25,$AC$8:$AC$507,"&gt;=0",$AH$8:$AH$507,1),0))</x:f>
      </x:c>
      <x:c r="AN25" s="20" t="str">
        <x:f>IF(OR(A25="",NOT(ISNUMBER(B25)),NOT(ISNUMBER('Impostazioni'!$B$6))),"",'Impostazioni'!$B$6+SUMIFS($AC$8:$AC$507,$C$8:$C$507,"&lt;"&amp;B25,$AH$8:$AH$507,1)+SUMIFS('Cassa'!$F$8:$F$307,'Cassa'!$A$8:$A$307,"&lt;="&amp;B25,'Cassa'!$G$8:$G$307,"OK"))</x:f>
      </x:c>
      <x:c r="AO25" s="21" t="str">
        <x:f>IF(AND(ISNUMBER(Z25),ISNUMBER(AN25),AN25&gt;0),Z25/AN25,"")</x:f>
      </x:c>
      <x:c r="AP25" s="18" t="str">
        <x:f>IF(NOT(ISNUMBER(AO25)),"",IF(AO25&gt;'Impostazioni'!$B$7,"Oltre soglia personale","Nella soglia personale"))</x:f>
      </x:c>
      <x:c r="AQ25" s="18" t="str">
        <x:f>IF(A25="",IF(COUNTA(B25:V25)=0,"","Inserisci ID"),IF(COUNTIFS($A$8:$A$507,A25)&lt;&gt;1,"ID duplicato",IF(OR(NOT(ISNUMBER(B25)),D25="",E25="",F25="",G25="",H25="",COUNTIFS('Impostazioni'!$J$6:$J$25,F25)&lt;&gt;1),"Completa dati / elenchi",IF(OR(AND(I25&lt;&gt;"Lordo manuale",I25&lt;&gt;"Netto manuale",I25&lt;&gt;"Esecuzioni"),AND(J25&lt;&gt;"Aperto",J25&lt;&gt;"Chiuso",J25&lt;&gt;"Annullato")),"Modalità / stato mancanti",IF(AND(J25&lt;&gt;"Aperto",OR(NOT(ISNUMBER(C25)),C25&lt;B25)),"Correggi data chiusura",IF(OR(AND(Q25&lt;&gt;"",OR(NOT(ISNUMBER(Q25)),Q25&lt;0)),AND(R25&lt;&gt;"",OR(NOT(ISNUMBER(R25)),R25&lt;0,R25&gt;1))),"Commissione non valida",IF(J25="Annullato","OK",IF(OR(NOT(ISNUMBER(Z25)),Z25&lt;0,AND(O25&lt;&gt;"",NOT(ISNUMBER(O25)))),"Inserisci rischio",IF(AND(I25="Esecuzioni",OR(W25=0,COUNTIFS('Esecuzioni'!$A$8:$A$1007,A25,'Esecuzioni'!$Q$8:$Q$1007,"&lt;&gt;OK")&gt;0)),"Correggi esecuzioni",IF(J25="Aperto","OK",IF(AND(I25="Esecuzioni",S25="Coperto",ABS(X25-Y25)&gt;'Impostazioni'!$B$11),"Copertura residua",IF(NOT(ISNUMBER(AC25)),"Completa risultato / esito",IF(AND(Z25=0,AC25&lt;&gt;0),"Rischio nullo con P/L","OK")))))))))))))</x:f>
      </x:c>
      <x:c r="AR25" s="20" t="str">
        <x:f>IF(OR(A25="",J25&lt;&gt;"Aperto",AQ25&lt;&gt;"OK"),"",IF(I25="Esecuzioni",SUMIFS('Esecuzioni'!$P$8:$P$1007,'Esecuzioni'!$A$8:$A$1007,A25,'Esecuzioni'!$B$8:$B$1007,_xlfn.MAXIFS('Esecuzioni'!$B$8:$B$1007,'Esecuzioni'!$A$8:$A$1007,A25)),IF(LEFT(U25,8)="FREEBET:",0,Z25)))</x:f>
      </x:c>
      <x:c r="AS25" s="48" t="str">
        <x:f>IF(OR(A25="",E25=""),"",IF(COUNTIFS($E$8:E25,E25)=1,COUNT($AS$7:AS24)+1,""))</x:f>
      </x:c>
    </x:row>
    <x:row r="26" ht="22" customHeight="1">
      <x:c r="A26" s="7"/>
      <x:c r="B26" s="19"/>
      <x:c r="C26" s="19"/>
      <x:c r="D26" s="7"/>
      <x:c r="E26" s="7"/>
      <x:c r="F26" s="7"/>
      <x:c r="G26" s="7"/>
      <x:c r="H26" s="7"/>
      <x:c r="I26" s="7"/>
      <x:c r="J26" s="7"/>
      <x:c r="K26" s="10"/>
      <x:c r="L26" s="7"/>
      <x:c r="M26" s="10"/>
      <x:c r="N26" s="7"/>
      <x:c r="O26" s="8"/>
      <x:c r="P26" s="8"/>
      <x:c r="Q26" s="8"/>
      <x:c r="R26" s="9"/>
      <x:c r="S26" s="7"/>
      <x:c r="T26" s="7"/>
      <x:c r="U26" s="7"/>
      <x:c r="V26" s="7"/>
      <x:c r="W26" s="22" t="str">
        <x:f>IF(A26="","",COUNTIFS('Esecuzioni'!$A$8:$A$1007,A26,'Esecuzioni'!$Q$8:$Q$1007,"OK"))</x:f>
      </x:c>
      <x:c r="X26" s="20" t="str">
        <x:f>IF(OR(A26="",I26&lt;&gt;"Esecuzioni",W26=0),"",SUMIFS('Esecuzioni'!$L$8:$L$1007,'Esecuzioni'!$A$8:$A$1007,A26))</x:f>
      </x:c>
      <x:c r="Y26" s="20" t="str">
        <x:f>IF(OR(A26="",I26&lt;&gt;"Esecuzioni",W26=0),"",SUMIFS('Esecuzioni'!$M$8:$M$1007,'Esecuzioni'!$A$8:$A$1007,A26))</x:f>
      </x:c>
      <x:c r="Z26" s="20" t="str">
        <x:f>IF(A26="","",IF(J26="Annullato",0,IF(ISNUMBER(O26),O26,IF(AND(I26="Esecuzioni",W26&gt;0),_xlfn.MAXIFS('Esecuzioni'!$P$8:$P$1007,'Esecuzioni'!$A$8:$A$1007,A26),""))))</x:f>
      </x:c>
      <x:c r="AA26" s="20" t="str">
        <x:f>IF(OR(A26="",J26="Aperto"),"",IF(J26="Annullato",0,IF(I26="Lordo manuale",IF(ISNUMBER(P26),P26,""),IF(I26="Netto manuale",IF(AND(ISNUMBER(P26),ISNUMBER(Q26)),P26+Q26,""),IF(OR(W26=0,COUNTIFS('Esecuzioni'!$A$8:$A$1007,A26,'Esecuzioni'!$Q$8:$Q$1007,"&lt;&gt;OK")&gt;0),"",IF(S26="Vince",X26,IF(S26="Perde",Y26,IF(AND(S26="Coperto",ABS(X26-Y26)&lt;='Impostazioni'!$B$11),ROUND((X26+Y26)/2,2),""))))))))</x:f>
      </x:c>
      <x:c r="AB26" s="20" t="str">
        <x:f>IF(NOT(ISNUMBER(AA26)),"",IF(J26="Annullato",0,IF(ISNUMBER(Q26),Q26,ROUND(MAX(0,AA26)*IF(ISNUMBER(R26),R26,'Impostazioni'!$B$8),2))))</x:f>
      </x:c>
      <x:c r="AC26" s="20" t="str">
        <x:f>IF(AND(ISNUMBER(AA26),ISNUMBER(AB26)),ROUND(AA26-AB26,2),"")</x:f>
      </x:c>
      <x:c r="AD26" s="18" t="str">
        <x:f>IF(A26="","",IF(AQ26&lt;&gt;"OK","Incompleto",IF(J26="Aperto","Aperto",IF(J26="Annullato","Annullato",IF(AC26&gt;0,"Green",IF(AC26&lt;0,"Red","Flat"))))))</x:f>
      </x:c>
      <x:c r="AE26" s="21" t="str">
        <x:f>IF(AND(AH26=1,Z26&gt;0),AC26/Z26,"")</x:f>
      </x:c>
      <x:c r="AF26" s="22" t="str">
        <x:f>IF(AH26&lt;&gt;1,"",COUNTIFS($C$8:$C$507,"&lt;"&amp;C26,$AH$8:$AH$507,1)+COUNTIFS($C$8:$C$507,C26,$A$8:$A$507,"&lt;="&amp;A26,$AH$8:$AH$507,1))</x:f>
      </x:c>
      <x:c r="AG26" s="20" t="str">
        <x:f>IF(AH26&lt;&gt;1,"",SUMIFS($AC$8:$AC$507,$C$8:$C$507,"&lt;"&amp;C26,$AH$8:$AH$507,1)+SUMIFS($AC$8:$AC$507,$C$8:$C$507,C26,$A$8:$A$507,"&lt;="&amp;A26,$AH$8:$AH$507,1))</x:f>
      </x:c>
      <x:c r="AH26" s="22" t="str">
        <x:f>IF(A26="","",IF(AND(J26="Chiuso",AQ26="OK",ISNUMBER(AC26)),1,0))</x:f>
      </x:c>
      <x:c r="AI26" s="20" t="str">
        <x:f>IF(AH26&lt;&gt;1,"",MAX(0,_xlfn.MAXIFS($AG$8:$AG$507,$AF$8:$AF$507,"&lt;="&amp;AF26,$AH$8:$AH$507,1)))</x:f>
      </x:c>
      <x:c r="AJ26" s="20" t="str">
        <x:f>IF(AH26&lt;&gt;1,"",MAX(0,AI26-AG26))</x:f>
      </x:c>
      <x:c r="AK26" s="21" t="str">
        <x:f>IF(OR(AH26&lt;&gt;1,NOT(ISNUMBER('Impostazioni'!$B$6)),'Impostazioni'!$B$6+AI26&lt;=0),"",AJ26/('Impostazioni'!$B$6+AI26))</x:f>
      </x:c>
      <x:c r="AL26" s="22" t="str">
        <x:f>IF(AH26&lt;&gt;1,"",IF(AC26&gt;0,AF26-_xlfn.MAXIFS($AF$8:$AF$507,$AF$8:$AF$507,"&lt;="&amp;AF26,$AC$8:$AC$507,"&lt;=0",$AH$8:$AH$507,1),0))</x:f>
      </x:c>
      <x:c r="AM26" s="22" t="str">
        <x:f>IF(AH26&lt;&gt;1,"",IF(AC26&lt;0,AF26-_xlfn.MAXIFS($AF$8:$AF$507,$AF$8:$AF$507,"&lt;="&amp;AF26,$AC$8:$AC$507,"&gt;=0",$AH$8:$AH$507,1),0))</x:f>
      </x:c>
      <x:c r="AN26" s="20" t="str">
        <x:f>IF(OR(A26="",NOT(ISNUMBER(B26)),NOT(ISNUMBER('Impostazioni'!$B$6))),"",'Impostazioni'!$B$6+SUMIFS($AC$8:$AC$507,$C$8:$C$507,"&lt;"&amp;B26,$AH$8:$AH$507,1)+SUMIFS('Cassa'!$F$8:$F$307,'Cassa'!$A$8:$A$307,"&lt;="&amp;B26,'Cassa'!$G$8:$G$307,"OK"))</x:f>
      </x:c>
      <x:c r="AO26" s="21" t="str">
        <x:f>IF(AND(ISNUMBER(Z26),ISNUMBER(AN26),AN26&gt;0),Z26/AN26,"")</x:f>
      </x:c>
      <x:c r="AP26" s="18" t="str">
        <x:f>IF(NOT(ISNUMBER(AO26)),"",IF(AO26&gt;'Impostazioni'!$B$7,"Oltre soglia personale","Nella soglia personale"))</x:f>
      </x:c>
      <x:c r="AQ26" s="18" t="str">
        <x:f>IF(A26="",IF(COUNTA(B26:V26)=0,"","Inserisci ID"),IF(COUNTIFS($A$8:$A$507,A26)&lt;&gt;1,"ID duplicato",IF(OR(NOT(ISNUMBER(B26)),D26="",E26="",F26="",G26="",H26="",COUNTIFS('Impostazioni'!$J$6:$J$25,F26)&lt;&gt;1),"Completa dati / elenchi",IF(OR(AND(I26&lt;&gt;"Lordo manuale",I26&lt;&gt;"Netto manuale",I26&lt;&gt;"Esecuzioni"),AND(J26&lt;&gt;"Aperto",J26&lt;&gt;"Chiuso",J26&lt;&gt;"Annullato")),"Modalità / stato mancanti",IF(AND(J26&lt;&gt;"Aperto",OR(NOT(ISNUMBER(C26)),C26&lt;B26)),"Correggi data chiusura",IF(OR(AND(Q26&lt;&gt;"",OR(NOT(ISNUMBER(Q26)),Q26&lt;0)),AND(R26&lt;&gt;"",OR(NOT(ISNUMBER(R26)),R26&lt;0,R26&gt;1))),"Commissione non valida",IF(J26="Annullato","OK",IF(OR(NOT(ISNUMBER(Z26)),Z26&lt;0,AND(O26&lt;&gt;"",NOT(ISNUMBER(O26)))),"Inserisci rischio",IF(AND(I26="Esecuzioni",OR(W26=0,COUNTIFS('Esecuzioni'!$A$8:$A$1007,A26,'Esecuzioni'!$Q$8:$Q$1007,"&lt;&gt;OK")&gt;0)),"Correggi esecuzioni",IF(J26="Aperto","OK",IF(AND(I26="Esecuzioni",S26="Coperto",ABS(X26-Y26)&gt;'Impostazioni'!$B$11),"Copertura residua",IF(NOT(ISNUMBER(AC26)),"Completa risultato / esito",IF(AND(Z26=0,AC26&lt;&gt;0),"Rischio nullo con P/L","OK")))))))))))))</x:f>
      </x:c>
      <x:c r="AR26" s="20" t="str">
        <x:f>IF(OR(A26="",J26&lt;&gt;"Aperto",AQ26&lt;&gt;"OK"),"",IF(I26="Esecuzioni",SUMIFS('Esecuzioni'!$P$8:$P$1007,'Esecuzioni'!$A$8:$A$1007,A26,'Esecuzioni'!$B$8:$B$1007,_xlfn.MAXIFS('Esecuzioni'!$B$8:$B$1007,'Esecuzioni'!$A$8:$A$1007,A26)),IF(LEFT(U26,8)="FREEBET:",0,Z26)))</x:f>
      </x:c>
      <x:c r="AS26" s="48" t="str">
        <x:f>IF(OR(A26="",E26=""),"",IF(COUNTIFS($E$8:E26,E26)=1,COUNT($AS$7:AS25)+1,""))</x:f>
      </x:c>
    </x:row>
    <x:row r="27" ht="22" customHeight="1">
      <x:c r="A27" s="7"/>
      <x:c r="B27" s="19"/>
      <x:c r="C27" s="19"/>
      <x:c r="D27" s="7"/>
      <x:c r="E27" s="7"/>
      <x:c r="F27" s="7"/>
      <x:c r="G27" s="7"/>
      <x:c r="H27" s="7"/>
      <x:c r="I27" s="7"/>
      <x:c r="J27" s="7"/>
      <x:c r="K27" s="10"/>
      <x:c r="L27" s="7"/>
      <x:c r="M27" s="10"/>
      <x:c r="N27" s="7"/>
      <x:c r="O27" s="8"/>
      <x:c r="P27" s="8"/>
      <x:c r="Q27" s="8"/>
      <x:c r="R27" s="9"/>
      <x:c r="S27" s="7"/>
      <x:c r="T27" s="7"/>
      <x:c r="U27" s="7"/>
      <x:c r="V27" s="7"/>
      <x:c r="W27" s="22" t="str">
        <x:f>IF(A27="","",COUNTIFS('Esecuzioni'!$A$8:$A$1007,A27,'Esecuzioni'!$Q$8:$Q$1007,"OK"))</x:f>
      </x:c>
      <x:c r="X27" s="20" t="str">
        <x:f>IF(OR(A27="",I27&lt;&gt;"Esecuzioni",W27=0),"",SUMIFS('Esecuzioni'!$L$8:$L$1007,'Esecuzioni'!$A$8:$A$1007,A27))</x:f>
      </x:c>
      <x:c r="Y27" s="20" t="str">
        <x:f>IF(OR(A27="",I27&lt;&gt;"Esecuzioni",W27=0),"",SUMIFS('Esecuzioni'!$M$8:$M$1007,'Esecuzioni'!$A$8:$A$1007,A27))</x:f>
      </x:c>
      <x:c r="Z27" s="20" t="str">
        <x:f>IF(A27="","",IF(J27="Annullato",0,IF(ISNUMBER(O27),O27,IF(AND(I27="Esecuzioni",W27&gt;0),_xlfn.MAXIFS('Esecuzioni'!$P$8:$P$1007,'Esecuzioni'!$A$8:$A$1007,A27),""))))</x:f>
      </x:c>
      <x:c r="AA27" s="20" t="str">
        <x:f>IF(OR(A27="",J27="Aperto"),"",IF(J27="Annullato",0,IF(I27="Lordo manuale",IF(ISNUMBER(P27),P27,""),IF(I27="Netto manuale",IF(AND(ISNUMBER(P27),ISNUMBER(Q27)),P27+Q27,""),IF(OR(W27=0,COUNTIFS('Esecuzioni'!$A$8:$A$1007,A27,'Esecuzioni'!$Q$8:$Q$1007,"&lt;&gt;OK")&gt;0),"",IF(S27="Vince",X27,IF(S27="Perde",Y27,IF(AND(S27="Coperto",ABS(X27-Y27)&lt;='Impostazioni'!$B$11),ROUND((X27+Y27)/2,2),""))))))))</x:f>
      </x:c>
      <x:c r="AB27" s="20" t="str">
        <x:f>IF(NOT(ISNUMBER(AA27)),"",IF(J27="Annullato",0,IF(ISNUMBER(Q27),Q27,ROUND(MAX(0,AA27)*IF(ISNUMBER(R27),R27,'Impostazioni'!$B$8),2))))</x:f>
      </x:c>
      <x:c r="AC27" s="20" t="str">
        <x:f>IF(AND(ISNUMBER(AA27),ISNUMBER(AB27)),ROUND(AA27-AB27,2),"")</x:f>
      </x:c>
      <x:c r="AD27" s="18" t="str">
        <x:f>IF(A27="","",IF(AQ27&lt;&gt;"OK","Incompleto",IF(J27="Aperto","Aperto",IF(J27="Annullato","Annullato",IF(AC27&gt;0,"Green",IF(AC27&lt;0,"Red","Flat"))))))</x:f>
      </x:c>
      <x:c r="AE27" s="21" t="str">
        <x:f>IF(AND(AH27=1,Z27&gt;0),AC27/Z27,"")</x:f>
      </x:c>
      <x:c r="AF27" s="22" t="str">
        <x:f>IF(AH27&lt;&gt;1,"",COUNTIFS($C$8:$C$507,"&lt;"&amp;C27,$AH$8:$AH$507,1)+COUNTIFS($C$8:$C$507,C27,$A$8:$A$507,"&lt;="&amp;A27,$AH$8:$AH$507,1))</x:f>
      </x:c>
      <x:c r="AG27" s="20" t="str">
        <x:f>IF(AH27&lt;&gt;1,"",SUMIFS($AC$8:$AC$507,$C$8:$C$507,"&lt;"&amp;C27,$AH$8:$AH$507,1)+SUMIFS($AC$8:$AC$507,$C$8:$C$507,C27,$A$8:$A$507,"&lt;="&amp;A27,$AH$8:$AH$507,1))</x:f>
      </x:c>
      <x:c r="AH27" s="22" t="str">
        <x:f>IF(A27="","",IF(AND(J27="Chiuso",AQ27="OK",ISNUMBER(AC27)),1,0))</x:f>
      </x:c>
      <x:c r="AI27" s="20" t="str">
        <x:f>IF(AH27&lt;&gt;1,"",MAX(0,_xlfn.MAXIFS($AG$8:$AG$507,$AF$8:$AF$507,"&lt;="&amp;AF27,$AH$8:$AH$507,1)))</x:f>
      </x:c>
      <x:c r="AJ27" s="20" t="str">
        <x:f>IF(AH27&lt;&gt;1,"",MAX(0,AI27-AG27))</x:f>
      </x:c>
      <x:c r="AK27" s="21" t="str">
        <x:f>IF(OR(AH27&lt;&gt;1,NOT(ISNUMBER('Impostazioni'!$B$6)),'Impostazioni'!$B$6+AI27&lt;=0),"",AJ27/('Impostazioni'!$B$6+AI27))</x:f>
      </x:c>
      <x:c r="AL27" s="22" t="str">
        <x:f>IF(AH27&lt;&gt;1,"",IF(AC27&gt;0,AF27-_xlfn.MAXIFS($AF$8:$AF$507,$AF$8:$AF$507,"&lt;="&amp;AF27,$AC$8:$AC$507,"&lt;=0",$AH$8:$AH$507,1),0))</x:f>
      </x:c>
      <x:c r="AM27" s="22" t="str">
        <x:f>IF(AH27&lt;&gt;1,"",IF(AC27&lt;0,AF27-_xlfn.MAXIFS($AF$8:$AF$507,$AF$8:$AF$507,"&lt;="&amp;AF27,$AC$8:$AC$507,"&gt;=0",$AH$8:$AH$507,1),0))</x:f>
      </x:c>
      <x:c r="AN27" s="20" t="str">
        <x:f>IF(OR(A27="",NOT(ISNUMBER(B27)),NOT(ISNUMBER('Impostazioni'!$B$6))),"",'Impostazioni'!$B$6+SUMIFS($AC$8:$AC$507,$C$8:$C$507,"&lt;"&amp;B27,$AH$8:$AH$507,1)+SUMIFS('Cassa'!$F$8:$F$307,'Cassa'!$A$8:$A$307,"&lt;="&amp;B27,'Cassa'!$G$8:$G$307,"OK"))</x:f>
      </x:c>
      <x:c r="AO27" s="21" t="str">
        <x:f>IF(AND(ISNUMBER(Z27),ISNUMBER(AN27),AN27&gt;0),Z27/AN27,"")</x:f>
      </x:c>
      <x:c r="AP27" s="18" t="str">
        <x:f>IF(NOT(ISNUMBER(AO27)),"",IF(AO27&gt;'Impostazioni'!$B$7,"Oltre soglia personale","Nella soglia personale"))</x:f>
      </x:c>
      <x:c r="AQ27" s="18" t="str">
        <x:f>IF(A27="",IF(COUNTA(B27:V27)=0,"","Inserisci ID"),IF(COUNTIFS($A$8:$A$507,A27)&lt;&gt;1,"ID duplicato",IF(OR(NOT(ISNUMBER(B27)),D27="",E27="",F27="",G27="",H27="",COUNTIFS('Impostazioni'!$J$6:$J$25,F27)&lt;&gt;1),"Completa dati / elenchi",IF(OR(AND(I27&lt;&gt;"Lordo manuale",I27&lt;&gt;"Netto manuale",I27&lt;&gt;"Esecuzioni"),AND(J27&lt;&gt;"Aperto",J27&lt;&gt;"Chiuso",J27&lt;&gt;"Annullato")),"Modalità / stato mancanti",IF(AND(J27&lt;&gt;"Aperto",OR(NOT(ISNUMBER(C27)),C27&lt;B27)),"Correggi data chiusura",IF(OR(AND(Q27&lt;&gt;"",OR(NOT(ISNUMBER(Q27)),Q27&lt;0)),AND(R27&lt;&gt;"",OR(NOT(ISNUMBER(R27)),R27&lt;0,R27&gt;1))),"Commissione non valida",IF(J27="Annullato","OK",IF(OR(NOT(ISNUMBER(Z27)),Z27&lt;0,AND(O27&lt;&gt;"",NOT(ISNUMBER(O27)))),"Inserisci rischio",IF(AND(I27="Esecuzioni",OR(W27=0,COUNTIFS('Esecuzioni'!$A$8:$A$1007,A27,'Esecuzioni'!$Q$8:$Q$1007,"&lt;&gt;OK")&gt;0)),"Correggi esecuzioni",IF(J27="Aperto","OK",IF(AND(I27="Esecuzioni",S27="Coperto",ABS(X27-Y27)&gt;'Impostazioni'!$B$11),"Copertura residua",IF(NOT(ISNUMBER(AC27)),"Completa risultato / esito",IF(AND(Z27=0,AC27&lt;&gt;0),"Rischio nullo con P/L","OK")))))))))))))</x:f>
      </x:c>
      <x:c r="AR27" s="20" t="str">
        <x:f>IF(OR(A27="",J27&lt;&gt;"Aperto",AQ27&lt;&gt;"OK"),"",IF(I27="Esecuzioni",SUMIFS('Esecuzioni'!$P$8:$P$1007,'Esecuzioni'!$A$8:$A$1007,A27,'Esecuzioni'!$B$8:$B$1007,_xlfn.MAXIFS('Esecuzioni'!$B$8:$B$1007,'Esecuzioni'!$A$8:$A$1007,A27)),IF(LEFT(U27,8)="FREEBET:",0,Z27)))</x:f>
      </x:c>
      <x:c r="AS27" s="48" t="str">
        <x:f>IF(OR(A27="",E27=""),"",IF(COUNTIFS($E$8:E27,E27)=1,COUNT($AS$7:AS26)+1,""))</x:f>
      </x:c>
    </x:row>
    <x:row r="28" ht="22" customHeight="1">
      <x:c r="A28" s="7"/>
      <x:c r="B28" s="19"/>
      <x:c r="C28" s="19"/>
      <x:c r="D28" s="7"/>
      <x:c r="E28" s="7"/>
      <x:c r="F28" s="7"/>
      <x:c r="G28" s="7"/>
      <x:c r="H28" s="7"/>
      <x:c r="I28" s="7"/>
      <x:c r="J28" s="7"/>
      <x:c r="K28" s="10"/>
      <x:c r="L28" s="7"/>
      <x:c r="M28" s="10"/>
      <x:c r="N28" s="7"/>
      <x:c r="O28" s="8"/>
      <x:c r="P28" s="8"/>
      <x:c r="Q28" s="8"/>
      <x:c r="R28" s="9"/>
      <x:c r="S28" s="7"/>
      <x:c r="T28" s="7"/>
      <x:c r="U28" s="7"/>
      <x:c r="V28" s="7"/>
      <x:c r="W28" s="22" t="str">
        <x:f>IF(A28="","",COUNTIFS('Esecuzioni'!$A$8:$A$1007,A28,'Esecuzioni'!$Q$8:$Q$1007,"OK"))</x:f>
      </x:c>
      <x:c r="X28" s="20" t="str">
        <x:f>IF(OR(A28="",I28&lt;&gt;"Esecuzioni",W28=0),"",SUMIFS('Esecuzioni'!$L$8:$L$1007,'Esecuzioni'!$A$8:$A$1007,A28))</x:f>
      </x:c>
      <x:c r="Y28" s="20" t="str">
        <x:f>IF(OR(A28="",I28&lt;&gt;"Esecuzioni",W28=0),"",SUMIFS('Esecuzioni'!$M$8:$M$1007,'Esecuzioni'!$A$8:$A$1007,A28))</x:f>
      </x:c>
      <x:c r="Z28" s="20" t="str">
        <x:f>IF(A28="","",IF(J28="Annullato",0,IF(ISNUMBER(O28),O28,IF(AND(I28="Esecuzioni",W28&gt;0),_xlfn.MAXIFS('Esecuzioni'!$P$8:$P$1007,'Esecuzioni'!$A$8:$A$1007,A28),""))))</x:f>
      </x:c>
      <x:c r="AA28" s="20" t="str">
        <x:f>IF(OR(A28="",J28="Aperto"),"",IF(J28="Annullato",0,IF(I28="Lordo manuale",IF(ISNUMBER(P28),P28,""),IF(I28="Netto manuale",IF(AND(ISNUMBER(P28),ISNUMBER(Q28)),P28+Q28,""),IF(OR(W28=0,COUNTIFS('Esecuzioni'!$A$8:$A$1007,A28,'Esecuzioni'!$Q$8:$Q$1007,"&lt;&gt;OK")&gt;0),"",IF(S28="Vince",X28,IF(S28="Perde",Y28,IF(AND(S28="Coperto",ABS(X28-Y28)&lt;='Impostazioni'!$B$11),ROUND((X28+Y28)/2,2),""))))))))</x:f>
      </x:c>
      <x:c r="AB28" s="20" t="str">
        <x:f>IF(NOT(ISNUMBER(AA28)),"",IF(J28="Annullato",0,IF(ISNUMBER(Q28),Q28,ROUND(MAX(0,AA28)*IF(ISNUMBER(R28),R28,'Impostazioni'!$B$8),2))))</x:f>
      </x:c>
      <x:c r="AC28" s="20" t="str">
        <x:f>IF(AND(ISNUMBER(AA28),ISNUMBER(AB28)),ROUND(AA28-AB28,2),"")</x:f>
      </x:c>
      <x:c r="AD28" s="18" t="str">
        <x:f>IF(A28="","",IF(AQ28&lt;&gt;"OK","Incompleto",IF(J28="Aperto","Aperto",IF(J28="Annullato","Annullato",IF(AC28&gt;0,"Green",IF(AC28&lt;0,"Red","Flat"))))))</x:f>
      </x:c>
      <x:c r="AE28" s="21" t="str">
        <x:f>IF(AND(AH28=1,Z28&gt;0),AC28/Z28,"")</x:f>
      </x:c>
      <x:c r="AF28" s="22" t="str">
        <x:f>IF(AH28&lt;&gt;1,"",COUNTIFS($C$8:$C$507,"&lt;"&amp;C28,$AH$8:$AH$507,1)+COUNTIFS($C$8:$C$507,C28,$A$8:$A$507,"&lt;="&amp;A28,$AH$8:$AH$507,1))</x:f>
      </x:c>
      <x:c r="AG28" s="20" t="str">
        <x:f>IF(AH28&lt;&gt;1,"",SUMIFS($AC$8:$AC$507,$C$8:$C$507,"&lt;"&amp;C28,$AH$8:$AH$507,1)+SUMIFS($AC$8:$AC$507,$C$8:$C$507,C28,$A$8:$A$507,"&lt;="&amp;A28,$AH$8:$AH$507,1))</x:f>
      </x:c>
      <x:c r="AH28" s="22" t="str">
        <x:f>IF(A28="","",IF(AND(J28="Chiuso",AQ28="OK",ISNUMBER(AC28)),1,0))</x:f>
      </x:c>
      <x:c r="AI28" s="20" t="str">
        <x:f>IF(AH28&lt;&gt;1,"",MAX(0,_xlfn.MAXIFS($AG$8:$AG$507,$AF$8:$AF$507,"&lt;="&amp;AF28,$AH$8:$AH$507,1)))</x:f>
      </x:c>
      <x:c r="AJ28" s="20" t="str">
        <x:f>IF(AH28&lt;&gt;1,"",MAX(0,AI28-AG28))</x:f>
      </x:c>
      <x:c r="AK28" s="21" t="str">
        <x:f>IF(OR(AH28&lt;&gt;1,NOT(ISNUMBER('Impostazioni'!$B$6)),'Impostazioni'!$B$6+AI28&lt;=0),"",AJ28/('Impostazioni'!$B$6+AI28))</x:f>
      </x:c>
      <x:c r="AL28" s="22" t="str">
        <x:f>IF(AH28&lt;&gt;1,"",IF(AC28&gt;0,AF28-_xlfn.MAXIFS($AF$8:$AF$507,$AF$8:$AF$507,"&lt;="&amp;AF28,$AC$8:$AC$507,"&lt;=0",$AH$8:$AH$507,1),0))</x:f>
      </x:c>
      <x:c r="AM28" s="22" t="str">
        <x:f>IF(AH28&lt;&gt;1,"",IF(AC28&lt;0,AF28-_xlfn.MAXIFS($AF$8:$AF$507,$AF$8:$AF$507,"&lt;="&amp;AF28,$AC$8:$AC$507,"&gt;=0",$AH$8:$AH$507,1),0))</x:f>
      </x:c>
      <x:c r="AN28" s="20" t="str">
        <x:f>IF(OR(A28="",NOT(ISNUMBER(B28)),NOT(ISNUMBER('Impostazioni'!$B$6))),"",'Impostazioni'!$B$6+SUMIFS($AC$8:$AC$507,$C$8:$C$507,"&lt;"&amp;B28,$AH$8:$AH$507,1)+SUMIFS('Cassa'!$F$8:$F$307,'Cassa'!$A$8:$A$307,"&lt;="&amp;B28,'Cassa'!$G$8:$G$307,"OK"))</x:f>
      </x:c>
      <x:c r="AO28" s="21" t="str">
        <x:f>IF(AND(ISNUMBER(Z28),ISNUMBER(AN28),AN28&gt;0),Z28/AN28,"")</x:f>
      </x:c>
      <x:c r="AP28" s="18" t="str">
        <x:f>IF(NOT(ISNUMBER(AO28)),"",IF(AO28&gt;'Impostazioni'!$B$7,"Oltre soglia personale","Nella soglia personale"))</x:f>
      </x:c>
      <x:c r="AQ28" s="18" t="str">
        <x:f>IF(A28="",IF(COUNTA(B28:V28)=0,"","Inserisci ID"),IF(COUNTIFS($A$8:$A$507,A28)&lt;&gt;1,"ID duplicato",IF(OR(NOT(ISNUMBER(B28)),D28="",E28="",F28="",G28="",H28="",COUNTIFS('Impostazioni'!$J$6:$J$25,F28)&lt;&gt;1),"Completa dati / elenchi",IF(OR(AND(I28&lt;&gt;"Lordo manuale",I28&lt;&gt;"Netto manuale",I28&lt;&gt;"Esecuzioni"),AND(J28&lt;&gt;"Aperto",J28&lt;&gt;"Chiuso",J28&lt;&gt;"Annullato")),"Modalità / stato mancanti",IF(AND(J28&lt;&gt;"Aperto",OR(NOT(ISNUMBER(C28)),C28&lt;B28)),"Correggi data chiusura",IF(OR(AND(Q28&lt;&gt;"",OR(NOT(ISNUMBER(Q28)),Q28&lt;0)),AND(R28&lt;&gt;"",OR(NOT(ISNUMBER(R28)),R28&lt;0,R28&gt;1))),"Commissione non valida",IF(J28="Annullato","OK",IF(OR(NOT(ISNUMBER(Z28)),Z28&lt;0,AND(O28&lt;&gt;"",NOT(ISNUMBER(O28)))),"Inserisci rischio",IF(AND(I28="Esecuzioni",OR(W28=0,COUNTIFS('Esecuzioni'!$A$8:$A$1007,A28,'Esecuzioni'!$Q$8:$Q$1007,"&lt;&gt;OK")&gt;0)),"Correggi esecuzioni",IF(J28="Aperto","OK",IF(AND(I28="Esecuzioni",S28="Coperto",ABS(X28-Y28)&gt;'Impostazioni'!$B$11),"Copertura residua",IF(NOT(ISNUMBER(AC28)),"Completa risultato / esito",IF(AND(Z28=0,AC28&lt;&gt;0),"Rischio nullo con P/L","OK")))))))))))))</x:f>
      </x:c>
      <x:c r="AR28" s="20" t="str">
        <x:f>IF(OR(A28="",J28&lt;&gt;"Aperto",AQ28&lt;&gt;"OK"),"",IF(I28="Esecuzioni",SUMIFS('Esecuzioni'!$P$8:$P$1007,'Esecuzioni'!$A$8:$A$1007,A28,'Esecuzioni'!$B$8:$B$1007,_xlfn.MAXIFS('Esecuzioni'!$B$8:$B$1007,'Esecuzioni'!$A$8:$A$1007,A28)),IF(LEFT(U28,8)="FREEBET:",0,Z28)))</x:f>
      </x:c>
      <x:c r="AS28" s="48" t="str">
        <x:f>IF(OR(A28="",E28=""),"",IF(COUNTIFS($E$8:E28,E28)=1,COUNT($AS$7:AS27)+1,""))</x:f>
      </x:c>
    </x:row>
    <x:row r="29" ht="22" customHeight="1">
      <x:c r="A29" s="7"/>
      <x:c r="B29" s="19"/>
      <x:c r="C29" s="19"/>
      <x:c r="D29" s="7"/>
      <x:c r="E29" s="7"/>
      <x:c r="F29" s="7"/>
      <x:c r="G29" s="7"/>
      <x:c r="H29" s="7"/>
      <x:c r="I29" s="7"/>
      <x:c r="J29" s="7"/>
      <x:c r="K29" s="10"/>
      <x:c r="L29" s="7"/>
      <x:c r="M29" s="10"/>
      <x:c r="N29" s="7"/>
      <x:c r="O29" s="8"/>
      <x:c r="P29" s="8"/>
      <x:c r="Q29" s="8"/>
      <x:c r="R29" s="9"/>
      <x:c r="S29" s="7"/>
      <x:c r="T29" s="7"/>
      <x:c r="U29" s="7"/>
      <x:c r="V29" s="7"/>
      <x:c r="W29" s="22" t="str">
        <x:f>IF(A29="","",COUNTIFS('Esecuzioni'!$A$8:$A$1007,A29,'Esecuzioni'!$Q$8:$Q$1007,"OK"))</x:f>
      </x:c>
      <x:c r="X29" s="20" t="str">
        <x:f>IF(OR(A29="",I29&lt;&gt;"Esecuzioni",W29=0),"",SUMIFS('Esecuzioni'!$L$8:$L$1007,'Esecuzioni'!$A$8:$A$1007,A29))</x:f>
      </x:c>
      <x:c r="Y29" s="20" t="str">
        <x:f>IF(OR(A29="",I29&lt;&gt;"Esecuzioni",W29=0),"",SUMIFS('Esecuzioni'!$M$8:$M$1007,'Esecuzioni'!$A$8:$A$1007,A29))</x:f>
      </x:c>
      <x:c r="Z29" s="20" t="str">
        <x:f>IF(A29="","",IF(J29="Annullato",0,IF(ISNUMBER(O29),O29,IF(AND(I29="Esecuzioni",W29&gt;0),_xlfn.MAXIFS('Esecuzioni'!$P$8:$P$1007,'Esecuzioni'!$A$8:$A$1007,A29),""))))</x:f>
      </x:c>
      <x:c r="AA29" s="20" t="str">
        <x:f>IF(OR(A29="",J29="Aperto"),"",IF(J29="Annullato",0,IF(I29="Lordo manuale",IF(ISNUMBER(P29),P29,""),IF(I29="Netto manuale",IF(AND(ISNUMBER(P29),ISNUMBER(Q29)),P29+Q29,""),IF(OR(W29=0,COUNTIFS('Esecuzioni'!$A$8:$A$1007,A29,'Esecuzioni'!$Q$8:$Q$1007,"&lt;&gt;OK")&gt;0),"",IF(S29="Vince",X29,IF(S29="Perde",Y29,IF(AND(S29="Coperto",ABS(X29-Y29)&lt;='Impostazioni'!$B$11),ROUND((X29+Y29)/2,2),""))))))))</x:f>
      </x:c>
      <x:c r="AB29" s="20" t="str">
        <x:f>IF(NOT(ISNUMBER(AA29)),"",IF(J29="Annullato",0,IF(ISNUMBER(Q29),Q29,ROUND(MAX(0,AA29)*IF(ISNUMBER(R29),R29,'Impostazioni'!$B$8),2))))</x:f>
      </x:c>
      <x:c r="AC29" s="20" t="str">
        <x:f>IF(AND(ISNUMBER(AA29),ISNUMBER(AB29)),ROUND(AA29-AB29,2),"")</x:f>
      </x:c>
      <x:c r="AD29" s="18" t="str">
        <x:f>IF(A29="","",IF(AQ29&lt;&gt;"OK","Incompleto",IF(J29="Aperto","Aperto",IF(J29="Annullato","Annullato",IF(AC29&gt;0,"Green",IF(AC29&lt;0,"Red","Flat"))))))</x:f>
      </x:c>
      <x:c r="AE29" s="21" t="str">
        <x:f>IF(AND(AH29=1,Z29&gt;0),AC29/Z29,"")</x:f>
      </x:c>
      <x:c r="AF29" s="22" t="str">
        <x:f>IF(AH29&lt;&gt;1,"",COUNTIFS($C$8:$C$507,"&lt;"&amp;C29,$AH$8:$AH$507,1)+COUNTIFS($C$8:$C$507,C29,$A$8:$A$507,"&lt;="&amp;A29,$AH$8:$AH$507,1))</x:f>
      </x:c>
      <x:c r="AG29" s="20" t="str">
        <x:f>IF(AH29&lt;&gt;1,"",SUMIFS($AC$8:$AC$507,$C$8:$C$507,"&lt;"&amp;C29,$AH$8:$AH$507,1)+SUMIFS($AC$8:$AC$507,$C$8:$C$507,C29,$A$8:$A$507,"&lt;="&amp;A29,$AH$8:$AH$507,1))</x:f>
      </x:c>
      <x:c r="AH29" s="22" t="str">
        <x:f>IF(A29="","",IF(AND(J29="Chiuso",AQ29="OK",ISNUMBER(AC29)),1,0))</x:f>
      </x:c>
      <x:c r="AI29" s="20" t="str">
        <x:f>IF(AH29&lt;&gt;1,"",MAX(0,_xlfn.MAXIFS($AG$8:$AG$507,$AF$8:$AF$507,"&lt;="&amp;AF29,$AH$8:$AH$507,1)))</x:f>
      </x:c>
      <x:c r="AJ29" s="20" t="str">
        <x:f>IF(AH29&lt;&gt;1,"",MAX(0,AI29-AG29))</x:f>
      </x:c>
      <x:c r="AK29" s="21" t="str">
        <x:f>IF(OR(AH29&lt;&gt;1,NOT(ISNUMBER('Impostazioni'!$B$6)),'Impostazioni'!$B$6+AI29&lt;=0),"",AJ29/('Impostazioni'!$B$6+AI29))</x:f>
      </x:c>
      <x:c r="AL29" s="22" t="str">
        <x:f>IF(AH29&lt;&gt;1,"",IF(AC29&gt;0,AF29-_xlfn.MAXIFS($AF$8:$AF$507,$AF$8:$AF$507,"&lt;="&amp;AF29,$AC$8:$AC$507,"&lt;=0",$AH$8:$AH$507,1),0))</x:f>
      </x:c>
      <x:c r="AM29" s="22" t="str">
        <x:f>IF(AH29&lt;&gt;1,"",IF(AC29&lt;0,AF29-_xlfn.MAXIFS($AF$8:$AF$507,$AF$8:$AF$507,"&lt;="&amp;AF29,$AC$8:$AC$507,"&gt;=0",$AH$8:$AH$507,1),0))</x:f>
      </x:c>
      <x:c r="AN29" s="20" t="str">
        <x:f>IF(OR(A29="",NOT(ISNUMBER(B29)),NOT(ISNUMBER('Impostazioni'!$B$6))),"",'Impostazioni'!$B$6+SUMIFS($AC$8:$AC$507,$C$8:$C$507,"&lt;"&amp;B29,$AH$8:$AH$507,1)+SUMIFS('Cassa'!$F$8:$F$307,'Cassa'!$A$8:$A$307,"&lt;="&amp;B29,'Cassa'!$G$8:$G$307,"OK"))</x:f>
      </x:c>
      <x:c r="AO29" s="21" t="str">
        <x:f>IF(AND(ISNUMBER(Z29),ISNUMBER(AN29),AN29&gt;0),Z29/AN29,"")</x:f>
      </x:c>
      <x:c r="AP29" s="18" t="str">
        <x:f>IF(NOT(ISNUMBER(AO29)),"",IF(AO29&gt;'Impostazioni'!$B$7,"Oltre soglia personale","Nella soglia personale"))</x:f>
      </x:c>
      <x:c r="AQ29" s="18" t="str">
        <x:f>IF(A29="",IF(COUNTA(B29:V29)=0,"","Inserisci ID"),IF(COUNTIFS($A$8:$A$507,A29)&lt;&gt;1,"ID duplicato",IF(OR(NOT(ISNUMBER(B29)),D29="",E29="",F29="",G29="",H29="",COUNTIFS('Impostazioni'!$J$6:$J$25,F29)&lt;&gt;1),"Completa dati / elenchi",IF(OR(AND(I29&lt;&gt;"Lordo manuale",I29&lt;&gt;"Netto manuale",I29&lt;&gt;"Esecuzioni"),AND(J29&lt;&gt;"Aperto",J29&lt;&gt;"Chiuso",J29&lt;&gt;"Annullato")),"Modalità / stato mancanti",IF(AND(J29&lt;&gt;"Aperto",OR(NOT(ISNUMBER(C29)),C29&lt;B29)),"Correggi data chiusura",IF(OR(AND(Q29&lt;&gt;"",OR(NOT(ISNUMBER(Q29)),Q29&lt;0)),AND(R29&lt;&gt;"",OR(NOT(ISNUMBER(R29)),R29&lt;0,R29&gt;1))),"Commissione non valida",IF(J29="Annullato","OK",IF(OR(NOT(ISNUMBER(Z29)),Z29&lt;0,AND(O29&lt;&gt;"",NOT(ISNUMBER(O29)))),"Inserisci rischio",IF(AND(I29="Esecuzioni",OR(W29=0,COUNTIFS('Esecuzioni'!$A$8:$A$1007,A29,'Esecuzioni'!$Q$8:$Q$1007,"&lt;&gt;OK")&gt;0)),"Correggi esecuzioni",IF(J29="Aperto","OK",IF(AND(I29="Esecuzioni",S29="Coperto",ABS(X29-Y29)&gt;'Impostazioni'!$B$11),"Copertura residua",IF(NOT(ISNUMBER(AC29)),"Completa risultato / esito",IF(AND(Z29=0,AC29&lt;&gt;0),"Rischio nullo con P/L","OK")))))))))))))</x:f>
      </x:c>
      <x:c r="AR29" s="20" t="str">
        <x:f>IF(OR(A29="",J29&lt;&gt;"Aperto",AQ29&lt;&gt;"OK"),"",IF(I29="Esecuzioni",SUMIFS('Esecuzioni'!$P$8:$P$1007,'Esecuzioni'!$A$8:$A$1007,A29,'Esecuzioni'!$B$8:$B$1007,_xlfn.MAXIFS('Esecuzioni'!$B$8:$B$1007,'Esecuzioni'!$A$8:$A$1007,A29)),IF(LEFT(U29,8)="FREEBET:",0,Z29)))</x:f>
      </x:c>
      <x:c r="AS29" s="48" t="str">
        <x:f>IF(OR(A29="",E29=""),"",IF(COUNTIFS($E$8:E29,E29)=1,COUNT($AS$7:AS28)+1,""))</x:f>
      </x:c>
    </x:row>
    <x:row r="30" ht="22" customHeight="1">
      <x:c r="A30" s="7"/>
      <x:c r="B30" s="19"/>
      <x:c r="C30" s="19"/>
      <x:c r="D30" s="7"/>
      <x:c r="E30" s="7"/>
      <x:c r="F30" s="7"/>
      <x:c r="G30" s="7"/>
      <x:c r="H30" s="7"/>
      <x:c r="I30" s="7"/>
      <x:c r="J30" s="7"/>
      <x:c r="K30" s="10"/>
      <x:c r="L30" s="7"/>
      <x:c r="M30" s="10"/>
      <x:c r="N30" s="7"/>
      <x:c r="O30" s="8"/>
      <x:c r="P30" s="8"/>
      <x:c r="Q30" s="8"/>
      <x:c r="R30" s="9"/>
      <x:c r="S30" s="7"/>
      <x:c r="T30" s="7"/>
      <x:c r="U30" s="7"/>
      <x:c r="V30" s="7"/>
      <x:c r="W30" s="22" t="str">
        <x:f>IF(A30="","",COUNTIFS('Esecuzioni'!$A$8:$A$1007,A30,'Esecuzioni'!$Q$8:$Q$1007,"OK"))</x:f>
      </x:c>
      <x:c r="X30" s="20" t="str">
        <x:f>IF(OR(A30="",I30&lt;&gt;"Esecuzioni",W30=0),"",SUMIFS('Esecuzioni'!$L$8:$L$1007,'Esecuzioni'!$A$8:$A$1007,A30))</x:f>
      </x:c>
      <x:c r="Y30" s="20" t="str">
        <x:f>IF(OR(A30="",I30&lt;&gt;"Esecuzioni",W30=0),"",SUMIFS('Esecuzioni'!$M$8:$M$1007,'Esecuzioni'!$A$8:$A$1007,A30))</x:f>
      </x:c>
      <x:c r="Z30" s="20" t="str">
        <x:f>IF(A30="","",IF(J30="Annullato",0,IF(ISNUMBER(O30),O30,IF(AND(I30="Esecuzioni",W30&gt;0),_xlfn.MAXIFS('Esecuzioni'!$P$8:$P$1007,'Esecuzioni'!$A$8:$A$1007,A30),""))))</x:f>
      </x:c>
      <x:c r="AA30" s="20" t="str">
        <x:f>IF(OR(A30="",J30="Aperto"),"",IF(J30="Annullato",0,IF(I30="Lordo manuale",IF(ISNUMBER(P30),P30,""),IF(I30="Netto manuale",IF(AND(ISNUMBER(P30),ISNUMBER(Q30)),P30+Q30,""),IF(OR(W30=0,COUNTIFS('Esecuzioni'!$A$8:$A$1007,A30,'Esecuzioni'!$Q$8:$Q$1007,"&lt;&gt;OK")&gt;0),"",IF(S30="Vince",X30,IF(S30="Perde",Y30,IF(AND(S30="Coperto",ABS(X30-Y30)&lt;='Impostazioni'!$B$11),ROUND((X30+Y30)/2,2),""))))))))</x:f>
      </x:c>
      <x:c r="AB30" s="20" t="str">
        <x:f>IF(NOT(ISNUMBER(AA30)),"",IF(J30="Annullato",0,IF(ISNUMBER(Q30),Q30,ROUND(MAX(0,AA30)*IF(ISNUMBER(R30),R30,'Impostazioni'!$B$8),2))))</x:f>
      </x:c>
      <x:c r="AC30" s="20" t="str">
        <x:f>IF(AND(ISNUMBER(AA30),ISNUMBER(AB30)),ROUND(AA30-AB30,2),"")</x:f>
      </x:c>
      <x:c r="AD30" s="18" t="str">
        <x:f>IF(A30="","",IF(AQ30&lt;&gt;"OK","Incompleto",IF(J30="Aperto","Aperto",IF(J30="Annullato","Annullato",IF(AC30&gt;0,"Green",IF(AC30&lt;0,"Red","Flat"))))))</x:f>
      </x:c>
      <x:c r="AE30" s="21" t="str">
        <x:f>IF(AND(AH30=1,Z30&gt;0),AC30/Z30,"")</x:f>
      </x:c>
      <x:c r="AF30" s="22" t="str">
        <x:f>IF(AH30&lt;&gt;1,"",COUNTIFS($C$8:$C$507,"&lt;"&amp;C30,$AH$8:$AH$507,1)+COUNTIFS($C$8:$C$507,C30,$A$8:$A$507,"&lt;="&amp;A30,$AH$8:$AH$507,1))</x:f>
      </x:c>
      <x:c r="AG30" s="20" t="str">
        <x:f>IF(AH30&lt;&gt;1,"",SUMIFS($AC$8:$AC$507,$C$8:$C$507,"&lt;"&amp;C30,$AH$8:$AH$507,1)+SUMIFS($AC$8:$AC$507,$C$8:$C$507,C30,$A$8:$A$507,"&lt;="&amp;A30,$AH$8:$AH$507,1))</x:f>
      </x:c>
      <x:c r="AH30" s="22" t="str">
        <x:f>IF(A30="","",IF(AND(J30="Chiuso",AQ30="OK",ISNUMBER(AC30)),1,0))</x:f>
      </x:c>
      <x:c r="AI30" s="20" t="str">
        <x:f>IF(AH30&lt;&gt;1,"",MAX(0,_xlfn.MAXIFS($AG$8:$AG$507,$AF$8:$AF$507,"&lt;="&amp;AF30,$AH$8:$AH$507,1)))</x:f>
      </x:c>
      <x:c r="AJ30" s="20" t="str">
        <x:f>IF(AH30&lt;&gt;1,"",MAX(0,AI30-AG30))</x:f>
      </x:c>
      <x:c r="AK30" s="21" t="str">
        <x:f>IF(OR(AH30&lt;&gt;1,NOT(ISNUMBER('Impostazioni'!$B$6)),'Impostazioni'!$B$6+AI30&lt;=0),"",AJ30/('Impostazioni'!$B$6+AI30))</x:f>
      </x:c>
      <x:c r="AL30" s="22" t="str">
        <x:f>IF(AH30&lt;&gt;1,"",IF(AC30&gt;0,AF30-_xlfn.MAXIFS($AF$8:$AF$507,$AF$8:$AF$507,"&lt;="&amp;AF30,$AC$8:$AC$507,"&lt;=0",$AH$8:$AH$507,1),0))</x:f>
      </x:c>
      <x:c r="AM30" s="22" t="str">
        <x:f>IF(AH30&lt;&gt;1,"",IF(AC30&lt;0,AF30-_xlfn.MAXIFS($AF$8:$AF$507,$AF$8:$AF$507,"&lt;="&amp;AF30,$AC$8:$AC$507,"&gt;=0",$AH$8:$AH$507,1),0))</x:f>
      </x:c>
      <x:c r="AN30" s="20" t="str">
        <x:f>IF(OR(A30="",NOT(ISNUMBER(B30)),NOT(ISNUMBER('Impostazioni'!$B$6))),"",'Impostazioni'!$B$6+SUMIFS($AC$8:$AC$507,$C$8:$C$507,"&lt;"&amp;B30,$AH$8:$AH$507,1)+SUMIFS('Cassa'!$F$8:$F$307,'Cassa'!$A$8:$A$307,"&lt;="&amp;B30,'Cassa'!$G$8:$G$307,"OK"))</x:f>
      </x:c>
      <x:c r="AO30" s="21" t="str">
        <x:f>IF(AND(ISNUMBER(Z30),ISNUMBER(AN30),AN30&gt;0),Z30/AN30,"")</x:f>
      </x:c>
      <x:c r="AP30" s="18" t="str">
        <x:f>IF(NOT(ISNUMBER(AO30)),"",IF(AO30&gt;'Impostazioni'!$B$7,"Oltre soglia personale","Nella soglia personale"))</x:f>
      </x:c>
      <x:c r="AQ30" s="18" t="str">
        <x:f>IF(A30="",IF(COUNTA(B30:V30)=0,"","Inserisci ID"),IF(COUNTIFS($A$8:$A$507,A30)&lt;&gt;1,"ID duplicato",IF(OR(NOT(ISNUMBER(B30)),D30="",E30="",F30="",G30="",H30="",COUNTIFS('Impostazioni'!$J$6:$J$25,F30)&lt;&gt;1),"Completa dati / elenchi",IF(OR(AND(I30&lt;&gt;"Lordo manuale",I30&lt;&gt;"Netto manuale",I30&lt;&gt;"Esecuzioni"),AND(J30&lt;&gt;"Aperto",J30&lt;&gt;"Chiuso",J30&lt;&gt;"Annullato")),"Modalità / stato mancanti",IF(AND(J30&lt;&gt;"Aperto",OR(NOT(ISNUMBER(C30)),C30&lt;B30)),"Correggi data chiusura",IF(OR(AND(Q30&lt;&gt;"",OR(NOT(ISNUMBER(Q30)),Q30&lt;0)),AND(R30&lt;&gt;"",OR(NOT(ISNUMBER(R30)),R30&lt;0,R30&gt;1))),"Commissione non valida",IF(J30="Annullato","OK",IF(OR(NOT(ISNUMBER(Z30)),Z30&lt;0,AND(O30&lt;&gt;"",NOT(ISNUMBER(O30)))),"Inserisci rischio",IF(AND(I30="Esecuzioni",OR(W30=0,COUNTIFS('Esecuzioni'!$A$8:$A$1007,A30,'Esecuzioni'!$Q$8:$Q$1007,"&lt;&gt;OK")&gt;0)),"Correggi esecuzioni",IF(J30="Aperto","OK",IF(AND(I30="Esecuzioni",S30="Coperto",ABS(X30-Y30)&gt;'Impostazioni'!$B$11),"Copertura residua",IF(NOT(ISNUMBER(AC30)),"Completa risultato / esito",IF(AND(Z30=0,AC30&lt;&gt;0),"Rischio nullo con P/L","OK")))))))))))))</x:f>
      </x:c>
      <x:c r="AR30" s="20" t="str">
        <x:f>IF(OR(A30="",J30&lt;&gt;"Aperto",AQ30&lt;&gt;"OK"),"",IF(I30="Esecuzioni",SUMIFS('Esecuzioni'!$P$8:$P$1007,'Esecuzioni'!$A$8:$A$1007,A30,'Esecuzioni'!$B$8:$B$1007,_xlfn.MAXIFS('Esecuzioni'!$B$8:$B$1007,'Esecuzioni'!$A$8:$A$1007,A30)),IF(LEFT(U30,8)="FREEBET:",0,Z30)))</x:f>
      </x:c>
      <x:c r="AS30" s="48" t="str">
        <x:f>IF(OR(A30="",E30=""),"",IF(COUNTIFS($E$8:E30,E30)=1,COUNT($AS$7:AS29)+1,""))</x:f>
      </x:c>
    </x:row>
    <x:row r="31" ht="22" customHeight="1">
      <x:c r="A31" s="7"/>
      <x:c r="B31" s="19"/>
      <x:c r="C31" s="19"/>
      <x:c r="D31" s="7"/>
      <x:c r="E31" s="7"/>
      <x:c r="F31" s="7"/>
      <x:c r="G31" s="7"/>
      <x:c r="H31" s="7"/>
      <x:c r="I31" s="7"/>
      <x:c r="J31" s="7"/>
      <x:c r="K31" s="10"/>
      <x:c r="L31" s="7"/>
      <x:c r="M31" s="10"/>
      <x:c r="N31" s="7"/>
      <x:c r="O31" s="8"/>
      <x:c r="P31" s="8"/>
      <x:c r="Q31" s="8"/>
      <x:c r="R31" s="9"/>
      <x:c r="S31" s="7"/>
      <x:c r="T31" s="7"/>
      <x:c r="U31" s="7"/>
      <x:c r="V31" s="7"/>
      <x:c r="W31" s="22" t="str">
        <x:f>IF(A31="","",COUNTIFS('Esecuzioni'!$A$8:$A$1007,A31,'Esecuzioni'!$Q$8:$Q$1007,"OK"))</x:f>
      </x:c>
      <x:c r="X31" s="20" t="str">
        <x:f>IF(OR(A31="",I31&lt;&gt;"Esecuzioni",W31=0),"",SUMIFS('Esecuzioni'!$L$8:$L$1007,'Esecuzioni'!$A$8:$A$1007,A31))</x:f>
      </x:c>
      <x:c r="Y31" s="20" t="str">
        <x:f>IF(OR(A31="",I31&lt;&gt;"Esecuzioni",W31=0),"",SUMIFS('Esecuzioni'!$M$8:$M$1007,'Esecuzioni'!$A$8:$A$1007,A31))</x:f>
      </x:c>
      <x:c r="Z31" s="20" t="str">
        <x:f>IF(A31="","",IF(J31="Annullato",0,IF(ISNUMBER(O31),O31,IF(AND(I31="Esecuzioni",W31&gt;0),_xlfn.MAXIFS('Esecuzioni'!$P$8:$P$1007,'Esecuzioni'!$A$8:$A$1007,A31),""))))</x:f>
      </x:c>
      <x:c r="AA31" s="20" t="str">
        <x:f>IF(OR(A31="",J31="Aperto"),"",IF(J31="Annullato",0,IF(I31="Lordo manuale",IF(ISNUMBER(P31),P31,""),IF(I31="Netto manuale",IF(AND(ISNUMBER(P31),ISNUMBER(Q31)),P31+Q31,""),IF(OR(W31=0,COUNTIFS('Esecuzioni'!$A$8:$A$1007,A31,'Esecuzioni'!$Q$8:$Q$1007,"&lt;&gt;OK")&gt;0),"",IF(S31="Vince",X31,IF(S31="Perde",Y31,IF(AND(S31="Coperto",ABS(X31-Y31)&lt;='Impostazioni'!$B$11),ROUND((X31+Y31)/2,2),""))))))))</x:f>
      </x:c>
      <x:c r="AB31" s="20" t="str">
        <x:f>IF(NOT(ISNUMBER(AA31)),"",IF(J31="Annullato",0,IF(ISNUMBER(Q31),Q31,ROUND(MAX(0,AA31)*IF(ISNUMBER(R31),R31,'Impostazioni'!$B$8),2))))</x:f>
      </x:c>
      <x:c r="AC31" s="20" t="str">
        <x:f>IF(AND(ISNUMBER(AA31),ISNUMBER(AB31)),ROUND(AA31-AB31,2),"")</x:f>
      </x:c>
      <x:c r="AD31" s="18" t="str">
        <x:f>IF(A31="","",IF(AQ31&lt;&gt;"OK","Incompleto",IF(J31="Aperto","Aperto",IF(J31="Annullato","Annullato",IF(AC31&gt;0,"Green",IF(AC31&lt;0,"Red","Flat"))))))</x:f>
      </x:c>
      <x:c r="AE31" s="21" t="str">
        <x:f>IF(AND(AH31=1,Z31&gt;0),AC31/Z31,"")</x:f>
      </x:c>
      <x:c r="AF31" s="22" t="str">
        <x:f>IF(AH31&lt;&gt;1,"",COUNTIFS($C$8:$C$507,"&lt;"&amp;C31,$AH$8:$AH$507,1)+COUNTIFS($C$8:$C$507,C31,$A$8:$A$507,"&lt;="&amp;A31,$AH$8:$AH$507,1))</x:f>
      </x:c>
      <x:c r="AG31" s="20" t="str">
        <x:f>IF(AH31&lt;&gt;1,"",SUMIFS($AC$8:$AC$507,$C$8:$C$507,"&lt;"&amp;C31,$AH$8:$AH$507,1)+SUMIFS($AC$8:$AC$507,$C$8:$C$507,C31,$A$8:$A$507,"&lt;="&amp;A31,$AH$8:$AH$507,1))</x:f>
      </x:c>
      <x:c r="AH31" s="22" t="str">
        <x:f>IF(A31="","",IF(AND(J31="Chiuso",AQ31="OK",ISNUMBER(AC31)),1,0))</x:f>
      </x:c>
      <x:c r="AI31" s="20" t="str">
        <x:f>IF(AH31&lt;&gt;1,"",MAX(0,_xlfn.MAXIFS($AG$8:$AG$507,$AF$8:$AF$507,"&lt;="&amp;AF31,$AH$8:$AH$507,1)))</x:f>
      </x:c>
      <x:c r="AJ31" s="20" t="str">
        <x:f>IF(AH31&lt;&gt;1,"",MAX(0,AI31-AG31))</x:f>
      </x:c>
      <x:c r="AK31" s="21" t="str">
        <x:f>IF(OR(AH31&lt;&gt;1,NOT(ISNUMBER('Impostazioni'!$B$6)),'Impostazioni'!$B$6+AI31&lt;=0),"",AJ31/('Impostazioni'!$B$6+AI31))</x:f>
      </x:c>
      <x:c r="AL31" s="22" t="str">
        <x:f>IF(AH31&lt;&gt;1,"",IF(AC31&gt;0,AF31-_xlfn.MAXIFS($AF$8:$AF$507,$AF$8:$AF$507,"&lt;="&amp;AF31,$AC$8:$AC$507,"&lt;=0",$AH$8:$AH$507,1),0))</x:f>
      </x:c>
      <x:c r="AM31" s="22" t="str">
        <x:f>IF(AH31&lt;&gt;1,"",IF(AC31&lt;0,AF31-_xlfn.MAXIFS($AF$8:$AF$507,$AF$8:$AF$507,"&lt;="&amp;AF31,$AC$8:$AC$507,"&gt;=0",$AH$8:$AH$507,1),0))</x:f>
      </x:c>
      <x:c r="AN31" s="20" t="str">
        <x:f>IF(OR(A31="",NOT(ISNUMBER(B31)),NOT(ISNUMBER('Impostazioni'!$B$6))),"",'Impostazioni'!$B$6+SUMIFS($AC$8:$AC$507,$C$8:$C$507,"&lt;"&amp;B31,$AH$8:$AH$507,1)+SUMIFS('Cassa'!$F$8:$F$307,'Cassa'!$A$8:$A$307,"&lt;="&amp;B31,'Cassa'!$G$8:$G$307,"OK"))</x:f>
      </x:c>
      <x:c r="AO31" s="21" t="str">
        <x:f>IF(AND(ISNUMBER(Z31),ISNUMBER(AN31),AN31&gt;0),Z31/AN31,"")</x:f>
      </x:c>
      <x:c r="AP31" s="18" t="str">
        <x:f>IF(NOT(ISNUMBER(AO31)),"",IF(AO31&gt;'Impostazioni'!$B$7,"Oltre soglia personale","Nella soglia personale"))</x:f>
      </x:c>
      <x:c r="AQ31" s="18" t="str">
        <x:f>IF(A31="",IF(COUNTA(B31:V31)=0,"","Inserisci ID"),IF(COUNTIFS($A$8:$A$507,A31)&lt;&gt;1,"ID duplicato",IF(OR(NOT(ISNUMBER(B31)),D31="",E31="",F31="",G31="",H31="",COUNTIFS('Impostazioni'!$J$6:$J$25,F31)&lt;&gt;1),"Completa dati / elenchi",IF(OR(AND(I31&lt;&gt;"Lordo manuale",I31&lt;&gt;"Netto manuale",I31&lt;&gt;"Esecuzioni"),AND(J31&lt;&gt;"Aperto",J31&lt;&gt;"Chiuso",J31&lt;&gt;"Annullato")),"Modalità / stato mancanti",IF(AND(J31&lt;&gt;"Aperto",OR(NOT(ISNUMBER(C31)),C31&lt;B31)),"Correggi data chiusura",IF(OR(AND(Q31&lt;&gt;"",OR(NOT(ISNUMBER(Q31)),Q31&lt;0)),AND(R31&lt;&gt;"",OR(NOT(ISNUMBER(R31)),R31&lt;0,R31&gt;1))),"Commissione non valida",IF(J31="Annullato","OK",IF(OR(NOT(ISNUMBER(Z31)),Z31&lt;0,AND(O31&lt;&gt;"",NOT(ISNUMBER(O31)))),"Inserisci rischio",IF(AND(I31="Esecuzioni",OR(W31=0,COUNTIFS('Esecuzioni'!$A$8:$A$1007,A31,'Esecuzioni'!$Q$8:$Q$1007,"&lt;&gt;OK")&gt;0)),"Correggi esecuzioni",IF(J31="Aperto","OK",IF(AND(I31="Esecuzioni",S31="Coperto",ABS(X31-Y31)&gt;'Impostazioni'!$B$11),"Copertura residua",IF(NOT(ISNUMBER(AC31)),"Completa risultato / esito",IF(AND(Z31=0,AC31&lt;&gt;0),"Rischio nullo con P/L","OK")))))))))))))</x:f>
      </x:c>
      <x:c r="AR31" s="20" t="str">
        <x:f>IF(OR(A31="",J31&lt;&gt;"Aperto",AQ31&lt;&gt;"OK"),"",IF(I31="Esecuzioni",SUMIFS('Esecuzioni'!$P$8:$P$1007,'Esecuzioni'!$A$8:$A$1007,A31,'Esecuzioni'!$B$8:$B$1007,_xlfn.MAXIFS('Esecuzioni'!$B$8:$B$1007,'Esecuzioni'!$A$8:$A$1007,A31)),IF(LEFT(U31,8)="FREEBET:",0,Z31)))</x:f>
      </x:c>
      <x:c r="AS31" s="48" t="str">
        <x:f>IF(OR(A31="",E31=""),"",IF(COUNTIFS($E$8:E31,E31)=1,COUNT($AS$7:AS30)+1,""))</x:f>
      </x:c>
    </x:row>
    <x:row r="32" ht="22" customHeight="1">
      <x:c r="A32" s="7"/>
      <x:c r="B32" s="19"/>
      <x:c r="C32" s="19"/>
      <x:c r="D32" s="7"/>
      <x:c r="E32" s="7"/>
      <x:c r="F32" s="7"/>
      <x:c r="G32" s="7"/>
      <x:c r="H32" s="7"/>
      <x:c r="I32" s="7"/>
      <x:c r="J32" s="7"/>
      <x:c r="K32" s="10"/>
      <x:c r="L32" s="7"/>
      <x:c r="M32" s="10"/>
      <x:c r="N32" s="7"/>
      <x:c r="O32" s="8"/>
      <x:c r="P32" s="8"/>
      <x:c r="Q32" s="8"/>
      <x:c r="R32" s="9"/>
      <x:c r="S32" s="7"/>
      <x:c r="T32" s="7"/>
      <x:c r="U32" s="7"/>
      <x:c r="V32" s="7"/>
      <x:c r="W32" s="22" t="str">
        <x:f>IF(A32="","",COUNTIFS('Esecuzioni'!$A$8:$A$1007,A32,'Esecuzioni'!$Q$8:$Q$1007,"OK"))</x:f>
      </x:c>
      <x:c r="X32" s="20" t="str">
        <x:f>IF(OR(A32="",I32&lt;&gt;"Esecuzioni",W32=0),"",SUMIFS('Esecuzioni'!$L$8:$L$1007,'Esecuzioni'!$A$8:$A$1007,A32))</x:f>
      </x:c>
      <x:c r="Y32" s="20" t="str">
        <x:f>IF(OR(A32="",I32&lt;&gt;"Esecuzioni",W32=0),"",SUMIFS('Esecuzioni'!$M$8:$M$1007,'Esecuzioni'!$A$8:$A$1007,A32))</x:f>
      </x:c>
      <x:c r="Z32" s="20" t="str">
        <x:f>IF(A32="","",IF(J32="Annullato",0,IF(ISNUMBER(O32),O32,IF(AND(I32="Esecuzioni",W32&gt;0),_xlfn.MAXIFS('Esecuzioni'!$P$8:$P$1007,'Esecuzioni'!$A$8:$A$1007,A32),""))))</x:f>
      </x:c>
      <x:c r="AA32" s="20" t="str">
        <x:f>IF(OR(A32="",J32="Aperto"),"",IF(J32="Annullato",0,IF(I32="Lordo manuale",IF(ISNUMBER(P32),P32,""),IF(I32="Netto manuale",IF(AND(ISNUMBER(P32),ISNUMBER(Q32)),P32+Q32,""),IF(OR(W32=0,COUNTIFS('Esecuzioni'!$A$8:$A$1007,A32,'Esecuzioni'!$Q$8:$Q$1007,"&lt;&gt;OK")&gt;0),"",IF(S32="Vince",X32,IF(S32="Perde",Y32,IF(AND(S32="Coperto",ABS(X32-Y32)&lt;='Impostazioni'!$B$11),ROUND((X32+Y32)/2,2),""))))))))</x:f>
      </x:c>
      <x:c r="AB32" s="20" t="str">
        <x:f>IF(NOT(ISNUMBER(AA32)),"",IF(J32="Annullato",0,IF(ISNUMBER(Q32),Q32,ROUND(MAX(0,AA32)*IF(ISNUMBER(R32),R32,'Impostazioni'!$B$8),2))))</x:f>
      </x:c>
      <x:c r="AC32" s="20" t="str">
        <x:f>IF(AND(ISNUMBER(AA32),ISNUMBER(AB32)),ROUND(AA32-AB32,2),"")</x:f>
      </x:c>
      <x:c r="AD32" s="18" t="str">
        <x:f>IF(A32="","",IF(AQ32&lt;&gt;"OK","Incompleto",IF(J32="Aperto","Aperto",IF(J32="Annullato","Annullato",IF(AC32&gt;0,"Green",IF(AC32&lt;0,"Red","Flat"))))))</x:f>
      </x:c>
      <x:c r="AE32" s="21" t="str">
        <x:f>IF(AND(AH32=1,Z32&gt;0),AC32/Z32,"")</x:f>
      </x:c>
      <x:c r="AF32" s="22" t="str">
        <x:f>IF(AH32&lt;&gt;1,"",COUNTIFS($C$8:$C$507,"&lt;"&amp;C32,$AH$8:$AH$507,1)+COUNTIFS($C$8:$C$507,C32,$A$8:$A$507,"&lt;="&amp;A32,$AH$8:$AH$507,1))</x:f>
      </x:c>
      <x:c r="AG32" s="20" t="str">
        <x:f>IF(AH32&lt;&gt;1,"",SUMIFS($AC$8:$AC$507,$C$8:$C$507,"&lt;"&amp;C32,$AH$8:$AH$507,1)+SUMIFS($AC$8:$AC$507,$C$8:$C$507,C32,$A$8:$A$507,"&lt;="&amp;A32,$AH$8:$AH$507,1))</x:f>
      </x:c>
      <x:c r="AH32" s="22" t="str">
        <x:f>IF(A32="","",IF(AND(J32="Chiuso",AQ32="OK",ISNUMBER(AC32)),1,0))</x:f>
      </x:c>
      <x:c r="AI32" s="20" t="str">
        <x:f>IF(AH32&lt;&gt;1,"",MAX(0,_xlfn.MAXIFS($AG$8:$AG$507,$AF$8:$AF$507,"&lt;="&amp;AF32,$AH$8:$AH$507,1)))</x:f>
      </x:c>
      <x:c r="AJ32" s="20" t="str">
        <x:f>IF(AH32&lt;&gt;1,"",MAX(0,AI32-AG32))</x:f>
      </x:c>
      <x:c r="AK32" s="21" t="str">
        <x:f>IF(OR(AH32&lt;&gt;1,NOT(ISNUMBER('Impostazioni'!$B$6)),'Impostazioni'!$B$6+AI32&lt;=0),"",AJ32/('Impostazioni'!$B$6+AI32))</x:f>
      </x:c>
      <x:c r="AL32" s="22" t="str">
        <x:f>IF(AH32&lt;&gt;1,"",IF(AC32&gt;0,AF32-_xlfn.MAXIFS($AF$8:$AF$507,$AF$8:$AF$507,"&lt;="&amp;AF32,$AC$8:$AC$507,"&lt;=0",$AH$8:$AH$507,1),0))</x:f>
      </x:c>
      <x:c r="AM32" s="22" t="str">
        <x:f>IF(AH32&lt;&gt;1,"",IF(AC32&lt;0,AF32-_xlfn.MAXIFS($AF$8:$AF$507,$AF$8:$AF$507,"&lt;="&amp;AF32,$AC$8:$AC$507,"&gt;=0",$AH$8:$AH$507,1),0))</x:f>
      </x:c>
      <x:c r="AN32" s="20" t="str">
        <x:f>IF(OR(A32="",NOT(ISNUMBER(B32)),NOT(ISNUMBER('Impostazioni'!$B$6))),"",'Impostazioni'!$B$6+SUMIFS($AC$8:$AC$507,$C$8:$C$507,"&lt;"&amp;B32,$AH$8:$AH$507,1)+SUMIFS('Cassa'!$F$8:$F$307,'Cassa'!$A$8:$A$307,"&lt;="&amp;B32,'Cassa'!$G$8:$G$307,"OK"))</x:f>
      </x:c>
      <x:c r="AO32" s="21" t="str">
        <x:f>IF(AND(ISNUMBER(Z32),ISNUMBER(AN32),AN32&gt;0),Z32/AN32,"")</x:f>
      </x:c>
      <x:c r="AP32" s="18" t="str">
        <x:f>IF(NOT(ISNUMBER(AO32)),"",IF(AO32&gt;'Impostazioni'!$B$7,"Oltre soglia personale","Nella soglia personale"))</x:f>
      </x:c>
      <x:c r="AQ32" s="18" t="str">
        <x:f>IF(A32="",IF(COUNTA(B32:V32)=0,"","Inserisci ID"),IF(COUNTIFS($A$8:$A$507,A32)&lt;&gt;1,"ID duplicato",IF(OR(NOT(ISNUMBER(B32)),D32="",E32="",F32="",G32="",H32="",COUNTIFS('Impostazioni'!$J$6:$J$25,F32)&lt;&gt;1),"Completa dati / elenchi",IF(OR(AND(I32&lt;&gt;"Lordo manuale",I32&lt;&gt;"Netto manuale",I32&lt;&gt;"Esecuzioni"),AND(J32&lt;&gt;"Aperto",J32&lt;&gt;"Chiuso",J32&lt;&gt;"Annullato")),"Modalità / stato mancanti",IF(AND(J32&lt;&gt;"Aperto",OR(NOT(ISNUMBER(C32)),C32&lt;B32)),"Correggi data chiusura",IF(OR(AND(Q32&lt;&gt;"",OR(NOT(ISNUMBER(Q32)),Q32&lt;0)),AND(R32&lt;&gt;"",OR(NOT(ISNUMBER(R32)),R32&lt;0,R32&gt;1))),"Commissione non valida",IF(J32="Annullato","OK",IF(OR(NOT(ISNUMBER(Z32)),Z32&lt;0,AND(O32&lt;&gt;"",NOT(ISNUMBER(O32)))),"Inserisci rischio",IF(AND(I32="Esecuzioni",OR(W32=0,COUNTIFS('Esecuzioni'!$A$8:$A$1007,A32,'Esecuzioni'!$Q$8:$Q$1007,"&lt;&gt;OK")&gt;0)),"Correggi esecuzioni",IF(J32="Aperto","OK",IF(AND(I32="Esecuzioni",S32="Coperto",ABS(X32-Y32)&gt;'Impostazioni'!$B$11),"Copertura residua",IF(NOT(ISNUMBER(AC32)),"Completa risultato / esito",IF(AND(Z32=0,AC32&lt;&gt;0),"Rischio nullo con P/L","OK")))))))))))))</x:f>
      </x:c>
      <x:c r="AR32" s="20" t="str">
        <x:f>IF(OR(A32="",J32&lt;&gt;"Aperto",AQ32&lt;&gt;"OK"),"",IF(I32="Esecuzioni",SUMIFS('Esecuzioni'!$P$8:$P$1007,'Esecuzioni'!$A$8:$A$1007,A32,'Esecuzioni'!$B$8:$B$1007,_xlfn.MAXIFS('Esecuzioni'!$B$8:$B$1007,'Esecuzioni'!$A$8:$A$1007,A32)),IF(LEFT(U32,8)="FREEBET:",0,Z32)))</x:f>
      </x:c>
      <x:c r="AS32" s="48" t="str">
        <x:f>IF(OR(A32="",E32=""),"",IF(COUNTIFS($E$8:E32,E32)=1,COUNT($AS$7:AS31)+1,""))</x:f>
      </x:c>
    </x:row>
    <x:row r="33" ht="22" customHeight="1">
      <x:c r="A33" s="7"/>
      <x:c r="B33" s="19"/>
      <x:c r="C33" s="19"/>
      <x:c r="D33" s="7"/>
      <x:c r="E33" s="7"/>
      <x:c r="F33" s="7"/>
      <x:c r="G33" s="7"/>
      <x:c r="H33" s="7"/>
      <x:c r="I33" s="7"/>
      <x:c r="J33" s="7"/>
      <x:c r="K33" s="10"/>
      <x:c r="L33" s="7"/>
      <x:c r="M33" s="10"/>
      <x:c r="N33" s="7"/>
      <x:c r="O33" s="8"/>
      <x:c r="P33" s="8"/>
      <x:c r="Q33" s="8"/>
      <x:c r="R33" s="9"/>
      <x:c r="S33" s="7"/>
      <x:c r="T33" s="7"/>
      <x:c r="U33" s="7"/>
      <x:c r="V33" s="7"/>
      <x:c r="W33" s="22" t="str">
        <x:f>IF(A33="","",COUNTIFS('Esecuzioni'!$A$8:$A$1007,A33,'Esecuzioni'!$Q$8:$Q$1007,"OK"))</x:f>
      </x:c>
      <x:c r="X33" s="20" t="str">
        <x:f>IF(OR(A33="",I33&lt;&gt;"Esecuzioni",W33=0),"",SUMIFS('Esecuzioni'!$L$8:$L$1007,'Esecuzioni'!$A$8:$A$1007,A33))</x:f>
      </x:c>
      <x:c r="Y33" s="20" t="str">
        <x:f>IF(OR(A33="",I33&lt;&gt;"Esecuzioni",W33=0),"",SUMIFS('Esecuzioni'!$M$8:$M$1007,'Esecuzioni'!$A$8:$A$1007,A33))</x:f>
      </x:c>
      <x:c r="Z33" s="20" t="str">
        <x:f>IF(A33="","",IF(J33="Annullato",0,IF(ISNUMBER(O33),O33,IF(AND(I33="Esecuzioni",W33&gt;0),_xlfn.MAXIFS('Esecuzioni'!$P$8:$P$1007,'Esecuzioni'!$A$8:$A$1007,A33),""))))</x:f>
      </x:c>
      <x:c r="AA33" s="20" t="str">
        <x:f>IF(OR(A33="",J33="Aperto"),"",IF(J33="Annullato",0,IF(I33="Lordo manuale",IF(ISNUMBER(P33),P33,""),IF(I33="Netto manuale",IF(AND(ISNUMBER(P33),ISNUMBER(Q33)),P33+Q33,""),IF(OR(W33=0,COUNTIFS('Esecuzioni'!$A$8:$A$1007,A33,'Esecuzioni'!$Q$8:$Q$1007,"&lt;&gt;OK")&gt;0),"",IF(S33="Vince",X33,IF(S33="Perde",Y33,IF(AND(S33="Coperto",ABS(X33-Y33)&lt;='Impostazioni'!$B$11),ROUND((X33+Y33)/2,2),""))))))))</x:f>
      </x:c>
      <x:c r="AB33" s="20" t="str">
        <x:f>IF(NOT(ISNUMBER(AA33)),"",IF(J33="Annullato",0,IF(ISNUMBER(Q33),Q33,ROUND(MAX(0,AA33)*IF(ISNUMBER(R33),R33,'Impostazioni'!$B$8),2))))</x:f>
      </x:c>
      <x:c r="AC33" s="20" t="str">
        <x:f>IF(AND(ISNUMBER(AA33),ISNUMBER(AB33)),ROUND(AA33-AB33,2),"")</x:f>
      </x:c>
      <x:c r="AD33" s="18" t="str">
        <x:f>IF(A33="","",IF(AQ33&lt;&gt;"OK","Incompleto",IF(J33="Aperto","Aperto",IF(J33="Annullato","Annullato",IF(AC33&gt;0,"Green",IF(AC33&lt;0,"Red","Flat"))))))</x:f>
      </x:c>
      <x:c r="AE33" s="21" t="str">
        <x:f>IF(AND(AH33=1,Z33&gt;0),AC33/Z33,"")</x:f>
      </x:c>
      <x:c r="AF33" s="22" t="str">
        <x:f>IF(AH33&lt;&gt;1,"",COUNTIFS($C$8:$C$507,"&lt;"&amp;C33,$AH$8:$AH$507,1)+COUNTIFS($C$8:$C$507,C33,$A$8:$A$507,"&lt;="&amp;A33,$AH$8:$AH$507,1))</x:f>
      </x:c>
      <x:c r="AG33" s="20" t="str">
        <x:f>IF(AH33&lt;&gt;1,"",SUMIFS($AC$8:$AC$507,$C$8:$C$507,"&lt;"&amp;C33,$AH$8:$AH$507,1)+SUMIFS($AC$8:$AC$507,$C$8:$C$507,C33,$A$8:$A$507,"&lt;="&amp;A33,$AH$8:$AH$507,1))</x:f>
      </x:c>
      <x:c r="AH33" s="22" t="str">
        <x:f>IF(A33="","",IF(AND(J33="Chiuso",AQ33="OK",ISNUMBER(AC33)),1,0))</x:f>
      </x:c>
      <x:c r="AI33" s="20" t="str">
        <x:f>IF(AH33&lt;&gt;1,"",MAX(0,_xlfn.MAXIFS($AG$8:$AG$507,$AF$8:$AF$507,"&lt;="&amp;AF33,$AH$8:$AH$507,1)))</x:f>
      </x:c>
      <x:c r="AJ33" s="20" t="str">
        <x:f>IF(AH33&lt;&gt;1,"",MAX(0,AI33-AG33))</x:f>
      </x:c>
      <x:c r="AK33" s="21" t="str">
        <x:f>IF(OR(AH33&lt;&gt;1,NOT(ISNUMBER('Impostazioni'!$B$6)),'Impostazioni'!$B$6+AI33&lt;=0),"",AJ33/('Impostazioni'!$B$6+AI33))</x:f>
      </x:c>
      <x:c r="AL33" s="22" t="str">
        <x:f>IF(AH33&lt;&gt;1,"",IF(AC33&gt;0,AF33-_xlfn.MAXIFS($AF$8:$AF$507,$AF$8:$AF$507,"&lt;="&amp;AF33,$AC$8:$AC$507,"&lt;=0",$AH$8:$AH$507,1),0))</x:f>
      </x:c>
      <x:c r="AM33" s="22" t="str">
        <x:f>IF(AH33&lt;&gt;1,"",IF(AC33&lt;0,AF33-_xlfn.MAXIFS($AF$8:$AF$507,$AF$8:$AF$507,"&lt;="&amp;AF33,$AC$8:$AC$507,"&gt;=0",$AH$8:$AH$507,1),0))</x:f>
      </x:c>
      <x:c r="AN33" s="20" t="str">
        <x:f>IF(OR(A33="",NOT(ISNUMBER(B33)),NOT(ISNUMBER('Impostazioni'!$B$6))),"",'Impostazioni'!$B$6+SUMIFS($AC$8:$AC$507,$C$8:$C$507,"&lt;"&amp;B33,$AH$8:$AH$507,1)+SUMIFS('Cassa'!$F$8:$F$307,'Cassa'!$A$8:$A$307,"&lt;="&amp;B33,'Cassa'!$G$8:$G$307,"OK"))</x:f>
      </x:c>
      <x:c r="AO33" s="21" t="str">
        <x:f>IF(AND(ISNUMBER(Z33),ISNUMBER(AN33),AN33&gt;0),Z33/AN33,"")</x:f>
      </x:c>
      <x:c r="AP33" s="18" t="str">
        <x:f>IF(NOT(ISNUMBER(AO33)),"",IF(AO33&gt;'Impostazioni'!$B$7,"Oltre soglia personale","Nella soglia personale"))</x:f>
      </x:c>
      <x:c r="AQ33" s="18" t="str">
        <x:f>IF(A33="",IF(COUNTA(B33:V33)=0,"","Inserisci ID"),IF(COUNTIFS($A$8:$A$507,A33)&lt;&gt;1,"ID duplicato",IF(OR(NOT(ISNUMBER(B33)),D33="",E33="",F33="",G33="",H33="",COUNTIFS('Impostazioni'!$J$6:$J$25,F33)&lt;&gt;1),"Completa dati / elenchi",IF(OR(AND(I33&lt;&gt;"Lordo manuale",I33&lt;&gt;"Netto manuale",I33&lt;&gt;"Esecuzioni"),AND(J33&lt;&gt;"Aperto",J33&lt;&gt;"Chiuso",J33&lt;&gt;"Annullato")),"Modalità / stato mancanti",IF(AND(J33&lt;&gt;"Aperto",OR(NOT(ISNUMBER(C33)),C33&lt;B33)),"Correggi data chiusura",IF(OR(AND(Q33&lt;&gt;"",OR(NOT(ISNUMBER(Q33)),Q33&lt;0)),AND(R33&lt;&gt;"",OR(NOT(ISNUMBER(R33)),R33&lt;0,R33&gt;1))),"Commissione non valida",IF(J33="Annullato","OK",IF(OR(NOT(ISNUMBER(Z33)),Z33&lt;0,AND(O33&lt;&gt;"",NOT(ISNUMBER(O33)))),"Inserisci rischio",IF(AND(I33="Esecuzioni",OR(W33=0,COUNTIFS('Esecuzioni'!$A$8:$A$1007,A33,'Esecuzioni'!$Q$8:$Q$1007,"&lt;&gt;OK")&gt;0)),"Correggi esecuzioni",IF(J33="Aperto","OK",IF(AND(I33="Esecuzioni",S33="Coperto",ABS(X33-Y33)&gt;'Impostazioni'!$B$11),"Copertura residua",IF(NOT(ISNUMBER(AC33)),"Completa risultato / esito",IF(AND(Z33=0,AC33&lt;&gt;0),"Rischio nullo con P/L","OK")))))))))))))</x:f>
      </x:c>
      <x:c r="AR33" s="20" t="str">
        <x:f>IF(OR(A33="",J33&lt;&gt;"Aperto",AQ33&lt;&gt;"OK"),"",IF(I33="Esecuzioni",SUMIFS('Esecuzioni'!$P$8:$P$1007,'Esecuzioni'!$A$8:$A$1007,A33,'Esecuzioni'!$B$8:$B$1007,_xlfn.MAXIFS('Esecuzioni'!$B$8:$B$1007,'Esecuzioni'!$A$8:$A$1007,A33)),IF(LEFT(U33,8)="FREEBET:",0,Z33)))</x:f>
      </x:c>
      <x:c r="AS33" s="48" t="str">
        <x:f>IF(OR(A33="",E33=""),"",IF(COUNTIFS($E$8:E33,E33)=1,COUNT($AS$7:AS32)+1,""))</x:f>
      </x:c>
    </x:row>
    <x:row r="34" ht="22" customHeight="1">
      <x:c r="A34" s="7"/>
      <x:c r="B34" s="19"/>
      <x:c r="C34" s="19"/>
      <x:c r="D34" s="7"/>
      <x:c r="E34" s="7"/>
      <x:c r="F34" s="7"/>
      <x:c r="G34" s="7"/>
      <x:c r="H34" s="7"/>
      <x:c r="I34" s="7"/>
      <x:c r="J34" s="7"/>
      <x:c r="K34" s="10"/>
      <x:c r="L34" s="7"/>
      <x:c r="M34" s="10"/>
      <x:c r="N34" s="7"/>
      <x:c r="O34" s="8"/>
      <x:c r="P34" s="8"/>
      <x:c r="Q34" s="8"/>
      <x:c r="R34" s="9"/>
      <x:c r="S34" s="7"/>
      <x:c r="T34" s="7"/>
      <x:c r="U34" s="7"/>
      <x:c r="V34" s="7"/>
      <x:c r="W34" s="22" t="str">
        <x:f>IF(A34="","",COUNTIFS('Esecuzioni'!$A$8:$A$1007,A34,'Esecuzioni'!$Q$8:$Q$1007,"OK"))</x:f>
      </x:c>
      <x:c r="X34" s="20" t="str">
        <x:f>IF(OR(A34="",I34&lt;&gt;"Esecuzioni",W34=0),"",SUMIFS('Esecuzioni'!$L$8:$L$1007,'Esecuzioni'!$A$8:$A$1007,A34))</x:f>
      </x:c>
      <x:c r="Y34" s="20" t="str">
        <x:f>IF(OR(A34="",I34&lt;&gt;"Esecuzioni",W34=0),"",SUMIFS('Esecuzioni'!$M$8:$M$1007,'Esecuzioni'!$A$8:$A$1007,A34))</x:f>
      </x:c>
      <x:c r="Z34" s="20" t="str">
        <x:f>IF(A34="","",IF(J34="Annullato",0,IF(ISNUMBER(O34),O34,IF(AND(I34="Esecuzioni",W34&gt;0),_xlfn.MAXIFS('Esecuzioni'!$P$8:$P$1007,'Esecuzioni'!$A$8:$A$1007,A34),""))))</x:f>
      </x:c>
      <x:c r="AA34" s="20" t="str">
        <x:f>IF(OR(A34="",J34="Aperto"),"",IF(J34="Annullato",0,IF(I34="Lordo manuale",IF(ISNUMBER(P34),P34,""),IF(I34="Netto manuale",IF(AND(ISNUMBER(P34),ISNUMBER(Q34)),P34+Q34,""),IF(OR(W34=0,COUNTIFS('Esecuzioni'!$A$8:$A$1007,A34,'Esecuzioni'!$Q$8:$Q$1007,"&lt;&gt;OK")&gt;0),"",IF(S34="Vince",X34,IF(S34="Perde",Y34,IF(AND(S34="Coperto",ABS(X34-Y34)&lt;='Impostazioni'!$B$11),ROUND((X34+Y34)/2,2),""))))))))</x:f>
      </x:c>
      <x:c r="AB34" s="20" t="str">
        <x:f>IF(NOT(ISNUMBER(AA34)),"",IF(J34="Annullato",0,IF(ISNUMBER(Q34),Q34,ROUND(MAX(0,AA34)*IF(ISNUMBER(R34),R34,'Impostazioni'!$B$8),2))))</x:f>
      </x:c>
      <x:c r="AC34" s="20" t="str">
        <x:f>IF(AND(ISNUMBER(AA34),ISNUMBER(AB34)),ROUND(AA34-AB34,2),"")</x:f>
      </x:c>
      <x:c r="AD34" s="18" t="str">
        <x:f>IF(A34="","",IF(AQ34&lt;&gt;"OK","Incompleto",IF(J34="Aperto","Aperto",IF(J34="Annullato","Annullato",IF(AC34&gt;0,"Green",IF(AC34&lt;0,"Red","Flat"))))))</x:f>
      </x:c>
      <x:c r="AE34" s="21" t="str">
        <x:f>IF(AND(AH34=1,Z34&gt;0),AC34/Z34,"")</x:f>
      </x:c>
      <x:c r="AF34" s="22" t="str">
        <x:f>IF(AH34&lt;&gt;1,"",COUNTIFS($C$8:$C$507,"&lt;"&amp;C34,$AH$8:$AH$507,1)+COUNTIFS($C$8:$C$507,C34,$A$8:$A$507,"&lt;="&amp;A34,$AH$8:$AH$507,1))</x:f>
      </x:c>
      <x:c r="AG34" s="20" t="str">
        <x:f>IF(AH34&lt;&gt;1,"",SUMIFS($AC$8:$AC$507,$C$8:$C$507,"&lt;"&amp;C34,$AH$8:$AH$507,1)+SUMIFS($AC$8:$AC$507,$C$8:$C$507,C34,$A$8:$A$507,"&lt;="&amp;A34,$AH$8:$AH$507,1))</x:f>
      </x:c>
      <x:c r="AH34" s="22" t="str">
        <x:f>IF(A34="","",IF(AND(J34="Chiuso",AQ34="OK",ISNUMBER(AC34)),1,0))</x:f>
      </x:c>
      <x:c r="AI34" s="20" t="str">
        <x:f>IF(AH34&lt;&gt;1,"",MAX(0,_xlfn.MAXIFS($AG$8:$AG$507,$AF$8:$AF$507,"&lt;="&amp;AF34,$AH$8:$AH$507,1)))</x:f>
      </x:c>
      <x:c r="AJ34" s="20" t="str">
        <x:f>IF(AH34&lt;&gt;1,"",MAX(0,AI34-AG34))</x:f>
      </x:c>
      <x:c r="AK34" s="21" t="str">
        <x:f>IF(OR(AH34&lt;&gt;1,NOT(ISNUMBER('Impostazioni'!$B$6)),'Impostazioni'!$B$6+AI34&lt;=0),"",AJ34/('Impostazioni'!$B$6+AI34))</x:f>
      </x:c>
      <x:c r="AL34" s="22" t="str">
        <x:f>IF(AH34&lt;&gt;1,"",IF(AC34&gt;0,AF34-_xlfn.MAXIFS($AF$8:$AF$507,$AF$8:$AF$507,"&lt;="&amp;AF34,$AC$8:$AC$507,"&lt;=0",$AH$8:$AH$507,1),0))</x:f>
      </x:c>
      <x:c r="AM34" s="22" t="str">
        <x:f>IF(AH34&lt;&gt;1,"",IF(AC34&lt;0,AF34-_xlfn.MAXIFS($AF$8:$AF$507,$AF$8:$AF$507,"&lt;="&amp;AF34,$AC$8:$AC$507,"&gt;=0",$AH$8:$AH$507,1),0))</x:f>
      </x:c>
      <x:c r="AN34" s="20" t="str">
        <x:f>IF(OR(A34="",NOT(ISNUMBER(B34)),NOT(ISNUMBER('Impostazioni'!$B$6))),"",'Impostazioni'!$B$6+SUMIFS($AC$8:$AC$507,$C$8:$C$507,"&lt;"&amp;B34,$AH$8:$AH$507,1)+SUMIFS('Cassa'!$F$8:$F$307,'Cassa'!$A$8:$A$307,"&lt;="&amp;B34,'Cassa'!$G$8:$G$307,"OK"))</x:f>
      </x:c>
      <x:c r="AO34" s="21" t="str">
        <x:f>IF(AND(ISNUMBER(Z34),ISNUMBER(AN34),AN34&gt;0),Z34/AN34,"")</x:f>
      </x:c>
      <x:c r="AP34" s="18" t="str">
        <x:f>IF(NOT(ISNUMBER(AO34)),"",IF(AO34&gt;'Impostazioni'!$B$7,"Oltre soglia personale","Nella soglia personale"))</x:f>
      </x:c>
      <x:c r="AQ34" s="18" t="str">
        <x:f>IF(A34="",IF(COUNTA(B34:V34)=0,"","Inserisci ID"),IF(COUNTIFS($A$8:$A$507,A34)&lt;&gt;1,"ID duplicato",IF(OR(NOT(ISNUMBER(B34)),D34="",E34="",F34="",G34="",H34="",COUNTIFS('Impostazioni'!$J$6:$J$25,F34)&lt;&gt;1),"Completa dati / elenchi",IF(OR(AND(I34&lt;&gt;"Lordo manuale",I34&lt;&gt;"Netto manuale",I34&lt;&gt;"Esecuzioni"),AND(J34&lt;&gt;"Aperto",J34&lt;&gt;"Chiuso",J34&lt;&gt;"Annullato")),"Modalità / stato mancanti",IF(AND(J34&lt;&gt;"Aperto",OR(NOT(ISNUMBER(C34)),C34&lt;B34)),"Correggi data chiusura",IF(OR(AND(Q34&lt;&gt;"",OR(NOT(ISNUMBER(Q34)),Q34&lt;0)),AND(R34&lt;&gt;"",OR(NOT(ISNUMBER(R34)),R34&lt;0,R34&gt;1))),"Commissione non valida",IF(J34="Annullato","OK",IF(OR(NOT(ISNUMBER(Z34)),Z34&lt;0,AND(O34&lt;&gt;"",NOT(ISNUMBER(O34)))),"Inserisci rischio",IF(AND(I34="Esecuzioni",OR(W34=0,COUNTIFS('Esecuzioni'!$A$8:$A$1007,A34,'Esecuzioni'!$Q$8:$Q$1007,"&lt;&gt;OK")&gt;0)),"Correggi esecuzioni",IF(J34="Aperto","OK",IF(AND(I34="Esecuzioni",S34="Coperto",ABS(X34-Y34)&gt;'Impostazioni'!$B$11),"Copertura residua",IF(NOT(ISNUMBER(AC34)),"Completa risultato / esito",IF(AND(Z34=0,AC34&lt;&gt;0),"Rischio nullo con P/L","OK")))))))))))))</x:f>
      </x:c>
      <x:c r="AR34" s="20" t="str">
        <x:f>IF(OR(A34="",J34&lt;&gt;"Aperto",AQ34&lt;&gt;"OK"),"",IF(I34="Esecuzioni",SUMIFS('Esecuzioni'!$P$8:$P$1007,'Esecuzioni'!$A$8:$A$1007,A34,'Esecuzioni'!$B$8:$B$1007,_xlfn.MAXIFS('Esecuzioni'!$B$8:$B$1007,'Esecuzioni'!$A$8:$A$1007,A34)),IF(LEFT(U34,8)="FREEBET:",0,Z34)))</x:f>
      </x:c>
      <x:c r="AS34" s="48" t="str">
        <x:f>IF(OR(A34="",E34=""),"",IF(COUNTIFS($E$8:E34,E34)=1,COUNT($AS$7:AS33)+1,""))</x:f>
      </x:c>
    </x:row>
    <x:row r="35" ht="22" customHeight="1">
      <x:c r="A35" s="7"/>
      <x:c r="B35" s="19"/>
      <x:c r="C35" s="19"/>
      <x:c r="D35" s="7"/>
      <x:c r="E35" s="7"/>
      <x:c r="F35" s="7"/>
      <x:c r="G35" s="7"/>
      <x:c r="H35" s="7"/>
      <x:c r="I35" s="7"/>
      <x:c r="J35" s="7"/>
      <x:c r="K35" s="10"/>
      <x:c r="L35" s="7"/>
      <x:c r="M35" s="10"/>
      <x:c r="N35" s="7"/>
      <x:c r="O35" s="8"/>
      <x:c r="P35" s="8"/>
      <x:c r="Q35" s="8"/>
      <x:c r="R35" s="9"/>
      <x:c r="S35" s="7"/>
      <x:c r="T35" s="7"/>
      <x:c r="U35" s="7"/>
      <x:c r="V35" s="7"/>
      <x:c r="W35" s="22" t="str">
        <x:f>IF(A35="","",COUNTIFS('Esecuzioni'!$A$8:$A$1007,A35,'Esecuzioni'!$Q$8:$Q$1007,"OK"))</x:f>
      </x:c>
      <x:c r="X35" s="20" t="str">
        <x:f>IF(OR(A35="",I35&lt;&gt;"Esecuzioni",W35=0),"",SUMIFS('Esecuzioni'!$L$8:$L$1007,'Esecuzioni'!$A$8:$A$1007,A35))</x:f>
      </x:c>
      <x:c r="Y35" s="20" t="str">
        <x:f>IF(OR(A35="",I35&lt;&gt;"Esecuzioni",W35=0),"",SUMIFS('Esecuzioni'!$M$8:$M$1007,'Esecuzioni'!$A$8:$A$1007,A35))</x:f>
      </x:c>
      <x:c r="Z35" s="20" t="str">
        <x:f>IF(A35="","",IF(J35="Annullato",0,IF(ISNUMBER(O35),O35,IF(AND(I35="Esecuzioni",W35&gt;0),_xlfn.MAXIFS('Esecuzioni'!$P$8:$P$1007,'Esecuzioni'!$A$8:$A$1007,A35),""))))</x:f>
      </x:c>
      <x:c r="AA35" s="20" t="str">
        <x:f>IF(OR(A35="",J35="Aperto"),"",IF(J35="Annullato",0,IF(I35="Lordo manuale",IF(ISNUMBER(P35),P35,""),IF(I35="Netto manuale",IF(AND(ISNUMBER(P35),ISNUMBER(Q35)),P35+Q35,""),IF(OR(W35=0,COUNTIFS('Esecuzioni'!$A$8:$A$1007,A35,'Esecuzioni'!$Q$8:$Q$1007,"&lt;&gt;OK")&gt;0),"",IF(S35="Vince",X35,IF(S35="Perde",Y35,IF(AND(S35="Coperto",ABS(X35-Y35)&lt;='Impostazioni'!$B$11),ROUND((X35+Y35)/2,2),""))))))))</x:f>
      </x:c>
      <x:c r="AB35" s="20" t="str">
        <x:f>IF(NOT(ISNUMBER(AA35)),"",IF(J35="Annullato",0,IF(ISNUMBER(Q35),Q35,ROUND(MAX(0,AA35)*IF(ISNUMBER(R35),R35,'Impostazioni'!$B$8),2))))</x:f>
      </x:c>
      <x:c r="AC35" s="20" t="str">
        <x:f>IF(AND(ISNUMBER(AA35),ISNUMBER(AB35)),ROUND(AA35-AB35,2),"")</x:f>
      </x:c>
      <x:c r="AD35" s="18" t="str">
        <x:f>IF(A35="","",IF(AQ35&lt;&gt;"OK","Incompleto",IF(J35="Aperto","Aperto",IF(J35="Annullato","Annullato",IF(AC35&gt;0,"Green",IF(AC35&lt;0,"Red","Flat"))))))</x:f>
      </x:c>
      <x:c r="AE35" s="21" t="str">
        <x:f>IF(AND(AH35=1,Z35&gt;0),AC35/Z35,"")</x:f>
      </x:c>
      <x:c r="AF35" s="22" t="str">
        <x:f>IF(AH35&lt;&gt;1,"",COUNTIFS($C$8:$C$507,"&lt;"&amp;C35,$AH$8:$AH$507,1)+COUNTIFS($C$8:$C$507,C35,$A$8:$A$507,"&lt;="&amp;A35,$AH$8:$AH$507,1))</x:f>
      </x:c>
      <x:c r="AG35" s="20" t="str">
        <x:f>IF(AH35&lt;&gt;1,"",SUMIFS($AC$8:$AC$507,$C$8:$C$507,"&lt;"&amp;C35,$AH$8:$AH$507,1)+SUMIFS($AC$8:$AC$507,$C$8:$C$507,C35,$A$8:$A$507,"&lt;="&amp;A35,$AH$8:$AH$507,1))</x:f>
      </x:c>
      <x:c r="AH35" s="22" t="str">
        <x:f>IF(A35="","",IF(AND(J35="Chiuso",AQ35="OK",ISNUMBER(AC35)),1,0))</x:f>
      </x:c>
      <x:c r="AI35" s="20" t="str">
        <x:f>IF(AH35&lt;&gt;1,"",MAX(0,_xlfn.MAXIFS($AG$8:$AG$507,$AF$8:$AF$507,"&lt;="&amp;AF35,$AH$8:$AH$507,1)))</x:f>
      </x:c>
      <x:c r="AJ35" s="20" t="str">
        <x:f>IF(AH35&lt;&gt;1,"",MAX(0,AI35-AG35))</x:f>
      </x:c>
      <x:c r="AK35" s="21" t="str">
        <x:f>IF(OR(AH35&lt;&gt;1,NOT(ISNUMBER('Impostazioni'!$B$6)),'Impostazioni'!$B$6+AI35&lt;=0),"",AJ35/('Impostazioni'!$B$6+AI35))</x:f>
      </x:c>
      <x:c r="AL35" s="22" t="str">
        <x:f>IF(AH35&lt;&gt;1,"",IF(AC35&gt;0,AF35-_xlfn.MAXIFS($AF$8:$AF$507,$AF$8:$AF$507,"&lt;="&amp;AF35,$AC$8:$AC$507,"&lt;=0",$AH$8:$AH$507,1),0))</x:f>
      </x:c>
      <x:c r="AM35" s="22" t="str">
        <x:f>IF(AH35&lt;&gt;1,"",IF(AC35&lt;0,AF35-_xlfn.MAXIFS($AF$8:$AF$507,$AF$8:$AF$507,"&lt;="&amp;AF35,$AC$8:$AC$507,"&gt;=0",$AH$8:$AH$507,1),0))</x:f>
      </x:c>
      <x:c r="AN35" s="20" t="str">
        <x:f>IF(OR(A35="",NOT(ISNUMBER(B35)),NOT(ISNUMBER('Impostazioni'!$B$6))),"",'Impostazioni'!$B$6+SUMIFS($AC$8:$AC$507,$C$8:$C$507,"&lt;"&amp;B35,$AH$8:$AH$507,1)+SUMIFS('Cassa'!$F$8:$F$307,'Cassa'!$A$8:$A$307,"&lt;="&amp;B35,'Cassa'!$G$8:$G$307,"OK"))</x:f>
      </x:c>
      <x:c r="AO35" s="21" t="str">
        <x:f>IF(AND(ISNUMBER(Z35),ISNUMBER(AN35),AN35&gt;0),Z35/AN35,"")</x:f>
      </x:c>
      <x:c r="AP35" s="18" t="str">
        <x:f>IF(NOT(ISNUMBER(AO35)),"",IF(AO35&gt;'Impostazioni'!$B$7,"Oltre soglia personale","Nella soglia personale"))</x:f>
      </x:c>
      <x:c r="AQ35" s="18" t="str">
        <x:f>IF(A35="",IF(COUNTA(B35:V35)=0,"","Inserisci ID"),IF(COUNTIFS($A$8:$A$507,A35)&lt;&gt;1,"ID duplicato",IF(OR(NOT(ISNUMBER(B35)),D35="",E35="",F35="",G35="",H35="",COUNTIFS('Impostazioni'!$J$6:$J$25,F35)&lt;&gt;1),"Completa dati / elenchi",IF(OR(AND(I35&lt;&gt;"Lordo manuale",I35&lt;&gt;"Netto manuale",I35&lt;&gt;"Esecuzioni"),AND(J35&lt;&gt;"Aperto",J35&lt;&gt;"Chiuso",J35&lt;&gt;"Annullato")),"Modalità / stato mancanti",IF(AND(J35&lt;&gt;"Aperto",OR(NOT(ISNUMBER(C35)),C35&lt;B35)),"Correggi data chiusura",IF(OR(AND(Q35&lt;&gt;"",OR(NOT(ISNUMBER(Q35)),Q35&lt;0)),AND(R35&lt;&gt;"",OR(NOT(ISNUMBER(R35)),R35&lt;0,R35&gt;1))),"Commissione non valida",IF(J35="Annullato","OK",IF(OR(NOT(ISNUMBER(Z35)),Z35&lt;0,AND(O35&lt;&gt;"",NOT(ISNUMBER(O35)))),"Inserisci rischio",IF(AND(I35="Esecuzioni",OR(W35=0,COUNTIFS('Esecuzioni'!$A$8:$A$1007,A35,'Esecuzioni'!$Q$8:$Q$1007,"&lt;&gt;OK")&gt;0)),"Correggi esecuzioni",IF(J35="Aperto","OK",IF(AND(I35="Esecuzioni",S35="Coperto",ABS(X35-Y35)&gt;'Impostazioni'!$B$11),"Copertura residua",IF(NOT(ISNUMBER(AC35)),"Completa risultato / esito",IF(AND(Z35=0,AC35&lt;&gt;0),"Rischio nullo con P/L","OK")))))))))))))</x:f>
      </x:c>
      <x:c r="AR35" s="20" t="str">
        <x:f>IF(OR(A35="",J35&lt;&gt;"Aperto",AQ35&lt;&gt;"OK"),"",IF(I35="Esecuzioni",SUMIFS('Esecuzioni'!$P$8:$P$1007,'Esecuzioni'!$A$8:$A$1007,A35,'Esecuzioni'!$B$8:$B$1007,_xlfn.MAXIFS('Esecuzioni'!$B$8:$B$1007,'Esecuzioni'!$A$8:$A$1007,A35)),IF(LEFT(U35,8)="FREEBET:",0,Z35)))</x:f>
      </x:c>
      <x:c r="AS35" s="48" t="str">
        <x:f>IF(OR(A35="",E35=""),"",IF(COUNTIFS($E$8:E35,E35)=1,COUNT($AS$7:AS34)+1,""))</x:f>
      </x:c>
    </x:row>
    <x:row r="36" ht="22" customHeight="1">
      <x:c r="A36" s="7"/>
      <x:c r="B36" s="19"/>
      <x:c r="C36" s="19"/>
      <x:c r="D36" s="7"/>
      <x:c r="E36" s="7"/>
      <x:c r="F36" s="7"/>
      <x:c r="G36" s="7"/>
      <x:c r="H36" s="7"/>
      <x:c r="I36" s="7"/>
      <x:c r="J36" s="7"/>
      <x:c r="K36" s="10"/>
      <x:c r="L36" s="7"/>
      <x:c r="M36" s="10"/>
      <x:c r="N36" s="7"/>
      <x:c r="O36" s="8"/>
      <x:c r="P36" s="8"/>
      <x:c r="Q36" s="8"/>
      <x:c r="R36" s="9"/>
      <x:c r="S36" s="7"/>
      <x:c r="T36" s="7"/>
      <x:c r="U36" s="7"/>
      <x:c r="V36" s="7"/>
      <x:c r="W36" s="22" t="str">
        <x:f>IF(A36="","",COUNTIFS('Esecuzioni'!$A$8:$A$1007,A36,'Esecuzioni'!$Q$8:$Q$1007,"OK"))</x:f>
      </x:c>
      <x:c r="X36" s="20" t="str">
        <x:f>IF(OR(A36="",I36&lt;&gt;"Esecuzioni",W36=0),"",SUMIFS('Esecuzioni'!$L$8:$L$1007,'Esecuzioni'!$A$8:$A$1007,A36))</x:f>
      </x:c>
      <x:c r="Y36" s="20" t="str">
        <x:f>IF(OR(A36="",I36&lt;&gt;"Esecuzioni",W36=0),"",SUMIFS('Esecuzioni'!$M$8:$M$1007,'Esecuzioni'!$A$8:$A$1007,A36))</x:f>
      </x:c>
      <x:c r="Z36" s="20" t="str">
        <x:f>IF(A36="","",IF(J36="Annullato",0,IF(ISNUMBER(O36),O36,IF(AND(I36="Esecuzioni",W36&gt;0),_xlfn.MAXIFS('Esecuzioni'!$P$8:$P$1007,'Esecuzioni'!$A$8:$A$1007,A36),""))))</x:f>
      </x:c>
      <x:c r="AA36" s="20" t="str">
        <x:f>IF(OR(A36="",J36="Aperto"),"",IF(J36="Annullato",0,IF(I36="Lordo manuale",IF(ISNUMBER(P36),P36,""),IF(I36="Netto manuale",IF(AND(ISNUMBER(P36),ISNUMBER(Q36)),P36+Q36,""),IF(OR(W36=0,COUNTIFS('Esecuzioni'!$A$8:$A$1007,A36,'Esecuzioni'!$Q$8:$Q$1007,"&lt;&gt;OK")&gt;0),"",IF(S36="Vince",X36,IF(S36="Perde",Y36,IF(AND(S36="Coperto",ABS(X36-Y36)&lt;='Impostazioni'!$B$11),ROUND((X36+Y36)/2,2),""))))))))</x:f>
      </x:c>
      <x:c r="AB36" s="20" t="str">
        <x:f>IF(NOT(ISNUMBER(AA36)),"",IF(J36="Annullato",0,IF(ISNUMBER(Q36),Q36,ROUND(MAX(0,AA36)*IF(ISNUMBER(R36),R36,'Impostazioni'!$B$8),2))))</x:f>
      </x:c>
      <x:c r="AC36" s="20" t="str">
        <x:f>IF(AND(ISNUMBER(AA36),ISNUMBER(AB36)),ROUND(AA36-AB36,2),"")</x:f>
      </x:c>
      <x:c r="AD36" s="18" t="str">
        <x:f>IF(A36="","",IF(AQ36&lt;&gt;"OK","Incompleto",IF(J36="Aperto","Aperto",IF(J36="Annullato","Annullato",IF(AC36&gt;0,"Green",IF(AC36&lt;0,"Red","Flat"))))))</x:f>
      </x:c>
      <x:c r="AE36" s="21" t="str">
        <x:f>IF(AND(AH36=1,Z36&gt;0),AC36/Z36,"")</x:f>
      </x:c>
      <x:c r="AF36" s="22" t="str">
        <x:f>IF(AH36&lt;&gt;1,"",COUNTIFS($C$8:$C$507,"&lt;"&amp;C36,$AH$8:$AH$507,1)+COUNTIFS($C$8:$C$507,C36,$A$8:$A$507,"&lt;="&amp;A36,$AH$8:$AH$507,1))</x:f>
      </x:c>
      <x:c r="AG36" s="20" t="str">
        <x:f>IF(AH36&lt;&gt;1,"",SUMIFS($AC$8:$AC$507,$C$8:$C$507,"&lt;"&amp;C36,$AH$8:$AH$507,1)+SUMIFS($AC$8:$AC$507,$C$8:$C$507,C36,$A$8:$A$507,"&lt;="&amp;A36,$AH$8:$AH$507,1))</x:f>
      </x:c>
      <x:c r="AH36" s="22" t="str">
        <x:f>IF(A36="","",IF(AND(J36="Chiuso",AQ36="OK",ISNUMBER(AC36)),1,0))</x:f>
      </x:c>
      <x:c r="AI36" s="20" t="str">
        <x:f>IF(AH36&lt;&gt;1,"",MAX(0,_xlfn.MAXIFS($AG$8:$AG$507,$AF$8:$AF$507,"&lt;="&amp;AF36,$AH$8:$AH$507,1)))</x:f>
      </x:c>
      <x:c r="AJ36" s="20" t="str">
        <x:f>IF(AH36&lt;&gt;1,"",MAX(0,AI36-AG36))</x:f>
      </x:c>
      <x:c r="AK36" s="21" t="str">
        <x:f>IF(OR(AH36&lt;&gt;1,NOT(ISNUMBER('Impostazioni'!$B$6)),'Impostazioni'!$B$6+AI36&lt;=0),"",AJ36/('Impostazioni'!$B$6+AI36))</x:f>
      </x:c>
      <x:c r="AL36" s="22" t="str">
        <x:f>IF(AH36&lt;&gt;1,"",IF(AC36&gt;0,AF36-_xlfn.MAXIFS($AF$8:$AF$507,$AF$8:$AF$507,"&lt;="&amp;AF36,$AC$8:$AC$507,"&lt;=0",$AH$8:$AH$507,1),0))</x:f>
      </x:c>
      <x:c r="AM36" s="22" t="str">
        <x:f>IF(AH36&lt;&gt;1,"",IF(AC36&lt;0,AF36-_xlfn.MAXIFS($AF$8:$AF$507,$AF$8:$AF$507,"&lt;="&amp;AF36,$AC$8:$AC$507,"&gt;=0",$AH$8:$AH$507,1),0))</x:f>
      </x:c>
      <x:c r="AN36" s="20" t="str">
        <x:f>IF(OR(A36="",NOT(ISNUMBER(B36)),NOT(ISNUMBER('Impostazioni'!$B$6))),"",'Impostazioni'!$B$6+SUMIFS($AC$8:$AC$507,$C$8:$C$507,"&lt;"&amp;B36,$AH$8:$AH$507,1)+SUMIFS('Cassa'!$F$8:$F$307,'Cassa'!$A$8:$A$307,"&lt;="&amp;B36,'Cassa'!$G$8:$G$307,"OK"))</x:f>
      </x:c>
      <x:c r="AO36" s="21" t="str">
        <x:f>IF(AND(ISNUMBER(Z36),ISNUMBER(AN36),AN36&gt;0),Z36/AN36,"")</x:f>
      </x:c>
      <x:c r="AP36" s="18" t="str">
        <x:f>IF(NOT(ISNUMBER(AO36)),"",IF(AO36&gt;'Impostazioni'!$B$7,"Oltre soglia personale","Nella soglia personale"))</x:f>
      </x:c>
      <x:c r="AQ36" s="18" t="str">
        <x:f>IF(A36="",IF(COUNTA(B36:V36)=0,"","Inserisci ID"),IF(COUNTIFS($A$8:$A$507,A36)&lt;&gt;1,"ID duplicato",IF(OR(NOT(ISNUMBER(B36)),D36="",E36="",F36="",G36="",H36="",COUNTIFS('Impostazioni'!$J$6:$J$25,F36)&lt;&gt;1),"Completa dati / elenchi",IF(OR(AND(I36&lt;&gt;"Lordo manuale",I36&lt;&gt;"Netto manuale",I36&lt;&gt;"Esecuzioni"),AND(J36&lt;&gt;"Aperto",J36&lt;&gt;"Chiuso",J36&lt;&gt;"Annullato")),"Modalità / stato mancanti",IF(AND(J36&lt;&gt;"Aperto",OR(NOT(ISNUMBER(C36)),C36&lt;B36)),"Correggi data chiusura",IF(OR(AND(Q36&lt;&gt;"",OR(NOT(ISNUMBER(Q36)),Q36&lt;0)),AND(R36&lt;&gt;"",OR(NOT(ISNUMBER(R36)),R36&lt;0,R36&gt;1))),"Commissione non valida",IF(J36="Annullato","OK",IF(OR(NOT(ISNUMBER(Z36)),Z36&lt;0,AND(O36&lt;&gt;"",NOT(ISNUMBER(O36)))),"Inserisci rischio",IF(AND(I36="Esecuzioni",OR(W36=0,COUNTIFS('Esecuzioni'!$A$8:$A$1007,A36,'Esecuzioni'!$Q$8:$Q$1007,"&lt;&gt;OK")&gt;0)),"Correggi esecuzioni",IF(J36="Aperto","OK",IF(AND(I36="Esecuzioni",S36="Coperto",ABS(X36-Y36)&gt;'Impostazioni'!$B$11),"Copertura residua",IF(NOT(ISNUMBER(AC36)),"Completa risultato / esito",IF(AND(Z36=0,AC36&lt;&gt;0),"Rischio nullo con P/L","OK")))))))))))))</x:f>
      </x:c>
      <x:c r="AR36" s="20" t="str">
        <x:f>IF(OR(A36="",J36&lt;&gt;"Aperto",AQ36&lt;&gt;"OK"),"",IF(I36="Esecuzioni",SUMIFS('Esecuzioni'!$P$8:$P$1007,'Esecuzioni'!$A$8:$A$1007,A36,'Esecuzioni'!$B$8:$B$1007,_xlfn.MAXIFS('Esecuzioni'!$B$8:$B$1007,'Esecuzioni'!$A$8:$A$1007,A36)),IF(LEFT(U36,8)="FREEBET:",0,Z36)))</x:f>
      </x:c>
      <x:c r="AS36" s="48" t="str">
        <x:f>IF(OR(A36="",E36=""),"",IF(COUNTIFS($E$8:E36,E36)=1,COUNT($AS$7:AS35)+1,""))</x:f>
      </x:c>
    </x:row>
    <x:row r="37" ht="22" customHeight="1">
      <x:c r="A37" s="7"/>
      <x:c r="B37" s="19"/>
      <x:c r="C37" s="19"/>
      <x:c r="D37" s="7"/>
      <x:c r="E37" s="7"/>
      <x:c r="F37" s="7"/>
      <x:c r="G37" s="7"/>
      <x:c r="H37" s="7"/>
      <x:c r="I37" s="7"/>
      <x:c r="J37" s="7"/>
      <x:c r="K37" s="10"/>
      <x:c r="L37" s="7"/>
      <x:c r="M37" s="10"/>
      <x:c r="N37" s="7"/>
      <x:c r="O37" s="8"/>
      <x:c r="P37" s="8"/>
      <x:c r="Q37" s="8"/>
      <x:c r="R37" s="9"/>
      <x:c r="S37" s="7"/>
      <x:c r="T37" s="7"/>
      <x:c r="U37" s="7"/>
      <x:c r="V37" s="7"/>
      <x:c r="W37" s="22" t="str">
        <x:f>IF(A37="","",COUNTIFS('Esecuzioni'!$A$8:$A$1007,A37,'Esecuzioni'!$Q$8:$Q$1007,"OK"))</x:f>
      </x:c>
      <x:c r="X37" s="20" t="str">
        <x:f>IF(OR(A37="",I37&lt;&gt;"Esecuzioni",W37=0),"",SUMIFS('Esecuzioni'!$L$8:$L$1007,'Esecuzioni'!$A$8:$A$1007,A37))</x:f>
      </x:c>
      <x:c r="Y37" s="20" t="str">
        <x:f>IF(OR(A37="",I37&lt;&gt;"Esecuzioni",W37=0),"",SUMIFS('Esecuzioni'!$M$8:$M$1007,'Esecuzioni'!$A$8:$A$1007,A37))</x:f>
      </x:c>
      <x:c r="Z37" s="20" t="str">
        <x:f>IF(A37="","",IF(J37="Annullato",0,IF(ISNUMBER(O37),O37,IF(AND(I37="Esecuzioni",W37&gt;0),_xlfn.MAXIFS('Esecuzioni'!$P$8:$P$1007,'Esecuzioni'!$A$8:$A$1007,A37),""))))</x:f>
      </x:c>
      <x:c r="AA37" s="20" t="str">
        <x:f>IF(OR(A37="",J37="Aperto"),"",IF(J37="Annullato",0,IF(I37="Lordo manuale",IF(ISNUMBER(P37),P37,""),IF(I37="Netto manuale",IF(AND(ISNUMBER(P37),ISNUMBER(Q37)),P37+Q37,""),IF(OR(W37=0,COUNTIFS('Esecuzioni'!$A$8:$A$1007,A37,'Esecuzioni'!$Q$8:$Q$1007,"&lt;&gt;OK")&gt;0),"",IF(S37="Vince",X37,IF(S37="Perde",Y37,IF(AND(S37="Coperto",ABS(X37-Y37)&lt;='Impostazioni'!$B$11),ROUND((X37+Y37)/2,2),""))))))))</x:f>
      </x:c>
      <x:c r="AB37" s="20" t="str">
        <x:f>IF(NOT(ISNUMBER(AA37)),"",IF(J37="Annullato",0,IF(ISNUMBER(Q37),Q37,ROUND(MAX(0,AA37)*IF(ISNUMBER(R37),R37,'Impostazioni'!$B$8),2))))</x:f>
      </x:c>
      <x:c r="AC37" s="20" t="str">
        <x:f>IF(AND(ISNUMBER(AA37),ISNUMBER(AB37)),ROUND(AA37-AB37,2),"")</x:f>
      </x:c>
      <x:c r="AD37" s="18" t="str">
        <x:f>IF(A37="","",IF(AQ37&lt;&gt;"OK","Incompleto",IF(J37="Aperto","Aperto",IF(J37="Annullato","Annullato",IF(AC37&gt;0,"Green",IF(AC37&lt;0,"Red","Flat"))))))</x:f>
      </x:c>
      <x:c r="AE37" s="21" t="str">
        <x:f>IF(AND(AH37=1,Z37&gt;0),AC37/Z37,"")</x:f>
      </x:c>
      <x:c r="AF37" s="22" t="str">
        <x:f>IF(AH37&lt;&gt;1,"",COUNTIFS($C$8:$C$507,"&lt;"&amp;C37,$AH$8:$AH$507,1)+COUNTIFS($C$8:$C$507,C37,$A$8:$A$507,"&lt;="&amp;A37,$AH$8:$AH$507,1))</x:f>
      </x:c>
      <x:c r="AG37" s="20" t="str">
        <x:f>IF(AH37&lt;&gt;1,"",SUMIFS($AC$8:$AC$507,$C$8:$C$507,"&lt;"&amp;C37,$AH$8:$AH$507,1)+SUMIFS($AC$8:$AC$507,$C$8:$C$507,C37,$A$8:$A$507,"&lt;="&amp;A37,$AH$8:$AH$507,1))</x:f>
      </x:c>
      <x:c r="AH37" s="22" t="str">
        <x:f>IF(A37="","",IF(AND(J37="Chiuso",AQ37="OK",ISNUMBER(AC37)),1,0))</x:f>
      </x:c>
      <x:c r="AI37" s="20" t="str">
        <x:f>IF(AH37&lt;&gt;1,"",MAX(0,_xlfn.MAXIFS($AG$8:$AG$507,$AF$8:$AF$507,"&lt;="&amp;AF37,$AH$8:$AH$507,1)))</x:f>
      </x:c>
      <x:c r="AJ37" s="20" t="str">
        <x:f>IF(AH37&lt;&gt;1,"",MAX(0,AI37-AG37))</x:f>
      </x:c>
      <x:c r="AK37" s="21" t="str">
        <x:f>IF(OR(AH37&lt;&gt;1,NOT(ISNUMBER('Impostazioni'!$B$6)),'Impostazioni'!$B$6+AI37&lt;=0),"",AJ37/('Impostazioni'!$B$6+AI37))</x:f>
      </x:c>
      <x:c r="AL37" s="22" t="str">
        <x:f>IF(AH37&lt;&gt;1,"",IF(AC37&gt;0,AF37-_xlfn.MAXIFS($AF$8:$AF$507,$AF$8:$AF$507,"&lt;="&amp;AF37,$AC$8:$AC$507,"&lt;=0",$AH$8:$AH$507,1),0))</x:f>
      </x:c>
      <x:c r="AM37" s="22" t="str">
        <x:f>IF(AH37&lt;&gt;1,"",IF(AC37&lt;0,AF37-_xlfn.MAXIFS($AF$8:$AF$507,$AF$8:$AF$507,"&lt;="&amp;AF37,$AC$8:$AC$507,"&gt;=0",$AH$8:$AH$507,1),0))</x:f>
      </x:c>
      <x:c r="AN37" s="20" t="str">
        <x:f>IF(OR(A37="",NOT(ISNUMBER(B37)),NOT(ISNUMBER('Impostazioni'!$B$6))),"",'Impostazioni'!$B$6+SUMIFS($AC$8:$AC$507,$C$8:$C$507,"&lt;"&amp;B37,$AH$8:$AH$507,1)+SUMIFS('Cassa'!$F$8:$F$307,'Cassa'!$A$8:$A$307,"&lt;="&amp;B37,'Cassa'!$G$8:$G$307,"OK"))</x:f>
      </x:c>
      <x:c r="AO37" s="21" t="str">
        <x:f>IF(AND(ISNUMBER(Z37),ISNUMBER(AN37),AN37&gt;0),Z37/AN37,"")</x:f>
      </x:c>
      <x:c r="AP37" s="18" t="str">
        <x:f>IF(NOT(ISNUMBER(AO37)),"",IF(AO37&gt;'Impostazioni'!$B$7,"Oltre soglia personale","Nella soglia personale"))</x:f>
      </x:c>
      <x:c r="AQ37" s="18" t="str">
        <x:f>IF(A37="",IF(COUNTA(B37:V37)=0,"","Inserisci ID"),IF(COUNTIFS($A$8:$A$507,A37)&lt;&gt;1,"ID duplicato",IF(OR(NOT(ISNUMBER(B37)),D37="",E37="",F37="",G37="",H37="",COUNTIFS('Impostazioni'!$J$6:$J$25,F37)&lt;&gt;1),"Completa dati / elenchi",IF(OR(AND(I37&lt;&gt;"Lordo manuale",I37&lt;&gt;"Netto manuale",I37&lt;&gt;"Esecuzioni"),AND(J37&lt;&gt;"Aperto",J37&lt;&gt;"Chiuso",J37&lt;&gt;"Annullato")),"Modalità / stato mancanti",IF(AND(J37&lt;&gt;"Aperto",OR(NOT(ISNUMBER(C37)),C37&lt;B37)),"Correggi data chiusura",IF(OR(AND(Q37&lt;&gt;"",OR(NOT(ISNUMBER(Q37)),Q37&lt;0)),AND(R37&lt;&gt;"",OR(NOT(ISNUMBER(R37)),R37&lt;0,R37&gt;1))),"Commissione non valida",IF(J37="Annullato","OK",IF(OR(NOT(ISNUMBER(Z37)),Z37&lt;0,AND(O37&lt;&gt;"",NOT(ISNUMBER(O37)))),"Inserisci rischio",IF(AND(I37="Esecuzioni",OR(W37=0,COUNTIFS('Esecuzioni'!$A$8:$A$1007,A37,'Esecuzioni'!$Q$8:$Q$1007,"&lt;&gt;OK")&gt;0)),"Correggi esecuzioni",IF(J37="Aperto","OK",IF(AND(I37="Esecuzioni",S37="Coperto",ABS(X37-Y37)&gt;'Impostazioni'!$B$11),"Copertura residua",IF(NOT(ISNUMBER(AC37)),"Completa risultato / esito",IF(AND(Z37=0,AC37&lt;&gt;0),"Rischio nullo con P/L","OK")))))))))))))</x:f>
      </x:c>
      <x:c r="AR37" s="20" t="str">
        <x:f>IF(OR(A37="",J37&lt;&gt;"Aperto",AQ37&lt;&gt;"OK"),"",IF(I37="Esecuzioni",SUMIFS('Esecuzioni'!$P$8:$P$1007,'Esecuzioni'!$A$8:$A$1007,A37,'Esecuzioni'!$B$8:$B$1007,_xlfn.MAXIFS('Esecuzioni'!$B$8:$B$1007,'Esecuzioni'!$A$8:$A$1007,A37)),IF(LEFT(U37,8)="FREEBET:",0,Z37)))</x:f>
      </x:c>
      <x:c r="AS37" s="48" t="str">
        <x:f>IF(OR(A37="",E37=""),"",IF(COUNTIFS($E$8:E37,E37)=1,COUNT($AS$7:AS36)+1,""))</x:f>
      </x:c>
    </x:row>
    <x:row r="38" ht="22" customHeight="1">
      <x:c r="A38" s="7"/>
      <x:c r="B38" s="19"/>
      <x:c r="C38" s="19"/>
      <x:c r="D38" s="7"/>
      <x:c r="E38" s="7"/>
      <x:c r="F38" s="7"/>
      <x:c r="G38" s="7"/>
      <x:c r="H38" s="7"/>
      <x:c r="I38" s="7"/>
      <x:c r="J38" s="7"/>
      <x:c r="K38" s="10"/>
      <x:c r="L38" s="7"/>
      <x:c r="M38" s="10"/>
      <x:c r="N38" s="7"/>
      <x:c r="O38" s="8"/>
      <x:c r="P38" s="8"/>
      <x:c r="Q38" s="8"/>
      <x:c r="R38" s="9"/>
      <x:c r="S38" s="7"/>
      <x:c r="T38" s="7"/>
      <x:c r="U38" s="7"/>
      <x:c r="V38" s="7"/>
      <x:c r="W38" s="22" t="str">
        <x:f>IF(A38="","",COUNTIFS('Esecuzioni'!$A$8:$A$1007,A38,'Esecuzioni'!$Q$8:$Q$1007,"OK"))</x:f>
      </x:c>
      <x:c r="X38" s="20" t="str">
        <x:f>IF(OR(A38="",I38&lt;&gt;"Esecuzioni",W38=0),"",SUMIFS('Esecuzioni'!$L$8:$L$1007,'Esecuzioni'!$A$8:$A$1007,A38))</x:f>
      </x:c>
      <x:c r="Y38" s="20" t="str">
        <x:f>IF(OR(A38="",I38&lt;&gt;"Esecuzioni",W38=0),"",SUMIFS('Esecuzioni'!$M$8:$M$1007,'Esecuzioni'!$A$8:$A$1007,A38))</x:f>
      </x:c>
      <x:c r="Z38" s="20" t="str">
        <x:f>IF(A38="","",IF(J38="Annullato",0,IF(ISNUMBER(O38),O38,IF(AND(I38="Esecuzioni",W38&gt;0),_xlfn.MAXIFS('Esecuzioni'!$P$8:$P$1007,'Esecuzioni'!$A$8:$A$1007,A38),""))))</x:f>
      </x:c>
      <x:c r="AA38" s="20" t="str">
        <x:f>IF(OR(A38="",J38="Aperto"),"",IF(J38="Annullato",0,IF(I38="Lordo manuale",IF(ISNUMBER(P38),P38,""),IF(I38="Netto manuale",IF(AND(ISNUMBER(P38),ISNUMBER(Q38)),P38+Q38,""),IF(OR(W38=0,COUNTIFS('Esecuzioni'!$A$8:$A$1007,A38,'Esecuzioni'!$Q$8:$Q$1007,"&lt;&gt;OK")&gt;0),"",IF(S38="Vince",X38,IF(S38="Perde",Y38,IF(AND(S38="Coperto",ABS(X38-Y38)&lt;='Impostazioni'!$B$11),ROUND((X38+Y38)/2,2),""))))))))</x:f>
      </x:c>
      <x:c r="AB38" s="20" t="str">
        <x:f>IF(NOT(ISNUMBER(AA38)),"",IF(J38="Annullato",0,IF(ISNUMBER(Q38),Q38,ROUND(MAX(0,AA38)*IF(ISNUMBER(R38),R38,'Impostazioni'!$B$8),2))))</x:f>
      </x:c>
      <x:c r="AC38" s="20" t="str">
        <x:f>IF(AND(ISNUMBER(AA38),ISNUMBER(AB38)),ROUND(AA38-AB38,2),"")</x:f>
      </x:c>
      <x:c r="AD38" s="18" t="str">
        <x:f>IF(A38="","",IF(AQ38&lt;&gt;"OK","Incompleto",IF(J38="Aperto","Aperto",IF(J38="Annullato","Annullato",IF(AC38&gt;0,"Green",IF(AC38&lt;0,"Red","Flat"))))))</x:f>
      </x:c>
      <x:c r="AE38" s="21" t="str">
        <x:f>IF(AND(AH38=1,Z38&gt;0),AC38/Z38,"")</x:f>
      </x:c>
      <x:c r="AF38" s="22" t="str">
        <x:f>IF(AH38&lt;&gt;1,"",COUNTIFS($C$8:$C$507,"&lt;"&amp;C38,$AH$8:$AH$507,1)+COUNTIFS($C$8:$C$507,C38,$A$8:$A$507,"&lt;="&amp;A38,$AH$8:$AH$507,1))</x:f>
      </x:c>
      <x:c r="AG38" s="20" t="str">
        <x:f>IF(AH38&lt;&gt;1,"",SUMIFS($AC$8:$AC$507,$C$8:$C$507,"&lt;"&amp;C38,$AH$8:$AH$507,1)+SUMIFS($AC$8:$AC$507,$C$8:$C$507,C38,$A$8:$A$507,"&lt;="&amp;A38,$AH$8:$AH$507,1))</x:f>
      </x:c>
      <x:c r="AH38" s="22" t="str">
        <x:f>IF(A38="","",IF(AND(J38="Chiuso",AQ38="OK",ISNUMBER(AC38)),1,0))</x:f>
      </x:c>
      <x:c r="AI38" s="20" t="str">
        <x:f>IF(AH38&lt;&gt;1,"",MAX(0,_xlfn.MAXIFS($AG$8:$AG$507,$AF$8:$AF$507,"&lt;="&amp;AF38,$AH$8:$AH$507,1)))</x:f>
      </x:c>
      <x:c r="AJ38" s="20" t="str">
        <x:f>IF(AH38&lt;&gt;1,"",MAX(0,AI38-AG38))</x:f>
      </x:c>
      <x:c r="AK38" s="21" t="str">
        <x:f>IF(OR(AH38&lt;&gt;1,NOT(ISNUMBER('Impostazioni'!$B$6)),'Impostazioni'!$B$6+AI38&lt;=0),"",AJ38/('Impostazioni'!$B$6+AI38))</x:f>
      </x:c>
      <x:c r="AL38" s="22" t="str">
        <x:f>IF(AH38&lt;&gt;1,"",IF(AC38&gt;0,AF38-_xlfn.MAXIFS($AF$8:$AF$507,$AF$8:$AF$507,"&lt;="&amp;AF38,$AC$8:$AC$507,"&lt;=0",$AH$8:$AH$507,1),0))</x:f>
      </x:c>
      <x:c r="AM38" s="22" t="str">
        <x:f>IF(AH38&lt;&gt;1,"",IF(AC38&lt;0,AF38-_xlfn.MAXIFS($AF$8:$AF$507,$AF$8:$AF$507,"&lt;="&amp;AF38,$AC$8:$AC$507,"&gt;=0",$AH$8:$AH$507,1),0))</x:f>
      </x:c>
      <x:c r="AN38" s="20" t="str">
        <x:f>IF(OR(A38="",NOT(ISNUMBER(B38)),NOT(ISNUMBER('Impostazioni'!$B$6))),"",'Impostazioni'!$B$6+SUMIFS($AC$8:$AC$507,$C$8:$C$507,"&lt;"&amp;B38,$AH$8:$AH$507,1)+SUMIFS('Cassa'!$F$8:$F$307,'Cassa'!$A$8:$A$307,"&lt;="&amp;B38,'Cassa'!$G$8:$G$307,"OK"))</x:f>
      </x:c>
      <x:c r="AO38" s="21" t="str">
        <x:f>IF(AND(ISNUMBER(Z38),ISNUMBER(AN38),AN38&gt;0),Z38/AN38,"")</x:f>
      </x:c>
      <x:c r="AP38" s="18" t="str">
        <x:f>IF(NOT(ISNUMBER(AO38)),"",IF(AO38&gt;'Impostazioni'!$B$7,"Oltre soglia personale","Nella soglia personale"))</x:f>
      </x:c>
      <x:c r="AQ38" s="18" t="str">
        <x:f>IF(A38="",IF(COUNTA(B38:V38)=0,"","Inserisci ID"),IF(COUNTIFS($A$8:$A$507,A38)&lt;&gt;1,"ID duplicato",IF(OR(NOT(ISNUMBER(B38)),D38="",E38="",F38="",G38="",H38="",COUNTIFS('Impostazioni'!$J$6:$J$25,F38)&lt;&gt;1),"Completa dati / elenchi",IF(OR(AND(I38&lt;&gt;"Lordo manuale",I38&lt;&gt;"Netto manuale",I38&lt;&gt;"Esecuzioni"),AND(J38&lt;&gt;"Aperto",J38&lt;&gt;"Chiuso",J38&lt;&gt;"Annullato")),"Modalità / stato mancanti",IF(AND(J38&lt;&gt;"Aperto",OR(NOT(ISNUMBER(C38)),C38&lt;B38)),"Correggi data chiusura",IF(OR(AND(Q38&lt;&gt;"",OR(NOT(ISNUMBER(Q38)),Q38&lt;0)),AND(R38&lt;&gt;"",OR(NOT(ISNUMBER(R38)),R38&lt;0,R38&gt;1))),"Commissione non valida",IF(J38="Annullato","OK",IF(OR(NOT(ISNUMBER(Z38)),Z38&lt;0,AND(O38&lt;&gt;"",NOT(ISNUMBER(O38)))),"Inserisci rischio",IF(AND(I38="Esecuzioni",OR(W38=0,COUNTIFS('Esecuzioni'!$A$8:$A$1007,A38,'Esecuzioni'!$Q$8:$Q$1007,"&lt;&gt;OK")&gt;0)),"Correggi esecuzioni",IF(J38="Aperto","OK",IF(AND(I38="Esecuzioni",S38="Coperto",ABS(X38-Y38)&gt;'Impostazioni'!$B$11),"Copertura residua",IF(NOT(ISNUMBER(AC38)),"Completa risultato / esito",IF(AND(Z38=0,AC38&lt;&gt;0),"Rischio nullo con P/L","OK")))))))))))))</x:f>
      </x:c>
      <x:c r="AR38" s="20" t="str">
        <x:f>IF(OR(A38="",J38&lt;&gt;"Aperto",AQ38&lt;&gt;"OK"),"",IF(I38="Esecuzioni",SUMIFS('Esecuzioni'!$P$8:$P$1007,'Esecuzioni'!$A$8:$A$1007,A38,'Esecuzioni'!$B$8:$B$1007,_xlfn.MAXIFS('Esecuzioni'!$B$8:$B$1007,'Esecuzioni'!$A$8:$A$1007,A38)),IF(LEFT(U38,8)="FREEBET:",0,Z38)))</x:f>
      </x:c>
      <x:c r="AS38" s="48" t="str">
        <x:f>IF(OR(A38="",E38=""),"",IF(COUNTIFS($E$8:E38,E38)=1,COUNT($AS$7:AS37)+1,""))</x:f>
      </x:c>
    </x:row>
    <x:row r="39" ht="22" customHeight="1">
      <x:c r="A39" s="7"/>
      <x:c r="B39" s="19"/>
      <x:c r="C39" s="19"/>
      <x:c r="D39" s="7"/>
      <x:c r="E39" s="7"/>
      <x:c r="F39" s="7"/>
      <x:c r="G39" s="7"/>
      <x:c r="H39" s="7"/>
      <x:c r="I39" s="7"/>
      <x:c r="J39" s="7"/>
      <x:c r="K39" s="10"/>
      <x:c r="L39" s="7"/>
      <x:c r="M39" s="10"/>
      <x:c r="N39" s="7"/>
      <x:c r="O39" s="8"/>
      <x:c r="P39" s="8"/>
      <x:c r="Q39" s="8"/>
      <x:c r="R39" s="9"/>
      <x:c r="S39" s="7"/>
      <x:c r="T39" s="7"/>
      <x:c r="U39" s="7"/>
      <x:c r="V39" s="7"/>
      <x:c r="W39" s="22" t="str">
        <x:f>IF(A39="","",COUNTIFS('Esecuzioni'!$A$8:$A$1007,A39,'Esecuzioni'!$Q$8:$Q$1007,"OK"))</x:f>
      </x:c>
      <x:c r="X39" s="20" t="str">
        <x:f>IF(OR(A39="",I39&lt;&gt;"Esecuzioni",W39=0),"",SUMIFS('Esecuzioni'!$L$8:$L$1007,'Esecuzioni'!$A$8:$A$1007,A39))</x:f>
      </x:c>
      <x:c r="Y39" s="20" t="str">
        <x:f>IF(OR(A39="",I39&lt;&gt;"Esecuzioni",W39=0),"",SUMIFS('Esecuzioni'!$M$8:$M$1007,'Esecuzioni'!$A$8:$A$1007,A39))</x:f>
      </x:c>
      <x:c r="Z39" s="20" t="str">
        <x:f>IF(A39="","",IF(J39="Annullato",0,IF(ISNUMBER(O39),O39,IF(AND(I39="Esecuzioni",W39&gt;0),_xlfn.MAXIFS('Esecuzioni'!$P$8:$P$1007,'Esecuzioni'!$A$8:$A$1007,A39),""))))</x:f>
      </x:c>
      <x:c r="AA39" s="20" t="str">
        <x:f>IF(OR(A39="",J39="Aperto"),"",IF(J39="Annullato",0,IF(I39="Lordo manuale",IF(ISNUMBER(P39),P39,""),IF(I39="Netto manuale",IF(AND(ISNUMBER(P39),ISNUMBER(Q39)),P39+Q39,""),IF(OR(W39=0,COUNTIFS('Esecuzioni'!$A$8:$A$1007,A39,'Esecuzioni'!$Q$8:$Q$1007,"&lt;&gt;OK")&gt;0),"",IF(S39="Vince",X39,IF(S39="Perde",Y39,IF(AND(S39="Coperto",ABS(X39-Y39)&lt;='Impostazioni'!$B$11),ROUND((X39+Y39)/2,2),""))))))))</x:f>
      </x:c>
      <x:c r="AB39" s="20" t="str">
        <x:f>IF(NOT(ISNUMBER(AA39)),"",IF(J39="Annullato",0,IF(ISNUMBER(Q39),Q39,ROUND(MAX(0,AA39)*IF(ISNUMBER(R39),R39,'Impostazioni'!$B$8),2))))</x:f>
      </x:c>
      <x:c r="AC39" s="20" t="str">
        <x:f>IF(AND(ISNUMBER(AA39),ISNUMBER(AB39)),ROUND(AA39-AB39,2),"")</x:f>
      </x:c>
      <x:c r="AD39" s="18" t="str">
        <x:f>IF(A39="","",IF(AQ39&lt;&gt;"OK","Incompleto",IF(J39="Aperto","Aperto",IF(J39="Annullato","Annullato",IF(AC39&gt;0,"Green",IF(AC39&lt;0,"Red","Flat"))))))</x:f>
      </x:c>
      <x:c r="AE39" s="21" t="str">
        <x:f>IF(AND(AH39=1,Z39&gt;0),AC39/Z39,"")</x:f>
      </x:c>
      <x:c r="AF39" s="22" t="str">
        <x:f>IF(AH39&lt;&gt;1,"",COUNTIFS($C$8:$C$507,"&lt;"&amp;C39,$AH$8:$AH$507,1)+COUNTIFS($C$8:$C$507,C39,$A$8:$A$507,"&lt;="&amp;A39,$AH$8:$AH$507,1))</x:f>
      </x:c>
      <x:c r="AG39" s="20" t="str">
        <x:f>IF(AH39&lt;&gt;1,"",SUMIFS($AC$8:$AC$507,$C$8:$C$507,"&lt;"&amp;C39,$AH$8:$AH$507,1)+SUMIFS($AC$8:$AC$507,$C$8:$C$507,C39,$A$8:$A$507,"&lt;="&amp;A39,$AH$8:$AH$507,1))</x:f>
      </x:c>
      <x:c r="AH39" s="22" t="str">
        <x:f>IF(A39="","",IF(AND(J39="Chiuso",AQ39="OK",ISNUMBER(AC39)),1,0))</x:f>
      </x:c>
      <x:c r="AI39" s="20" t="str">
        <x:f>IF(AH39&lt;&gt;1,"",MAX(0,_xlfn.MAXIFS($AG$8:$AG$507,$AF$8:$AF$507,"&lt;="&amp;AF39,$AH$8:$AH$507,1)))</x:f>
      </x:c>
      <x:c r="AJ39" s="20" t="str">
        <x:f>IF(AH39&lt;&gt;1,"",MAX(0,AI39-AG39))</x:f>
      </x:c>
      <x:c r="AK39" s="21" t="str">
        <x:f>IF(OR(AH39&lt;&gt;1,NOT(ISNUMBER('Impostazioni'!$B$6)),'Impostazioni'!$B$6+AI39&lt;=0),"",AJ39/('Impostazioni'!$B$6+AI39))</x:f>
      </x:c>
      <x:c r="AL39" s="22" t="str">
        <x:f>IF(AH39&lt;&gt;1,"",IF(AC39&gt;0,AF39-_xlfn.MAXIFS($AF$8:$AF$507,$AF$8:$AF$507,"&lt;="&amp;AF39,$AC$8:$AC$507,"&lt;=0",$AH$8:$AH$507,1),0))</x:f>
      </x:c>
      <x:c r="AM39" s="22" t="str">
        <x:f>IF(AH39&lt;&gt;1,"",IF(AC39&lt;0,AF39-_xlfn.MAXIFS($AF$8:$AF$507,$AF$8:$AF$507,"&lt;="&amp;AF39,$AC$8:$AC$507,"&gt;=0",$AH$8:$AH$507,1),0))</x:f>
      </x:c>
      <x:c r="AN39" s="20" t="str">
        <x:f>IF(OR(A39="",NOT(ISNUMBER(B39)),NOT(ISNUMBER('Impostazioni'!$B$6))),"",'Impostazioni'!$B$6+SUMIFS($AC$8:$AC$507,$C$8:$C$507,"&lt;"&amp;B39,$AH$8:$AH$507,1)+SUMIFS('Cassa'!$F$8:$F$307,'Cassa'!$A$8:$A$307,"&lt;="&amp;B39,'Cassa'!$G$8:$G$307,"OK"))</x:f>
      </x:c>
      <x:c r="AO39" s="21" t="str">
        <x:f>IF(AND(ISNUMBER(Z39),ISNUMBER(AN39),AN39&gt;0),Z39/AN39,"")</x:f>
      </x:c>
      <x:c r="AP39" s="18" t="str">
        <x:f>IF(NOT(ISNUMBER(AO39)),"",IF(AO39&gt;'Impostazioni'!$B$7,"Oltre soglia personale","Nella soglia personale"))</x:f>
      </x:c>
      <x:c r="AQ39" s="18" t="str">
        <x:f>IF(A39="",IF(COUNTA(B39:V39)=0,"","Inserisci ID"),IF(COUNTIFS($A$8:$A$507,A39)&lt;&gt;1,"ID duplicato",IF(OR(NOT(ISNUMBER(B39)),D39="",E39="",F39="",G39="",H39="",COUNTIFS('Impostazioni'!$J$6:$J$25,F39)&lt;&gt;1),"Completa dati / elenchi",IF(OR(AND(I39&lt;&gt;"Lordo manuale",I39&lt;&gt;"Netto manuale",I39&lt;&gt;"Esecuzioni"),AND(J39&lt;&gt;"Aperto",J39&lt;&gt;"Chiuso",J39&lt;&gt;"Annullato")),"Modalità / stato mancanti",IF(AND(J39&lt;&gt;"Aperto",OR(NOT(ISNUMBER(C39)),C39&lt;B39)),"Correggi data chiusura",IF(OR(AND(Q39&lt;&gt;"",OR(NOT(ISNUMBER(Q39)),Q39&lt;0)),AND(R39&lt;&gt;"",OR(NOT(ISNUMBER(R39)),R39&lt;0,R39&gt;1))),"Commissione non valida",IF(J39="Annullato","OK",IF(OR(NOT(ISNUMBER(Z39)),Z39&lt;0,AND(O39&lt;&gt;"",NOT(ISNUMBER(O39)))),"Inserisci rischio",IF(AND(I39="Esecuzioni",OR(W39=0,COUNTIFS('Esecuzioni'!$A$8:$A$1007,A39,'Esecuzioni'!$Q$8:$Q$1007,"&lt;&gt;OK")&gt;0)),"Correggi esecuzioni",IF(J39="Aperto","OK",IF(AND(I39="Esecuzioni",S39="Coperto",ABS(X39-Y39)&gt;'Impostazioni'!$B$11),"Copertura residua",IF(NOT(ISNUMBER(AC39)),"Completa risultato / esito",IF(AND(Z39=0,AC39&lt;&gt;0),"Rischio nullo con P/L","OK")))))))))))))</x:f>
      </x:c>
      <x:c r="AR39" s="20" t="str">
        <x:f>IF(OR(A39="",J39&lt;&gt;"Aperto",AQ39&lt;&gt;"OK"),"",IF(I39="Esecuzioni",SUMIFS('Esecuzioni'!$P$8:$P$1007,'Esecuzioni'!$A$8:$A$1007,A39,'Esecuzioni'!$B$8:$B$1007,_xlfn.MAXIFS('Esecuzioni'!$B$8:$B$1007,'Esecuzioni'!$A$8:$A$1007,A39)),IF(LEFT(U39,8)="FREEBET:",0,Z39)))</x:f>
      </x:c>
      <x:c r="AS39" s="48" t="str">
        <x:f>IF(OR(A39="",E39=""),"",IF(COUNTIFS($E$8:E39,E39)=1,COUNT($AS$7:AS38)+1,""))</x:f>
      </x:c>
    </x:row>
    <x:row r="40" ht="22" customHeight="1">
      <x:c r="A40" s="7"/>
      <x:c r="B40" s="19"/>
      <x:c r="C40" s="19"/>
      <x:c r="D40" s="7"/>
      <x:c r="E40" s="7"/>
      <x:c r="F40" s="7"/>
      <x:c r="G40" s="7"/>
      <x:c r="H40" s="7"/>
      <x:c r="I40" s="7"/>
      <x:c r="J40" s="7"/>
      <x:c r="K40" s="10"/>
      <x:c r="L40" s="7"/>
      <x:c r="M40" s="10"/>
      <x:c r="N40" s="7"/>
      <x:c r="O40" s="8"/>
      <x:c r="P40" s="8"/>
      <x:c r="Q40" s="8"/>
      <x:c r="R40" s="9"/>
      <x:c r="S40" s="7"/>
      <x:c r="T40" s="7"/>
      <x:c r="U40" s="7"/>
      <x:c r="V40" s="7"/>
      <x:c r="W40" s="22" t="str">
        <x:f>IF(A40="","",COUNTIFS('Esecuzioni'!$A$8:$A$1007,A40,'Esecuzioni'!$Q$8:$Q$1007,"OK"))</x:f>
      </x:c>
      <x:c r="X40" s="20" t="str">
        <x:f>IF(OR(A40="",I40&lt;&gt;"Esecuzioni",W40=0),"",SUMIFS('Esecuzioni'!$L$8:$L$1007,'Esecuzioni'!$A$8:$A$1007,A40))</x:f>
      </x:c>
      <x:c r="Y40" s="20" t="str">
        <x:f>IF(OR(A40="",I40&lt;&gt;"Esecuzioni",W40=0),"",SUMIFS('Esecuzioni'!$M$8:$M$1007,'Esecuzioni'!$A$8:$A$1007,A40))</x:f>
      </x:c>
      <x:c r="Z40" s="20" t="str">
        <x:f>IF(A40="","",IF(J40="Annullato",0,IF(ISNUMBER(O40),O40,IF(AND(I40="Esecuzioni",W40&gt;0),_xlfn.MAXIFS('Esecuzioni'!$P$8:$P$1007,'Esecuzioni'!$A$8:$A$1007,A40),""))))</x:f>
      </x:c>
      <x:c r="AA40" s="20" t="str">
        <x:f>IF(OR(A40="",J40="Aperto"),"",IF(J40="Annullato",0,IF(I40="Lordo manuale",IF(ISNUMBER(P40),P40,""),IF(I40="Netto manuale",IF(AND(ISNUMBER(P40),ISNUMBER(Q40)),P40+Q40,""),IF(OR(W40=0,COUNTIFS('Esecuzioni'!$A$8:$A$1007,A40,'Esecuzioni'!$Q$8:$Q$1007,"&lt;&gt;OK")&gt;0),"",IF(S40="Vince",X40,IF(S40="Perde",Y40,IF(AND(S40="Coperto",ABS(X40-Y40)&lt;='Impostazioni'!$B$11),ROUND((X40+Y40)/2,2),""))))))))</x:f>
      </x:c>
      <x:c r="AB40" s="20" t="str">
        <x:f>IF(NOT(ISNUMBER(AA40)),"",IF(J40="Annullato",0,IF(ISNUMBER(Q40),Q40,ROUND(MAX(0,AA40)*IF(ISNUMBER(R40),R40,'Impostazioni'!$B$8),2))))</x:f>
      </x:c>
      <x:c r="AC40" s="20" t="str">
        <x:f>IF(AND(ISNUMBER(AA40),ISNUMBER(AB40)),ROUND(AA40-AB40,2),"")</x:f>
      </x:c>
      <x:c r="AD40" s="18" t="str">
        <x:f>IF(A40="","",IF(AQ40&lt;&gt;"OK","Incompleto",IF(J40="Aperto","Aperto",IF(J40="Annullato","Annullato",IF(AC40&gt;0,"Green",IF(AC40&lt;0,"Red","Flat"))))))</x:f>
      </x:c>
      <x:c r="AE40" s="21" t="str">
        <x:f>IF(AND(AH40=1,Z40&gt;0),AC40/Z40,"")</x:f>
      </x:c>
      <x:c r="AF40" s="22" t="str">
        <x:f>IF(AH40&lt;&gt;1,"",COUNTIFS($C$8:$C$507,"&lt;"&amp;C40,$AH$8:$AH$507,1)+COUNTIFS($C$8:$C$507,C40,$A$8:$A$507,"&lt;="&amp;A40,$AH$8:$AH$507,1))</x:f>
      </x:c>
      <x:c r="AG40" s="20" t="str">
        <x:f>IF(AH40&lt;&gt;1,"",SUMIFS($AC$8:$AC$507,$C$8:$C$507,"&lt;"&amp;C40,$AH$8:$AH$507,1)+SUMIFS($AC$8:$AC$507,$C$8:$C$507,C40,$A$8:$A$507,"&lt;="&amp;A40,$AH$8:$AH$507,1))</x:f>
      </x:c>
      <x:c r="AH40" s="22" t="str">
        <x:f>IF(A40="","",IF(AND(J40="Chiuso",AQ40="OK",ISNUMBER(AC40)),1,0))</x:f>
      </x:c>
      <x:c r="AI40" s="20" t="str">
        <x:f>IF(AH40&lt;&gt;1,"",MAX(0,_xlfn.MAXIFS($AG$8:$AG$507,$AF$8:$AF$507,"&lt;="&amp;AF40,$AH$8:$AH$507,1)))</x:f>
      </x:c>
      <x:c r="AJ40" s="20" t="str">
        <x:f>IF(AH40&lt;&gt;1,"",MAX(0,AI40-AG40))</x:f>
      </x:c>
      <x:c r="AK40" s="21" t="str">
        <x:f>IF(OR(AH40&lt;&gt;1,NOT(ISNUMBER('Impostazioni'!$B$6)),'Impostazioni'!$B$6+AI40&lt;=0),"",AJ40/('Impostazioni'!$B$6+AI40))</x:f>
      </x:c>
      <x:c r="AL40" s="22" t="str">
        <x:f>IF(AH40&lt;&gt;1,"",IF(AC40&gt;0,AF40-_xlfn.MAXIFS($AF$8:$AF$507,$AF$8:$AF$507,"&lt;="&amp;AF40,$AC$8:$AC$507,"&lt;=0",$AH$8:$AH$507,1),0))</x:f>
      </x:c>
      <x:c r="AM40" s="22" t="str">
        <x:f>IF(AH40&lt;&gt;1,"",IF(AC40&lt;0,AF40-_xlfn.MAXIFS($AF$8:$AF$507,$AF$8:$AF$507,"&lt;="&amp;AF40,$AC$8:$AC$507,"&gt;=0",$AH$8:$AH$507,1),0))</x:f>
      </x:c>
      <x:c r="AN40" s="20" t="str">
        <x:f>IF(OR(A40="",NOT(ISNUMBER(B40)),NOT(ISNUMBER('Impostazioni'!$B$6))),"",'Impostazioni'!$B$6+SUMIFS($AC$8:$AC$507,$C$8:$C$507,"&lt;"&amp;B40,$AH$8:$AH$507,1)+SUMIFS('Cassa'!$F$8:$F$307,'Cassa'!$A$8:$A$307,"&lt;="&amp;B40,'Cassa'!$G$8:$G$307,"OK"))</x:f>
      </x:c>
      <x:c r="AO40" s="21" t="str">
        <x:f>IF(AND(ISNUMBER(Z40),ISNUMBER(AN40),AN40&gt;0),Z40/AN40,"")</x:f>
      </x:c>
      <x:c r="AP40" s="18" t="str">
        <x:f>IF(NOT(ISNUMBER(AO40)),"",IF(AO40&gt;'Impostazioni'!$B$7,"Oltre soglia personale","Nella soglia personale"))</x:f>
      </x:c>
      <x:c r="AQ40" s="18" t="str">
        <x:f>IF(A40="",IF(COUNTA(B40:V40)=0,"","Inserisci ID"),IF(COUNTIFS($A$8:$A$507,A40)&lt;&gt;1,"ID duplicato",IF(OR(NOT(ISNUMBER(B40)),D40="",E40="",F40="",G40="",H40="",COUNTIFS('Impostazioni'!$J$6:$J$25,F40)&lt;&gt;1),"Completa dati / elenchi",IF(OR(AND(I40&lt;&gt;"Lordo manuale",I40&lt;&gt;"Netto manuale",I40&lt;&gt;"Esecuzioni"),AND(J40&lt;&gt;"Aperto",J40&lt;&gt;"Chiuso",J40&lt;&gt;"Annullato")),"Modalità / stato mancanti",IF(AND(J40&lt;&gt;"Aperto",OR(NOT(ISNUMBER(C40)),C40&lt;B40)),"Correggi data chiusura",IF(OR(AND(Q40&lt;&gt;"",OR(NOT(ISNUMBER(Q40)),Q40&lt;0)),AND(R40&lt;&gt;"",OR(NOT(ISNUMBER(R40)),R40&lt;0,R40&gt;1))),"Commissione non valida",IF(J40="Annullato","OK",IF(OR(NOT(ISNUMBER(Z40)),Z40&lt;0,AND(O40&lt;&gt;"",NOT(ISNUMBER(O40)))),"Inserisci rischio",IF(AND(I40="Esecuzioni",OR(W40=0,COUNTIFS('Esecuzioni'!$A$8:$A$1007,A40,'Esecuzioni'!$Q$8:$Q$1007,"&lt;&gt;OK")&gt;0)),"Correggi esecuzioni",IF(J40="Aperto","OK",IF(AND(I40="Esecuzioni",S40="Coperto",ABS(X40-Y40)&gt;'Impostazioni'!$B$11),"Copertura residua",IF(NOT(ISNUMBER(AC40)),"Completa risultato / esito",IF(AND(Z40=0,AC40&lt;&gt;0),"Rischio nullo con P/L","OK")))))))))))))</x:f>
      </x:c>
      <x:c r="AR40" s="20" t="str">
        <x:f>IF(OR(A40="",J40&lt;&gt;"Aperto",AQ40&lt;&gt;"OK"),"",IF(I40="Esecuzioni",SUMIFS('Esecuzioni'!$P$8:$P$1007,'Esecuzioni'!$A$8:$A$1007,A40,'Esecuzioni'!$B$8:$B$1007,_xlfn.MAXIFS('Esecuzioni'!$B$8:$B$1007,'Esecuzioni'!$A$8:$A$1007,A40)),IF(LEFT(U40,8)="FREEBET:",0,Z40)))</x:f>
      </x:c>
      <x:c r="AS40" s="48" t="str">
        <x:f>IF(OR(A40="",E40=""),"",IF(COUNTIFS($E$8:E40,E40)=1,COUNT($AS$7:AS39)+1,""))</x:f>
      </x:c>
    </x:row>
    <x:row r="41" ht="22" customHeight="1">
      <x:c r="A41" s="7"/>
      <x:c r="B41" s="19"/>
      <x:c r="C41" s="19"/>
      <x:c r="D41" s="7"/>
      <x:c r="E41" s="7"/>
      <x:c r="F41" s="7"/>
      <x:c r="G41" s="7"/>
      <x:c r="H41" s="7"/>
      <x:c r="I41" s="7"/>
      <x:c r="J41" s="7"/>
      <x:c r="K41" s="10"/>
      <x:c r="L41" s="7"/>
      <x:c r="M41" s="10"/>
      <x:c r="N41" s="7"/>
      <x:c r="O41" s="8"/>
      <x:c r="P41" s="8"/>
      <x:c r="Q41" s="8"/>
      <x:c r="R41" s="9"/>
      <x:c r="S41" s="7"/>
      <x:c r="T41" s="7"/>
      <x:c r="U41" s="7"/>
      <x:c r="V41" s="7"/>
      <x:c r="W41" s="22" t="str">
        <x:f>IF(A41="","",COUNTIFS('Esecuzioni'!$A$8:$A$1007,A41,'Esecuzioni'!$Q$8:$Q$1007,"OK"))</x:f>
      </x:c>
      <x:c r="X41" s="20" t="str">
        <x:f>IF(OR(A41="",I41&lt;&gt;"Esecuzioni",W41=0),"",SUMIFS('Esecuzioni'!$L$8:$L$1007,'Esecuzioni'!$A$8:$A$1007,A41))</x:f>
      </x:c>
      <x:c r="Y41" s="20" t="str">
        <x:f>IF(OR(A41="",I41&lt;&gt;"Esecuzioni",W41=0),"",SUMIFS('Esecuzioni'!$M$8:$M$1007,'Esecuzioni'!$A$8:$A$1007,A41))</x:f>
      </x:c>
      <x:c r="Z41" s="20" t="str">
        <x:f>IF(A41="","",IF(J41="Annullato",0,IF(ISNUMBER(O41),O41,IF(AND(I41="Esecuzioni",W41&gt;0),_xlfn.MAXIFS('Esecuzioni'!$P$8:$P$1007,'Esecuzioni'!$A$8:$A$1007,A41),""))))</x:f>
      </x:c>
      <x:c r="AA41" s="20" t="str">
        <x:f>IF(OR(A41="",J41="Aperto"),"",IF(J41="Annullato",0,IF(I41="Lordo manuale",IF(ISNUMBER(P41),P41,""),IF(I41="Netto manuale",IF(AND(ISNUMBER(P41),ISNUMBER(Q41)),P41+Q41,""),IF(OR(W41=0,COUNTIFS('Esecuzioni'!$A$8:$A$1007,A41,'Esecuzioni'!$Q$8:$Q$1007,"&lt;&gt;OK")&gt;0),"",IF(S41="Vince",X41,IF(S41="Perde",Y41,IF(AND(S41="Coperto",ABS(X41-Y41)&lt;='Impostazioni'!$B$11),ROUND((X41+Y41)/2,2),""))))))))</x:f>
      </x:c>
      <x:c r="AB41" s="20" t="str">
        <x:f>IF(NOT(ISNUMBER(AA41)),"",IF(J41="Annullato",0,IF(ISNUMBER(Q41),Q41,ROUND(MAX(0,AA41)*IF(ISNUMBER(R41),R41,'Impostazioni'!$B$8),2))))</x:f>
      </x:c>
      <x:c r="AC41" s="20" t="str">
        <x:f>IF(AND(ISNUMBER(AA41),ISNUMBER(AB41)),ROUND(AA41-AB41,2),"")</x:f>
      </x:c>
      <x:c r="AD41" s="18" t="str">
        <x:f>IF(A41="","",IF(AQ41&lt;&gt;"OK","Incompleto",IF(J41="Aperto","Aperto",IF(J41="Annullato","Annullato",IF(AC41&gt;0,"Green",IF(AC41&lt;0,"Red","Flat"))))))</x:f>
      </x:c>
      <x:c r="AE41" s="21" t="str">
        <x:f>IF(AND(AH41=1,Z41&gt;0),AC41/Z41,"")</x:f>
      </x:c>
      <x:c r="AF41" s="22" t="str">
        <x:f>IF(AH41&lt;&gt;1,"",COUNTIFS($C$8:$C$507,"&lt;"&amp;C41,$AH$8:$AH$507,1)+COUNTIFS($C$8:$C$507,C41,$A$8:$A$507,"&lt;="&amp;A41,$AH$8:$AH$507,1))</x:f>
      </x:c>
      <x:c r="AG41" s="20" t="str">
        <x:f>IF(AH41&lt;&gt;1,"",SUMIFS($AC$8:$AC$507,$C$8:$C$507,"&lt;"&amp;C41,$AH$8:$AH$507,1)+SUMIFS($AC$8:$AC$507,$C$8:$C$507,C41,$A$8:$A$507,"&lt;="&amp;A41,$AH$8:$AH$507,1))</x:f>
      </x:c>
      <x:c r="AH41" s="22" t="str">
        <x:f>IF(A41="","",IF(AND(J41="Chiuso",AQ41="OK",ISNUMBER(AC41)),1,0))</x:f>
      </x:c>
      <x:c r="AI41" s="20" t="str">
        <x:f>IF(AH41&lt;&gt;1,"",MAX(0,_xlfn.MAXIFS($AG$8:$AG$507,$AF$8:$AF$507,"&lt;="&amp;AF41,$AH$8:$AH$507,1)))</x:f>
      </x:c>
      <x:c r="AJ41" s="20" t="str">
        <x:f>IF(AH41&lt;&gt;1,"",MAX(0,AI41-AG41))</x:f>
      </x:c>
      <x:c r="AK41" s="21" t="str">
        <x:f>IF(OR(AH41&lt;&gt;1,NOT(ISNUMBER('Impostazioni'!$B$6)),'Impostazioni'!$B$6+AI41&lt;=0),"",AJ41/('Impostazioni'!$B$6+AI41))</x:f>
      </x:c>
      <x:c r="AL41" s="22" t="str">
        <x:f>IF(AH41&lt;&gt;1,"",IF(AC41&gt;0,AF41-_xlfn.MAXIFS($AF$8:$AF$507,$AF$8:$AF$507,"&lt;="&amp;AF41,$AC$8:$AC$507,"&lt;=0",$AH$8:$AH$507,1),0))</x:f>
      </x:c>
      <x:c r="AM41" s="22" t="str">
        <x:f>IF(AH41&lt;&gt;1,"",IF(AC41&lt;0,AF41-_xlfn.MAXIFS($AF$8:$AF$507,$AF$8:$AF$507,"&lt;="&amp;AF41,$AC$8:$AC$507,"&gt;=0",$AH$8:$AH$507,1),0))</x:f>
      </x:c>
      <x:c r="AN41" s="20" t="str">
        <x:f>IF(OR(A41="",NOT(ISNUMBER(B41)),NOT(ISNUMBER('Impostazioni'!$B$6))),"",'Impostazioni'!$B$6+SUMIFS($AC$8:$AC$507,$C$8:$C$507,"&lt;"&amp;B41,$AH$8:$AH$507,1)+SUMIFS('Cassa'!$F$8:$F$307,'Cassa'!$A$8:$A$307,"&lt;="&amp;B41,'Cassa'!$G$8:$G$307,"OK"))</x:f>
      </x:c>
      <x:c r="AO41" s="21" t="str">
        <x:f>IF(AND(ISNUMBER(Z41),ISNUMBER(AN41),AN41&gt;0),Z41/AN41,"")</x:f>
      </x:c>
      <x:c r="AP41" s="18" t="str">
        <x:f>IF(NOT(ISNUMBER(AO41)),"",IF(AO41&gt;'Impostazioni'!$B$7,"Oltre soglia personale","Nella soglia personale"))</x:f>
      </x:c>
      <x:c r="AQ41" s="18" t="str">
        <x:f>IF(A41="",IF(COUNTA(B41:V41)=0,"","Inserisci ID"),IF(COUNTIFS($A$8:$A$507,A41)&lt;&gt;1,"ID duplicato",IF(OR(NOT(ISNUMBER(B41)),D41="",E41="",F41="",G41="",H41="",COUNTIFS('Impostazioni'!$J$6:$J$25,F41)&lt;&gt;1),"Completa dati / elenchi",IF(OR(AND(I41&lt;&gt;"Lordo manuale",I41&lt;&gt;"Netto manuale",I41&lt;&gt;"Esecuzioni"),AND(J41&lt;&gt;"Aperto",J41&lt;&gt;"Chiuso",J41&lt;&gt;"Annullato")),"Modalità / stato mancanti",IF(AND(J41&lt;&gt;"Aperto",OR(NOT(ISNUMBER(C41)),C41&lt;B41)),"Correggi data chiusura",IF(OR(AND(Q41&lt;&gt;"",OR(NOT(ISNUMBER(Q41)),Q41&lt;0)),AND(R41&lt;&gt;"",OR(NOT(ISNUMBER(R41)),R41&lt;0,R41&gt;1))),"Commissione non valida",IF(J41="Annullato","OK",IF(OR(NOT(ISNUMBER(Z41)),Z41&lt;0,AND(O41&lt;&gt;"",NOT(ISNUMBER(O41)))),"Inserisci rischio",IF(AND(I41="Esecuzioni",OR(W41=0,COUNTIFS('Esecuzioni'!$A$8:$A$1007,A41,'Esecuzioni'!$Q$8:$Q$1007,"&lt;&gt;OK")&gt;0)),"Correggi esecuzioni",IF(J41="Aperto","OK",IF(AND(I41="Esecuzioni",S41="Coperto",ABS(X41-Y41)&gt;'Impostazioni'!$B$11),"Copertura residua",IF(NOT(ISNUMBER(AC41)),"Completa risultato / esito",IF(AND(Z41=0,AC41&lt;&gt;0),"Rischio nullo con P/L","OK")))))))))))))</x:f>
      </x:c>
      <x:c r="AR41" s="20" t="str">
        <x:f>IF(OR(A41="",J41&lt;&gt;"Aperto",AQ41&lt;&gt;"OK"),"",IF(I41="Esecuzioni",SUMIFS('Esecuzioni'!$P$8:$P$1007,'Esecuzioni'!$A$8:$A$1007,A41,'Esecuzioni'!$B$8:$B$1007,_xlfn.MAXIFS('Esecuzioni'!$B$8:$B$1007,'Esecuzioni'!$A$8:$A$1007,A41)),IF(LEFT(U41,8)="FREEBET:",0,Z41)))</x:f>
      </x:c>
      <x:c r="AS41" s="48" t="str">
        <x:f>IF(OR(A41="",E41=""),"",IF(COUNTIFS($E$8:E41,E41)=1,COUNT($AS$7:AS40)+1,""))</x:f>
      </x:c>
    </x:row>
    <x:row r="42" ht="22" customHeight="1">
      <x:c r="A42" s="7"/>
      <x:c r="B42" s="19"/>
      <x:c r="C42" s="19"/>
      <x:c r="D42" s="7"/>
      <x:c r="E42" s="7"/>
      <x:c r="F42" s="7"/>
      <x:c r="G42" s="7"/>
      <x:c r="H42" s="7"/>
      <x:c r="I42" s="7"/>
      <x:c r="J42" s="7"/>
      <x:c r="K42" s="10"/>
      <x:c r="L42" s="7"/>
      <x:c r="M42" s="10"/>
      <x:c r="N42" s="7"/>
      <x:c r="O42" s="8"/>
      <x:c r="P42" s="8"/>
      <x:c r="Q42" s="8"/>
      <x:c r="R42" s="9"/>
      <x:c r="S42" s="7"/>
      <x:c r="T42" s="7"/>
      <x:c r="U42" s="7"/>
      <x:c r="V42" s="7"/>
      <x:c r="W42" s="22" t="str">
        <x:f>IF(A42="","",COUNTIFS('Esecuzioni'!$A$8:$A$1007,A42,'Esecuzioni'!$Q$8:$Q$1007,"OK"))</x:f>
      </x:c>
      <x:c r="X42" s="20" t="str">
        <x:f>IF(OR(A42="",I42&lt;&gt;"Esecuzioni",W42=0),"",SUMIFS('Esecuzioni'!$L$8:$L$1007,'Esecuzioni'!$A$8:$A$1007,A42))</x:f>
      </x:c>
      <x:c r="Y42" s="20" t="str">
        <x:f>IF(OR(A42="",I42&lt;&gt;"Esecuzioni",W42=0),"",SUMIFS('Esecuzioni'!$M$8:$M$1007,'Esecuzioni'!$A$8:$A$1007,A42))</x:f>
      </x:c>
      <x:c r="Z42" s="20" t="str">
        <x:f>IF(A42="","",IF(J42="Annullato",0,IF(ISNUMBER(O42),O42,IF(AND(I42="Esecuzioni",W42&gt;0),_xlfn.MAXIFS('Esecuzioni'!$P$8:$P$1007,'Esecuzioni'!$A$8:$A$1007,A42),""))))</x:f>
      </x:c>
      <x:c r="AA42" s="20" t="str">
        <x:f>IF(OR(A42="",J42="Aperto"),"",IF(J42="Annullato",0,IF(I42="Lordo manuale",IF(ISNUMBER(P42),P42,""),IF(I42="Netto manuale",IF(AND(ISNUMBER(P42),ISNUMBER(Q42)),P42+Q42,""),IF(OR(W42=0,COUNTIFS('Esecuzioni'!$A$8:$A$1007,A42,'Esecuzioni'!$Q$8:$Q$1007,"&lt;&gt;OK")&gt;0),"",IF(S42="Vince",X42,IF(S42="Perde",Y42,IF(AND(S42="Coperto",ABS(X42-Y42)&lt;='Impostazioni'!$B$11),ROUND((X42+Y42)/2,2),""))))))))</x:f>
      </x:c>
      <x:c r="AB42" s="20" t="str">
        <x:f>IF(NOT(ISNUMBER(AA42)),"",IF(J42="Annullato",0,IF(ISNUMBER(Q42),Q42,ROUND(MAX(0,AA42)*IF(ISNUMBER(R42),R42,'Impostazioni'!$B$8),2))))</x:f>
      </x:c>
      <x:c r="AC42" s="20" t="str">
        <x:f>IF(AND(ISNUMBER(AA42),ISNUMBER(AB42)),ROUND(AA42-AB42,2),"")</x:f>
      </x:c>
      <x:c r="AD42" s="18" t="str">
        <x:f>IF(A42="","",IF(AQ42&lt;&gt;"OK","Incompleto",IF(J42="Aperto","Aperto",IF(J42="Annullato","Annullato",IF(AC42&gt;0,"Green",IF(AC42&lt;0,"Red","Flat"))))))</x:f>
      </x:c>
      <x:c r="AE42" s="21" t="str">
        <x:f>IF(AND(AH42=1,Z42&gt;0),AC42/Z42,"")</x:f>
      </x:c>
      <x:c r="AF42" s="22" t="str">
        <x:f>IF(AH42&lt;&gt;1,"",COUNTIFS($C$8:$C$507,"&lt;"&amp;C42,$AH$8:$AH$507,1)+COUNTIFS($C$8:$C$507,C42,$A$8:$A$507,"&lt;="&amp;A42,$AH$8:$AH$507,1))</x:f>
      </x:c>
      <x:c r="AG42" s="20" t="str">
        <x:f>IF(AH42&lt;&gt;1,"",SUMIFS($AC$8:$AC$507,$C$8:$C$507,"&lt;"&amp;C42,$AH$8:$AH$507,1)+SUMIFS($AC$8:$AC$507,$C$8:$C$507,C42,$A$8:$A$507,"&lt;="&amp;A42,$AH$8:$AH$507,1))</x:f>
      </x:c>
      <x:c r="AH42" s="22" t="str">
        <x:f>IF(A42="","",IF(AND(J42="Chiuso",AQ42="OK",ISNUMBER(AC42)),1,0))</x:f>
      </x:c>
      <x:c r="AI42" s="20" t="str">
        <x:f>IF(AH42&lt;&gt;1,"",MAX(0,_xlfn.MAXIFS($AG$8:$AG$507,$AF$8:$AF$507,"&lt;="&amp;AF42,$AH$8:$AH$507,1)))</x:f>
      </x:c>
      <x:c r="AJ42" s="20" t="str">
        <x:f>IF(AH42&lt;&gt;1,"",MAX(0,AI42-AG42))</x:f>
      </x:c>
      <x:c r="AK42" s="21" t="str">
        <x:f>IF(OR(AH42&lt;&gt;1,NOT(ISNUMBER('Impostazioni'!$B$6)),'Impostazioni'!$B$6+AI42&lt;=0),"",AJ42/('Impostazioni'!$B$6+AI42))</x:f>
      </x:c>
      <x:c r="AL42" s="22" t="str">
        <x:f>IF(AH42&lt;&gt;1,"",IF(AC42&gt;0,AF42-_xlfn.MAXIFS($AF$8:$AF$507,$AF$8:$AF$507,"&lt;="&amp;AF42,$AC$8:$AC$507,"&lt;=0",$AH$8:$AH$507,1),0))</x:f>
      </x:c>
      <x:c r="AM42" s="22" t="str">
        <x:f>IF(AH42&lt;&gt;1,"",IF(AC42&lt;0,AF42-_xlfn.MAXIFS($AF$8:$AF$507,$AF$8:$AF$507,"&lt;="&amp;AF42,$AC$8:$AC$507,"&gt;=0",$AH$8:$AH$507,1),0))</x:f>
      </x:c>
      <x:c r="AN42" s="20" t="str">
        <x:f>IF(OR(A42="",NOT(ISNUMBER(B42)),NOT(ISNUMBER('Impostazioni'!$B$6))),"",'Impostazioni'!$B$6+SUMIFS($AC$8:$AC$507,$C$8:$C$507,"&lt;"&amp;B42,$AH$8:$AH$507,1)+SUMIFS('Cassa'!$F$8:$F$307,'Cassa'!$A$8:$A$307,"&lt;="&amp;B42,'Cassa'!$G$8:$G$307,"OK"))</x:f>
      </x:c>
      <x:c r="AO42" s="21" t="str">
        <x:f>IF(AND(ISNUMBER(Z42),ISNUMBER(AN42),AN42&gt;0),Z42/AN42,"")</x:f>
      </x:c>
      <x:c r="AP42" s="18" t="str">
        <x:f>IF(NOT(ISNUMBER(AO42)),"",IF(AO42&gt;'Impostazioni'!$B$7,"Oltre soglia personale","Nella soglia personale"))</x:f>
      </x:c>
      <x:c r="AQ42" s="18" t="str">
        <x:f>IF(A42="",IF(COUNTA(B42:V42)=0,"","Inserisci ID"),IF(COUNTIFS($A$8:$A$507,A42)&lt;&gt;1,"ID duplicato",IF(OR(NOT(ISNUMBER(B42)),D42="",E42="",F42="",G42="",H42="",COUNTIFS('Impostazioni'!$J$6:$J$25,F42)&lt;&gt;1),"Completa dati / elenchi",IF(OR(AND(I42&lt;&gt;"Lordo manuale",I42&lt;&gt;"Netto manuale",I42&lt;&gt;"Esecuzioni"),AND(J42&lt;&gt;"Aperto",J42&lt;&gt;"Chiuso",J42&lt;&gt;"Annullato")),"Modalità / stato mancanti",IF(AND(J42&lt;&gt;"Aperto",OR(NOT(ISNUMBER(C42)),C42&lt;B42)),"Correggi data chiusura",IF(OR(AND(Q42&lt;&gt;"",OR(NOT(ISNUMBER(Q42)),Q42&lt;0)),AND(R42&lt;&gt;"",OR(NOT(ISNUMBER(R42)),R42&lt;0,R42&gt;1))),"Commissione non valida",IF(J42="Annullato","OK",IF(OR(NOT(ISNUMBER(Z42)),Z42&lt;0,AND(O42&lt;&gt;"",NOT(ISNUMBER(O42)))),"Inserisci rischio",IF(AND(I42="Esecuzioni",OR(W42=0,COUNTIFS('Esecuzioni'!$A$8:$A$1007,A42,'Esecuzioni'!$Q$8:$Q$1007,"&lt;&gt;OK")&gt;0)),"Correggi esecuzioni",IF(J42="Aperto","OK",IF(AND(I42="Esecuzioni",S42="Coperto",ABS(X42-Y42)&gt;'Impostazioni'!$B$11),"Copertura residua",IF(NOT(ISNUMBER(AC42)),"Completa risultato / esito",IF(AND(Z42=0,AC42&lt;&gt;0),"Rischio nullo con P/L","OK")))))))))))))</x:f>
      </x:c>
      <x:c r="AR42" s="20" t="str">
        <x:f>IF(OR(A42="",J42&lt;&gt;"Aperto",AQ42&lt;&gt;"OK"),"",IF(I42="Esecuzioni",SUMIFS('Esecuzioni'!$P$8:$P$1007,'Esecuzioni'!$A$8:$A$1007,A42,'Esecuzioni'!$B$8:$B$1007,_xlfn.MAXIFS('Esecuzioni'!$B$8:$B$1007,'Esecuzioni'!$A$8:$A$1007,A42)),IF(LEFT(U42,8)="FREEBET:",0,Z42)))</x:f>
      </x:c>
      <x:c r="AS42" s="48" t="str">
        <x:f>IF(OR(A42="",E42=""),"",IF(COUNTIFS($E$8:E42,E42)=1,COUNT($AS$7:AS41)+1,""))</x:f>
      </x:c>
    </x:row>
    <x:row r="43" ht="22" customHeight="1">
      <x:c r="A43" s="7"/>
      <x:c r="B43" s="19"/>
      <x:c r="C43" s="19"/>
      <x:c r="D43" s="7"/>
      <x:c r="E43" s="7"/>
      <x:c r="F43" s="7"/>
      <x:c r="G43" s="7"/>
      <x:c r="H43" s="7"/>
      <x:c r="I43" s="7"/>
      <x:c r="J43" s="7"/>
      <x:c r="K43" s="10"/>
      <x:c r="L43" s="7"/>
      <x:c r="M43" s="10"/>
      <x:c r="N43" s="7"/>
      <x:c r="O43" s="8"/>
      <x:c r="P43" s="8"/>
      <x:c r="Q43" s="8"/>
      <x:c r="R43" s="9"/>
      <x:c r="S43" s="7"/>
      <x:c r="T43" s="7"/>
      <x:c r="U43" s="7"/>
      <x:c r="V43" s="7"/>
      <x:c r="W43" s="22" t="str">
        <x:f>IF(A43="","",COUNTIFS('Esecuzioni'!$A$8:$A$1007,A43,'Esecuzioni'!$Q$8:$Q$1007,"OK"))</x:f>
      </x:c>
      <x:c r="X43" s="20" t="str">
        <x:f>IF(OR(A43="",I43&lt;&gt;"Esecuzioni",W43=0),"",SUMIFS('Esecuzioni'!$L$8:$L$1007,'Esecuzioni'!$A$8:$A$1007,A43))</x:f>
      </x:c>
      <x:c r="Y43" s="20" t="str">
        <x:f>IF(OR(A43="",I43&lt;&gt;"Esecuzioni",W43=0),"",SUMIFS('Esecuzioni'!$M$8:$M$1007,'Esecuzioni'!$A$8:$A$1007,A43))</x:f>
      </x:c>
      <x:c r="Z43" s="20" t="str">
        <x:f>IF(A43="","",IF(J43="Annullato",0,IF(ISNUMBER(O43),O43,IF(AND(I43="Esecuzioni",W43&gt;0),_xlfn.MAXIFS('Esecuzioni'!$P$8:$P$1007,'Esecuzioni'!$A$8:$A$1007,A43),""))))</x:f>
      </x:c>
      <x:c r="AA43" s="20" t="str">
        <x:f>IF(OR(A43="",J43="Aperto"),"",IF(J43="Annullato",0,IF(I43="Lordo manuale",IF(ISNUMBER(P43),P43,""),IF(I43="Netto manuale",IF(AND(ISNUMBER(P43),ISNUMBER(Q43)),P43+Q43,""),IF(OR(W43=0,COUNTIFS('Esecuzioni'!$A$8:$A$1007,A43,'Esecuzioni'!$Q$8:$Q$1007,"&lt;&gt;OK")&gt;0),"",IF(S43="Vince",X43,IF(S43="Perde",Y43,IF(AND(S43="Coperto",ABS(X43-Y43)&lt;='Impostazioni'!$B$11),ROUND((X43+Y43)/2,2),""))))))))</x:f>
      </x:c>
      <x:c r="AB43" s="20" t="str">
        <x:f>IF(NOT(ISNUMBER(AA43)),"",IF(J43="Annullato",0,IF(ISNUMBER(Q43),Q43,ROUND(MAX(0,AA43)*IF(ISNUMBER(R43),R43,'Impostazioni'!$B$8),2))))</x:f>
      </x:c>
      <x:c r="AC43" s="20" t="str">
        <x:f>IF(AND(ISNUMBER(AA43),ISNUMBER(AB43)),ROUND(AA43-AB43,2),"")</x:f>
      </x:c>
      <x:c r="AD43" s="18" t="str">
        <x:f>IF(A43="","",IF(AQ43&lt;&gt;"OK","Incompleto",IF(J43="Aperto","Aperto",IF(J43="Annullato","Annullato",IF(AC43&gt;0,"Green",IF(AC43&lt;0,"Red","Flat"))))))</x:f>
      </x:c>
      <x:c r="AE43" s="21" t="str">
        <x:f>IF(AND(AH43=1,Z43&gt;0),AC43/Z43,"")</x:f>
      </x:c>
      <x:c r="AF43" s="22" t="str">
        <x:f>IF(AH43&lt;&gt;1,"",COUNTIFS($C$8:$C$507,"&lt;"&amp;C43,$AH$8:$AH$507,1)+COUNTIFS($C$8:$C$507,C43,$A$8:$A$507,"&lt;="&amp;A43,$AH$8:$AH$507,1))</x:f>
      </x:c>
      <x:c r="AG43" s="20" t="str">
        <x:f>IF(AH43&lt;&gt;1,"",SUMIFS($AC$8:$AC$507,$C$8:$C$507,"&lt;"&amp;C43,$AH$8:$AH$507,1)+SUMIFS($AC$8:$AC$507,$C$8:$C$507,C43,$A$8:$A$507,"&lt;="&amp;A43,$AH$8:$AH$507,1))</x:f>
      </x:c>
      <x:c r="AH43" s="22" t="str">
        <x:f>IF(A43="","",IF(AND(J43="Chiuso",AQ43="OK",ISNUMBER(AC43)),1,0))</x:f>
      </x:c>
      <x:c r="AI43" s="20" t="str">
        <x:f>IF(AH43&lt;&gt;1,"",MAX(0,_xlfn.MAXIFS($AG$8:$AG$507,$AF$8:$AF$507,"&lt;="&amp;AF43,$AH$8:$AH$507,1)))</x:f>
      </x:c>
      <x:c r="AJ43" s="20" t="str">
        <x:f>IF(AH43&lt;&gt;1,"",MAX(0,AI43-AG43))</x:f>
      </x:c>
      <x:c r="AK43" s="21" t="str">
        <x:f>IF(OR(AH43&lt;&gt;1,NOT(ISNUMBER('Impostazioni'!$B$6)),'Impostazioni'!$B$6+AI43&lt;=0),"",AJ43/('Impostazioni'!$B$6+AI43))</x:f>
      </x:c>
      <x:c r="AL43" s="22" t="str">
        <x:f>IF(AH43&lt;&gt;1,"",IF(AC43&gt;0,AF43-_xlfn.MAXIFS($AF$8:$AF$507,$AF$8:$AF$507,"&lt;="&amp;AF43,$AC$8:$AC$507,"&lt;=0",$AH$8:$AH$507,1),0))</x:f>
      </x:c>
      <x:c r="AM43" s="22" t="str">
        <x:f>IF(AH43&lt;&gt;1,"",IF(AC43&lt;0,AF43-_xlfn.MAXIFS($AF$8:$AF$507,$AF$8:$AF$507,"&lt;="&amp;AF43,$AC$8:$AC$507,"&gt;=0",$AH$8:$AH$507,1),0))</x:f>
      </x:c>
      <x:c r="AN43" s="20" t="str">
        <x:f>IF(OR(A43="",NOT(ISNUMBER(B43)),NOT(ISNUMBER('Impostazioni'!$B$6))),"",'Impostazioni'!$B$6+SUMIFS($AC$8:$AC$507,$C$8:$C$507,"&lt;"&amp;B43,$AH$8:$AH$507,1)+SUMIFS('Cassa'!$F$8:$F$307,'Cassa'!$A$8:$A$307,"&lt;="&amp;B43,'Cassa'!$G$8:$G$307,"OK"))</x:f>
      </x:c>
      <x:c r="AO43" s="21" t="str">
        <x:f>IF(AND(ISNUMBER(Z43),ISNUMBER(AN43),AN43&gt;0),Z43/AN43,"")</x:f>
      </x:c>
      <x:c r="AP43" s="18" t="str">
        <x:f>IF(NOT(ISNUMBER(AO43)),"",IF(AO43&gt;'Impostazioni'!$B$7,"Oltre soglia personale","Nella soglia personale"))</x:f>
      </x:c>
      <x:c r="AQ43" s="18" t="str">
        <x:f>IF(A43="",IF(COUNTA(B43:V43)=0,"","Inserisci ID"),IF(COUNTIFS($A$8:$A$507,A43)&lt;&gt;1,"ID duplicato",IF(OR(NOT(ISNUMBER(B43)),D43="",E43="",F43="",G43="",H43="",COUNTIFS('Impostazioni'!$J$6:$J$25,F43)&lt;&gt;1),"Completa dati / elenchi",IF(OR(AND(I43&lt;&gt;"Lordo manuale",I43&lt;&gt;"Netto manuale",I43&lt;&gt;"Esecuzioni"),AND(J43&lt;&gt;"Aperto",J43&lt;&gt;"Chiuso",J43&lt;&gt;"Annullato")),"Modalità / stato mancanti",IF(AND(J43&lt;&gt;"Aperto",OR(NOT(ISNUMBER(C43)),C43&lt;B43)),"Correggi data chiusura",IF(OR(AND(Q43&lt;&gt;"",OR(NOT(ISNUMBER(Q43)),Q43&lt;0)),AND(R43&lt;&gt;"",OR(NOT(ISNUMBER(R43)),R43&lt;0,R43&gt;1))),"Commissione non valida",IF(J43="Annullato","OK",IF(OR(NOT(ISNUMBER(Z43)),Z43&lt;0,AND(O43&lt;&gt;"",NOT(ISNUMBER(O43)))),"Inserisci rischio",IF(AND(I43="Esecuzioni",OR(W43=0,COUNTIFS('Esecuzioni'!$A$8:$A$1007,A43,'Esecuzioni'!$Q$8:$Q$1007,"&lt;&gt;OK")&gt;0)),"Correggi esecuzioni",IF(J43="Aperto","OK",IF(AND(I43="Esecuzioni",S43="Coperto",ABS(X43-Y43)&gt;'Impostazioni'!$B$11),"Copertura residua",IF(NOT(ISNUMBER(AC43)),"Completa risultato / esito",IF(AND(Z43=0,AC43&lt;&gt;0),"Rischio nullo con P/L","OK")))))))))))))</x:f>
      </x:c>
      <x:c r="AR43" s="20" t="str">
        <x:f>IF(OR(A43="",J43&lt;&gt;"Aperto",AQ43&lt;&gt;"OK"),"",IF(I43="Esecuzioni",SUMIFS('Esecuzioni'!$P$8:$P$1007,'Esecuzioni'!$A$8:$A$1007,A43,'Esecuzioni'!$B$8:$B$1007,_xlfn.MAXIFS('Esecuzioni'!$B$8:$B$1007,'Esecuzioni'!$A$8:$A$1007,A43)),IF(LEFT(U43,8)="FREEBET:",0,Z43)))</x:f>
      </x:c>
      <x:c r="AS43" s="48" t="str">
        <x:f>IF(OR(A43="",E43=""),"",IF(COUNTIFS($E$8:E43,E43)=1,COUNT($AS$7:AS42)+1,""))</x:f>
      </x:c>
    </x:row>
    <x:row r="44" ht="22" customHeight="1">
      <x:c r="A44" s="7"/>
      <x:c r="B44" s="19"/>
      <x:c r="C44" s="19"/>
      <x:c r="D44" s="7"/>
      <x:c r="E44" s="7"/>
      <x:c r="F44" s="7"/>
      <x:c r="G44" s="7"/>
      <x:c r="H44" s="7"/>
      <x:c r="I44" s="7"/>
      <x:c r="J44" s="7"/>
      <x:c r="K44" s="10"/>
      <x:c r="L44" s="7"/>
      <x:c r="M44" s="10"/>
      <x:c r="N44" s="7"/>
      <x:c r="O44" s="8"/>
      <x:c r="P44" s="8"/>
      <x:c r="Q44" s="8"/>
      <x:c r="R44" s="9"/>
      <x:c r="S44" s="7"/>
      <x:c r="T44" s="7"/>
      <x:c r="U44" s="7"/>
      <x:c r="V44" s="7"/>
      <x:c r="W44" s="22" t="str">
        <x:f>IF(A44="","",COUNTIFS('Esecuzioni'!$A$8:$A$1007,A44,'Esecuzioni'!$Q$8:$Q$1007,"OK"))</x:f>
      </x:c>
      <x:c r="X44" s="20" t="str">
        <x:f>IF(OR(A44="",I44&lt;&gt;"Esecuzioni",W44=0),"",SUMIFS('Esecuzioni'!$L$8:$L$1007,'Esecuzioni'!$A$8:$A$1007,A44))</x:f>
      </x:c>
      <x:c r="Y44" s="20" t="str">
        <x:f>IF(OR(A44="",I44&lt;&gt;"Esecuzioni",W44=0),"",SUMIFS('Esecuzioni'!$M$8:$M$1007,'Esecuzioni'!$A$8:$A$1007,A44))</x:f>
      </x:c>
      <x:c r="Z44" s="20" t="str">
        <x:f>IF(A44="","",IF(J44="Annullato",0,IF(ISNUMBER(O44),O44,IF(AND(I44="Esecuzioni",W44&gt;0),_xlfn.MAXIFS('Esecuzioni'!$P$8:$P$1007,'Esecuzioni'!$A$8:$A$1007,A44),""))))</x:f>
      </x:c>
      <x:c r="AA44" s="20" t="str">
        <x:f>IF(OR(A44="",J44="Aperto"),"",IF(J44="Annullato",0,IF(I44="Lordo manuale",IF(ISNUMBER(P44),P44,""),IF(I44="Netto manuale",IF(AND(ISNUMBER(P44),ISNUMBER(Q44)),P44+Q44,""),IF(OR(W44=0,COUNTIFS('Esecuzioni'!$A$8:$A$1007,A44,'Esecuzioni'!$Q$8:$Q$1007,"&lt;&gt;OK")&gt;0),"",IF(S44="Vince",X44,IF(S44="Perde",Y44,IF(AND(S44="Coperto",ABS(X44-Y44)&lt;='Impostazioni'!$B$11),ROUND((X44+Y44)/2,2),""))))))))</x:f>
      </x:c>
      <x:c r="AB44" s="20" t="str">
        <x:f>IF(NOT(ISNUMBER(AA44)),"",IF(J44="Annullato",0,IF(ISNUMBER(Q44),Q44,ROUND(MAX(0,AA44)*IF(ISNUMBER(R44),R44,'Impostazioni'!$B$8),2))))</x:f>
      </x:c>
      <x:c r="AC44" s="20" t="str">
        <x:f>IF(AND(ISNUMBER(AA44),ISNUMBER(AB44)),ROUND(AA44-AB44,2),"")</x:f>
      </x:c>
      <x:c r="AD44" s="18" t="str">
        <x:f>IF(A44="","",IF(AQ44&lt;&gt;"OK","Incompleto",IF(J44="Aperto","Aperto",IF(J44="Annullato","Annullato",IF(AC44&gt;0,"Green",IF(AC44&lt;0,"Red","Flat"))))))</x:f>
      </x:c>
      <x:c r="AE44" s="21" t="str">
        <x:f>IF(AND(AH44=1,Z44&gt;0),AC44/Z44,"")</x:f>
      </x:c>
      <x:c r="AF44" s="22" t="str">
        <x:f>IF(AH44&lt;&gt;1,"",COUNTIFS($C$8:$C$507,"&lt;"&amp;C44,$AH$8:$AH$507,1)+COUNTIFS($C$8:$C$507,C44,$A$8:$A$507,"&lt;="&amp;A44,$AH$8:$AH$507,1))</x:f>
      </x:c>
      <x:c r="AG44" s="20" t="str">
        <x:f>IF(AH44&lt;&gt;1,"",SUMIFS($AC$8:$AC$507,$C$8:$C$507,"&lt;"&amp;C44,$AH$8:$AH$507,1)+SUMIFS($AC$8:$AC$507,$C$8:$C$507,C44,$A$8:$A$507,"&lt;="&amp;A44,$AH$8:$AH$507,1))</x:f>
      </x:c>
      <x:c r="AH44" s="22" t="str">
        <x:f>IF(A44="","",IF(AND(J44="Chiuso",AQ44="OK",ISNUMBER(AC44)),1,0))</x:f>
      </x:c>
      <x:c r="AI44" s="20" t="str">
        <x:f>IF(AH44&lt;&gt;1,"",MAX(0,_xlfn.MAXIFS($AG$8:$AG$507,$AF$8:$AF$507,"&lt;="&amp;AF44,$AH$8:$AH$507,1)))</x:f>
      </x:c>
      <x:c r="AJ44" s="20" t="str">
        <x:f>IF(AH44&lt;&gt;1,"",MAX(0,AI44-AG44))</x:f>
      </x:c>
      <x:c r="AK44" s="21" t="str">
        <x:f>IF(OR(AH44&lt;&gt;1,NOT(ISNUMBER('Impostazioni'!$B$6)),'Impostazioni'!$B$6+AI44&lt;=0),"",AJ44/('Impostazioni'!$B$6+AI44))</x:f>
      </x:c>
      <x:c r="AL44" s="22" t="str">
        <x:f>IF(AH44&lt;&gt;1,"",IF(AC44&gt;0,AF44-_xlfn.MAXIFS($AF$8:$AF$507,$AF$8:$AF$507,"&lt;="&amp;AF44,$AC$8:$AC$507,"&lt;=0",$AH$8:$AH$507,1),0))</x:f>
      </x:c>
      <x:c r="AM44" s="22" t="str">
        <x:f>IF(AH44&lt;&gt;1,"",IF(AC44&lt;0,AF44-_xlfn.MAXIFS($AF$8:$AF$507,$AF$8:$AF$507,"&lt;="&amp;AF44,$AC$8:$AC$507,"&gt;=0",$AH$8:$AH$507,1),0))</x:f>
      </x:c>
      <x:c r="AN44" s="20" t="str">
        <x:f>IF(OR(A44="",NOT(ISNUMBER(B44)),NOT(ISNUMBER('Impostazioni'!$B$6))),"",'Impostazioni'!$B$6+SUMIFS($AC$8:$AC$507,$C$8:$C$507,"&lt;"&amp;B44,$AH$8:$AH$507,1)+SUMIFS('Cassa'!$F$8:$F$307,'Cassa'!$A$8:$A$307,"&lt;="&amp;B44,'Cassa'!$G$8:$G$307,"OK"))</x:f>
      </x:c>
      <x:c r="AO44" s="21" t="str">
        <x:f>IF(AND(ISNUMBER(Z44),ISNUMBER(AN44),AN44&gt;0),Z44/AN44,"")</x:f>
      </x:c>
      <x:c r="AP44" s="18" t="str">
        <x:f>IF(NOT(ISNUMBER(AO44)),"",IF(AO44&gt;'Impostazioni'!$B$7,"Oltre soglia personale","Nella soglia personale"))</x:f>
      </x:c>
      <x:c r="AQ44" s="18" t="str">
        <x:f>IF(A44="",IF(COUNTA(B44:V44)=0,"","Inserisci ID"),IF(COUNTIFS($A$8:$A$507,A44)&lt;&gt;1,"ID duplicato",IF(OR(NOT(ISNUMBER(B44)),D44="",E44="",F44="",G44="",H44="",COUNTIFS('Impostazioni'!$J$6:$J$25,F44)&lt;&gt;1),"Completa dati / elenchi",IF(OR(AND(I44&lt;&gt;"Lordo manuale",I44&lt;&gt;"Netto manuale",I44&lt;&gt;"Esecuzioni"),AND(J44&lt;&gt;"Aperto",J44&lt;&gt;"Chiuso",J44&lt;&gt;"Annullato")),"Modalità / stato mancanti",IF(AND(J44&lt;&gt;"Aperto",OR(NOT(ISNUMBER(C44)),C44&lt;B44)),"Correggi data chiusura",IF(OR(AND(Q44&lt;&gt;"",OR(NOT(ISNUMBER(Q44)),Q44&lt;0)),AND(R44&lt;&gt;"",OR(NOT(ISNUMBER(R44)),R44&lt;0,R44&gt;1))),"Commissione non valida",IF(J44="Annullato","OK",IF(OR(NOT(ISNUMBER(Z44)),Z44&lt;0,AND(O44&lt;&gt;"",NOT(ISNUMBER(O44)))),"Inserisci rischio",IF(AND(I44="Esecuzioni",OR(W44=0,COUNTIFS('Esecuzioni'!$A$8:$A$1007,A44,'Esecuzioni'!$Q$8:$Q$1007,"&lt;&gt;OK")&gt;0)),"Correggi esecuzioni",IF(J44="Aperto","OK",IF(AND(I44="Esecuzioni",S44="Coperto",ABS(X44-Y44)&gt;'Impostazioni'!$B$11),"Copertura residua",IF(NOT(ISNUMBER(AC44)),"Completa risultato / esito",IF(AND(Z44=0,AC44&lt;&gt;0),"Rischio nullo con P/L","OK")))))))))))))</x:f>
      </x:c>
      <x:c r="AR44" s="20" t="str">
        <x:f>IF(OR(A44="",J44&lt;&gt;"Aperto",AQ44&lt;&gt;"OK"),"",IF(I44="Esecuzioni",SUMIFS('Esecuzioni'!$P$8:$P$1007,'Esecuzioni'!$A$8:$A$1007,A44,'Esecuzioni'!$B$8:$B$1007,_xlfn.MAXIFS('Esecuzioni'!$B$8:$B$1007,'Esecuzioni'!$A$8:$A$1007,A44)),IF(LEFT(U44,8)="FREEBET:",0,Z44)))</x:f>
      </x:c>
      <x:c r="AS44" s="48" t="str">
        <x:f>IF(OR(A44="",E44=""),"",IF(COUNTIFS($E$8:E44,E44)=1,COUNT($AS$7:AS43)+1,""))</x:f>
      </x:c>
    </x:row>
    <x:row r="45" ht="22" customHeight="1">
      <x:c r="A45" s="7"/>
      <x:c r="B45" s="19"/>
      <x:c r="C45" s="19"/>
      <x:c r="D45" s="7"/>
      <x:c r="E45" s="7"/>
      <x:c r="F45" s="7"/>
      <x:c r="G45" s="7"/>
      <x:c r="H45" s="7"/>
      <x:c r="I45" s="7"/>
      <x:c r="J45" s="7"/>
      <x:c r="K45" s="10"/>
      <x:c r="L45" s="7"/>
      <x:c r="M45" s="10"/>
      <x:c r="N45" s="7"/>
      <x:c r="O45" s="8"/>
      <x:c r="P45" s="8"/>
      <x:c r="Q45" s="8"/>
      <x:c r="R45" s="9"/>
      <x:c r="S45" s="7"/>
      <x:c r="T45" s="7"/>
      <x:c r="U45" s="7"/>
      <x:c r="V45" s="7"/>
      <x:c r="W45" s="22" t="str">
        <x:f>IF(A45="","",COUNTIFS('Esecuzioni'!$A$8:$A$1007,A45,'Esecuzioni'!$Q$8:$Q$1007,"OK"))</x:f>
      </x:c>
      <x:c r="X45" s="20" t="str">
        <x:f>IF(OR(A45="",I45&lt;&gt;"Esecuzioni",W45=0),"",SUMIFS('Esecuzioni'!$L$8:$L$1007,'Esecuzioni'!$A$8:$A$1007,A45))</x:f>
      </x:c>
      <x:c r="Y45" s="20" t="str">
        <x:f>IF(OR(A45="",I45&lt;&gt;"Esecuzioni",W45=0),"",SUMIFS('Esecuzioni'!$M$8:$M$1007,'Esecuzioni'!$A$8:$A$1007,A45))</x:f>
      </x:c>
      <x:c r="Z45" s="20" t="str">
        <x:f>IF(A45="","",IF(J45="Annullato",0,IF(ISNUMBER(O45),O45,IF(AND(I45="Esecuzioni",W45&gt;0),_xlfn.MAXIFS('Esecuzioni'!$P$8:$P$1007,'Esecuzioni'!$A$8:$A$1007,A45),""))))</x:f>
      </x:c>
      <x:c r="AA45" s="20" t="str">
        <x:f>IF(OR(A45="",J45="Aperto"),"",IF(J45="Annullato",0,IF(I45="Lordo manuale",IF(ISNUMBER(P45),P45,""),IF(I45="Netto manuale",IF(AND(ISNUMBER(P45),ISNUMBER(Q45)),P45+Q45,""),IF(OR(W45=0,COUNTIFS('Esecuzioni'!$A$8:$A$1007,A45,'Esecuzioni'!$Q$8:$Q$1007,"&lt;&gt;OK")&gt;0),"",IF(S45="Vince",X45,IF(S45="Perde",Y45,IF(AND(S45="Coperto",ABS(X45-Y45)&lt;='Impostazioni'!$B$11),ROUND((X45+Y45)/2,2),""))))))))</x:f>
      </x:c>
      <x:c r="AB45" s="20" t="str">
        <x:f>IF(NOT(ISNUMBER(AA45)),"",IF(J45="Annullato",0,IF(ISNUMBER(Q45),Q45,ROUND(MAX(0,AA45)*IF(ISNUMBER(R45),R45,'Impostazioni'!$B$8),2))))</x:f>
      </x:c>
      <x:c r="AC45" s="20" t="str">
        <x:f>IF(AND(ISNUMBER(AA45),ISNUMBER(AB45)),ROUND(AA45-AB45,2),"")</x:f>
      </x:c>
      <x:c r="AD45" s="18" t="str">
        <x:f>IF(A45="","",IF(AQ45&lt;&gt;"OK","Incompleto",IF(J45="Aperto","Aperto",IF(J45="Annullato","Annullato",IF(AC45&gt;0,"Green",IF(AC45&lt;0,"Red","Flat"))))))</x:f>
      </x:c>
      <x:c r="AE45" s="21" t="str">
        <x:f>IF(AND(AH45=1,Z45&gt;0),AC45/Z45,"")</x:f>
      </x:c>
      <x:c r="AF45" s="22" t="str">
        <x:f>IF(AH45&lt;&gt;1,"",COUNTIFS($C$8:$C$507,"&lt;"&amp;C45,$AH$8:$AH$507,1)+COUNTIFS($C$8:$C$507,C45,$A$8:$A$507,"&lt;="&amp;A45,$AH$8:$AH$507,1))</x:f>
      </x:c>
      <x:c r="AG45" s="20" t="str">
        <x:f>IF(AH45&lt;&gt;1,"",SUMIFS($AC$8:$AC$507,$C$8:$C$507,"&lt;"&amp;C45,$AH$8:$AH$507,1)+SUMIFS($AC$8:$AC$507,$C$8:$C$507,C45,$A$8:$A$507,"&lt;="&amp;A45,$AH$8:$AH$507,1))</x:f>
      </x:c>
      <x:c r="AH45" s="22" t="str">
        <x:f>IF(A45="","",IF(AND(J45="Chiuso",AQ45="OK",ISNUMBER(AC45)),1,0))</x:f>
      </x:c>
      <x:c r="AI45" s="20" t="str">
        <x:f>IF(AH45&lt;&gt;1,"",MAX(0,_xlfn.MAXIFS($AG$8:$AG$507,$AF$8:$AF$507,"&lt;="&amp;AF45,$AH$8:$AH$507,1)))</x:f>
      </x:c>
      <x:c r="AJ45" s="20" t="str">
        <x:f>IF(AH45&lt;&gt;1,"",MAX(0,AI45-AG45))</x:f>
      </x:c>
      <x:c r="AK45" s="21" t="str">
        <x:f>IF(OR(AH45&lt;&gt;1,NOT(ISNUMBER('Impostazioni'!$B$6)),'Impostazioni'!$B$6+AI45&lt;=0),"",AJ45/('Impostazioni'!$B$6+AI45))</x:f>
      </x:c>
      <x:c r="AL45" s="22" t="str">
        <x:f>IF(AH45&lt;&gt;1,"",IF(AC45&gt;0,AF45-_xlfn.MAXIFS($AF$8:$AF$507,$AF$8:$AF$507,"&lt;="&amp;AF45,$AC$8:$AC$507,"&lt;=0",$AH$8:$AH$507,1),0))</x:f>
      </x:c>
      <x:c r="AM45" s="22" t="str">
        <x:f>IF(AH45&lt;&gt;1,"",IF(AC45&lt;0,AF45-_xlfn.MAXIFS($AF$8:$AF$507,$AF$8:$AF$507,"&lt;="&amp;AF45,$AC$8:$AC$507,"&gt;=0",$AH$8:$AH$507,1),0))</x:f>
      </x:c>
      <x:c r="AN45" s="20" t="str">
        <x:f>IF(OR(A45="",NOT(ISNUMBER(B45)),NOT(ISNUMBER('Impostazioni'!$B$6))),"",'Impostazioni'!$B$6+SUMIFS($AC$8:$AC$507,$C$8:$C$507,"&lt;"&amp;B45,$AH$8:$AH$507,1)+SUMIFS('Cassa'!$F$8:$F$307,'Cassa'!$A$8:$A$307,"&lt;="&amp;B45,'Cassa'!$G$8:$G$307,"OK"))</x:f>
      </x:c>
      <x:c r="AO45" s="21" t="str">
        <x:f>IF(AND(ISNUMBER(Z45),ISNUMBER(AN45),AN45&gt;0),Z45/AN45,"")</x:f>
      </x:c>
      <x:c r="AP45" s="18" t="str">
        <x:f>IF(NOT(ISNUMBER(AO45)),"",IF(AO45&gt;'Impostazioni'!$B$7,"Oltre soglia personale","Nella soglia personale"))</x:f>
      </x:c>
      <x:c r="AQ45" s="18" t="str">
        <x:f>IF(A45="",IF(COUNTA(B45:V45)=0,"","Inserisci ID"),IF(COUNTIFS($A$8:$A$507,A45)&lt;&gt;1,"ID duplicato",IF(OR(NOT(ISNUMBER(B45)),D45="",E45="",F45="",G45="",H45="",COUNTIFS('Impostazioni'!$J$6:$J$25,F45)&lt;&gt;1),"Completa dati / elenchi",IF(OR(AND(I45&lt;&gt;"Lordo manuale",I45&lt;&gt;"Netto manuale",I45&lt;&gt;"Esecuzioni"),AND(J45&lt;&gt;"Aperto",J45&lt;&gt;"Chiuso",J45&lt;&gt;"Annullato")),"Modalità / stato mancanti",IF(AND(J45&lt;&gt;"Aperto",OR(NOT(ISNUMBER(C45)),C45&lt;B45)),"Correggi data chiusura",IF(OR(AND(Q45&lt;&gt;"",OR(NOT(ISNUMBER(Q45)),Q45&lt;0)),AND(R45&lt;&gt;"",OR(NOT(ISNUMBER(R45)),R45&lt;0,R45&gt;1))),"Commissione non valida",IF(J45="Annullato","OK",IF(OR(NOT(ISNUMBER(Z45)),Z45&lt;0,AND(O45&lt;&gt;"",NOT(ISNUMBER(O45)))),"Inserisci rischio",IF(AND(I45="Esecuzioni",OR(W45=0,COUNTIFS('Esecuzioni'!$A$8:$A$1007,A45,'Esecuzioni'!$Q$8:$Q$1007,"&lt;&gt;OK")&gt;0)),"Correggi esecuzioni",IF(J45="Aperto","OK",IF(AND(I45="Esecuzioni",S45="Coperto",ABS(X45-Y45)&gt;'Impostazioni'!$B$11),"Copertura residua",IF(NOT(ISNUMBER(AC45)),"Completa risultato / esito",IF(AND(Z45=0,AC45&lt;&gt;0),"Rischio nullo con P/L","OK")))))))))))))</x:f>
      </x:c>
      <x:c r="AR45" s="20" t="str">
        <x:f>IF(OR(A45="",J45&lt;&gt;"Aperto",AQ45&lt;&gt;"OK"),"",IF(I45="Esecuzioni",SUMIFS('Esecuzioni'!$P$8:$P$1007,'Esecuzioni'!$A$8:$A$1007,A45,'Esecuzioni'!$B$8:$B$1007,_xlfn.MAXIFS('Esecuzioni'!$B$8:$B$1007,'Esecuzioni'!$A$8:$A$1007,A45)),IF(LEFT(U45,8)="FREEBET:",0,Z45)))</x:f>
      </x:c>
      <x:c r="AS45" s="48" t="str">
        <x:f>IF(OR(A45="",E45=""),"",IF(COUNTIFS($E$8:E45,E45)=1,COUNT($AS$7:AS44)+1,""))</x:f>
      </x:c>
    </x:row>
    <x:row r="46" ht="22" customHeight="1">
      <x:c r="A46" s="7"/>
      <x:c r="B46" s="19"/>
      <x:c r="C46" s="19"/>
      <x:c r="D46" s="7"/>
      <x:c r="E46" s="7"/>
      <x:c r="F46" s="7"/>
      <x:c r="G46" s="7"/>
      <x:c r="H46" s="7"/>
      <x:c r="I46" s="7"/>
      <x:c r="J46" s="7"/>
      <x:c r="K46" s="10"/>
      <x:c r="L46" s="7"/>
      <x:c r="M46" s="10"/>
      <x:c r="N46" s="7"/>
      <x:c r="O46" s="8"/>
      <x:c r="P46" s="8"/>
      <x:c r="Q46" s="8"/>
      <x:c r="R46" s="9"/>
      <x:c r="S46" s="7"/>
      <x:c r="T46" s="7"/>
      <x:c r="U46" s="7"/>
      <x:c r="V46" s="7"/>
      <x:c r="W46" s="22" t="str">
        <x:f>IF(A46="","",COUNTIFS('Esecuzioni'!$A$8:$A$1007,A46,'Esecuzioni'!$Q$8:$Q$1007,"OK"))</x:f>
      </x:c>
      <x:c r="X46" s="20" t="str">
        <x:f>IF(OR(A46="",I46&lt;&gt;"Esecuzioni",W46=0),"",SUMIFS('Esecuzioni'!$L$8:$L$1007,'Esecuzioni'!$A$8:$A$1007,A46))</x:f>
      </x:c>
      <x:c r="Y46" s="20" t="str">
        <x:f>IF(OR(A46="",I46&lt;&gt;"Esecuzioni",W46=0),"",SUMIFS('Esecuzioni'!$M$8:$M$1007,'Esecuzioni'!$A$8:$A$1007,A46))</x:f>
      </x:c>
      <x:c r="Z46" s="20" t="str">
        <x:f>IF(A46="","",IF(J46="Annullato",0,IF(ISNUMBER(O46),O46,IF(AND(I46="Esecuzioni",W46&gt;0),_xlfn.MAXIFS('Esecuzioni'!$P$8:$P$1007,'Esecuzioni'!$A$8:$A$1007,A46),""))))</x:f>
      </x:c>
      <x:c r="AA46" s="20" t="str">
        <x:f>IF(OR(A46="",J46="Aperto"),"",IF(J46="Annullato",0,IF(I46="Lordo manuale",IF(ISNUMBER(P46),P46,""),IF(I46="Netto manuale",IF(AND(ISNUMBER(P46),ISNUMBER(Q46)),P46+Q46,""),IF(OR(W46=0,COUNTIFS('Esecuzioni'!$A$8:$A$1007,A46,'Esecuzioni'!$Q$8:$Q$1007,"&lt;&gt;OK")&gt;0),"",IF(S46="Vince",X46,IF(S46="Perde",Y46,IF(AND(S46="Coperto",ABS(X46-Y46)&lt;='Impostazioni'!$B$11),ROUND((X46+Y46)/2,2),""))))))))</x:f>
      </x:c>
      <x:c r="AB46" s="20" t="str">
        <x:f>IF(NOT(ISNUMBER(AA46)),"",IF(J46="Annullato",0,IF(ISNUMBER(Q46),Q46,ROUND(MAX(0,AA46)*IF(ISNUMBER(R46),R46,'Impostazioni'!$B$8),2))))</x:f>
      </x:c>
      <x:c r="AC46" s="20" t="str">
        <x:f>IF(AND(ISNUMBER(AA46),ISNUMBER(AB46)),ROUND(AA46-AB46,2),"")</x:f>
      </x:c>
      <x:c r="AD46" s="18" t="str">
        <x:f>IF(A46="","",IF(AQ46&lt;&gt;"OK","Incompleto",IF(J46="Aperto","Aperto",IF(J46="Annullato","Annullato",IF(AC46&gt;0,"Green",IF(AC46&lt;0,"Red","Flat"))))))</x:f>
      </x:c>
      <x:c r="AE46" s="21" t="str">
        <x:f>IF(AND(AH46=1,Z46&gt;0),AC46/Z46,"")</x:f>
      </x:c>
      <x:c r="AF46" s="22" t="str">
        <x:f>IF(AH46&lt;&gt;1,"",COUNTIFS($C$8:$C$507,"&lt;"&amp;C46,$AH$8:$AH$507,1)+COUNTIFS($C$8:$C$507,C46,$A$8:$A$507,"&lt;="&amp;A46,$AH$8:$AH$507,1))</x:f>
      </x:c>
      <x:c r="AG46" s="20" t="str">
        <x:f>IF(AH46&lt;&gt;1,"",SUMIFS($AC$8:$AC$507,$C$8:$C$507,"&lt;"&amp;C46,$AH$8:$AH$507,1)+SUMIFS($AC$8:$AC$507,$C$8:$C$507,C46,$A$8:$A$507,"&lt;="&amp;A46,$AH$8:$AH$507,1))</x:f>
      </x:c>
      <x:c r="AH46" s="22" t="str">
        <x:f>IF(A46="","",IF(AND(J46="Chiuso",AQ46="OK",ISNUMBER(AC46)),1,0))</x:f>
      </x:c>
      <x:c r="AI46" s="20" t="str">
        <x:f>IF(AH46&lt;&gt;1,"",MAX(0,_xlfn.MAXIFS($AG$8:$AG$507,$AF$8:$AF$507,"&lt;="&amp;AF46,$AH$8:$AH$507,1)))</x:f>
      </x:c>
      <x:c r="AJ46" s="20" t="str">
        <x:f>IF(AH46&lt;&gt;1,"",MAX(0,AI46-AG46))</x:f>
      </x:c>
      <x:c r="AK46" s="21" t="str">
        <x:f>IF(OR(AH46&lt;&gt;1,NOT(ISNUMBER('Impostazioni'!$B$6)),'Impostazioni'!$B$6+AI46&lt;=0),"",AJ46/('Impostazioni'!$B$6+AI46))</x:f>
      </x:c>
      <x:c r="AL46" s="22" t="str">
        <x:f>IF(AH46&lt;&gt;1,"",IF(AC46&gt;0,AF46-_xlfn.MAXIFS($AF$8:$AF$507,$AF$8:$AF$507,"&lt;="&amp;AF46,$AC$8:$AC$507,"&lt;=0",$AH$8:$AH$507,1),0))</x:f>
      </x:c>
      <x:c r="AM46" s="22" t="str">
        <x:f>IF(AH46&lt;&gt;1,"",IF(AC46&lt;0,AF46-_xlfn.MAXIFS($AF$8:$AF$507,$AF$8:$AF$507,"&lt;="&amp;AF46,$AC$8:$AC$507,"&gt;=0",$AH$8:$AH$507,1),0))</x:f>
      </x:c>
      <x:c r="AN46" s="20" t="str">
        <x:f>IF(OR(A46="",NOT(ISNUMBER(B46)),NOT(ISNUMBER('Impostazioni'!$B$6))),"",'Impostazioni'!$B$6+SUMIFS($AC$8:$AC$507,$C$8:$C$507,"&lt;"&amp;B46,$AH$8:$AH$507,1)+SUMIFS('Cassa'!$F$8:$F$307,'Cassa'!$A$8:$A$307,"&lt;="&amp;B46,'Cassa'!$G$8:$G$307,"OK"))</x:f>
      </x:c>
      <x:c r="AO46" s="21" t="str">
        <x:f>IF(AND(ISNUMBER(Z46),ISNUMBER(AN46),AN46&gt;0),Z46/AN46,"")</x:f>
      </x:c>
      <x:c r="AP46" s="18" t="str">
        <x:f>IF(NOT(ISNUMBER(AO46)),"",IF(AO46&gt;'Impostazioni'!$B$7,"Oltre soglia personale","Nella soglia personale"))</x:f>
      </x:c>
      <x:c r="AQ46" s="18" t="str">
        <x:f>IF(A46="",IF(COUNTA(B46:V46)=0,"","Inserisci ID"),IF(COUNTIFS($A$8:$A$507,A46)&lt;&gt;1,"ID duplicato",IF(OR(NOT(ISNUMBER(B46)),D46="",E46="",F46="",G46="",H46="",COUNTIFS('Impostazioni'!$J$6:$J$25,F46)&lt;&gt;1),"Completa dati / elenchi",IF(OR(AND(I46&lt;&gt;"Lordo manuale",I46&lt;&gt;"Netto manuale",I46&lt;&gt;"Esecuzioni"),AND(J46&lt;&gt;"Aperto",J46&lt;&gt;"Chiuso",J46&lt;&gt;"Annullato")),"Modalità / stato mancanti",IF(AND(J46&lt;&gt;"Aperto",OR(NOT(ISNUMBER(C46)),C46&lt;B46)),"Correggi data chiusura",IF(OR(AND(Q46&lt;&gt;"",OR(NOT(ISNUMBER(Q46)),Q46&lt;0)),AND(R46&lt;&gt;"",OR(NOT(ISNUMBER(R46)),R46&lt;0,R46&gt;1))),"Commissione non valida",IF(J46="Annullato","OK",IF(OR(NOT(ISNUMBER(Z46)),Z46&lt;0,AND(O46&lt;&gt;"",NOT(ISNUMBER(O46)))),"Inserisci rischio",IF(AND(I46="Esecuzioni",OR(W46=0,COUNTIFS('Esecuzioni'!$A$8:$A$1007,A46,'Esecuzioni'!$Q$8:$Q$1007,"&lt;&gt;OK")&gt;0)),"Correggi esecuzioni",IF(J46="Aperto","OK",IF(AND(I46="Esecuzioni",S46="Coperto",ABS(X46-Y46)&gt;'Impostazioni'!$B$11),"Copertura residua",IF(NOT(ISNUMBER(AC46)),"Completa risultato / esito",IF(AND(Z46=0,AC46&lt;&gt;0),"Rischio nullo con P/L","OK")))))))))))))</x:f>
      </x:c>
      <x:c r="AR46" s="20" t="str">
        <x:f>IF(OR(A46="",J46&lt;&gt;"Aperto",AQ46&lt;&gt;"OK"),"",IF(I46="Esecuzioni",SUMIFS('Esecuzioni'!$P$8:$P$1007,'Esecuzioni'!$A$8:$A$1007,A46,'Esecuzioni'!$B$8:$B$1007,_xlfn.MAXIFS('Esecuzioni'!$B$8:$B$1007,'Esecuzioni'!$A$8:$A$1007,A46)),IF(LEFT(U46,8)="FREEBET:",0,Z46)))</x:f>
      </x:c>
      <x:c r="AS46" s="48" t="str">
        <x:f>IF(OR(A46="",E46=""),"",IF(COUNTIFS($E$8:E46,E46)=1,COUNT($AS$7:AS45)+1,""))</x:f>
      </x:c>
    </x:row>
    <x:row r="47" ht="22" customHeight="1">
      <x:c r="A47" s="7"/>
      <x:c r="B47" s="19"/>
      <x:c r="C47" s="19"/>
      <x:c r="D47" s="7"/>
      <x:c r="E47" s="7"/>
      <x:c r="F47" s="7"/>
      <x:c r="G47" s="7"/>
      <x:c r="H47" s="7"/>
      <x:c r="I47" s="7"/>
      <x:c r="J47" s="7"/>
      <x:c r="K47" s="10"/>
      <x:c r="L47" s="7"/>
      <x:c r="M47" s="10"/>
      <x:c r="N47" s="7"/>
      <x:c r="O47" s="8"/>
      <x:c r="P47" s="8"/>
      <x:c r="Q47" s="8"/>
      <x:c r="R47" s="9"/>
      <x:c r="S47" s="7"/>
      <x:c r="T47" s="7"/>
      <x:c r="U47" s="7"/>
      <x:c r="V47" s="7"/>
      <x:c r="W47" s="22" t="str">
        <x:f>IF(A47="","",COUNTIFS('Esecuzioni'!$A$8:$A$1007,A47,'Esecuzioni'!$Q$8:$Q$1007,"OK"))</x:f>
      </x:c>
      <x:c r="X47" s="20" t="str">
        <x:f>IF(OR(A47="",I47&lt;&gt;"Esecuzioni",W47=0),"",SUMIFS('Esecuzioni'!$L$8:$L$1007,'Esecuzioni'!$A$8:$A$1007,A47))</x:f>
      </x:c>
      <x:c r="Y47" s="20" t="str">
        <x:f>IF(OR(A47="",I47&lt;&gt;"Esecuzioni",W47=0),"",SUMIFS('Esecuzioni'!$M$8:$M$1007,'Esecuzioni'!$A$8:$A$1007,A47))</x:f>
      </x:c>
      <x:c r="Z47" s="20" t="str">
        <x:f>IF(A47="","",IF(J47="Annullato",0,IF(ISNUMBER(O47),O47,IF(AND(I47="Esecuzioni",W47&gt;0),_xlfn.MAXIFS('Esecuzioni'!$P$8:$P$1007,'Esecuzioni'!$A$8:$A$1007,A47),""))))</x:f>
      </x:c>
      <x:c r="AA47" s="20" t="str">
        <x:f>IF(OR(A47="",J47="Aperto"),"",IF(J47="Annullato",0,IF(I47="Lordo manuale",IF(ISNUMBER(P47),P47,""),IF(I47="Netto manuale",IF(AND(ISNUMBER(P47),ISNUMBER(Q47)),P47+Q47,""),IF(OR(W47=0,COUNTIFS('Esecuzioni'!$A$8:$A$1007,A47,'Esecuzioni'!$Q$8:$Q$1007,"&lt;&gt;OK")&gt;0),"",IF(S47="Vince",X47,IF(S47="Perde",Y47,IF(AND(S47="Coperto",ABS(X47-Y47)&lt;='Impostazioni'!$B$11),ROUND((X47+Y47)/2,2),""))))))))</x:f>
      </x:c>
      <x:c r="AB47" s="20" t="str">
        <x:f>IF(NOT(ISNUMBER(AA47)),"",IF(J47="Annullato",0,IF(ISNUMBER(Q47),Q47,ROUND(MAX(0,AA47)*IF(ISNUMBER(R47),R47,'Impostazioni'!$B$8),2))))</x:f>
      </x:c>
      <x:c r="AC47" s="20" t="str">
        <x:f>IF(AND(ISNUMBER(AA47),ISNUMBER(AB47)),ROUND(AA47-AB47,2),"")</x:f>
      </x:c>
      <x:c r="AD47" s="18" t="str">
        <x:f>IF(A47="","",IF(AQ47&lt;&gt;"OK","Incompleto",IF(J47="Aperto","Aperto",IF(J47="Annullato","Annullato",IF(AC47&gt;0,"Green",IF(AC47&lt;0,"Red","Flat"))))))</x:f>
      </x:c>
      <x:c r="AE47" s="21" t="str">
        <x:f>IF(AND(AH47=1,Z47&gt;0),AC47/Z47,"")</x:f>
      </x:c>
      <x:c r="AF47" s="22" t="str">
        <x:f>IF(AH47&lt;&gt;1,"",COUNTIFS($C$8:$C$507,"&lt;"&amp;C47,$AH$8:$AH$507,1)+COUNTIFS($C$8:$C$507,C47,$A$8:$A$507,"&lt;="&amp;A47,$AH$8:$AH$507,1))</x:f>
      </x:c>
      <x:c r="AG47" s="20" t="str">
        <x:f>IF(AH47&lt;&gt;1,"",SUMIFS($AC$8:$AC$507,$C$8:$C$507,"&lt;"&amp;C47,$AH$8:$AH$507,1)+SUMIFS($AC$8:$AC$507,$C$8:$C$507,C47,$A$8:$A$507,"&lt;="&amp;A47,$AH$8:$AH$507,1))</x:f>
      </x:c>
      <x:c r="AH47" s="22" t="str">
        <x:f>IF(A47="","",IF(AND(J47="Chiuso",AQ47="OK",ISNUMBER(AC47)),1,0))</x:f>
      </x:c>
      <x:c r="AI47" s="20" t="str">
        <x:f>IF(AH47&lt;&gt;1,"",MAX(0,_xlfn.MAXIFS($AG$8:$AG$507,$AF$8:$AF$507,"&lt;="&amp;AF47,$AH$8:$AH$507,1)))</x:f>
      </x:c>
      <x:c r="AJ47" s="20" t="str">
        <x:f>IF(AH47&lt;&gt;1,"",MAX(0,AI47-AG47))</x:f>
      </x:c>
      <x:c r="AK47" s="21" t="str">
        <x:f>IF(OR(AH47&lt;&gt;1,NOT(ISNUMBER('Impostazioni'!$B$6)),'Impostazioni'!$B$6+AI47&lt;=0),"",AJ47/('Impostazioni'!$B$6+AI47))</x:f>
      </x:c>
      <x:c r="AL47" s="22" t="str">
        <x:f>IF(AH47&lt;&gt;1,"",IF(AC47&gt;0,AF47-_xlfn.MAXIFS($AF$8:$AF$507,$AF$8:$AF$507,"&lt;="&amp;AF47,$AC$8:$AC$507,"&lt;=0",$AH$8:$AH$507,1),0))</x:f>
      </x:c>
      <x:c r="AM47" s="22" t="str">
        <x:f>IF(AH47&lt;&gt;1,"",IF(AC47&lt;0,AF47-_xlfn.MAXIFS($AF$8:$AF$507,$AF$8:$AF$507,"&lt;="&amp;AF47,$AC$8:$AC$507,"&gt;=0",$AH$8:$AH$507,1),0))</x:f>
      </x:c>
      <x:c r="AN47" s="20" t="str">
        <x:f>IF(OR(A47="",NOT(ISNUMBER(B47)),NOT(ISNUMBER('Impostazioni'!$B$6))),"",'Impostazioni'!$B$6+SUMIFS($AC$8:$AC$507,$C$8:$C$507,"&lt;"&amp;B47,$AH$8:$AH$507,1)+SUMIFS('Cassa'!$F$8:$F$307,'Cassa'!$A$8:$A$307,"&lt;="&amp;B47,'Cassa'!$G$8:$G$307,"OK"))</x:f>
      </x:c>
      <x:c r="AO47" s="21" t="str">
        <x:f>IF(AND(ISNUMBER(Z47),ISNUMBER(AN47),AN47&gt;0),Z47/AN47,"")</x:f>
      </x:c>
      <x:c r="AP47" s="18" t="str">
        <x:f>IF(NOT(ISNUMBER(AO47)),"",IF(AO47&gt;'Impostazioni'!$B$7,"Oltre soglia personale","Nella soglia personale"))</x:f>
      </x:c>
      <x:c r="AQ47" s="18" t="str">
        <x:f>IF(A47="",IF(COUNTA(B47:V47)=0,"","Inserisci ID"),IF(COUNTIFS($A$8:$A$507,A47)&lt;&gt;1,"ID duplicato",IF(OR(NOT(ISNUMBER(B47)),D47="",E47="",F47="",G47="",H47="",COUNTIFS('Impostazioni'!$J$6:$J$25,F47)&lt;&gt;1),"Completa dati / elenchi",IF(OR(AND(I47&lt;&gt;"Lordo manuale",I47&lt;&gt;"Netto manuale",I47&lt;&gt;"Esecuzioni"),AND(J47&lt;&gt;"Aperto",J47&lt;&gt;"Chiuso",J47&lt;&gt;"Annullato")),"Modalità / stato mancanti",IF(AND(J47&lt;&gt;"Aperto",OR(NOT(ISNUMBER(C47)),C47&lt;B47)),"Correggi data chiusura",IF(OR(AND(Q47&lt;&gt;"",OR(NOT(ISNUMBER(Q47)),Q47&lt;0)),AND(R47&lt;&gt;"",OR(NOT(ISNUMBER(R47)),R47&lt;0,R47&gt;1))),"Commissione non valida",IF(J47="Annullato","OK",IF(OR(NOT(ISNUMBER(Z47)),Z47&lt;0,AND(O47&lt;&gt;"",NOT(ISNUMBER(O47)))),"Inserisci rischio",IF(AND(I47="Esecuzioni",OR(W47=0,COUNTIFS('Esecuzioni'!$A$8:$A$1007,A47,'Esecuzioni'!$Q$8:$Q$1007,"&lt;&gt;OK")&gt;0)),"Correggi esecuzioni",IF(J47="Aperto","OK",IF(AND(I47="Esecuzioni",S47="Coperto",ABS(X47-Y47)&gt;'Impostazioni'!$B$11),"Copertura residua",IF(NOT(ISNUMBER(AC47)),"Completa risultato / esito",IF(AND(Z47=0,AC47&lt;&gt;0),"Rischio nullo con P/L","OK")))))))))))))</x:f>
      </x:c>
      <x:c r="AR47" s="20" t="str">
        <x:f>IF(OR(A47="",J47&lt;&gt;"Aperto",AQ47&lt;&gt;"OK"),"",IF(I47="Esecuzioni",SUMIFS('Esecuzioni'!$P$8:$P$1007,'Esecuzioni'!$A$8:$A$1007,A47,'Esecuzioni'!$B$8:$B$1007,_xlfn.MAXIFS('Esecuzioni'!$B$8:$B$1007,'Esecuzioni'!$A$8:$A$1007,A47)),IF(LEFT(U47,8)="FREEBET:",0,Z47)))</x:f>
      </x:c>
      <x:c r="AS47" s="48" t="str">
        <x:f>IF(OR(A47="",E47=""),"",IF(COUNTIFS($E$8:E47,E47)=1,COUNT($AS$7:AS46)+1,""))</x:f>
      </x:c>
    </x:row>
    <x:row r="48" ht="22" customHeight="1">
      <x:c r="A48" s="7"/>
      <x:c r="B48" s="19"/>
      <x:c r="C48" s="19"/>
      <x:c r="D48" s="7"/>
      <x:c r="E48" s="7"/>
      <x:c r="F48" s="7"/>
      <x:c r="G48" s="7"/>
      <x:c r="H48" s="7"/>
      <x:c r="I48" s="7"/>
      <x:c r="J48" s="7"/>
      <x:c r="K48" s="10"/>
      <x:c r="L48" s="7"/>
      <x:c r="M48" s="10"/>
      <x:c r="N48" s="7"/>
      <x:c r="O48" s="8"/>
      <x:c r="P48" s="8"/>
      <x:c r="Q48" s="8"/>
      <x:c r="R48" s="9"/>
      <x:c r="S48" s="7"/>
      <x:c r="T48" s="7"/>
      <x:c r="U48" s="7"/>
      <x:c r="V48" s="7"/>
      <x:c r="W48" s="22" t="str">
        <x:f>IF(A48="","",COUNTIFS('Esecuzioni'!$A$8:$A$1007,A48,'Esecuzioni'!$Q$8:$Q$1007,"OK"))</x:f>
      </x:c>
      <x:c r="X48" s="20" t="str">
        <x:f>IF(OR(A48="",I48&lt;&gt;"Esecuzioni",W48=0),"",SUMIFS('Esecuzioni'!$L$8:$L$1007,'Esecuzioni'!$A$8:$A$1007,A48))</x:f>
      </x:c>
      <x:c r="Y48" s="20" t="str">
        <x:f>IF(OR(A48="",I48&lt;&gt;"Esecuzioni",W48=0),"",SUMIFS('Esecuzioni'!$M$8:$M$1007,'Esecuzioni'!$A$8:$A$1007,A48))</x:f>
      </x:c>
      <x:c r="Z48" s="20" t="str">
        <x:f>IF(A48="","",IF(J48="Annullato",0,IF(ISNUMBER(O48),O48,IF(AND(I48="Esecuzioni",W48&gt;0),_xlfn.MAXIFS('Esecuzioni'!$P$8:$P$1007,'Esecuzioni'!$A$8:$A$1007,A48),""))))</x:f>
      </x:c>
      <x:c r="AA48" s="20" t="str">
        <x:f>IF(OR(A48="",J48="Aperto"),"",IF(J48="Annullato",0,IF(I48="Lordo manuale",IF(ISNUMBER(P48),P48,""),IF(I48="Netto manuale",IF(AND(ISNUMBER(P48),ISNUMBER(Q48)),P48+Q48,""),IF(OR(W48=0,COUNTIFS('Esecuzioni'!$A$8:$A$1007,A48,'Esecuzioni'!$Q$8:$Q$1007,"&lt;&gt;OK")&gt;0),"",IF(S48="Vince",X48,IF(S48="Perde",Y48,IF(AND(S48="Coperto",ABS(X48-Y48)&lt;='Impostazioni'!$B$11),ROUND((X48+Y48)/2,2),""))))))))</x:f>
      </x:c>
      <x:c r="AB48" s="20" t="str">
        <x:f>IF(NOT(ISNUMBER(AA48)),"",IF(J48="Annullato",0,IF(ISNUMBER(Q48),Q48,ROUND(MAX(0,AA48)*IF(ISNUMBER(R48),R48,'Impostazioni'!$B$8),2))))</x:f>
      </x:c>
      <x:c r="AC48" s="20" t="str">
        <x:f>IF(AND(ISNUMBER(AA48),ISNUMBER(AB48)),ROUND(AA48-AB48,2),"")</x:f>
      </x:c>
      <x:c r="AD48" s="18" t="str">
        <x:f>IF(A48="","",IF(AQ48&lt;&gt;"OK","Incompleto",IF(J48="Aperto","Aperto",IF(J48="Annullato","Annullato",IF(AC48&gt;0,"Green",IF(AC48&lt;0,"Red","Flat"))))))</x:f>
      </x:c>
      <x:c r="AE48" s="21" t="str">
        <x:f>IF(AND(AH48=1,Z48&gt;0),AC48/Z48,"")</x:f>
      </x:c>
      <x:c r="AF48" s="22" t="str">
        <x:f>IF(AH48&lt;&gt;1,"",COUNTIFS($C$8:$C$507,"&lt;"&amp;C48,$AH$8:$AH$507,1)+COUNTIFS($C$8:$C$507,C48,$A$8:$A$507,"&lt;="&amp;A48,$AH$8:$AH$507,1))</x:f>
      </x:c>
      <x:c r="AG48" s="20" t="str">
        <x:f>IF(AH48&lt;&gt;1,"",SUMIFS($AC$8:$AC$507,$C$8:$C$507,"&lt;"&amp;C48,$AH$8:$AH$507,1)+SUMIFS($AC$8:$AC$507,$C$8:$C$507,C48,$A$8:$A$507,"&lt;="&amp;A48,$AH$8:$AH$507,1))</x:f>
      </x:c>
      <x:c r="AH48" s="22" t="str">
        <x:f>IF(A48="","",IF(AND(J48="Chiuso",AQ48="OK",ISNUMBER(AC48)),1,0))</x:f>
      </x:c>
      <x:c r="AI48" s="20" t="str">
        <x:f>IF(AH48&lt;&gt;1,"",MAX(0,_xlfn.MAXIFS($AG$8:$AG$507,$AF$8:$AF$507,"&lt;="&amp;AF48,$AH$8:$AH$507,1)))</x:f>
      </x:c>
      <x:c r="AJ48" s="20" t="str">
        <x:f>IF(AH48&lt;&gt;1,"",MAX(0,AI48-AG48))</x:f>
      </x:c>
      <x:c r="AK48" s="21" t="str">
        <x:f>IF(OR(AH48&lt;&gt;1,NOT(ISNUMBER('Impostazioni'!$B$6)),'Impostazioni'!$B$6+AI48&lt;=0),"",AJ48/('Impostazioni'!$B$6+AI48))</x:f>
      </x:c>
      <x:c r="AL48" s="22" t="str">
        <x:f>IF(AH48&lt;&gt;1,"",IF(AC48&gt;0,AF48-_xlfn.MAXIFS($AF$8:$AF$507,$AF$8:$AF$507,"&lt;="&amp;AF48,$AC$8:$AC$507,"&lt;=0",$AH$8:$AH$507,1),0))</x:f>
      </x:c>
      <x:c r="AM48" s="22" t="str">
        <x:f>IF(AH48&lt;&gt;1,"",IF(AC48&lt;0,AF48-_xlfn.MAXIFS($AF$8:$AF$507,$AF$8:$AF$507,"&lt;="&amp;AF48,$AC$8:$AC$507,"&gt;=0",$AH$8:$AH$507,1),0))</x:f>
      </x:c>
      <x:c r="AN48" s="20" t="str">
        <x:f>IF(OR(A48="",NOT(ISNUMBER(B48)),NOT(ISNUMBER('Impostazioni'!$B$6))),"",'Impostazioni'!$B$6+SUMIFS($AC$8:$AC$507,$C$8:$C$507,"&lt;"&amp;B48,$AH$8:$AH$507,1)+SUMIFS('Cassa'!$F$8:$F$307,'Cassa'!$A$8:$A$307,"&lt;="&amp;B48,'Cassa'!$G$8:$G$307,"OK"))</x:f>
      </x:c>
      <x:c r="AO48" s="21" t="str">
        <x:f>IF(AND(ISNUMBER(Z48),ISNUMBER(AN48),AN48&gt;0),Z48/AN48,"")</x:f>
      </x:c>
      <x:c r="AP48" s="18" t="str">
        <x:f>IF(NOT(ISNUMBER(AO48)),"",IF(AO48&gt;'Impostazioni'!$B$7,"Oltre soglia personale","Nella soglia personale"))</x:f>
      </x:c>
      <x:c r="AQ48" s="18" t="str">
        <x:f>IF(A48="",IF(COUNTA(B48:V48)=0,"","Inserisci ID"),IF(COUNTIFS($A$8:$A$507,A48)&lt;&gt;1,"ID duplicato",IF(OR(NOT(ISNUMBER(B48)),D48="",E48="",F48="",G48="",H48="",COUNTIFS('Impostazioni'!$J$6:$J$25,F48)&lt;&gt;1),"Completa dati / elenchi",IF(OR(AND(I48&lt;&gt;"Lordo manuale",I48&lt;&gt;"Netto manuale",I48&lt;&gt;"Esecuzioni"),AND(J48&lt;&gt;"Aperto",J48&lt;&gt;"Chiuso",J48&lt;&gt;"Annullato")),"Modalità / stato mancanti",IF(AND(J48&lt;&gt;"Aperto",OR(NOT(ISNUMBER(C48)),C48&lt;B48)),"Correggi data chiusura",IF(OR(AND(Q48&lt;&gt;"",OR(NOT(ISNUMBER(Q48)),Q48&lt;0)),AND(R48&lt;&gt;"",OR(NOT(ISNUMBER(R48)),R48&lt;0,R48&gt;1))),"Commissione non valida",IF(J48="Annullato","OK",IF(OR(NOT(ISNUMBER(Z48)),Z48&lt;0,AND(O48&lt;&gt;"",NOT(ISNUMBER(O48)))),"Inserisci rischio",IF(AND(I48="Esecuzioni",OR(W48=0,COUNTIFS('Esecuzioni'!$A$8:$A$1007,A48,'Esecuzioni'!$Q$8:$Q$1007,"&lt;&gt;OK")&gt;0)),"Correggi esecuzioni",IF(J48="Aperto","OK",IF(AND(I48="Esecuzioni",S48="Coperto",ABS(X48-Y48)&gt;'Impostazioni'!$B$11),"Copertura residua",IF(NOT(ISNUMBER(AC48)),"Completa risultato / esito",IF(AND(Z48=0,AC48&lt;&gt;0),"Rischio nullo con P/L","OK")))))))))))))</x:f>
      </x:c>
      <x:c r="AR48" s="20" t="str">
        <x:f>IF(OR(A48="",J48&lt;&gt;"Aperto",AQ48&lt;&gt;"OK"),"",IF(I48="Esecuzioni",SUMIFS('Esecuzioni'!$P$8:$P$1007,'Esecuzioni'!$A$8:$A$1007,A48,'Esecuzioni'!$B$8:$B$1007,_xlfn.MAXIFS('Esecuzioni'!$B$8:$B$1007,'Esecuzioni'!$A$8:$A$1007,A48)),IF(LEFT(U48,8)="FREEBET:",0,Z48)))</x:f>
      </x:c>
      <x:c r="AS48" s="48" t="str">
        <x:f>IF(OR(A48="",E48=""),"",IF(COUNTIFS($E$8:E48,E48)=1,COUNT($AS$7:AS47)+1,""))</x:f>
      </x:c>
    </x:row>
    <x:row r="49" ht="22" customHeight="1">
      <x:c r="A49" s="7"/>
      <x:c r="B49" s="19"/>
      <x:c r="C49" s="19"/>
      <x:c r="D49" s="7"/>
      <x:c r="E49" s="7"/>
      <x:c r="F49" s="7"/>
      <x:c r="G49" s="7"/>
      <x:c r="H49" s="7"/>
      <x:c r="I49" s="7"/>
      <x:c r="J49" s="7"/>
      <x:c r="K49" s="10"/>
      <x:c r="L49" s="7"/>
      <x:c r="M49" s="10"/>
      <x:c r="N49" s="7"/>
      <x:c r="O49" s="8"/>
      <x:c r="P49" s="8"/>
      <x:c r="Q49" s="8"/>
      <x:c r="R49" s="9"/>
      <x:c r="S49" s="7"/>
      <x:c r="T49" s="7"/>
      <x:c r="U49" s="7"/>
      <x:c r="V49" s="7"/>
      <x:c r="W49" s="22" t="str">
        <x:f>IF(A49="","",COUNTIFS('Esecuzioni'!$A$8:$A$1007,A49,'Esecuzioni'!$Q$8:$Q$1007,"OK"))</x:f>
      </x:c>
      <x:c r="X49" s="20" t="str">
        <x:f>IF(OR(A49="",I49&lt;&gt;"Esecuzioni",W49=0),"",SUMIFS('Esecuzioni'!$L$8:$L$1007,'Esecuzioni'!$A$8:$A$1007,A49))</x:f>
      </x:c>
      <x:c r="Y49" s="20" t="str">
        <x:f>IF(OR(A49="",I49&lt;&gt;"Esecuzioni",W49=0),"",SUMIFS('Esecuzioni'!$M$8:$M$1007,'Esecuzioni'!$A$8:$A$1007,A49))</x:f>
      </x:c>
      <x:c r="Z49" s="20" t="str">
        <x:f>IF(A49="","",IF(J49="Annullato",0,IF(ISNUMBER(O49),O49,IF(AND(I49="Esecuzioni",W49&gt;0),_xlfn.MAXIFS('Esecuzioni'!$P$8:$P$1007,'Esecuzioni'!$A$8:$A$1007,A49),""))))</x:f>
      </x:c>
      <x:c r="AA49" s="20" t="str">
        <x:f>IF(OR(A49="",J49="Aperto"),"",IF(J49="Annullato",0,IF(I49="Lordo manuale",IF(ISNUMBER(P49),P49,""),IF(I49="Netto manuale",IF(AND(ISNUMBER(P49),ISNUMBER(Q49)),P49+Q49,""),IF(OR(W49=0,COUNTIFS('Esecuzioni'!$A$8:$A$1007,A49,'Esecuzioni'!$Q$8:$Q$1007,"&lt;&gt;OK")&gt;0),"",IF(S49="Vince",X49,IF(S49="Perde",Y49,IF(AND(S49="Coperto",ABS(X49-Y49)&lt;='Impostazioni'!$B$11),ROUND((X49+Y49)/2,2),""))))))))</x:f>
      </x:c>
      <x:c r="AB49" s="20" t="str">
        <x:f>IF(NOT(ISNUMBER(AA49)),"",IF(J49="Annullato",0,IF(ISNUMBER(Q49),Q49,ROUND(MAX(0,AA49)*IF(ISNUMBER(R49),R49,'Impostazioni'!$B$8),2))))</x:f>
      </x:c>
      <x:c r="AC49" s="20" t="str">
        <x:f>IF(AND(ISNUMBER(AA49),ISNUMBER(AB49)),ROUND(AA49-AB49,2),"")</x:f>
      </x:c>
      <x:c r="AD49" s="18" t="str">
        <x:f>IF(A49="","",IF(AQ49&lt;&gt;"OK","Incompleto",IF(J49="Aperto","Aperto",IF(J49="Annullato","Annullato",IF(AC49&gt;0,"Green",IF(AC49&lt;0,"Red","Flat"))))))</x:f>
      </x:c>
      <x:c r="AE49" s="21" t="str">
        <x:f>IF(AND(AH49=1,Z49&gt;0),AC49/Z49,"")</x:f>
      </x:c>
      <x:c r="AF49" s="22" t="str">
        <x:f>IF(AH49&lt;&gt;1,"",COUNTIFS($C$8:$C$507,"&lt;"&amp;C49,$AH$8:$AH$507,1)+COUNTIFS($C$8:$C$507,C49,$A$8:$A$507,"&lt;="&amp;A49,$AH$8:$AH$507,1))</x:f>
      </x:c>
      <x:c r="AG49" s="20" t="str">
        <x:f>IF(AH49&lt;&gt;1,"",SUMIFS($AC$8:$AC$507,$C$8:$C$507,"&lt;"&amp;C49,$AH$8:$AH$507,1)+SUMIFS($AC$8:$AC$507,$C$8:$C$507,C49,$A$8:$A$507,"&lt;="&amp;A49,$AH$8:$AH$507,1))</x:f>
      </x:c>
      <x:c r="AH49" s="22" t="str">
        <x:f>IF(A49="","",IF(AND(J49="Chiuso",AQ49="OK",ISNUMBER(AC49)),1,0))</x:f>
      </x:c>
      <x:c r="AI49" s="20" t="str">
        <x:f>IF(AH49&lt;&gt;1,"",MAX(0,_xlfn.MAXIFS($AG$8:$AG$507,$AF$8:$AF$507,"&lt;="&amp;AF49,$AH$8:$AH$507,1)))</x:f>
      </x:c>
      <x:c r="AJ49" s="20" t="str">
        <x:f>IF(AH49&lt;&gt;1,"",MAX(0,AI49-AG49))</x:f>
      </x:c>
      <x:c r="AK49" s="21" t="str">
        <x:f>IF(OR(AH49&lt;&gt;1,NOT(ISNUMBER('Impostazioni'!$B$6)),'Impostazioni'!$B$6+AI49&lt;=0),"",AJ49/('Impostazioni'!$B$6+AI49))</x:f>
      </x:c>
      <x:c r="AL49" s="22" t="str">
        <x:f>IF(AH49&lt;&gt;1,"",IF(AC49&gt;0,AF49-_xlfn.MAXIFS($AF$8:$AF$507,$AF$8:$AF$507,"&lt;="&amp;AF49,$AC$8:$AC$507,"&lt;=0",$AH$8:$AH$507,1),0))</x:f>
      </x:c>
      <x:c r="AM49" s="22" t="str">
        <x:f>IF(AH49&lt;&gt;1,"",IF(AC49&lt;0,AF49-_xlfn.MAXIFS($AF$8:$AF$507,$AF$8:$AF$507,"&lt;="&amp;AF49,$AC$8:$AC$507,"&gt;=0",$AH$8:$AH$507,1),0))</x:f>
      </x:c>
      <x:c r="AN49" s="20" t="str">
        <x:f>IF(OR(A49="",NOT(ISNUMBER(B49)),NOT(ISNUMBER('Impostazioni'!$B$6))),"",'Impostazioni'!$B$6+SUMIFS($AC$8:$AC$507,$C$8:$C$507,"&lt;"&amp;B49,$AH$8:$AH$507,1)+SUMIFS('Cassa'!$F$8:$F$307,'Cassa'!$A$8:$A$307,"&lt;="&amp;B49,'Cassa'!$G$8:$G$307,"OK"))</x:f>
      </x:c>
      <x:c r="AO49" s="21" t="str">
        <x:f>IF(AND(ISNUMBER(Z49),ISNUMBER(AN49),AN49&gt;0),Z49/AN49,"")</x:f>
      </x:c>
      <x:c r="AP49" s="18" t="str">
        <x:f>IF(NOT(ISNUMBER(AO49)),"",IF(AO49&gt;'Impostazioni'!$B$7,"Oltre soglia personale","Nella soglia personale"))</x:f>
      </x:c>
      <x:c r="AQ49" s="18" t="str">
        <x:f>IF(A49="",IF(COUNTA(B49:V49)=0,"","Inserisci ID"),IF(COUNTIFS($A$8:$A$507,A49)&lt;&gt;1,"ID duplicato",IF(OR(NOT(ISNUMBER(B49)),D49="",E49="",F49="",G49="",H49="",COUNTIFS('Impostazioni'!$J$6:$J$25,F49)&lt;&gt;1),"Completa dati / elenchi",IF(OR(AND(I49&lt;&gt;"Lordo manuale",I49&lt;&gt;"Netto manuale",I49&lt;&gt;"Esecuzioni"),AND(J49&lt;&gt;"Aperto",J49&lt;&gt;"Chiuso",J49&lt;&gt;"Annullato")),"Modalità / stato mancanti",IF(AND(J49&lt;&gt;"Aperto",OR(NOT(ISNUMBER(C49)),C49&lt;B49)),"Correggi data chiusura",IF(OR(AND(Q49&lt;&gt;"",OR(NOT(ISNUMBER(Q49)),Q49&lt;0)),AND(R49&lt;&gt;"",OR(NOT(ISNUMBER(R49)),R49&lt;0,R49&gt;1))),"Commissione non valida",IF(J49="Annullato","OK",IF(OR(NOT(ISNUMBER(Z49)),Z49&lt;0,AND(O49&lt;&gt;"",NOT(ISNUMBER(O49)))),"Inserisci rischio",IF(AND(I49="Esecuzioni",OR(W49=0,COUNTIFS('Esecuzioni'!$A$8:$A$1007,A49,'Esecuzioni'!$Q$8:$Q$1007,"&lt;&gt;OK")&gt;0)),"Correggi esecuzioni",IF(J49="Aperto","OK",IF(AND(I49="Esecuzioni",S49="Coperto",ABS(X49-Y49)&gt;'Impostazioni'!$B$11),"Copertura residua",IF(NOT(ISNUMBER(AC49)),"Completa risultato / esito",IF(AND(Z49=0,AC49&lt;&gt;0),"Rischio nullo con P/L","OK")))))))))))))</x:f>
      </x:c>
      <x:c r="AR49" s="20" t="str">
        <x:f>IF(OR(A49="",J49&lt;&gt;"Aperto",AQ49&lt;&gt;"OK"),"",IF(I49="Esecuzioni",SUMIFS('Esecuzioni'!$P$8:$P$1007,'Esecuzioni'!$A$8:$A$1007,A49,'Esecuzioni'!$B$8:$B$1007,_xlfn.MAXIFS('Esecuzioni'!$B$8:$B$1007,'Esecuzioni'!$A$8:$A$1007,A49)),IF(LEFT(U49,8)="FREEBET:",0,Z49)))</x:f>
      </x:c>
      <x:c r="AS49" s="48" t="str">
        <x:f>IF(OR(A49="",E49=""),"",IF(COUNTIFS($E$8:E49,E49)=1,COUNT($AS$7:AS48)+1,""))</x:f>
      </x:c>
    </x:row>
    <x:row r="50" ht="22" customHeight="1">
      <x:c r="A50" s="7"/>
      <x:c r="B50" s="19"/>
      <x:c r="C50" s="19"/>
      <x:c r="D50" s="7"/>
      <x:c r="E50" s="7"/>
      <x:c r="F50" s="7"/>
      <x:c r="G50" s="7"/>
      <x:c r="H50" s="7"/>
      <x:c r="I50" s="7"/>
      <x:c r="J50" s="7"/>
      <x:c r="K50" s="10"/>
      <x:c r="L50" s="7"/>
      <x:c r="M50" s="10"/>
      <x:c r="N50" s="7"/>
      <x:c r="O50" s="8"/>
      <x:c r="P50" s="8"/>
      <x:c r="Q50" s="8"/>
      <x:c r="R50" s="9"/>
      <x:c r="S50" s="7"/>
      <x:c r="T50" s="7"/>
      <x:c r="U50" s="7"/>
      <x:c r="V50" s="7"/>
      <x:c r="W50" s="22" t="str">
        <x:f>IF(A50="","",COUNTIFS('Esecuzioni'!$A$8:$A$1007,A50,'Esecuzioni'!$Q$8:$Q$1007,"OK"))</x:f>
      </x:c>
      <x:c r="X50" s="20" t="str">
        <x:f>IF(OR(A50="",I50&lt;&gt;"Esecuzioni",W50=0),"",SUMIFS('Esecuzioni'!$L$8:$L$1007,'Esecuzioni'!$A$8:$A$1007,A50))</x:f>
      </x:c>
      <x:c r="Y50" s="20" t="str">
        <x:f>IF(OR(A50="",I50&lt;&gt;"Esecuzioni",W50=0),"",SUMIFS('Esecuzioni'!$M$8:$M$1007,'Esecuzioni'!$A$8:$A$1007,A50))</x:f>
      </x:c>
      <x:c r="Z50" s="20" t="str">
        <x:f>IF(A50="","",IF(J50="Annullato",0,IF(ISNUMBER(O50),O50,IF(AND(I50="Esecuzioni",W50&gt;0),_xlfn.MAXIFS('Esecuzioni'!$P$8:$P$1007,'Esecuzioni'!$A$8:$A$1007,A50),""))))</x:f>
      </x:c>
      <x:c r="AA50" s="20" t="str">
        <x:f>IF(OR(A50="",J50="Aperto"),"",IF(J50="Annullato",0,IF(I50="Lordo manuale",IF(ISNUMBER(P50),P50,""),IF(I50="Netto manuale",IF(AND(ISNUMBER(P50),ISNUMBER(Q50)),P50+Q50,""),IF(OR(W50=0,COUNTIFS('Esecuzioni'!$A$8:$A$1007,A50,'Esecuzioni'!$Q$8:$Q$1007,"&lt;&gt;OK")&gt;0),"",IF(S50="Vince",X50,IF(S50="Perde",Y50,IF(AND(S50="Coperto",ABS(X50-Y50)&lt;='Impostazioni'!$B$11),ROUND((X50+Y50)/2,2),""))))))))</x:f>
      </x:c>
      <x:c r="AB50" s="20" t="str">
        <x:f>IF(NOT(ISNUMBER(AA50)),"",IF(J50="Annullato",0,IF(ISNUMBER(Q50),Q50,ROUND(MAX(0,AA50)*IF(ISNUMBER(R50),R50,'Impostazioni'!$B$8),2))))</x:f>
      </x:c>
      <x:c r="AC50" s="20" t="str">
        <x:f>IF(AND(ISNUMBER(AA50),ISNUMBER(AB50)),ROUND(AA50-AB50,2),"")</x:f>
      </x:c>
      <x:c r="AD50" s="18" t="str">
        <x:f>IF(A50="","",IF(AQ50&lt;&gt;"OK","Incompleto",IF(J50="Aperto","Aperto",IF(J50="Annullato","Annullato",IF(AC50&gt;0,"Green",IF(AC50&lt;0,"Red","Flat"))))))</x:f>
      </x:c>
      <x:c r="AE50" s="21" t="str">
        <x:f>IF(AND(AH50=1,Z50&gt;0),AC50/Z50,"")</x:f>
      </x:c>
      <x:c r="AF50" s="22" t="str">
        <x:f>IF(AH50&lt;&gt;1,"",COUNTIFS($C$8:$C$507,"&lt;"&amp;C50,$AH$8:$AH$507,1)+COUNTIFS($C$8:$C$507,C50,$A$8:$A$507,"&lt;="&amp;A50,$AH$8:$AH$507,1))</x:f>
      </x:c>
      <x:c r="AG50" s="20" t="str">
        <x:f>IF(AH50&lt;&gt;1,"",SUMIFS($AC$8:$AC$507,$C$8:$C$507,"&lt;"&amp;C50,$AH$8:$AH$507,1)+SUMIFS($AC$8:$AC$507,$C$8:$C$507,C50,$A$8:$A$507,"&lt;="&amp;A50,$AH$8:$AH$507,1))</x:f>
      </x:c>
      <x:c r="AH50" s="22" t="str">
        <x:f>IF(A50="","",IF(AND(J50="Chiuso",AQ50="OK",ISNUMBER(AC50)),1,0))</x:f>
      </x:c>
      <x:c r="AI50" s="20" t="str">
        <x:f>IF(AH50&lt;&gt;1,"",MAX(0,_xlfn.MAXIFS($AG$8:$AG$507,$AF$8:$AF$507,"&lt;="&amp;AF50,$AH$8:$AH$507,1)))</x:f>
      </x:c>
      <x:c r="AJ50" s="20" t="str">
        <x:f>IF(AH50&lt;&gt;1,"",MAX(0,AI50-AG50))</x:f>
      </x:c>
      <x:c r="AK50" s="21" t="str">
        <x:f>IF(OR(AH50&lt;&gt;1,NOT(ISNUMBER('Impostazioni'!$B$6)),'Impostazioni'!$B$6+AI50&lt;=0),"",AJ50/('Impostazioni'!$B$6+AI50))</x:f>
      </x:c>
      <x:c r="AL50" s="22" t="str">
        <x:f>IF(AH50&lt;&gt;1,"",IF(AC50&gt;0,AF50-_xlfn.MAXIFS($AF$8:$AF$507,$AF$8:$AF$507,"&lt;="&amp;AF50,$AC$8:$AC$507,"&lt;=0",$AH$8:$AH$507,1),0))</x:f>
      </x:c>
      <x:c r="AM50" s="22" t="str">
        <x:f>IF(AH50&lt;&gt;1,"",IF(AC50&lt;0,AF50-_xlfn.MAXIFS($AF$8:$AF$507,$AF$8:$AF$507,"&lt;="&amp;AF50,$AC$8:$AC$507,"&gt;=0",$AH$8:$AH$507,1),0))</x:f>
      </x:c>
      <x:c r="AN50" s="20" t="str">
        <x:f>IF(OR(A50="",NOT(ISNUMBER(B50)),NOT(ISNUMBER('Impostazioni'!$B$6))),"",'Impostazioni'!$B$6+SUMIFS($AC$8:$AC$507,$C$8:$C$507,"&lt;"&amp;B50,$AH$8:$AH$507,1)+SUMIFS('Cassa'!$F$8:$F$307,'Cassa'!$A$8:$A$307,"&lt;="&amp;B50,'Cassa'!$G$8:$G$307,"OK"))</x:f>
      </x:c>
      <x:c r="AO50" s="21" t="str">
        <x:f>IF(AND(ISNUMBER(Z50),ISNUMBER(AN50),AN50&gt;0),Z50/AN50,"")</x:f>
      </x:c>
      <x:c r="AP50" s="18" t="str">
        <x:f>IF(NOT(ISNUMBER(AO50)),"",IF(AO50&gt;'Impostazioni'!$B$7,"Oltre soglia personale","Nella soglia personale"))</x:f>
      </x:c>
      <x:c r="AQ50" s="18" t="str">
        <x:f>IF(A50="",IF(COUNTA(B50:V50)=0,"","Inserisci ID"),IF(COUNTIFS($A$8:$A$507,A50)&lt;&gt;1,"ID duplicato",IF(OR(NOT(ISNUMBER(B50)),D50="",E50="",F50="",G50="",H50="",COUNTIFS('Impostazioni'!$J$6:$J$25,F50)&lt;&gt;1),"Completa dati / elenchi",IF(OR(AND(I50&lt;&gt;"Lordo manuale",I50&lt;&gt;"Netto manuale",I50&lt;&gt;"Esecuzioni"),AND(J50&lt;&gt;"Aperto",J50&lt;&gt;"Chiuso",J50&lt;&gt;"Annullato")),"Modalità / stato mancanti",IF(AND(J50&lt;&gt;"Aperto",OR(NOT(ISNUMBER(C50)),C50&lt;B50)),"Correggi data chiusura",IF(OR(AND(Q50&lt;&gt;"",OR(NOT(ISNUMBER(Q50)),Q50&lt;0)),AND(R50&lt;&gt;"",OR(NOT(ISNUMBER(R50)),R50&lt;0,R50&gt;1))),"Commissione non valida",IF(J50="Annullato","OK",IF(OR(NOT(ISNUMBER(Z50)),Z50&lt;0,AND(O50&lt;&gt;"",NOT(ISNUMBER(O50)))),"Inserisci rischio",IF(AND(I50="Esecuzioni",OR(W50=0,COUNTIFS('Esecuzioni'!$A$8:$A$1007,A50,'Esecuzioni'!$Q$8:$Q$1007,"&lt;&gt;OK")&gt;0)),"Correggi esecuzioni",IF(J50="Aperto","OK",IF(AND(I50="Esecuzioni",S50="Coperto",ABS(X50-Y50)&gt;'Impostazioni'!$B$11),"Copertura residua",IF(NOT(ISNUMBER(AC50)),"Completa risultato / esito",IF(AND(Z50=0,AC50&lt;&gt;0),"Rischio nullo con P/L","OK")))))))))))))</x:f>
      </x:c>
      <x:c r="AR50" s="20" t="str">
        <x:f>IF(OR(A50="",J50&lt;&gt;"Aperto",AQ50&lt;&gt;"OK"),"",IF(I50="Esecuzioni",SUMIFS('Esecuzioni'!$P$8:$P$1007,'Esecuzioni'!$A$8:$A$1007,A50,'Esecuzioni'!$B$8:$B$1007,_xlfn.MAXIFS('Esecuzioni'!$B$8:$B$1007,'Esecuzioni'!$A$8:$A$1007,A50)),IF(LEFT(U50,8)="FREEBET:",0,Z50)))</x:f>
      </x:c>
      <x:c r="AS50" s="48" t="str">
        <x:f>IF(OR(A50="",E50=""),"",IF(COUNTIFS($E$8:E50,E50)=1,COUNT($AS$7:AS49)+1,""))</x:f>
      </x:c>
    </x:row>
    <x:row r="51" ht="22" customHeight="1">
      <x:c r="A51" s="7"/>
      <x:c r="B51" s="19"/>
      <x:c r="C51" s="19"/>
      <x:c r="D51" s="7"/>
      <x:c r="E51" s="7"/>
      <x:c r="F51" s="7"/>
      <x:c r="G51" s="7"/>
      <x:c r="H51" s="7"/>
      <x:c r="I51" s="7"/>
      <x:c r="J51" s="7"/>
      <x:c r="K51" s="10"/>
      <x:c r="L51" s="7"/>
      <x:c r="M51" s="10"/>
      <x:c r="N51" s="7"/>
      <x:c r="O51" s="8"/>
      <x:c r="P51" s="8"/>
      <x:c r="Q51" s="8"/>
      <x:c r="R51" s="9"/>
      <x:c r="S51" s="7"/>
      <x:c r="T51" s="7"/>
      <x:c r="U51" s="7"/>
      <x:c r="V51" s="7"/>
      <x:c r="W51" s="22" t="str">
        <x:f>IF(A51="","",COUNTIFS('Esecuzioni'!$A$8:$A$1007,A51,'Esecuzioni'!$Q$8:$Q$1007,"OK"))</x:f>
      </x:c>
      <x:c r="X51" s="20" t="str">
        <x:f>IF(OR(A51="",I51&lt;&gt;"Esecuzioni",W51=0),"",SUMIFS('Esecuzioni'!$L$8:$L$1007,'Esecuzioni'!$A$8:$A$1007,A51))</x:f>
      </x:c>
      <x:c r="Y51" s="20" t="str">
        <x:f>IF(OR(A51="",I51&lt;&gt;"Esecuzioni",W51=0),"",SUMIFS('Esecuzioni'!$M$8:$M$1007,'Esecuzioni'!$A$8:$A$1007,A51))</x:f>
      </x:c>
      <x:c r="Z51" s="20" t="str">
        <x:f>IF(A51="","",IF(J51="Annullato",0,IF(ISNUMBER(O51),O51,IF(AND(I51="Esecuzioni",W51&gt;0),_xlfn.MAXIFS('Esecuzioni'!$P$8:$P$1007,'Esecuzioni'!$A$8:$A$1007,A51),""))))</x:f>
      </x:c>
      <x:c r="AA51" s="20" t="str">
        <x:f>IF(OR(A51="",J51="Aperto"),"",IF(J51="Annullato",0,IF(I51="Lordo manuale",IF(ISNUMBER(P51),P51,""),IF(I51="Netto manuale",IF(AND(ISNUMBER(P51),ISNUMBER(Q51)),P51+Q51,""),IF(OR(W51=0,COUNTIFS('Esecuzioni'!$A$8:$A$1007,A51,'Esecuzioni'!$Q$8:$Q$1007,"&lt;&gt;OK")&gt;0),"",IF(S51="Vince",X51,IF(S51="Perde",Y51,IF(AND(S51="Coperto",ABS(X51-Y51)&lt;='Impostazioni'!$B$11),ROUND((X51+Y51)/2,2),""))))))))</x:f>
      </x:c>
      <x:c r="AB51" s="20" t="str">
        <x:f>IF(NOT(ISNUMBER(AA51)),"",IF(J51="Annullato",0,IF(ISNUMBER(Q51),Q51,ROUND(MAX(0,AA51)*IF(ISNUMBER(R51),R51,'Impostazioni'!$B$8),2))))</x:f>
      </x:c>
      <x:c r="AC51" s="20" t="str">
        <x:f>IF(AND(ISNUMBER(AA51),ISNUMBER(AB51)),ROUND(AA51-AB51,2),"")</x:f>
      </x:c>
      <x:c r="AD51" s="18" t="str">
        <x:f>IF(A51="","",IF(AQ51&lt;&gt;"OK","Incompleto",IF(J51="Aperto","Aperto",IF(J51="Annullato","Annullato",IF(AC51&gt;0,"Green",IF(AC51&lt;0,"Red","Flat"))))))</x:f>
      </x:c>
      <x:c r="AE51" s="21" t="str">
        <x:f>IF(AND(AH51=1,Z51&gt;0),AC51/Z51,"")</x:f>
      </x:c>
      <x:c r="AF51" s="22" t="str">
        <x:f>IF(AH51&lt;&gt;1,"",COUNTIFS($C$8:$C$507,"&lt;"&amp;C51,$AH$8:$AH$507,1)+COUNTIFS($C$8:$C$507,C51,$A$8:$A$507,"&lt;="&amp;A51,$AH$8:$AH$507,1))</x:f>
      </x:c>
      <x:c r="AG51" s="20" t="str">
        <x:f>IF(AH51&lt;&gt;1,"",SUMIFS($AC$8:$AC$507,$C$8:$C$507,"&lt;"&amp;C51,$AH$8:$AH$507,1)+SUMIFS($AC$8:$AC$507,$C$8:$C$507,C51,$A$8:$A$507,"&lt;="&amp;A51,$AH$8:$AH$507,1))</x:f>
      </x:c>
      <x:c r="AH51" s="22" t="str">
        <x:f>IF(A51="","",IF(AND(J51="Chiuso",AQ51="OK",ISNUMBER(AC51)),1,0))</x:f>
      </x:c>
      <x:c r="AI51" s="20" t="str">
        <x:f>IF(AH51&lt;&gt;1,"",MAX(0,_xlfn.MAXIFS($AG$8:$AG$507,$AF$8:$AF$507,"&lt;="&amp;AF51,$AH$8:$AH$507,1)))</x:f>
      </x:c>
      <x:c r="AJ51" s="20" t="str">
        <x:f>IF(AH51&lt;&gt;1,"",MAX(0,AI51-AG51))</x:f>
      </x:c>
      <x:c r="AK51" s="21" t="str">
        <x:f>IF(OR(AH51&lt;&gt;1,NOT(ISNUMBER('Impostazioni'!$B$6)),'Impostazioni'!$B$6+AI51&lt;=0),"",AJ51/('Impostazioni'!$B$6+AI51))</x:f>
      </x:c>
      <x:c r="AL51" s="22" t="str">
        <x:f>IF(AH51&lt;&gt;1,"",IF(AC51&gt;0,AF51-_xlfn.MAXIFS($AF$8:$AF$507,$AF$8:$AF$507,"&lt;="&amp;AF51,$AC$8:$AC$507,"&lt;=0",$AH$8:$AH$507,1),0))</x:f>
      </x:c>
      <x:c r="AM51" s="22" t="str">
        <x:f>IF(AH51&lt;&gt;1,"",IF(AC51&lt;0,AF51-_xlfn.MAXIFS($AF$8:$AF$507,$AF$8:$AF$507,"&lt;="&amp;AF51,$AC$8:$AC$507,"&gt;=0",$AH$8:$AH$507,1),0))</x:f>
      </x:c>
      <x:c r="AN51" s="20" t="str">
        <x:f>IF(OR(A51="",NOT(ISNUMBER(B51)),NOT(ISNUMBER('Impostazioni'!$B$6))),"",'Impostazioni'!$B$6+SUMIFS($AC$8:$AC$507,$C$8:$C$507,"&lt;"&amp;B51,$AH$8:$AH$507,1)+SUMIFS('Cassa'!$F$8:$F$307,'Cassa'!$A$8:$A$307,"&lt;="&amp;B51,'Cassa'!$G$8:$G$307,"OK"))</x:f>
      </x:c>
      <x:c r="AO51" s="21" t="str">
        <x:f>IF(AND(ISNUMBER(Z51),ISNUMBER(AN51),AN51&gt;0),Z51/AN51,"")</x:f>
      </x:c>
      <x:c r="AP51" s="18" t="str">
        <x:f>IF(NOT(ISNUMBER(AO51)),"",IF(AO51&gt;'Impostazioni'!$B$7,"Oltre soglia personale","Nella soglia personale"))</x:f>
      </x:c>
      <x:c r="AQ51" s="18" t="str">
        <x:f>IF(A51="",IF(COUNTA(B51:V51)=0,"","Inserisci ID"),IF(COUNTIFS($A$8:$A$507,A51)&lt;&gt;1,"ID duplicato",IF(OR(NOT(ISNUMBER(B51)),D51="",E51="",F51="",G51="",H51="",COUNTIFS('Impostazioni'!$J$6:$J$25,F51)&lt;&gt;1),"Completa dati / elenchi",IF(OR(AND(I51&lt;&gt;"Lordo manuale",I51&lt;&gt;"Netto manuale",I51&lt;&gt;"Esecuzioni"),AND(J51&lt;&gt;"Aperto",J51&lt;&gt;"Chiuso",J51&lt;&gt;"Annullato")),"Modalità / stato mancanti",IF(AND(J51&lt;&gt;"Aperto",OR(NOT(ISNUMBER(C51)),C51&lt;B51)),"Correggi data chiusura",IF(OR(AND(Q51&lt;&gt;"",OR(NOT(ISNUMBER(Q51)),Q51&lt;0)),AND(R51&lt;&gt;"",OR(NOT(ISNUMBER(R51)),R51&lt;0,R51&gt;1))),"Commissione non valida",IF(J51="Annullato","OK",IF(OR(NOT(ISNUMBER(Z51)),Z51&lt;0,AND(O51&lt;&gt;"",NOT(ISNUMBER(O51)))),"Inserisci rischio",IF(AND(I51="Esecuzioni",OR(W51=0,COUNTIFS('Esecuzioni'!$A$8:$A$1007,A51,'Esecuzioni'!$Q$8:$Q$1007,"&lt;&gt;OK")&gt;0)),"Correggi esecuzioni",IF(J51="Aperto","OK",IF(AND(I51="Esecuzioni",S51="Coperto",ABS(X51-Y51)&gt;'Impostazioni'!$B$11),"Copertura residua",IF(NOT(ISNUMBER(AC51)),"Completa risultato / esito",IF(AND(Z51=0,AC51&lt;&gt;0),"Rischio nullo con P/L","OK")))))))))))))</x:f>
      </x:c>
      <x:c r="AR51" s="20" t="str">
        <x:f>IF(OR(A51="",J51&lt;&gt;"Aperto",AQ51&lt;&gt;"OK"),"",IF(I51="Esecuzioni",SUMIFS('Esecuzioni'!$P$8:$P$1007,'Esecuzioni'!$A$8:$A$1007,A51,'Esecuzioni'!$B$8:$B$1007,_xlfn.MAXIFS('Esecuzioni'!$B$8:$B$1007,'Esecuzioni'!$A$8:$A$1007,A51)),IF(LEFT(U51,8)="FREEBET:",0,Z51)))</x:f>
      </x:c>
      <x:c r="AS51" s="48" t="str">
        <x:f>IF(OR(A51="",E51=""),"",IF(COUNTIFS($E$8:E51,E51)=1,COUNT($AS$7:AS50)+1,""))</x:f>
      </x:c>
    </x:row>
    <x:row r="52" ht="22" customHeight="1">
      <x:c r="A52" s="7"/>
      <x:c r="B52" s="19"/>
      <x:c r="C52" s="19"/>
      <x:c r="D52" s="7"/>
      <x:c r="E52" s="7"/>
      <x:c r="F52" s="7"/>
      <x:c r="G52" s="7"/>
      <x:c r="H52" s="7"/>
      <x:c r="I52" s="7"/>
      <x:c r="J52" s="7"/>
      <x:c r="K52" s="10"/>
      <x:c r="L52" s="7"/>
      <x:c r="M52" s="10"/>
      <x:c r="N52" s="7"/>
      <x:c r="O52" s="8"/>
      <x:c r="P52" s="8"/>
      <x:c r="Q52" s="8"/>
      <x:c r="R52" s="9"/>
      <x:c r="S52" s="7"/>
      <x:c r="T52" s="7"/>
      <x:c r="U52" s="7"/>
      <x:c r="V52" s="7"/>
      <x:c r="W52" s="22" t="str">
        <x:f>IF(A52="","",COUNTIFS('Esecuzioni'!$A$8:$A$1007,A52,'Esecuzioni'!$Q$8:$Q$1007,"OK"))</x:f>
      </x:c>
      <x:c r="X52" s="20" t="str">
        <x:f>IF(OR(A52="",I52&lt;&gt;"Esecuzioni",W52=0),"",SUMIFS('Esecuzioni'!$L$8:$L$1007,'Esecuzioni'!$A$8:$A$1007,A52))</x:f>
      </x:c>
      <x:c r="Y52" s="20" t="str">
        <x:f>IF(OR(A52="",I52&lt;&gt;"Esecuzioni",W52=0),"",SUMIFS('Esecuzioni'!$M$8:$M$1007,'Esecuzioni'!$A$8:$A$1007,A52))</x:f>
      </x:c>
      <x:c r="Z52" s="20" t="str">
        <x:f>IF(A52="","",IF(J52="Annullato",0,IF(ISNUMBER(O52),O52,IF(AND(I52="Esecuzioni",W52&gt;0),_xlfn.MAXIFS('Esecuzioni'!$P$8:$P$1007,'Esecuzioni'!$A$8:$A$1007,A52),""))))</x:f>
      </x:c>
      <x:c r="AA52" s="20" t="str">
        <x:f>IF(OR(A52="",J52="Aperto"),"",IF(J52="Annullato",0,IF(I52="Lordo manuale",IF(ISNUMBER(P52),P52,""),IF(I52="Netto manuale",IF(AND(ISNUMBER(P52),ISNUMBER(Q52)),P52+Q52,""),IF(OR(W52=0,COUNTIFS('Esecuzioni'!$A$8:$A$1007,A52,'Esecuzioni'!$Q$8:$Q$1007,"&lt;&gt;OK")&gt;0),"",IF(S52="Vince",X52,IF(S52="Perde",Y52,IF(AND(S52="Coperto",ABS(X52-Y52)&lt;='Impostazioni'!$B$11),ROUND((X52+Y52)/2,2),""))))))))</x:f>
      </x:c>
      <x:c r="AB52" s="20" t="str">
        <x:f>IF(NOT(ISNUMBER(AA52)),"",IF(J52="Annullato",0,IF(ISNUMBER(Q52),Q52,ROUND(MAX(0,AA52)*IF(ISNUMBER(R52),R52,'Impostazioni'!$B$8),2))))</x:f>
      </x:c>
      <x:c r="AC52" s="20" t="str">
        <x:f>IF(AND(ISNUMBER(AA52),ISNUMBER(AB52)),ROUND(AA52-AB52,2),"")</x:f>
      </x:c>
      <x:c r="AD52" s="18" t="str">
        <x:f>IF(A52="","",IF(AQ52&lt;&gt;"OK","Incompleto",IF(J52="Aperto","Aperto",IF(J52="Annullato","Annullato",IF(AC52&gt;0,"Green",IF(AC52&lt;0,"Red","Flat"))))))</x:f>
      </x:c>
      <x:c r="AE52" s="21" t="str">
        <x:f>IF(AND(AH52=1,Z52&gt;0),AC52/Z52,"")</x:f>
      </x:c>
      <x:c r="AF52" s="22" t="str">
        <x:f>IF(AH52&lt;&gt;1,"",COUNTIFS($C$8:$C$507,"&lt;"&amp;C52,$AH$8:$AH$507,1)+COUNTIFS($C$8:$C$507,C52,$A$8:$A$507,"&lt;="&amp;A52,$AH$8:$AH$507,1))</x:f>
      </x:c>
      <x:c r="AG52" s="20" t="str">
        <x:f>IF(AH52&lt;&gt;1,"",SUMIFS($AC$8:$AC$507,$C$8:$C$507,"&lt;"&amp;C52,$AH$8:$AH$507,1)+SUMIFS($AC$8:$AC$507,$C$8:$C$507,C52,$A$8:$A$507,"&lt;="&amp;A52,$AH$8:$AH$507,1))</x:f>
      </x:c>
      <x:c r="AH52" s="22" t="str">
        <x:f>IF(A52="","",IF(AND(J52="Chiuso",AQ52="OK",ISNUMBER(AC52)),1,0))</x:f>
      </x:c>
      <x:c r="AI52" s="20" t="str">
        <x:f>IF(AH52&lt;&gt;1,"",MAX(0,_xlfn.MAXIFS($AG$8:$AG$507,$AF$8:$AF$507,"&lt;="&amp;AF52,$AH$8:$AH$507,1)))</x:f>
      </x:c>
      <x:c r="AJ52" s="20" t="str">
        <x:f>IF(AH52&lt;&gt;1,"",MAX(0,AI52-AG52))</x:f>
      </x:c>
      <x:c r="AK52" s="21" t="str">
        <x:f>IF(OR(AH52&lt;&gt;1,NOT(ISNUMBER('Impostazioni'!$B$6)),'Impostazioni'!$B$6+AI52&lt;=0),"",AJ52/('Impostazioni'!$B$6+AI52))</x:f>
      </x:c>
      <x:c r="AL52" s="22" t="str">
        <x:f>IF(AH52&lt;&gt;1,"",IF(AC52&gt;0,AF52-_xlfn.MAXIFS($AF$8:$AF$507,$AF$8:$AF$507,"&lt;="&amp;AF52,$AC$8:$AC$507,"&lt;=0",$AH$8:$AH$507,1),0))</x:f>
      </x:c>
      <x:c r="AM52" s="22" t="str">
        <x:f>IF(AH52&lt;&gt;1,"",IF(AC52&lt;0,AF52-_xlfn.MAXIFS($AF$8:$AF$507,$AF$8:$AF$507,"&lt;="&amp;AF52,$AC$8:$AC$507,"&gt;=0",$AH$8:$AH$507,1),0))</x:f>
      </x:c>
      <x:c r="AN52" s="20" t="str">
        <x:f>IF(OR(A52="",NOT(ISNUMBER(B52)),NOT(ISNUMBER('Impostazioni'!$B$6))),"",'Impostazioni'!$B$6+SUMIFS($AC$8:$AC$507,$C$8:$C$507,"&lt;"&amp;B52,$AH$8:$AH$507,1)+SUMIFS('Cassa'!$F$8:$F$307,'Cassa'!$A$8:$A$307,"&lt;="&amp;B52,'Cassa'!$G$8:$G$307,"OK"))</x:f>
      </x:c>
      <x:c r="AO52" s="21" t="str">
        <x:f>IF(AND(ISNUMBER(Z52),ISNUMBER(AN52),AN52&gt;0),Z52/AN52,"")</x:f>
      </x:c>
      <x:c r="AP52" s="18" t="str">
        <x:f>IF(NOT(ISNUMBER(AO52)),"",IF(AO52&gt;'Impostazioni'!$B$7,"Oltre soglia personale","Nella soglia personale"))</x:f>
      </x:c>
      <x:c r="AQ52" s="18" t="str">
        <x:f>IF(A52="",IF(COUNTA(B52:V52)=0,"","Inserisci ID"),IF(COUNTIFS($A$8:$A$507,A52)&lt;&gt;1,"ID duplicato",IF(OR(NOT(ISNUMBER(B52)),D52="",E52="",F52="",G52="",H52="",COUNTIFS('Impostazioni'!$J$6:$J$25,F52)&lt;&gt;1),"Completa dati / elenchi",IF(OR(AND(I52&lt;&gt;"Lordo manuale",I52&lt;&gt;"Netto manuale",I52&lt;&gt;"Esecuzioni"),AND(J52&lt;&gt;"Aperto",J52&lt;&gt;"Chiuso",J52&lt;&gt;"Annullato")),"Modalità / stato mancanti",IF(AND(J52&lt;&gt;"Aperto",OR(NOT(ISNUMBER(C52)),C52&lt;B52)),"Correggi data chiusura",IF(OR(AND(Q52&lt;&gt;"",OR(NOT(ISNUMBER(Q52)),Q52&lt;0)),AND(R52&lt;&gt;"",OR(NOT(ISNUMBER(R52)),R52&lt;0,R52&gt;1))),"Commissione non valida",IF(J52="Annullato","OK",IF(OR(NOT(ISNUMBER(Z52)),Z52&lt;0,AND(O52&lt;&gt;"",NOT(ISNUMBER(O52)))),"Inserisci rischio",IF(AND(I52="Esecuzioni",OR(W52=0,COUNTIFS('Esecuzioni'!$A$8:$A$1007,A52,'Esecuzioni'!$Q$8:$Q$1007,"&lt;&gt;OK")&gt;0)),"Correggi esecuzioni",IF(J52="Aperto","OK",IF(AND(I52="Esecuzioni",S52="Coperto",ABS(X52-Y52)&gt;'Impostazioni'!$B$11),"Copertura residua",IF(NOT(ISNUMBER(AC52)),"Completa risultato / esito",IF(AND(Z52=0,AC52&lt;&gt;0),"Rischio nullo con P/L","OK")))))))))))))</x:f>
      </x:c>
      <x:c r="AR52" s="20" t="str">
        <x:f>IF(OR(A52="",J52&lt;&gt;"Aperto",AQ52&lt;&gt;"OK"),"",IF(I52="Esecuzioni",SUMIFS('Esecuzioni'!$P$8:$P$1007,'Esecuzioni'!$A$8:$A$1007,A52,'Esecuzioni'!$B$8:$B$1007,_xlfn.MAXIFS('Esecuzioni'!$B$8:$B$1007,'Esecuzioni'!$A$8:$A$1007,A52)),IF(LEFT(U52,8)="FREEBET:",0,Z52)))</x:f>
      </x:c>
      <x:c r="AS52" s="48" t="str">
        <x:f>IF(OR(A52="",E52=""),"",IF(COUNTIFS($E$8:E52,E52)=1,COUNT($AS$7:AS51)+1,""))</x:f>
      </x:c>
    </x:row>
    <x:row r="53" ht="22" customHeight="1">
      <x:c r="A53" s="7"/>
      <x:c r="B53" s="19"/>
      <x:c r="C53" s="19"/>
      <x:c r="D53" s="7"/>
      <x:c r="E53" s="7"/>
      <x:c r="F53" s="7"/>
      <x:c r="G53" s="7"/>
      <x:c r="H53" s="7"/>
      <x:c r="I53" s="7"/>
      <x:c r="J53" s="7"/>
      <x:c r="K53" s="10"/>
      <x:c r="L53" s="7"/>
      <x:c r="M53" s="10"/>
      <x:c r="N53" s="7"/>
      <x:c r="O53" s="8"/>
      <x:c r="P53" s="8"/>
      <x:c r="Q53" s="8"/>
      <x:c r="R53" s="9"/>
      <x:c r="S53" s="7"/>
      <x:c r="T53" s="7"/>
      <x:c r="U53" s="7"/>
      <x:c r="V53" s="7"/>
      <x:c r="W53" s="22" t="str">
        <x:f>IF(A53="","",COUNTIFS('Esecuzioni'!$A$8:$A$1007,A53,'Esecuzioni'!$Q$8:$Q$1007,"OK"))</x:f>
      </x:c>
      <x:c r="X53" s="20" t="str">
        <x:f>IF(OR(A53="",I53&lt;&gt;"Esecuzioni",W53=0),"",SUMIFS('Esecuzioni'!$L$8:$L$1007,'Esecuzioni'!$A$8:$A$1007,A53))</x:f>
      </x:c>
      <x:c r="Y53" s="20" t="str">
        <x:f>IF(OR(A53="",I53&lt;&gt;"Esecuzioni",W53=0),"",SUMIFS('Esecuzioni'!$M$8:$M$1007,'Esecuzioni'!$A$8:$A$1007,A53))</x:f>
      </x:c>
      <x:c r="Z53" s="20" t="str">
        <x:f>IF(A53="","",IF(J53="Annullato",0,IF(ISNUMBER(O53),O53,IF(AND(I53="Esecuzioni",W53&gt;0),_xlfn.MAXIFS('Esecuzioni'!$P$8:$P$1007,'Esecuzioni'!$A$8:$A$1007,A53),""))))</x:f>
      </x:c>
      <x:c r="AA53" s="20" t="str">
        <x:f>IF(OR(A53="",J53="Aperto"),"",IF(J53="Annullato",0,IF(I53="Lordo manuale",IF(ISNUMBER(P53),P53,""),IF(I53="Netto manuale",IF(AND(ISNUMBER(P53),ISNUMBER(Q53)),P53+Q53,""),IF(OR(W53=0,COUNTIFS('Esecuzioni'!$A$8:$A$1007,A53,'Esecuzioni'!$Q$8:$Q$1007,"&lt;&gt;OK")&gt;0),"",IF(S53="Vince",X53,IF(S53="Perde",Y53,IF(AND(S53="Coperto",ABS(X53-Y53)&lt;='Impostazioni'!$B$11),ROUND((X53+Y53)/2,2),""))))))))</x:f>
      </x:c>
      <x:c r="AB53" s="20" t="str">
        <x:f>IF(NOT(ISNUMBER(AA53)),"",IF(J53="Annullato",0,IF(ISNUMBER(Q53),Q53,ROUND(MAX(0,AA53)*IF(ISNUMBER(R53),R53,'Impostazioni'!$B$8),2))))</x:f>
      </x:c>
      <x:c r="AC53" s="20" t="str">
        <x:f>IF(AND(ISNUMBER(AA53),ISNUMBER(AB53)),ROUND(AA53-AB53,2),"")</x:f>
      </x:c>
      <x:c r="AD53" s="18" t="str">
        <x:f>IF(A53="","",IF(AQ53&lt;&gt;"OK","Incompleto",IF(J53="Aperto","Aperto",IF(J53="Annullato","Annullato",IF(AC53&gt;0,"Green",IF(AC53&lt;0,"Red","Flat"))))))</x:f>
      </x:c>
      <x:c r="AE53" s="21" t="str">
        <x:f>IF(AND(AH53=1,Z53&gt;0),AC53/Z53,"")</x:f>
      </x:c>
      <x:c r="AF53" s="22" t="str">
        <x:f>IF(AH53&lt;&gt;1,"",COUNTIFS($C$8:$C$507,"&lt;"&amp;C53,$AH$8:$AH$507,1)+COUNTIFS($C$8:$C$507,C53,$A$8:$A$507,"&lt;="&amp;A53,$AH$8:$AH$507,1))</x:f>
      </x:c>
      <x:c r="AG53" s="20" t="str">
        <x:f>IF(AH53&lt;&gt;1,"",SUMIFS($AC$8:$AC$507,$C$8:$C$507,"&lt;"&amp;C53,$AH$8:$AH$507,1)+SUMIFS($AC$8:$AC$507,$C$8:$C$507,C53,$A$8:$A$507,"&lt;="&amp;A53,$AH$8:$AH$507,1))</x:f>
      </x:c>
      <x:c r="AH53" s="22" t="str">
        <x:f>IF(A53="","",IF(AND(J53="Chiuso",AQ53="OK",ISNUMBER(AC53)),1,0))</x:f>
      </x:c>
      <x:c r="AI53" s="20" t="str">
        <x:f>IF(AH53&lt;&gt;1,"",MAX(0,_xlfn.MAXIFS($AG$8:$AG$507,$AF$8:$AF$507,"&lt;="&amp;AF53,$AH$8:$AH$507,1)))</x:f>
      </x:c>
      <x:c r="AJ53" s="20" t="str">
        <x:f>IF(AH53&lt;&gt;1,"",MAX(0,AI53-AG53))</x:f>
      </x:c>
      <x:c r="AK53" s="21" t="str">
        <x:f>IF(OR(AH53&lt;&gt;1,NOT(ISNUMBER('Impostazioni'!$B$6)),'Impostazioni'!$B$6+AI53&lt;=0),"",AJ53/('Impostazioni'!$B$6+AI53))</x:f>
      </x:c>
      <x:c r="AL53" s="22" t="str">
        <x:f>IF(AH53&lt;&gt;1,"",IF(AC53&gt;0,AF53-_xlfn.MAXIFS($AF$8:$AF$507,$AF$8:$AF$507,"&lt;="&amp;AF53,$AC$8:$AC$507,"&lt;=0",$AH$8:$AH$507,1),0))</x:f>
      </x:c>
      <x:c r="AM53" s="22" t="str">
        <x:f>IF(AH53&lt;&gt;1,"",IF(AC53&lt;0,AF53-_xlfn.MAXIFS($AF$8:$AF$507,$AF$8:$AF$507,"&lt;="&amp;AF53,$AC$8:$AC$507,"&gt;=0",$AH$8:$AH$507,1),0))</x:f>
      </x:c>
      <x:c r="AN53" s="20" t="str">
        <x:f>IF(OR(A53="",NOT(ISNUMBER(B53)),NOT(ISNUMBER('Impostazioni'!$B$6))),"",'Impostazioni'!$B$6+SUMIFS($AC$8:$AC$507,$C$8:$C$507,"&lt;"&amp;B53,$AH$8:$AH$507,1)+SUMIFS('Cassa'!$F$8:$F$307,'Cassa'!$A$8:$A$307,"&lt;="&amp;B53,'Cassa'!$G$8:$G$307,"OK"))</x:f>
      </x:c>
      <x:c r="AO53" s="21" t="str">
        <x:f>IF(AND(ISNUMBER(Z53),ISNUMBER(AN53),AN53&gt;0),Z53/AN53,"")</x:f>
      </x:c>
      <x:c r="AP53" s="18" t="str">
        <x:f>IF(NOT(ISNUMBER(AO53)),"",IF(AO53&gt;'Impostazioni'!$B$7,"Oltre soglia personale","Nella soglia personale"))</x:f>
      </x:c>
      <x:c r="AQ53" s="18" t="str">
        <x:f>IF(A53="",IF(COUNTA(B53:V53)=0,"","Inserisci ID"),IF(COUNTIFS($A$8:$A$507,A53)&lt;&gt;1,"ID duplicato",IF(OR(NOT(ISNUMBER(B53)),D53="",E53="",F53="",G53="",H53="",COUNTIFS('Impostazioni'!$J$6:$J$25,F53)&lt;&gt;1),"Completa dati / elenchi",IF(OR(AND(I53&lt;&gt;"Lordo manuale",I53&lt;&gt;"Netto manuale",I53&lt;&gt;"Esecuzioni"),AND(J53&lt;&gt;"Aperto",J53&lt;&gt;"Chiuso",J53&lt;&gt;"Annullato")),"Modalità / stato mancanti",IF(AND(J53&lt;&gt;"Aperto",OR(NOT(ISNUMBER(C53)),C53&lt;B53)),"Correggi data chiusura",IF(OR(AND(Q53&lt;&gt;"",OR(NOT(ISNUMBER(Q53)),Q53&lt;0)),AND(R53&lt;&gt;"",OR(NOT(ISNUMBER(R53)),R53&lt;0,R53&gt;1))),"Commissione non valida",IF(J53="Annullato","OK",IF(OR(NOT(ISNUMBER(Z53)),Z53&lt;0,AND(O53&lt;&gt;"",NOT(ISNUMBER(O53)))),"Inserisci rischio",IF(AND(I53="Esecuzioni",OR(W53=0,COUNTIFS('Esecuzioni'!$A$8:$A$1007,A53,'Esecuzioni'!$Q$8:$Q$1007,"&lt;&gt;OK")&gt;0)),"Correggi esecuzioni",IF(J53="Aperto","OK",IF(AND(I53="Esecuzioni",S53="Coperto",ABS(X53-Y53)&gt;'Impostazioni'!$B$11),"Copertura residua",IF(NOT(ISNUMBER(AC53)),"Completa risultato / esito",IF(AND(Z53=0,AC53&lt;&gt;0),"Rischio nullo con P/L","OK")))))))))))))</x:f>
      </x:c>
      <x:c r="AR53" s="20" t="str">
        <x:f>IF(OR(A53="",J53&lt;&gt;"Aperto",AQ53&lt;&gt;"OK"),"",IF(I53="Esecuzioni",SUMIFS('Esecuzioni'!$P$8:$P$1007,'Esecuzioni'!$A$8:$A$1007,A53,'Esecuzioni'!$B$8:$B$1007,_xlfn.MAXIFS('Esecuzioni'!$B$8:$B$1007,'Esecuzioni'!$A$8:$A$1007,A53)),IF(LEFT(U53,8)="FREEBET:",0,Z53)))</x:f>
      </x:c>
      <x:c r="AS53" s="48" t="str">
        <x:f>IF(OR(A53="",E53=""),"",IF(COUNTIFS($E$8:E53,E53)=1,COUNT($AS$7:AS52)+1,""))</x:f>
      </x:c>
    </x:row>
    <x:row r="54" ht="22" customHeight="1">
      <x:c r="A54" s="7"/>
      <x:c r="B54" s="19"/>
      <x:c r="C54" s="19"/>
      <x:c r="D54" s="7"/>
      <x:c r="E54" s="7"/>
      <x:c r="F54" s="7"/>
      <x:c r="G54" s="7"/>
      <x:c r="H54" s="7"/>
      <x:c r="I54" s="7"/>
      <x:c r="J54" s="7"/>
      <x:c r="K54" s="10"/>
      <x:c r="L54" s="7"/>
      <x:c r="M54" s="10"/>
      <x:c r="N54" s="7"/>
      <x:c r="O54" s="8"/>
      <x:c r="P54" s="8"/>
      <x:c r="Q54" s="8"/>
      <x:c r="R54" s="9"/>
      <x:c r="S54" s="7"/>
      <x:c r="T54" s="7"/>
      <x:c r="U54" s="7"/>
      <x:c r="V54" s="7"/>
      <x:c r="W54" s="22" t="str">
        <x:f>IF(A54="","",COUNTIFS('Esecuzioni'!$A$8:$A$1007,A54,'Esecuzioni'!$Q$8:$Q$1007,"OK"))</x:f>
      </x:c>
      <x:c r="X54" s="20" t="str">
        <x:f>IF(OR(A54="",I54&lt;&gt;"Esecuzioni",W54=0),"",SUMIFS('Esecuzioni'!$L$8:$L$1007,'Esecuzioni'!$A$8:$A$1007,A54))</x:f>
      </x:c>
      <x:c r="Y54" s="20" t="str">
        <x:f>IF(OR(A54="",I54&lt;&gt;"Esecuzioni",W54=0),"",SUMIFS('Esecuzioni'!$M$8:$M$1007,'Esecuzioni'!$A$8:$A$1007,A54))</x:f>
      </x:c>
      <x:c r="Z54" s="20" t="str">
        <x:f>IF(A54="","",IF(J54="Annullato",0,IF(ISNUMBER(O54),O54,IF(AND(I54="Esecuzioni",W54&gt;0),_xlfn.MAXIFS('Esecuzioni'!$P$8:$P$1007,'Esecuzioni'!$A$8:$A$1007,A54),""))))</x:f>
      </x:c>
      <x:c r="AA54" s="20" t="str">
        <x:f>IF(OR(A54="",J54="Aperto"),"",IF(J54="Annullato",0,IF(I54="Lordo manuale",IF(ISNUMBER(P54),P54,""),IF(I54="Netto manuale",IF(AND(ISNUMBER(P54),ISNUMBER(Q54)),P54+Q54,""),IF(OR(W54=0,COUNTIFS('Esecuzioni'!$A$8:$A$1007,A54,'Esecuzioni'!$Q$8:$Q$1007,"&lt;&gt;OK")&gt;0),"",IF(S54="Vince",X54,IF(S54="Perde",Y54,IF(AND(S54="Coperto",ABS(X54-Y54)&lt;='Impostazioni'!$B$11),ROUND((X54+Y54)/2,2),""))))))))</x:f>
      </x:c>
      <x:c r="AB54" s="20" t="str">
        <x:f>IF(NOT(ISNUMBER(AA54)),"",IF(J54="Annullato",0,IF(ISNUMBER(Q54),Q54,ROUND(MAX(0,AA54)*IF(ISNUMBER(R54),R54,'Impostazioni'!$B$8),2))))</x:f>
      </x:c>
      <x:c r="AC54" s="20" t="str">
        <x:f>IF(AND(ISNUMBER(AA54),ISNUMBER(AB54)),ROUND(AA54-AB54,2),"")</x:f>
      </x:c>
      <x:c r="AD54" s="18" t="str">
        <x:f>IF(A54="","",IF(AQ54&lt;&gt;"OK","Incompleto",IF(J54="Aperto","Aperto",IF(J54="Annullato","Annullato",IF(AC54&gt;0,"Green",IF(AC54&lt;0,"Red","Flat"))))))</x:f>
      </x:c>
      <x:c r="AE54" s="21" t="str">
        <x:f>IF(AND(AH54=1,Z54&gt;0),AC54/Z54,"")</x:f>
      </x:c>
      <x:c r="AF54" s="22" t="str">
        <x:f>IF(AH54&lt;&gt;1,"",COUNTIFS($C$8:$C$507,"&lt;"&amp;C54,$AH$8:$AH$507,1)+COUNTIFS($C$8:$C$507,C54,$A$8:$A$507,"&lt;="&amp;A54,$AH$8:$AH$507,1))</x:f>
      </x:c>
      <x:c r="AG54" s="20" t="str">
        <x:f>IF(AH54&lt;&gt;1,"",SUMIFS($AC$8:$AC$507,$C$8:$C$507,"&lt;"&amp;C54,$AH$8:$AH$507,1)+SUMIFS($AC$8:$AC$507,$C$8:$C$507,C54,$A$8:$A$507,"&lt;="&amp;A54,$AH$8:$AH$507,1))</x:f>
      </x:c>
      <x:c r="AH54" s="22" t="str">
        <x:f>IF(A54="","",IF(AND(J54="Chiuso",AQ54="OK",ISNUMBER(AC54)),1,0))</x:f>
      </x:c>
      <x:c r="AI54" s="20" t="str">
        <x:f>IF(AH54&lt;&gt;1,"",MAX(0,_xlfn.MAXIFS($AG$8:$AG$507,$AF$8:$AF$507,"&lt;="&amp;AF54,$AH$8:$AH$507,1)))</x:f>
      </x:c>
      <x:c r="AJ54" s="20" t="str">
        <x:f>IF(AH54&lt;&gt;1,"",MAX(0,AI54-AG54))</x:f>
      </x:c>
      <x:c r="AK54" s="21" t="str">
        <x:f>IF(OR(AH54&lt;&gt;1,NOT(ISNUMBER('Impostazioni'!$B$6)),'Impostazioni'!$B$6+AI54&lt;=0),"",AJ54/('Impostazioni'!$B$6+AI54))</x:f>
      </x:c>
      <x:c r="AL54" s="22" t="str">
        <x:f>IF(AH54&lt;&gt;1,"",IF(AC54&gt;0,AF54-_xlfn.MAXIFS($AF$8:$AF$507,$AF$8:$AF$507,"&lt;="&amp;AF54,$AC$8:$AC$507,"&lt;=0",$AH$8:$AH$507,1),0))</x:f>
      </x:c>
      <x:c r="AM54" s="22" t="str">
        <x:f>IF(AH54&lt;&gt;1,"",IF(AC54&lt;0,AF54-_xlfn.MAXIFS($AF$8:$AF$507,$AF$8:$AF$507,"&lt;="&amp;AF54,$AC$8:$AC$507,"&gt;=0",$AH$8:$AH$507,1),0))</x:f>
      </x:c>
      <x:c r="AN54" s="20" t="str">
        <x:f>IF(OR(A54="",NOT(ISNUMBER(B54)),NOT(ISNUMBER('Impostazioni'!$B$6))),"",'Impostazioni'!$B$6+SUMIFS($AC$8:$AC$507,$C$8:$C$507,"&lt;"&amp;B54,$AH$8:$AH$507,1)+SUMIFS('Cassa'!$F$8:$F$307,'Cassa'!$A$8:$A$307,"&lt;="&amp;B54,'Cassa'!$G$8:$G$307,"OK"))</x:f>
      </x:c>
      <x:c r="AO54" s="21" t="str">
        <x:f>IF(AND(ISNUMBER(Z54),ISNUMBER(AN54),AN54&gt;0),Z54/AN54,"")</x:f>
      </x:c>
      <x:c r="AP54" s="18" t="str">
        <x:f>IF(NOT(ISNUMBER(AO54)),"",IF(AO54&gt;'Impostazioni'!$B$7,"Oltre soglia personale","Nella soglia personale"))</x:f>
      </x:c>
      <x:c r="AQ54" s="18" t="str">
        <x:f>IF(A54="",IF(COUNTA(B54:V54)=0,"","Inserisci ID"),IF(COUNTIFS($A$8:$A$507,A54)&lt;&gt;1,"ID duplicato",IF(OR(NOT(ISNUMBER(B54)),D54="",E54="",F54="",G54="",H54="",COUNTIFS('Impostazioni'!$J$6:$J$25,F54)&lt;&gt;1),"Completa dati / elenchi",IF(OR(AND(I54&lt;&gt;"Lordo manuale",I54&lt;&gt;"Netto manuale",I54&lt;&gt;"Esecuzioni"),AND(J54&lt;&gt;"Aperto",J54&lt;&gt;"Chiuso",J54&lt;&gt;"Annullato")),"Modalità / stato mancanti",IF(AND(J54&lt;&gt;"Aperto",OR(NOT(ISNUMBER(C54)),C54&lt;B54)),"Correggi data chiusura",IF(OR(AND(Q54&lt;&gt;"",OR(NOT(ISNUMBER(Q54)),Q54&lt;0)),AND(R54&lt;&gt;"",OR(NOT(ISNUMBER(R54)),R54&lt;0,R54&gt;1))),"Commissione non valida",IF(J54="Annullato","OK",IF(OR(NOT(ISNUMBER(Z54)),Z54&lt;0,AND(O54&lt;&gt;"",NOT(ISNUMBER(O54)))),"Inserisci rischio",IF(AND(I54="Esecuzioni",OR(W54=0,COUNTIFS('Esecuzioni'!$A$8:$A$1007,A54,'Esecuzioni'!$Q$8:$Q$1007,"&lt;&gt;OK")&gt;0)),"Correggi esecuzioni",IF(J54="Aperto","OK",IF(AND(I54="Esecuzioni",S54="Coperto",ABS(X54-Y54)&gt;'Impostazioni'!$B$11),"Copertura residua",IF(NOT(ISNUMBER(AC54)),"Completa risultato / esito",IF(AND(Z54=0,AC54&lt;&gt;0),"Rischio nullo con P/L","OK")))))))))))))</x:f>
      </x:c>
      <x:c r="AR54" s="20" t="str">
        <x:f>IF(OR(A54="",J54&lt;&gt;"Aperto",AQ54&lt;&gt;"OK"),"",IF(I54="Esecuzioni",SUMIFS('Esecuzioni'!$P$8:$P$1007,'Esecuzioni'!$A$8:$A$1007,A54,'Esecuzioni'!$B$8:$B$1007,_xlfn.MAXIFS('Esecuzioni'!$B$8:$B$1007,'Esecuzioni'!$A$8:$A$1007,A54)),IF(LEFT(U54,8)="FREEBET:",0,Z54)))</x:f>
      </x:c>
      <x:c r="AS54" s="48" t="str">
        <x:f>IF(OR(A54="",E54=""),"",IF(COUNTIFS($E$8:E54,E54)=1,COUNT($AS$7:AS53)+1,""))</x:f>
      </x:c>
    </x:row>
    <x:row r="55" ht="22" customHeight="1">
      <x:c r="A55" s="7"/>
      <x:c r="B55" s="19"/>
      <x:c r="C55" s="19"/>
      <x:c r="D55" s="7"/>
      <x:c r="E55" s="7"/>
      <x:c r="F55" s="7"/>
      <x:c r="G55" s="7"/>
      <x:c r="H55" s="7"/>
      <x:c r="I55" s="7"/>
      <x:c r="J55" s="7"/>
      <x:c r="K55" s="10"/>
      <x:c r="L55" s="7"/>
      <x:c r="M55" s="10"/>
      <x:c r="N55" s="7"/>
      <x:c r="O55" s="8"/>
      <x:c r="P55" s="8"/>
      <x:c r="Q55" s="8"/>
      <x:c r="R55" s="9"/>
      <x:c r="S55" s="7"/>
      <x:c r="T55" s="7"/>
      <x:c r="U55" s="7"/>
      <x:c r="V55" s="7"/>
      <x:c r="W55" s="22" t="str">
        <x:f>IF(A55="","",COUNTIFS('Esecuzioni'!$A$8:$A$1007,A55,'Esecuzioni'!$Q$8:$Q$1007,"OK"))</x:f>
      </x:c>
      <x:c r="X55" s="20" t="str">
        <x:f>IF(OR(A55="",I55&lt;&gt;"Esecuzioni",W55=0),"",SUMIFS('Esecuzioni'!$L$8:$L$1007,'Esecuzioni'!$A$8:$A$1007,A55))</x:f>
      </x:c>
      <x:c r="Y55" s="20" t="str">
        <x:f>IF(OR(A55="",I55&lt;&gt;"Esecuzioni",W55=0),"",SUMIFS('Esecuzioni'!$M$8:$M$1007,'Esecuzioni'!$A$8:$A$1007,A55))</x:f>
      </x:c>
      <x:c r="Z55" s="20" t="str">
        <x:f>IF(A55="","",IF(J55="Annullato",0,IF(ISNUMBER(O55),O55,IF(AND(I55="Esecuzioni",W55&gt;0),_xlfn.MAXIFS('Esecuzioni'!$P$8:$P$1007,'Esecuzioni'!$A$8:$A$1007,A55),""))))</x:f>
      </x:c>
      <x:c r="AA55" s="20" t="str">
        <x:f>IF(OR(A55="",J55="Aperto"),"",IF(J55="Annullato",0,IF(I55="Lordo manuale",IF(ISNUMBER(P55),P55,""),IF(I55="Netto manuale",IF(AND(ISNUMBER(P55),ISNUMBER(Q55)),P55+Q55,""),IF(OR(W55=0,COUNTIFS('Esecuzioni'!$A$8:$A$1007,A55,'Esecuzioni'!$Q$8:$Q$1007,"&lt;&gt;OK")&gt;0),"",IF(S55="Vince",X55,IF(S55="Perde",Y55,IF(AND(S55="Coperto",ABS(X55-Y55)&lt;='Impostazioni'!$B$11),ROUND((X55+Y55)/2,2),""))))))))</x:f>
      </x:c>
      <x:c r="AB55" s="20" t="str">
        <x:f>IF(NOT(ISNUMBER(AA55)),"",IF(J55="Annullato",0,IF(ISNUMBER(Q55),Q55,ROUND(MAX(0,AA55)*IF(ISNUMBER(R55),R55,'Impostazioni'!$B$8),2))))</x:f>
      </x:c>
      <x:c r="AC55" s="20" t="str">
        <x:f>IF(AND(ISNUMBER(AA55),ISNUMBER(AB55)),ROUND(AA55-AB55,2),"")</x:f>
      </x:c>
      <x:c r="AD55" s="18" t="str">
        <x:f>IF(A55="","",IF(AQ55&lt;&gt;"OK","Incompleto",IF(J55="Aperto","Aperto",IF(J55="Annullato","Annullato",IF(AC55&gt;0,"Green",IF(AC55&lt;0,"Red","Flat"))))))</x:f>
      </x:c>
      <x:c r="AE55" s="21" t="str">
        <x:f>IF(AND(AH55=1,Z55&gt;0),AC55/Z55,"")</x:f>
      </x:c>
      <x:c r="AF55" s="22" t="str">
        <x:f>IF(AH55&lt;&gt;1,"",COUNTIFS($C$8:$C$507,"&lt;"&amp;C55,$AH$8:$AH$507,1)+COUNTIFS($C$8:$C$507,C55,$A$8:$A$507,"&lt;="&amp;A55,$AH$8:$AH$507,1))</x:f>
      </x:c>
      <x:c r="AG55" s="20" t="str">
        <x:f>IF(AH55&lt;&gt;1,"",SUMIFS($AC$8:$AC$507,$C$8:$C$507,"&lt;"&amp;C55,$AH$8:$AH$507,1)+SUMIFS($AC$8:$AC$507,$C$8:$C$507,C55,$A$8:$A$507,"&lt;="&amp;A55,$AH$8:$AH$507,1))</x:f>
      </x:c>
      <x:c r="AH55" s="22" t="str">
        <x:f>IF(A55="","",IF(AND(J55="Chiuso",AQ55="OK",ISNUMBER(AC55)),1,0))</x:f>
      </x:c>
      <x:c r="AI55" s="20" t="str">
        <x:f>IF(AH55&lt;&gt;1,"",MAX(0,_xlfn.MAXIFS($AG$8:$AG$507,$AF$8:$AF$507,"&lt;="&amp;AF55,$AH$8:$AH$507,1)))</x:f>
      </x:c>
      <x:c r="AJ55" s="20" t="str">
        <x:f>IF(AH55&lt;&gt;1,"",MAX(0,AI55-AG55))</x:f>
      </x:c>
      <x:c r="AK55" s="21" t="str">
        <x:f>IF(OR(AH55&lt;&gt;1,NOT(ISNUMBER('Impostazioni'!$B$6)),'Impostazioni'!$B$6+AI55&lt;=0),"",AJ55/('Impostazioni'!$B$6+AI55))</x:f>
      </x:c>
      <x:c r="AL55" s="22" t="str">
        <x:f>IF(AH55&lt;&gt;1,"",IF(AC55&gt;0,AF55-_xlfn.MAXIFS($AF$8:$AF$507,$AF$8:$AF$507,"&lt;="&amp;AF55,$AC$8:$AC$507,"&lt;=0",$AH$8:$AH$507,1),0))</x:f>
      </x:c>
      <x:c r="AM55" s="22" t="str">
        <x:f>IF(AH55&lt;&gt;1,"",IF(AC55&lt;0,AF55-_xlfn.MAXIFS($AF$8:$AF$507,$AF$8:$AF$507,"&lt;="&amp;AF55,$AC$8:$AC$507,"&gt;=0",$AH$8:$AH$507,1),0))</x:f>
      </x:c>
      <x:c r="AN55" s="20" t="str">
        <x:f>IF(OR(A55="",NOT(ISNUMBER(B55)),NOT(ISNUMBER('Impostazioni'!$B$6))),"",'Impostazioni'!$B$6+SUMIFS($AC$8:$AC$507,$C$8:$C$507,"&lt;"&amp;B55,$AH$8:$AH$507,1)+SUMIFS('Cassa'!$F$8:$F$307,'Cassa'!$A$8:$A$307,"&lt;="&amp;B55,'Cassa'!$G$8:$G$307,"OK"))</x:f>
      </x:c>
      <x:c r="AO55" s="21" t="str">
        <x:f>IF(AND(ISNUMBER(Z55),ISNUMBER(AN55),AN55&gt;0),Z55/AN55,"")</x:f>
      </x:c>
      <x:c r="AP55" s="18" t="str">
        <x:f>IF(NOT(ISNUMBER(AO55)),"",IF(AO55&gt;'Impostazioni'!$B$7,"Oltre soglia personale","Nella soglia personale"))</x:f>
      </x:c>
      <x:c r="AQ55" s="18" t="str">
        <x:f>IF(A55="",IF(COUNTA(B55:V55)=0,"","Inserisci ID"),IF(COUNTIFS($A$8:$A$507,A55)&lt;&gt;1,"ID duplicato",IF(OR(NOT(ISNUMBER(B55)),D55="",E55="",F55="",G55="",H55="",COUNTIFS('Impostazioni'!$J$6:$J$25,F55)&lt;&gt;1),"Completa dati / elenchi",IF(OR(AND(I55&lt;&gt;"Lordo manuale",I55&lt;&gt;"Netto manuale",I55&lt;&gt;"Esecuzioni"),AND(J55&lt;&gt;"Aperto",J55&lt;&gt;"Chiuso",J55&lt;&gt;"Annullato")),"Modalità / stato mancanti",IF(AND(J55&lt;&gt;"Aperto",OR(NOT(ISNUMBER(C55)),C55&lt;B55)),"Correggi data chiusura",IF(OR(AND(Q55&lt;&gt;"",OR(NOT(ISNUMBER(Q55)),Q55&lt;0)),AND(R55&lt;&gt;"",OR(NOT(ISNUMBER(R55)),R55&lt;0,R55&gt;1))),"Commissione non valida",IF(J55="Annullato","OK",IF(OR(NOT(ISNUMBER(Z55)),Z55&lt;0,AND(O55&lt;&gt;"",NOT(ISNUMBER(O55)))),"Inserisci rischio",IF(AND(I55="Esecuzioni",OR(W55=0,COUNTIFS('Esecuzioni'!$A$8:$A$1007,A55,'Esecuzioni'!$Q$8:$Q$1007,"&lt;&gt;OK")&gt;0)),"Correggi esecuzioni",IF(J55="Aperto","OK",IF(AND(I55="Esecuzioni",S55="Coperto",ABS(X55-Y55)&gt;'Impostazioni'!$B$11),"Copertura residua",IF(NOT(ISNUMBER(AC55)),"Completa risultato / esito",IF(AND(Z55=0,AC55&lt;&gt;0),"Rischio nullo con P/L","OK")))))))))))))</x:f>
      </x:c>
      <x:c r="AR55" s="20" t="str">
        <x:f>IF(OR(A55="",J55&lt;&gt;"Aperto",AQ55&lt;&gt;"OK"),"",IF(I55="Esecuzioni",SUMIFS('Esecuzioni'!$P$8:$P$1007,'Esecuzioni'!$A$8:$A$1007,A55,'Esecuzioni'!$B$8:$B$1007,_xlfn.MAXIFS('Esecuzioni'!$B$8:$B$1007,'Esecuzioni'!$A$8:$A$1007,A55)),IF(LEFT(U55,8)="FREEBET:",0,Z55)))</x:f>
      </x:c>
      <x:c r="AS55" s="48" t="str">
        <x:f>IF(OR(A55="",E55=""),"",IF(COUNTIFS($E$8:E55,E55)=1,COUNT($AS$7:AS54)+1,""))</x:f>
      </x:c>
    </x:row>
    <x:row r="56" ht="22" customHeight="1">
      <x:c r="A56" s="7"/>
      <x:c r="B56" s="19"/>
      <x:c r="C56" s="19"/>
      <x:c r="D56" s="7"/>
      <x:c r="E56" s="7"/>
      <x:c r="F56" s="7"/>
      <x:c r="G56" s="7"/>
      <x:c r="H56" s="7"/>
      <x:c r="I56" s="7"/>
      <x:c r="J56" s="7"/>
      <x:c r="K56" s="10"/>
      <x:c r="L56" s="7"/>
      <x:c r="M56" s="10"/>
      <x:c r="N56" s="7"/>
      <x:c r="O56" s="8"/>
      <x:c r="P56" s="8"/>
      <x:c r="Q56" s="8"/>
      <x:c r="R56" s="9"/>
      <x:c r="S56" s="7"/>
      <x:c r="T56" s="7"/>
      <x:c r="U56" s="7"/>
      <x:c r="V56" s="7"/>
      <x:c r="W56" s="22" t="str">
        <x:f>IF(A56="","",COUNTIFS('Esecuzioni'!$A$8:$A$1007,A56,'Esecuzioni'!$Q$8:$Q$1007,"OK"))</x:f>
      </x:c>
      <x:c r="X56" s="20" t="str">
        <x:f>IF(OR(A56="",I56&lt;&gt;"Esecuzioni",W56=0),"",SUMIFS('Esecuzioni'!$L$8:$L$1007,'Esecuzioni'!$A$8:$A$1007,A56))</x:f>
      </x:c>
      <x:c r="Y56" s="20" t="str">
        <x:f>IF(OR(A56="",I56&lt;&gt;"Esecuzioni",W56=0),"",SUMIFS('Esecuzioni'!$M$8:$M$1007,'Esecuzioni'!$A$8:$A$1007,A56))</x:f>
      </x:c>
      <x:c r="Z56" s="20" t="str">
        <x:f>IF(A56="","",IF(J56="Annullato",0,IF(ISNUMBER(O56),O56,IF(AND(I56="Esecuzioni",W56&gt;0),_xlfn.MAXIFS('Esecuzioni'!$P$8:$P$1007,'Esecuzioni'!$A$8:$A$1007,A56),""))))</x:f>
      </x:c>
      <x:c r="AA56" s="20" t="str">
        <x:f>IF(OR(A56="",J56="Aperto"),"",IF(J56="Annullato",0,IF(I56="Lordo manuale",IF(ISNUMBER(P56),P56,""),IF(I56="Netto manuale",IF(AND(ISNUMBER(P56),ISNUMBER(Q56)),P56+Q56,""),IF(OR(W56=0,COUNTIFS('Esecuzioni'!$A$8:$A$1007,A56,'Esecuzioni'!$Q$8:$Q$1007,"&lt;&gt;OK")&gt;0),"",IF(S56="Vince",X56,IF(S56="Perde",Y56,IF(AND(S56="Coperto",ABS(X56-Y56)&lt;='Impostazioni'!$B$11),ROUND((X56+Y56)/2,2),""))))))))</x:f>
      </x:c>
      <x:c r="AB56" s="20" t="str">
        <x:f>IF(NOT(ISNUMBER(AA56)),"",IF(J56="Annullato",0,IF(ISNUMBER(Q56),Q56,ROUND(MAX(0,AA56)*IF(ISNUMBER(R56),R56,'Impostazioni'!$B$8),2))))</x:f>
      </x:c>
      <x:c r="AC56" s="20" t="str">
        <x:f>IF(AND(ISNUMBER(AA56),ISNUMBER(AB56)),ROUND(AA56-AB56,2),"")</x:f>
      </x:c>
      <x:c r="AD56" s="18" t="str">
        <x:f>IF(A56="","",IF(AQ56&lt;&gt;"OK","Incompleto",IF(J56="Aperto","Aperto",IF(J56="Annullato","Annullato",IF(AC56&gt;0,"Green",IF(AC56&lt;0,"Red","Flat"))))))</x:f>
      </x:c>
      <x:c r="AE56" s="21" t="str">
        <x:f>IF(AND(AH56=1,Z56&gt;0),AC56/Z56,"")</x:f>
      </x:c>
      <x:c r="AF56" s="22" t="str">
        <x:f>IF(AH56&lt;&gt;1,"",COUNTIFS($C$8:$C$507,"&lt;"&amp;C56,$AH$8:$AH$507,1)+COUNTIFS($C$8:$C$507,C56,$A$8:$A$507,"&lt;="&amp;A56,$AH$8:$AH$507,1))</x:f>
      </x:c>
      <x:c r="AG56" s="20" t="str">
        <x:f>IF(AH56&lt;&gt;1,"",SUMIFS($AC$8:$AC$507,$C$8:$C$507,"&lt;"&amp;C56,$AH$8:$AH$507,1)+SUMIFS($AC$8:$AC$507,$C$8:$C$507,C56,$A$8:$A$507,"&lt;="&amp;A56,$AH$8:$AH$507,1))</x:f>
      </x:c>
      <x:c r="AH56" s="22" t="str">
        <x:f>IF(A56="","",IF(AND(J56="Chiuso",AQ56="OK",ISNUMBER(AC56)),1,0))</x:f>
      </x:c>
      <x:c r="AI56" s="20" t="str">
        <x:f>IF(AH56&lt;&gt;1,"",MAX(0,_xlfn.MAXIFS($AG$8:$AG$507,$AF$8:$AF$507,"&lt;="&amp;AF56,$AH$8:$AH$507,1)))</x:f>
      </x:c>
      <x:c r="AJ56" s="20" t="str">
        <x:f>IF(AH56&lt;&gt;1,"",MAX(0,AI56-AG56))</x:f>
      </x:c>
      <x:c r="AK56" s="21" t="str">
        <x:f>IF(OR(AH56&lt;&gt;1,NOT(ISNUMBER('Impostazioni'!$B$6)),'Impostazioni'!$B$6+AI56&lt;=0),"",AJ56/('Impostazioni'!$B$6+AI56))</x:f>
      </x:c>
      <x:c r="AL56" s="22" t="str">
        <x:f>IF(AH56&lt;&gt;1,"",IF(AC56&gt;0,AF56-_xlfn.MAXIFS($AF$8:$AF$507,$AF$8:$AF$507,"&lt;="&amp;AF56,$AC$8:$AC$507,"&lt;=0",$AH$8:$AH$507,1),0))</x:f>
      </x:c>
      <x:c r="AM56" s="22" t="str">
        <x:f>IF(AH56&lt;&gt;1,"",IF(AC56&lt;0,AF56-_xlfn.MAXIFS($AF$8:$AF$507,$AF$8:$AF$507,"&lt;="&amp;AF56,$AC$8:$AC$507,"&gt;=0",$AH$8:$AH$507,1),0))</x:f>
      </x:c>
      <x:c r="AN56" s="20" t="str">
        <x:f>IF(OR(A56="",NOT(ISNUMBER(B56)),NOT(ISNUMBER('Impostazioni'!$B$6))),"",'Impostazioni'!$B$6+SUMIFS($AC$8:$AC$507,$C$8:$C$507,"&lt;"&amp;B56,$AH$8:$AH$507,1)+SUMIFS('Cassa'!$F$8:$F$307,'Cassa'!$A$8:$A$307,"&lt;="&amp;B56,'Cassa'!$G$8:$G$307,"OK"))</x:f>
      </x:c>
      <x:c r="AO56" s="21" t="str">
        <x:f>IF(AND(ISNUMBER(Z56),ISNUMBER(AN56),AN56&gt;0),Z56/AN56,"")</x:f>
      </x:c>
      <x:c r="AP56" s="18" t="str">
        <x:f>IF(NOT(ISNUMBER(AO56)),"",IF(AO56&gt;'Impostazioni'!$B$7,"Oltre soglia personale","Nella soglia personale"))</x:f>
      </x:c>
      <x:c r="AQ56" s="18" t="str">
        <x:f>IF(A56="",IF(COUNTA(B56:V56)=0,"","Inserisci ID"),IF(COUNTIFS($A$8:$A$507,A56)&lt;&gt;1,"ID duplicato",IF(OR(NOT(ISNUMBER(B56)),D56="",E56="",F56="",G56="",H56="",COUNTIFS('Impostazioni'!$J$6:$J$25,F56)&lt;&gt;1),"Completa dati / elenchi",IF(OR(AND(I56&lt;&gt;"Lordo manuale",I56&lt;&gt;"Netto manuale",I56&lt;&gt;"Esecuzioni"),AND(J56&lt;&gt;"Aperto",J56&lt;&gt;"Chiuso",J56&lt;&gt;"Annullato")),"Modalità / stato mancanti",IF(AND(J56&lt;&gt;"Aperto",OR(NOT(ISNUMBER(C56)),C56&lt;B56)),"Correggi data chiusura",IF(OR(AND(Q56&lt;&gt;"",OR(NOT(ISNUMBER(Q56)),Q56&lt;0)),AND(R56&lt;&gt;"",OR(NOT(ISNUMBER(R56)),R56&lt;0,R56&gt;1))),"Commissione non valida",IF(J56="Annullato","OK",IF(OR(NOT(ISNUMBER(Z56)),Z56&lt;0,AND(O56&lt;&gt;"",NOT(ISNUMBER(O56)))),"Inserisci rischio",IF(AND(I56="Esecuzioni",OR(W56=0,COUNTIFS('Esecuzioni'!$A$8:$A$1007,A56,'Esecuzioni'!$Q$8:$Q$1007,"&lt;&gt;OK")&gt;0)),"Correggi esecuzioni",IF(J56="Aperto","OK",IF(AND(I56="Esecuzioni",S56="Coperto",ABS(X56-Y56)&gt;'Impostazioni'!$B$11),"Copertura residua",IF(NOT(ISNUMBER(AC56)),"Completa risultato / esito",IF(AND(Z56=0,AC56&lt;&gt;0),"Rischio nullo con P/L","OK")))))))))))))</x:f>
      </x:c>
      <x:c r="AR56" s="20" t="str">
        <x:f>IF(OR(A56="",J56&lt;&gt;"Aperto",AQ56&lt;&gt;"OK"),"",IF(I56="Esecuzioni",SUMIFS('Esecuzioni'!$P$8:$P$1007,'Esecuzioni'!$A$8:$A$1007,A56,'Esecuzioni'!$B$8:$B$1007,_xlfn.MAXIFS('Esecuzioni'!$B$8:$B$1007,'Esecuzioni'!$A$8:$A$1007,A56)),IF(LEFT(U56,8)="FREEBET:",0,Z56)))</x:f>
      </x:c>
      <x:c r="AS56" s="48" t="str">
        <x:f>IF(OR(A56="",E56=""),"",IF(COUNTIFS($E$8:E56,E56)=1,COUNT($AS$7:AS55)+1,""))</x:f>
      </x:c>
    </x:row>
    <x:row r="57" ht="22" customHeight="1">
      <x:c r="A57" s="7"/>
      <x:c r="B57" s="19"/>
      <x:c r="C57" s="19"/>
      <x:c r="D57" s="7"/>
      <x:c r="E57" s="7"/>
      <x:c r="F57" s="7"/>
      <x:c r="G57" s="7"/>
      <x:c r="H57" s="7"/>
      <x:c r="I57" s="7"/>
      <x:c r="J57" s="7"/>
      <x:c r="K57" s="10"/>
      <x:c r="L57" s="7"/>
      <x:c r="M57" s="10"/>
      <x:c r="N57" s="7"/>
      <x:c r="O57" s="8"/>
      <x:c r="P57" s="8"/>
      <x:c r="Q57" s="8"/>
      <x:c r="R57" s="9"/>
      <x:c r="S57" s="7"/>
      <x:c r="T57" s="7"/>
      <x:c r="U57" s="7"/>
      <x:c r="V57" s="7"/>
      <x:c r="W57" s="22" t="str">
        <x:f>IF(A57="","",COUNTIFS('Esecuzioni'!$A$8:$A$1007,A57,'Esecuzioni'!$Q$8:$Q$1007,"OK"))</x:f>
      </x:c>
      <x:c r="X57" s="20" t="str">
        <x:f>IF(OR(A57="",I57&lt;&gt;"Esecuzioni",W57=0),"",SUMIFS('Esecuzioni'!$L$8:$L$1007,'Esecuzioni'!$A$8:$A$1007,A57))</x:f>
      </x:c>
      <x:c r="Y57" s="20" t="str">
        <x:f>IF(OR(A57="",I57&lt;&gt;"Esecuzioni",W57=0),"",SUMIFS('Esecuzioni'!$M$8:$M$1007,'Esecuzioni'!$A$8:$A$1007,A57))</x:f>
      </x:c>
      <x:c r="Z57" s="20" t="str">
        <x:f>IF(A57="","",IF(J57="Annullato",0,IF(ISNUMBER(O57),O57,IF(AND(I57="Esecuzioni",W57&gt;0),_xlfn.MAXIFS('Esecuzioni'!$P$8:$P$1007,'Esecuzioni'!$A$8:$A$1007,A57),""))))</x:f>
      </x:c>
      <x:c r="AA57" s="20" t="str">
        <x:f>IF(OR(A57="",J57="Aperto"),"",IF(J57="Annullato",0,IF(I57="Lordo manuale",IF(ISNUMBER(P57),P57,""),IF(I57="Netto manuale",IF(AND(ISNUMBER(P57),ISNUMBER(Q57)),P57+Q57,""),IF(OR(W57=0,COUNTIFS('Esecuzioni'!$A$8:$A$1007,A57,'Esecuzioni'!$Q$8:$Q$1007,"&lt;&gt;OK")&gt;0),"",IF(S57="Vince",X57,IF(S57="Perde",Y57,IF(AND(S57="Coperto",ABS(X57-Y57)&lt;='Impostazioni'!$B$11),ROUND((X57+Y57)/2,2),""))))))))</x:f>
      </x:c>
      <x:c r="AB57" s="20" t="str">
        <x:f>IF(NOT(ISNUMBER(AA57)),"",IF(J57="Annullato",0,IF(ISNUMBER(Q57),Q57,ROUND(MAX(0,AA57)*IF(ISNUMBER(R57),R57,'Impostazioni'!$B$8),2))))</x:f>
      </x:c>
      <x:c r="AC57" s="20" t="str">
        <x:f>IF(AND(ISNUMBER(AA57),ISNUMBER(AB57)),ROUND(AA57-AB57,2),"")</x:f>
      </x:c>
      <x:c r="AD57" s="18" t="str">
        <x:f>IF(A57="","",IF(AQ57&lt;&gt;"OK","Incompleto",IF(J57="Aperto","Aperto",IF(J57="Annullato","Annullato",IF(AC57&gt;0,"Green",IF(AC57&lt;0,"Red","Flat"))))))</x:f>
      </x:c>
      <x:c r="AE57" s="21" t="str">
        <x:f>IF(AND(AH57=1,Z57&gt;0),AC57/Z57,"")</x:f>
      </x:c>
      <x:c r="AF57" s="22" t="str">
        <x:f>IF(AH57&lt;&gt;1,"",COUNTIFS($C$8:$C$507,"&lt;"&amp;C57,$AH$8:$AH$507,1)+COUNTIFS($C$8:$C$507,C57,$A$8:$A$507,"&lt;="&amp;A57,$AH$8:$AH$507,1))</x:f>
      </x:c>
      <x:c r="AG57" s="20" t="str">
        <x:f>IF(AH57&lt;&gt;1,"",SUMIFS($AC$8:$AC$507,$C$8:$C$507,"&lt;"&amp;C57,$AH$8:$AH$507,1)+SUMIFS($AC$8:$AC$507,$C$8:$C$507,C57,$A$8:$A$507,"&lt;="&amp;A57,$AH$8:$AH$507,1))</x:f>
      </x:c>
      <x:c r="AH57" s="22" t="str">
        <x:f>IF(A57="","",IF(AND(J57="Chiuso",AQ57="OK",ISNUMBER(AC57)),1,0))</x:f>
      </x:c>
      <x:c r="AI57" s="20" t="str">
        <x:f>IF(AH57&lt;&gt;1,"",MAX(0,_xlfn.MAXIFS($AG$8:$AG$507,$AF$8:$AF$507,"&lt;="&amp;AF57,$AH$8:$AH$507,1)))</x:f>
      </x:c>
      <x:c r="AJ57" s="20" t="str">
        <x:f>IF(AH57&lt;&gt;1,"",MAX(0,AI57-AG57))</x:f>
      </x:c>
      <x:c r="AK57" s="21" t="str">
        <x:f>IF(OR(AH57&lt;&gt;1,NOT(ISNUMBER('Impostazioni'!$B$6)),'Impostazioni'!$B$6+AI57&lt;=0),"",AJ57/('Impostazioni'!$B$6+AI57))</x:f>
      </x:c>
      <x:c r="AL57" s="22" t="str">
        <x:f>IF(AH57&lt;&gt;1,"",IF(AC57&gt;0,AF57-_xlfn.MAXIFS($AF$8:$AF$507,$AF$8:$AF$507,"&lt;="&amp;AF57,$AC$8:$AC$507,"&lt;=0",$AH$8:$AH$507,1),0))</x:f>
      </x:c>
      <x:c r="AM57" s="22" t="str">
        <x:f>IF(AH57&lt;&gt;1,"",IF(AC57&lt;0,AF57-_xlfn.MAXIFS($AF$8:$AF$507,$AF$8:$AF$507,"&lt;="&amp;AF57,$AC$8:$AC$507,"&gt;=0",$AH$8:$AH$507,1),0))</x:f>
      </x:c>
      <x:c r="AN57" s="20" t="str">
        <x:f>IF(OR(A57="",NOT(ISNUMBER(B57)),NOT(ISNUMBER('Impostazioni'!$B$6))),"",'Impostazioni'!$B$6+SUMIFS($AC$8:$AC$507,$C$8:$C$507,"&lt;"&amp;B57,$AH$8:$AH$507,1)+SUMIFS('Cassa'!$F$8:$F$307,'Cassa'!$A$8:$A$307,"&lt;="&amp;B57,'Cassa'!$G$8:$G$307,"OK"))</x:f>
      </x:c>
      <x:c r="AO57" s="21" t="str">
        <x:f>IF(AND(ISNUMBER(Z57),ISNUMBER(AN57),AN57&gt;0),Z57/AN57,"")</x:f>
      </x:c>
      <x:c r="AP57" s="18" t="str">
        <x:f>IF(NOT(ISNUMBER(AO57)),"",IF(AO57&gt;'Impostazioni'!$B$7,"Oltre soglia personale","Nella soglia personale"))</x:f>
      </x:c>
      <x:c r="AQ57" s="18" t="str">
        <x:f>IF(A57="",IF(COUNTA(B57:V57)=0,"","Inserisci ID"),IF(COUNTIFS($A$8:$A$507,A57)&lt;&gt;1,"ID duplicato",IF(OR(NOT(ISNUMBER(B57)),D57="",E57="",F57="",G57="",H57="",COUNTIFS('Impostazioni'!$J$6:$J$25,F57)&lt;&gt;1),"Completa dati / elenchi",IF(OR(AND(I57&lt;&gt;"Lordo manuale",I57&lt;&gt;"Netto manuale",I57&lt;&gt;"Esecuzioni"),AND(J57&lt;&gt;"Aperto",J57&lt;&gt;"Chiuso",J57&lt;&gt;"Annullato")),"Modalità / stato mancanti",IF(AND(J57&lt;&gt;"Aperto",OR(NOT(ISNUMBER(C57)),C57&lt;B57)),"Correggi data chiusura",IF(OR(AND(Q57&lt;&gt;"",OR(NOT(ISNUMBER(Q57)),Q57&lt;0)),AND(R57&lt;&gt;"",OR(NOT(ISNUMBER(R57)),R57&lt;0,R57&gt;1))),"Commissione non valida",IF(J57="Annullato","OK",IF(OR(NOT(ISNUMBER(Z57)),Z57&lt;0,AND(O57&lt;&gt;"",NOT(ISNUMBER(O57)))),"Inserisci rischio",IF(AND(I57="Esecuzioni",OR(W57=0,COUNTIFS('Esecuzioni'!$A$8:$A$1007,A57,'Esecuzioni'!$Q$8:$Q$1007,"&lt;&gt;OK")&gt;0)),"Correggi esecuzioni",IF(J57="Aperto","OK",IF(AND(I57="Esecuzioni",S57="Coperto",ABS(X57-Y57)&gt;'Impostazioni'!$B$11),"Copertura residua",IF(NOT(ISNUMBER(AC57)),"Completa risultato / esito",IF(AND(Z57=0,AC57&lt;&gt;0),"Rischio nullo con P/L","OK")))))))))))))</x:f>
      </x:c>
      <x:c r="AR57" s="20" t="str">
        <x:f>IF(OR(A57="",J57&lt;&gt;"Aperto",AQ57&lt;&gt;"OK"),"",IF(I57="Esecuzioni",SUMIFS('Esecuzioni'!$P$8:$P$1007,'Esecuzioni'!$A$8:$A$1007,A57,'Esecuzioni'!$B$8:$B$1007,_xlfn.MAXIFS('Esecuzioni'!$B$8:$B$1007,'Esecuzioni'!$A$8:$A$1007,A57)),IF(LEFT(U57,8)="FREEBET:",0,Z57)))</x:f>
      </x:c>
      <x:c r="AS57" s="48" t="str">
        <x:f>IF(OR(A57="",E57=""),"",IF(COUNTIFS($E$8:E57,E57)=1,COUNT($AS$7:AS56)+1,""))</x:f>
      </x:c>
    </x:row>
    <x:row r="58" ht="22" customHeight="1">
      <x:c r="A58" s="7"/>
      <x:c r="B58" s="19"/>
      <x:c r="C58" s="19"/>
      <x:c r="D58" s="7"/>
      <x:c r="E58" s="7"/>
      <x:c r="F58" s="7"/>
      <x:c r="G58" s="7"/>
      <x:c r="H58" s="7"/>
      <x:c r="I58" s="7"/>
      <x:c r="J58" s="7"/>
      <x:c r="K58" s="10"/>
      <x:c r="L58" s="7"/>
      <x:c r="M58" s="10"/>
      <x:c r="N58" s="7"/>
      <x:c r="O58" s="8"/>
      <x:c r="P58" s="8"/>
      <x:c r="Q58" s="8"/>
      <x:c r="R58" s="9"/>
      <x:c r="S58" s="7"/>
      <x:c r="T58" s="7"/>
      <x:c r="U58" s="7"/>
      <x:c r="V58" s="7"/>
      <x:c r="W58" s="22" t="str">
        <x:f>IF(A58="","",COUNTIFS('Esecuzioni'!$A$8:$A$1007,A58,'Esecuzioni'!$Q$8:$Q$1007,"OK"))</x:f>
      </x:c>
      <x:c r="X58" s="20" t="str">
        <x:f>IF(OR(A58="",I58&lt;&gt;"Esecuzioni",W58=0),"",SUMIFS('Esecuzioni'!$L$8:$L$1007,'Esecuzioni'!$A$8:$A$1007,A58))</x:f>
      </x:c>
      <x:c r="Y58" s="20" t="str">
        <x:f>IF(OR(A58="",I58&lt;&gt;"Esecuzioni",W58=0),"",SUMIFS('Esecuzioni'!$M$8:$M$1007,'Esecuzioni'!$A$8:$A$1007,A58))</x:f>
      </x:c>
      <x:c r="Z58" s="20" t="str">
        <x:f>IF(A58="","",IF(J58="Annullato",0,IF(ISNUMBER(O58),O58,IF(AND(I58="Esecuzioni",W58&gt;0),_xlfn.MAXIFS('Esecuzioni'!$P$8:$P$1007,'Esecuzioni'!$A$8:$A$1007,A58),""))))</x:f>
      </x:c>
      <x:c r="AA58" s="20" t="str">
        <x:f>IF(OR(A58="",J58="Aperto"),"",IF(J58="Annullato",0,IF(I58="Lordo manuale",IF(ISNUMBER(P58),P58,""),IF(I58="Netto manuale",IF(AND(ISNUMBER(P58),ISNUMBER(Q58)),P58+Q58,""),IF(OR(W58=0,COUNTIFS('Esecuzioni'!$A$8:$A$1007,A58,'Esecuzioni'!$Q$8:$Q$1007,"&lt;&gt;OK")&gt;0),"",IF(S58="Vince",X58,IF(S58="Perde",Y58,IF(AND(S58="Coperto",ABS(X58-Y58)&lt;='Impostazioni'!$B$11),ROUND((X58+Y58)/2,2),""))))))))</x:f>
      </x:c>
      <x:c r="AB58" s="20" t="str">
        <x:f>IF(NOT(ISNUMBER(AA58)),"",IF(J58="Annullato",0,IF(ISNUMBER(Q58),Q58,ROUND(MAX(0,AA58)*IF(ISNUMBER(R58),R58,'Impostazioni'!$B$8),2))))</x:f>
      </x:c>
      <x:c r="AC58" s="20" t="str">
        <x:f>IF(AND(ISNUMBER(AA58),ISNUMBER(AB58)),ROUND(AA58-AB58,2),"")</x:f>
      </x:c>
      <x:c r="AD58" s="18" t="str">
        <x:f>IF(A58="","",IF(AQ58&lt;&gt;"OK","Incompleto",IF(J58="Aperto","Aperto",IF(J58="Annullato","Annullato",IF(AC58&gt;0,"Green",IF(AC58&lt;0,"Red","Flat"))))))</x:f>
      </x:c>
      <x:c r="AE58" s="21" t="str">
        <x:f>IF(AND(AH58=1,Z58&gt;0),AC58/Z58,"")</x:f>
      </x:c>
      <x:c r="AF58" s="22" t="str">
        <x:f>IF(AH58&lt;&gt;1,"",COUNTIFS($C$8:$C$507,"&lt;"&amp;C58,$AH$8:$AH$507,1)+COUNTIFS($C$8:$C$507,C58,$A$8:$A$507,"&lt;="&amp;A58,$AH$8:$AH$507,1))</x:f>
      </x:c>
      <x:c r="AG58" s="20" t="str">
        <x:f>IF(AH58&lt;&gt;1,"",SUMIFS($AC$8:$AC$507,$C$8:$C$507,"&lt;"&amp;C58,$AH$8:$AH$507,1)+SUMIFS($AC$8:$AC$507,$C$8:$C$507,C58,$A$8:$A$507,"&lt;="&amp;A58,$AH$8:$AH$507,1))</x:f>
      </x:c>
      <x:c r="AH58" s="22" t="str">
        <x:f>IF(A58="","",IF(AND(J58="Chiuso",AQ58="OK",ISNUMBER(AC58)),1,0))</x:f>
      </x:c>
      <x:c r="AI58" s="20" t="str">
        <x:f>IF(AH58&lt;&gt;1,"",MAX(0,_xlfn.MAXIFS($AG$8:$AG$507,$AF$8:$AF$507,"&lt;="&amp;AF58,$AH$8:$AH$507,1)))</x:f>
      </x:c>
      <x:c r="AJ58" s="20" t="str">
        <x:f>IF(AH58&lt;&gt;1,"",MAX(0,AI58-AG58))</x:f>
      </x:c>
      <x:c r="AK58" s="21" t="str">
        <x:f>IF(OR(AH58&lt;&gt;1,NOT(ISNUMBER('Impostazioni'!$B$6)),'Impostazioni'!$B$6+AI58&lt;=0),"",AJ58/('Impostazioni'!$B$6+AI58))</x:f>
      </x:c>
      <x:c r="AL58" s="22" t="str">
        <x:f>IF(AH58&lt;&gt;1,"",IF(AC58&gt;0,AF58-_xlfn.MAXIFS($AF$8:$AF$507,$AF$8:$AF$507,"&lt;="&amp;AF58,$AC$8:$AC$507,"&lt;=0",$AH$8:$AH$507,1),0))</x:f>
      </x:c>
      <x:c r="AM58" s="22" t="str">
        <x:f>IF(AH58&lt;&gt;1,"",IF(AC58&lt;0,AF58-_xlfn.MAXIFS($AF$8:$AF$507,$AF$8:$AF$507,"&lt;="&amp;AF58,$AC$8:$AC$507,"&gt;=0",$AH$8:$AH$507,1),0))</x:f>
      </x:c>
      <x:c r="AN58" s="20" t="str">
        <x:f>IF(OR(A58="",NOT(ISNUMBER(B58)),NOT(ISNUMBER('Impostazioni'!$B$6))),"",'Impostazioni'!$B$6+SUMIFS($AC$8:$AC$507,$C$8:$C$507,"&lt;"&amp;B58,$AH$8:$AH$507,1)+SUMIFS('Cassa'!$F$8:$F$307,'Cassa'!$A$8:$A$307,"&lt;="&amp;B58,'Cassa'!$G$8:$G$307,"OK"))</x:f>
      </x:c>
      <x:c r="AO58" s="21" t="str">
        <x:f>IF(AND(ISNUMBER(Z58),ISNUMBER(AN58),AN58&gt;0),Z58/AN58,"")</x:f>
      </x:c>
      <x:c r="AP58" s="18" t="str">
        <x:f>IF(NOT(ISNUMBER(AO58)),"",IF(AO58&gt;'Impostazioni'!$B$7,"Oltre soglia personale","Nella soglia personale"))</x:f>
      </x:c>
      <x:c r="AQ58" s="18" t="str">
        <x:f>IF(A58="",IF(COUNTA(B58:V58)=0,"","Inserisci ID"),IF(COUNTIFS($A$8:$A$507,A58)&lt;&gt;1,"ID duplicato",IF(OR(NOT(ISNUMBER(B58)),D58="",E58="",F58="",G58="",H58="",COUNTIFS('Impostazioni'!$J$6:$J$25,F58)&lt;&gt;1),"Completa dati / elenchi",IF(OR(AND(I58&lt;&gt;"Lordo manuale",I58&lt;&gt;"Netto manuale",I58&lt;&gt;"Esecuzioni"),AND(J58&lt;&gt;"Aperto",J58&lt;&gt;"Chiuso",J58&lt;&gt;"Annullato")),"Modalità / stato mancanti",IF(AND(J58&lt;&gt;"Aperto",OR(NOT(ISNUMBER(C58)),C58&lt;B58)),"Correggi data chiusura",IF(OR(AND(Q58&lt;&gt;"",OR(NOT(ISNUMBER(Q58)),Q58&lt;0)),AND(R58&lt;&gt;"",OR(NOT(ISNUMBER(R58)),R58&lt;0,R58&gt;1))),"Commissione non valida",IF(J58="Annullato","OK",IF(OR(NOT(ISNUMBER(Z58)),Z58&lt;0,AND(O58&lt;&gt;"",NOT(ISNUMBER(O58)))),"Inserisci rischio",IF(AND(I58="Esecuzioni",OR(W58=0,COUNTIFS('Esecuzioni'!$A$8:$A$1007,A58,'Esecuzioni'!$Q$8:$Q$1007,"&lt;&gt;OK")&gt;0)),"Correggi esecuzioni",IF(J58="Aperto","OK",IF(AND(I58="Esecuzioni",S58="Coperto",ABS(X58-Y58)&gt;'Impostazioni'!$B$11),"Copertura residua",IF(NOT(ISNUMBER(AC58)),"Completa risultato / esito",IF(AND(Z58=0,AC58&lt;&gt;0),"Rischio nullo con P/L","OK")))))))))))))</x:f>
      </x:c>
      <x:c r="AR58" s="20" t="str">
        <x:f>IF(OR(A58="",J58&lt;&gt;"Aperto",AQ58&lt;&gt;"OK"),"",IF(I58="Esecuzioni",SUMIFS('Esecuzioni'!$P$8:$P$1007,'Esecuzioni'!$A$8:$A$1007,A58,'Esecuzioni'!$B$8:$B$1007,_xlfn.MAXIFS('Esecuzioni'!$B$8:$B$1007,'Esecuzioni'!$A$8:$A$1007,A58)),IF(LEFT(U58,8)="FREEBET:",0,Z58)))</x:f>
      </x:c>
      <x:c r="AS58" s="48" t="str">
        <x:f>IF(OR(A58="",E58=""),"",IF(COUNTIFS($E$8:E58,E58)=1,COUNT($AS$7:AS57)+1,""))</x:f>
      </x:c>
    </x:row>
    <x:row r="59" ht="22" customHeight="1">
      <x:c r="A59" s="7"/>
      <x:c r="B59" s="19"/>
      <x:c r="C59" s="19"/>
      <x:c r="D59" s="7"/>
      <x:c r="E59" s="7"/>
      <x:c r="F59" s="7"/>
      <x:c r="G59" s="7"/>
      <x:c r="H59" s="7"/>
      <x:c r="I59" s="7"/>
      <x:c r="J59" s="7"/>
      <x:c r="K59" s="10"/>
      <x:c r="L59" s="7"/>
      <x:c r="M59" s="10"/>
      <x:c r="N59" s="7"/>
      <x:c r="O59" s="8"/>
      <x:c r="P59" s="8"/>
      <x:c r="Q59" s="8"/>
      <x:c r="R59" s="9"/>
      <x:c r="S59" s="7"/>
      <x:c r="T59" s="7"/>
      <x:c r="U59" s="7"/>
      <x:c r="V59" s="7"/>
      <x:c r="W59" s="22" t="str">
        <x:f>IF(A59="","",COUNTIFS('Esecuzioni'!$A$8:$A$1007,A59,'Esecuzioni'!$Q$8:$Q$1007,"OK"))</x:f>
      </x:c>
      <x:c r="X59" s="20" t="str">
        <x:f>IF(OR(A59="",I59&lt;&gt;"Esecuzioni",W59=0),"",SUMIFS('Esecuzioni'!$L$8:$L$1007,'Esecuzioni'!$A$8:$A$1007,A59))</x:f>
      </x:c>
      <x:c r="Y59" s="20" t="str">
        <x:f>IF(OR(A59="",I59&lt;&gt;"Esecuzioni",W59=0),"",SUMIFS('Esecuzioni'!$M$8:$M$1007,'Esecuzioni'!$A$8:$A$1007,A59))</x:f>
      </x:c>
      <x:c r="Z59" s="20" t="str">
        <x:f>IF(A59="","",IF(J59="Annullato",0,IF(ISNUMBER(O59),O59,IF(AND(I59="Esecuzioni",W59&gt;0),_xlfn.MAXIFS('Esecuzioni'!$P$8:$P$1007,'Esecuzioni'!$A$8:$A$1007,A59),""))))</x:f>
      </x:c>
      <x:c r="AA59" s="20" t="str">
        <x:f>IF(OR(A59="",J59="Aperto"),"",IF(J59="Annullato",0,IF(I59="Lordo manuale",IF(ISNUMBER(P59),P59,""),IF(I59="Netto manuale",IF(AND(ISNUMBER(P59),ISNUMBER(Q59)),P59+Q59,""),IF(OR(W59=0,COUNTIFS('Esecuzioni'!$A$8:$A$1007,A59,'Esecuzioni'!$Q$8:$Q$1007,"&lt;&gt;OK")&gt;0),"",IF(S59="Vince",X59,IF(S59="Perde",Y59,IF(AND(S59="Coperto",ABS(X59-Y59)&lt;='Impostazioni'!$B$11),ROUND((X59+Y59)/2,2),""))))))))</x:f>
      </x:c>
      <x:c r="AB59" s="20" t="str">
        <x:f>IF(NOT(ISNUMBER(AA59)),"",IF(J59="Annullato",0,IF(ISNUMBER(Q59),Q59,ROUND(MAX(0,AA59)*IF(ISNUMBER(R59),R59,'Impostazioni'!$B$8),2))))</x:f>
      </x:c>
      <x:c r="AC59" s="20" t="str">
        <x:f>IF(AND(ISNUMBER(AA59),ISNUMBER(AB59)),ROUND(AA59-AB59,2),"")</x:f>
      </x:c>
      <x:c r="AD59" s="18" t="str">
        <x:f>IF(A59="","",IF(AQ59&lt;&gt;"OK","Incompleto",IF(J59="Aperto","Aperto",IF(J59="Annullato","Annullato",IF(AC59&gt;0,"Green",IF(AC59&lt;0,"Red","Flat"))))))</x:f>
      </x:c>
      <x:c r="AE59" s="21" t="str">
        <x:f>IF(AND(AH59=1,Z59&gt;0),AC59/Z59,"")</x:f>
      </x:c>
      <x:c r="AF59" s="22" t="str">
        <x:f>IF(AH59&lt;&gt;1,"",COUNTIFS($C$8:$C$507,"&lt;"&amp;C59,$AH$8:$AH$507,1)+COUNTIFS($C$8:$C$507,C59,$A$8:$A$507,"&lt;="&amp;A59,$AH$8:$AH$507,1))</x:f>
      </x:c>
      <x:c r="AG59" s="20" t="str">
        <x:f>IF(AH59&lt;&gt;1,"",SUMIFS($AC$8:$AC$507,$C$8:$C$507,"&lt;"&amp;C59,$AH$8:$AH$507,1)+SUMIFS($AC$8:$AC$507,$C$8:$C$507,C59,$A$8:$A$507,"&lt;="&amp;A59,$AH$8:$AH$507,1))</x:f>
      </x:c>
      <x:c r="AH59" s="22" t="str">
        <x:f>IF(A59="","",IF(AND(J59="Chiuso",AQ59="OK",ISNUMBER(AC59)),1,0))</x:f>
      </x:c>
      <x:c r="AI59" s="20" t="str">
        <x:f>IF(AH59&lt;&gt;1,"",MAX(0,_xlfn.MAXIFS($AG$8:$AG$507,$AF$8:$AF$507,"&lt;="&amp;AF59,$AH$8:$AH$507,1)))</x:f>
      </x:c>
      <x:c r="AJ59" s="20" t="str">
        <x:f>IF(AH59&lt;&gt;1,"",MAX(0,AI59-AG59))</x:f>
      </x:c>
      <x:c r="AK59" s="21" t="str">
        <x:f>IF(OR(AH59&lt;&gt;1,NOT(ISNUMBER('Impostazioni'!$B$6)),'Impostazioni'!$B$6+AI59&lt;=0),"",AJ59/('Impostazioni'!$B$6+AI59))</x:f>
      </x:c>
      <x:c r="AL59" s="22" t="str">
        <x:f>IF(AH59&lt;&gt;1,"",IF(AC59&gt;0,AF59-_xlfn.MAXIFS($AF$8:$AF$507,$AF$8:$AF$507,"&lt;="&amp;AF59,$AC$8:$AC$507,"&lt;=0",$AH$8:$AH$507,1),0))</x:f>
      </x:c>
      <x:c r="AM59" s="22" t="str">
        <x:f>IF(AH59&lt;&gt;1,"",IF(AC59&lt;0,AF59-_xlfn.MAXIFS($AF$8:$AF$507,$AF$8:$AF$507,"&lt;="&amp;AF59,$AC$8:$AC$507,"&gt;=0",$AH$8:$AH$507,1),0))</x:f>
      </x:c>
      <x:c r="AN59" s="20" t="str">
        <x:f>IF(OR(A59="",NOT(ISNUMBER(B59)),NOT(ISNUMBER('Impostazioni'!$B$6))),"",'Impostazioni'!$B$6+SUMIFS($AC$8:$AC$507,$C$8:$C$507,"&lt;"&amp;B59,$AH$8:$AH$507,1)+SUMIFS('Cassa'!$F$8:$F$307,'Cassa'!$A$8:$A$307,"&lt;="&amp;B59,'Cassa'!$G$8:$G$307,"OK"))</x:f>
      </x:c>
      <x:c r="AO59" s="21" t="str">
        <x:f>IF(AND(ISNUMBER(Z59),ISNUMBER(AN59),AN59&gt;0),Z59/AN59,"")</x:f>
      </x:c>
      <x:c r="AP59" s="18" t="str">
        <x:f>IF(NOT(ISNUMBER(AO59)),"",IF(AO59&gt;'Impostazioni'!$B$7,"Oltre soglia personale","Nella soglia personale"))</x:f>
      </x:c>
      <x:c r="AQ59" s="18" t="str">
        <x:f>IF(A59="",IF(COUNTA(B59:V59)=0,"","Inserisci ID"),IF(COUNTIFS($A$8:$A$507,A59)&lt;&gt;1,"ID duplicato",IF(OR(NOT(ISNUMBER(B59)),D59="",E59="",F59="",G59="",H59="",COUNTIFS('Impostazioni'!$J$6:$J$25,F59)&lt;&gt;1),"Completa dati / elenchi",IF(OR(AND(I59&lt;&gt;"Lordo manuale",I59&lt;&gt;"Netto manuale",I59&lt;&gt;"Esecuzioni"),AND(J59&lt;&gt;"Aperto",J59&lt;&gt;"Chiuso",J59&lt;&gt;"Annullato")),"Modalità / stato mancanti",IF(AND(J59&lt;&gt;"Aperto",OR(NOT(ISNUMBER(C59)),C59&lt;B59)),"Correggi data chiusura",IF(OR(AND(Q59&lt;&gt;"",OR(NOT(ISNUMBER(Q59)),Q59&lt;0)),AND(R59&lt;&gt;"",OR(NOT(ISNUMBER(R59)),R59&lt;0,R59&gt;1))),"Commissione non valida",IF(J59="Annullato","OK",IF(OR(NOT(ISNUMBER(Z59)),Z59&lt;0,AND(O59&lt;&gt;"",NOT(ISNUMBER(O59)))),"Inserisci rischio",IF(AND(I59="Esecuzioni",OR(W59=0,COUNTIFS('Esecuzioni'!$A$8:$A$1007,A59,'Esecuzioni'!$Q$8:$Q$1007,"&lt;&gt;OK")&gt;0)),"Correggi esecuzioni",IF(J59="Aperto","OK",IF(AND(I59="Esecuzioni",S59="Coperto",ABS(X59-Y59)&gt;'Impostazioni'!$B$11),"Copertura residua",IF(NOT(ISNUMBER(AC59)),"Completa risultato / esito",IF(AND(Z59=0,AC59&lt;&gt;0),"Rischio nullo con P/L","OK")))))))))))))</x:f>
      </x:c>
      <x:c r="AR59" s="20" t="str">
        <x:f>IF(OR(A59="",J59&lt;&gt;"Aperto",AQ59&lt;&gt;"OK"),"",IF(I59="Esecuzioni",SUMIFS('Esecuzioni'!$P$8:$P$1007,'Esecuzioni'!$A$8:$A$1007,A59,'Esecuzioni'!$B$8:$B$1007,_xlfn.MAXIFS('Esecuzioni'!$B$8:$B$1007,'Esecuzioni'!$A$8:$A$1007,A59)),IF(LEFT(U59,8)="FREEBET:",0,Z59)))</x:f>
      </x:c>
      <x:c r="AS59" s="48" t="str">
        <x:f>IF(OR(A59="",E59=""),"",IF(COUNTIFS($E$8:E59,E59)=1,COUNT($AS$7:AS58)+1,""))</x:f>
      </x:c>
    </x:row>
    <x:row r="60" ht="22" customHeight="1">
      <x:c r="A60" s="7"/>
      <x:c r="B60" s="19"/>
      <x:c r="C60" s="19"/>
      <x:c r="D60" s="7"/>
      <x:c r="E60" s="7"/>
      <x:c r="F60" s="7"/>
      <x:c r="G60" s="7"/>
      <x:c r="H60" s="7"/>
      <x:c r="I60" s="7"/>
      <x:c r="J60" s="7"/>
      <x:c r="K60" s="10"/>
      <x:c r="L60" s="7"/>
      <x:c r="M60" s="10"/>
      <x:c r="N60" s="7"/>
      <x:c r="O60" s="8"/>
      <x:c r="P60" s="8"/>
      <x:c r="Q60" s="8"/>
      <x:c r="R60" s="9"/>
      <x:c r="S60" s="7"/>
      <x:c r="T60" s="7"/>
      <x:c r="U60" s="7"/>
      <x:c r="V60" s="7"/>
      <x:c r="W60" s="22" t="str">
        <x:f>IF(A60="","",COUNTIFS('Esecuzioni'!$A$8:$A$1007,A60,'Esecuzioni'!$Q$8:$Q$1007,"OK"))</x:f>
      </x:c>
      <x:c r="X60" s="20" t="str">
        <x:f>IF(OR(A60="",I60&lt;&gt;"Esecuzioni",W60=0),"",SUMIFS('Esecuzioni'!$L$8:$L$1007,'Esecuzioni'!$A$8:$A$1007,A60))</x:f>
      </x:c>
      <x:c r="Y60" s="20" t="str">
        <x:f>IF(OR(A60="",I60&lt;&gt;"Esecuzioni",W60=0),"",SUMIFS('Esecuzioni'!$M$8:$M$1007,'Esecuzioni'!$A$8:$A$1007,A60))</x:f>
      </x:c>
      <x:c r="Z60" s="20" t="str">
        <x:f>IF(A60="","",IF(J60="Annullato",0,IF(ISNUMBER(O60),O60,IF(AND(I60="Esecuzioni",W60&gt;0),_xlfn.MAXIFS('Esecuzioni'!$P$8:$P$1007,'Esecuzioni'!$A$8:$A$1007,A60),""))))</x:f>
      </x:c>
      <x:c r="AA60" s="20" t="str">
        <x:f>IF(OR(A60="",J60="Aperto"),"",IF(J60="Annullato",0,IF(I60="Lordo manuale",IF(ISNUMBER(P60),P60,""),IF(I60="Netto manuale",IF(AND(ISNUMBER(P60),ISNUMBER(Q60)),P60+Q60,""),IF(OR(W60=0,COUNTIFS('Esecuzioni'!$A$8:$A$1007,A60,'Esecuzioni'!$Q$8:$Q$1007,"&lt;&gt;OK")&gt;0),"",IF(S60="Vince",X60,IF(S60="Perde",Y60,IF(AND(S60="Coperto",ABS(X60-Y60)&lt;='Impostazioni'!$B$11),ROUND((X60+Y60)/2,2),""))))))))</x:f>
      </x:c>
      <x:c r="AB60" s="20" t="str">
        <x:f>IF(NOT(ISNUMBER(AA60)),"",IF(J60="Annullato",0,IF(ISNUMBER(Q60),Q60,ROUND(MAX(0,AA60)*IF(ISNUMBER(R60),R60,'Impostazioni'!$B$8),2))))</x:f>
      </x:c>
      <x:c r="AC60" s="20" t="str">
        <x:f>IF(AND(ISNUMBER(AA60),ISNUMBER(AB60)),ROUND(AA60-AB60,2),"")</x:f>
      </x:c>
      <x:c r="AD60" s="18" t="str">
        <x:f>IF(A60="","",IF(AQ60&lt;&gt;"OK","Incompleto",IF(J60="Aperto","Aperto",IF(J60="Annullato","Annullato",IF(AC60&gt;0,"Green",IF(AC60&lt;0,"Red","Flat"))))))</x:f>
      </x:c>
      <x:c r="AE60" s="21" t="str">
        <x:f>IF(AND(AH60=1,Z60&gt;0),AC60/Z60,"")</x:f>
      </x:c>
      <x:c r="AF60" s="22" t="str">
        <x:f>IF(AH60&lt;&gt;1,"",COUNTIFS($C$8:$C$507,"&lt;"&amp;C60,$AH$8:$AH$507,1)+COUNTIFS($C$8:$C$507,C60,$A$8:$A$507,"&lt;="&amp;A60,$AH$8:$AH$507,1))</x:f>
      </x:c>
      <x:c r="AG60" s="20" t="str">
        <x:f>IF(AH60&lt;&gt;1,"",SUMIFS($AC$8:$AC$507,$C$8:$C$507,"&lt;"&amp;C60,$AH$8:$AH$507,1)+SUMIFS($AC$8:$AC$507,$C$8:$C$507,C60,$A$8:$A$507,"&lt;="&amp;A60,$AH$8:$AH$507,1))</x:f>
      </x:c>
      <x:c r="AH60" s="22" t="str">
        <x:f>IF(A60="","",IF(AND(J60="Chiuso",AQ60="OK",ISNUMBER(AC60)),1,0))</x:f>
      </x:c>
      <x:c r="AI60" s="20" t="str">
        <x:f>IF(AH60&lt;&gt;1,"",MAX(0,_xlfn.MAXIFS($AG$8:$AG$507,$AF$8:$AF$507,"&lt;="&amp;AF60,$AH$8:$AH$507,1)))</x:f>
      </x:c>
      <x:c r="AJ60" s="20" t="str">
        <x:f>IF(AH60&lt;&gt;1,"",MAX(0,AI60-AG60))</x:f>
      </x:c>
      <x:c r="AK60" s="21" t="str">
        <x:f>IF(OR(AH60&lt;&gt;1,NOT(ISNUMBER('Impostazioni'!$B$6)),'Impostazioni'!$B$6+AI60&lt;=0),"",AJ60/('Impostazioni'!$B$6+AI60))</x:f>
      </x:c>
      <x:c r="AL60" s="22" t="str">
        <x:f>IF(AH60&lt;&gt;1,"",IF(AC60&gt;0,AF60-_xlfn.MAXIFS($AF$8:$AF$507,$AF$8:$AF$507,"&lt;="&amp;AF60,$AC$8:$AC$507,"&lt;=0",$AH$8:$AH$507,1),0))</x:f>
      </x:c>
      <x:c r="AM60" s="22" t="str">
        <x:f>IF(AH60&lt;&gt;1,"",IF(AC60&lt;0,AF60-_xlfn.MAXIFS($AF$8:$AF$507,$AF$8:$AF$507,"&lt;="&amp;AF60,$AC$8:$AC$507,"&gt;=0",$AH$8:$AH$507,1),0))</x:f>
      </x:c>
      <x:c r="AN60" s="20" t="str">
        <x:f>IF(OR(A60="",NOT(ISNUMBER(B60)),NOT(ISNUMBER('Impostazioni'!$B$6))),"",'Impostazioni'!$B$6+SUMIFS($AC$8:$AC$507,$C$8:$C$507,"&lt;"&amp;B60,$AH$8:$AH$507,1)+SUMIFS('Cassa'!$F$8:$F$307,'Cassa'!$A$8:$A$307,"&lt;="&amp;B60,'Cassa'!$G$8:$G$307,"OK"))</x:f>
      </x:c>
      <x:c r="AO60" s="21" t="str">
        <x:f>IF(AND(ISNUMBER(Z60),ISNUMBER(AN60),AN60&gt;0),Z60/AN60,"")</x:f>
      </x:c>
      <x:c r="AP60" s="18" t="str">
        <x:f>IF(NOT(ISNUMBER(AO60)),"",IF(AO60&gt;'Impostazioni'!$B$7,"Oltre soglia personale","Nella soglia personale"))</x:f>
      </x:c>
      <x:c r="AQ60" s="18" t="str">
        <x:f>IF(A60="",IF(COUNTA(B60:V60)=0,"","Inserisci ID"),IF(COUNTIFS($A$8:$A$507,A60)&lt;&gt;1,"ID duplicato",IF(OR(NOT(ISNUMBER(B60)),D60="",E60="",F60="",G60="",H60="",COUNTIFS('Impostazioni'!$J$6:$J$25,F60)&lt;&gt;1),"Completa dati / elenchi",IF(OR(AND(I60&lt;&gt;"Lordo manuale",I60&lt;&gt;"Netto manuale",I60&lt;&gt;"Esecuzioni"),AND(J60&lt;&gt;"Aperto",J60&lt;&gt;"Chiuso",J60&lt;&gt;"Annullato")),"Modalità / stato mancanti",IF(AND(J60&lt;&gt;"Aperto",OR(NOT(ISNUMBER(C60)),C60&lt;B60)),"Correggi data chiusura",IF(OR(AND(Q60&lt;&gt;"",OR(NOT(ISNUMBER(Q60)),Q60&lt;0)),AND(R60&lt;&gt;"",OR(NOT(ISNUMBER(R60)),R60&lt;0,R60&gt;1))),"Commissione non valida",IF(J60="Annullato","OK",IF(OR(NOT(ISNUMBER(Z60)),Z60&lt;0,AND(O60&lt;&gt;"",NOT(ISNUMBER(O60)))),"Inserisci rischio",IF(AND(I60="Esecuzioni",OR(W60=0,COUNTIFS('Esecuzioni'!$A$8:$A$1007,A60,'Esecuzioni'!$Q$8:$Q$1007,"&lt;&gt;OK")&gt;0)),"Correggi esecuzioni",IF(J60="Aperto","OK",IF(AND(I60="Esecuzioni",S60="Coperto",ABS(X60-Y60)&gt;'Impostazioni'!$B$11),"Copertura residua",IF(NOT(ISNUMBER(AC60)),"Completa risultato / esito",IF(AND(Z60=0,AC60&lt;&gt;0),"Rischio nullo con P/L","OK")))))))))))))</x:f>
      </x:c>
      <x:c r="AR60" s="20" t="str">
        <x:f>IF(OR(A60="",J60&lt;&gt;"Aperto",AQ60&lt;&gt;"OK"),"",IF(I60="Esecuzioni",SUMIFS('Esecuzioni'!$P$8:$P$1007,'Esecuzioni'!$A$8:$A$1007,A60,'Esecuzioni'!$B$8:$B$1007,_xlfn.MAXIFS('Esecuzioni'!$B$8:$B$1007,'Esecuzioni'!$A$8:$A$1007,A60)),IF(LEFT(U60,8)="FREEBET:",0,Z60)))</x:f>
      </x:c>
      <x:c r="AS60" s="48" t="str">
        <x:f>IF(OR(A60="",E60=""),"",IF(COUNTIFS($E$8:E60,E60)=1,COUNT($AS$7:AS59)+1,""))</x:f>
      </x:c>
    </x:row>
    <x:row r="61" ht="22" customHeight="1">
      <x:c r="A61" s="7"/>
      <x:c r="B61" s="19"/>
      <x:c r="C61" s="19"/>
      <x:c r="D61" s="7"/>
      <x:c r="E61" s="7"/>
      <x:c r="F61" s="7"/>
      <x:c r="G61" s="7"/>
      <x:c r="H61" s="7"/>
      <x:c r="I61" s="7"/>
      <x:c r="J61" s="7"/>
      <x:c r="K61" s="10"/>
      <x:c r="L61" s="7"/>
      <x:c r="M61" s="10"/>
      <x:c r="N61" s="7"/>
      <x:c r="O61" s="8"/>
      <x:c r="P61" s="8"/>
      <x:c r="Q61" s="8"/>
      <x:c r="R61" s="9"/>
      <x:c r="S61" s="7"/>
      <x:c r="T61" s="7"/>
      <x:c r="U61" s="7"/>
      <x:c r="V61" s="7"/>
      <x:c r="W61" s="22" t="str">
        <x:f>IF(A61="","",COUNTIFS('Esecuzioni'!$A$8:$A$1007,A61,'Esecuzioni'!$Q$8:$Q$1007,"OK"))</x:f>
      </x:c>
      <x:c r="X61" s="20" t="str">
        <x:f>IF(OR(A61="",I61&lt;&gt;"Esecuzioni",W61=0),"",SUMIFS('Esecuzioni'!$L$8:$L$1007,'Esecuzioni'!$A$8:$A$1007,A61))</x:f>
      </x:c>
      <x:c r="Y61" s="20" t="str">
        <x:f>IF(OR(A61="",I61&lt;&gt;"Esecuzioni",W61=0),"",SUMIFS('Esecuzioni'!$M$8:$M$1007,'Esecuzioni'!$A$8:$A$1007,A61))</x:f>
      </x:c>
      <x:c r="Z61" s="20" t="str">
        <x:f>IF(A61="","",IF(J61="Annullato",0,IF(ISNUMBER(O61),O61,IF(AND(I61="Esecuzioni",W61&gt;0),_xlfn.MAXIFS('Esecuzioni'!$P$8:$P$1007,'Esecuzioni'!$A$8:$A$1007,A61),""))))</x:f>
      </x:c>
      <x:c r="AA61" s="20" t="str">
        <x:f>IF(OR(A61="",J61="Aperto"),"",IF(J61="Annullato",0,IF(I61="Lordo manuale",IF(ISNUMBER(P61),P61,""),IF(I61="Netto manuale",IF(AND(ISNUMBER(P61),ISNUMBER(Q61)),P61+Q61,""),IF(OR(W61=0,COUNTIFS('Esecuzioni'!$A$8:$A$1007,A61,'Esecuzioni'!$Q$8:$Q$1007,"&lt;&gt;OK")&gt;0),"",IF(S61="Vince",X61,IF(S61="Perde",Y61,IF(AND(S61="Coperto",ABS(X61-Y61)&lt;='Impostazioni'!$B$11),ROUND((X61+Y61)/2,2),""))))))))</x:f>
      </x:c>
      <x:c r="AB61" s="20" t="str">
        <x:f>IF(NOT(ISNUMBER(AA61)),"",IF(J61="Annullato",0,IF(ISNUMBER(Q61),Q61,ROUND(MAX(0,AA61)*IF(ISNUMBER(R61),R61,'Impostazioni'!$B$8),2))))</x:f>
      </x:c>
      <x:c r="AC61" s="20" t="str">
        <x:f>IF(AND(ISNUMBER(AA61),ISNUMBER(AB61)),ROUND(AA61-AB61,2),"")</x:f>
      </x:c>
      <x:c r="AD61" s="18" t="str">
        <x:f>IF(A61="","",IF(AQ61&lt;&gt;"OK","Incompleto",IF(J61="Aperto","Aperto",IF(J61="Annullato","Annullato",IF(AC61&gt;0,"Green",IF(AC61&lt;0,"Red","Flat"))))))</x:f>
      </x:c>
      <x:c r="AE61" s="21" t="str">
        <x:f>IF(AND(AH61=1,Z61&gt;0),AC61/Z61,"")</x:f>
      </x:c>
      <x:c r="AF61" s="22" t="str">
        <x:f>IF(AH61&lt;&gt;1,"",COUNTIFS($C$8:$C$507,"&lt;"&amp;C61,$AH$8:$AH$507,1)+COUNTIFS($C$8:$C$507,C61,$A$8:$A$507,"&lt;="&amp;A61,$AH$8:$AH$507,1))</x:f>
      </x:c>
      <x:c r="AG61" s="20" t="str">
        <x:f>IF(AH61&lt;&gt;1,"",SUMIFS($AC$8:$AC$507,$C$8:$C$507,"&lt;"&amp;C61,$AH$8:$AH$507,1)+SUMIFS($AC$8:$AC$507,$C$8:$C$507,C61,$A$8:$A$507,"&lt;="&amp;A61,$AH$8:$AH$507,1))</x:f>
      </x:c>
      <x:c r="AH61" s="22" t="str">
        <x:f>IF(A61="","",IF(AND(J61="Chiuso",AQ61="OK",ISNUMBER(AC61)),1,0))</x:f>
      </x:c>
      <x:c r="AI61" s="20" t="str">
        <x:f>IF(AH61&lt;&gt;1,"",MAX(0,_xlfn.MAXIFS($AG$8:$AG$507,$AF$8:$AF$507,"&lt;="&amp;AF61,$AH$8:$AH$507,1)))</x:f>
      </x:c>
      <x:c r="AJ61" s="20" t="str">
        <x:f>IF(AH61&lt;&gt;1,"",MAX(0,AI61-AG61))</x:f>
      </x:c>
      <x:c r="AK61" s="21" t="str">
        <x:f>IF(OR(AH61&lt;&gt;1,NOT(ISNUMBER('Impostazioni'!$B$6)),'Impostazioni'!$B$6+AI61&lt;=0),"",AJ61/('Impostazioni'!$B$6+AI61))</x:f>
      </x:c>
      <x:c r="AL61" s="22" t="str">
        <x:f>IF(AH61&lt;&gt;1,"",IF(AC61&gt;0,AF61-_xlfn.MAXIFS($AF$8:$AF$507,$AF$8:$AF$507,"&lt;="&amp;AF61,$AC$8:$AC$507,"&lt;=0",$AH$8:$AH$507,1),0))</x:f>
      </x:c>
      <x:c r="AM61" s="22" t="str">
        <x:f>IF(AH61&lt;&gt;1,"",IF(AC61&lt;0,AF61-_xlfn.MAXIFS($AF$8:$AF$507,$AF$8:$AF$507,"&lt;="&amp;AF61,$AC$8:$AC$507,"&gt;=0",$AH$8:$AH$507,1),0))</x:f>
      </x:c>
      <x:c r="AN61" s="20" t="str">
        <x:f>IF(OR(A61="",NOT(ISNUMBER(B61)),NOT(ISNUMBER('Impostazioni'!$B$6))),"",'Impostazioni'!$B$6+SUMIFS($AC$8:$AC$507,$C$8:$C$507,"&lt;"&amp;B61,$AH$8:$AH$507,1)+SUMIFS('Cassa'!$F$8:$F$307,'Cassa'!$A$8:$A$307,"&lt;="&amp;B61,'Cassa'!$G$8:$G$307,"OK"))</x:f>
      </x:c>
      <x:c r="AO61" s="21" t="str">
        <x:f>IF(AND(ISNUMBER(Z61),ISNUMBER(AN61),AN61&gt;0),Z61/AN61,"")</x:f>
      </x:c>
      <x:c r="AP61" s="18" t="str">
        <x:f>IF(NOT(ISNUMBER(AO61)),"",IF(AO61&gt;'Impostazioni'!$B$7,"Oltre soglia personale","Nella soglia personale"))</x:f>
      </x:c>
      <x:c r="AQ61" s="18" t="str">
        <x:f>IF(A61="",IF(COUNTA(B61:V61)=0,"","Inserisci ID"),IF(COUNTIFS($A$8:$A$507,A61)&lt;&gt;1,"ID duplicato",IF(OR(NOT(ISNUMBER(B61)),D61="",E61="",F61="",G61="",H61="",COUNTIFS('Impostazioni'!$J$6:$J$25,F61)&lt;&gt;1),"Completa dati / elenchi",IF(OR(AND(I61&lt;&gt;"Lordo manuale",I61&lt;&gt;"Netto manuale",I61&lt;&gt;"Esecuzioni"),AND(J61&lt;&gt;"Aperto",J61&lt;&gt;"Chiuso",J61&lt;&gt;"Annullato")),"Modalità / stato mancanti",IF(AND(J61&lt;&gt;"Aperto",OR(NOT(ISNUMBER(C61)),C61&lt;B61)),"Correggi data chiusura",IF(OR(AND(Q61&lt;&gt;"",OR(NOT(ISNUMBER(Q61)),Q61&lt;0)),AND(R61&lt;&gt;"",OR(NOT(ISNUMBER(R61)),R61&lt;0,R61&gt;1))),"Commissione non valida",IF(J61="Annullato","OK",IF(OR(NOT(ISNUMBER(Z61)),Z61&lt;0,AND(O61&lt;&gt;"",NOT(ISNUMBER(O61)))),"Inserisci rischio",IF(AND(I61="Esecuzioni",OR(W61=0,COUNTIFS('Esecuzioni'!$A$8:$A$1007,A61,'Esecuzioni'!$Q$8:$Q$1007,"&lt;&gt;OK")&gt;0)),"Correggi esecuzioni",IF(J61="Aperto","OK",IF(AND(I61="Esecuzioni",S61="Coperto",ABS(X61-Y61)&gt;'Impostazioni'!$B$11),"Copertura residua",IF(NOT(ISNUMBER(AC61)),"Completa risultato / esito",IF(AND(Z61=0,AC61&lt;&gt;0),"Rischio nullo con P/L","OK")))))))))))))</x:f>
      </x:c>
      <x:c r="AR61" s="20" t="str">
        <x:f>IF(OR(A61="",J61&lt;&gt;"Aperto",AQ61&lt;&gt;"OK"),"",IF(I61="Esecuzioni",SUMIFS('Esecuzioni'!$P$8:$P$1007,'Esecuzioni'!$A$8:$A$1007,A61,'Esecuzioni'!$B$8:$B$1007,_xlfn.MAXIFS('Esecuzioni'!$B$8:$B$1007,'Esecuzioni'!$A$8:$A$1007,A61)),IF(LEFT(U61,8)="FREEBET:",0,Z61)))</x:f>
      </x:c>
      <x:c r="AS61" s="48" t="str">
        <x:f>IF(OR(A61="",E61=""),"",IF(COUNTIFS($E$8:E61,E61)=1,COUNT($AS$7:AS60)+1,""))</x:f>
      </x:c>
    </x:row>
    <x:row r="62" ht="22" customHeight="1">
      <x:c r="A62" s="7"/>
      <x:c r="B62" s="19"/>
      <x:c r="C62" s="19"/>
      <x:c r="D62" s="7"/>
      <x:c r="E62" s="7"/>
      <x:c r="F62" s="7"/>
      <x:c r="G62" s="7"/>
      <x:c r="H62" s="7"/>
      <x:c r="I62" s="7"/>
      <x:c r="J62" s="7"/>
      <x:c r="K62" s="10"/>
      <x:c r="L62" s="7"/>
      <x:c r="M62" s="10"/>
      <x:c r="N62" s="7"/>
      <x:c r="O62" s="8"/>
      <x:c r="P62" s="8"/>
      <x:c r="Q62" s="8"/>
      <x:c r="R62" s="9"/>
      <x:c r="S62" s="7"/>
      <x:c r="T62" s="7"/>
      <x:c r="U62" s="7"/>
      <x:c r="V62" s="7"/>
      <x:c r="W62" s="22" t="str">
        <x:f>IF(A62="","",COUNTIFS('Esecuzioni'!$A$8:$A$1007,A62,'Esecuzioni'!$Q$8:$Q$1007,"OK"))</x:f>
      </x:c>
      <x:c r="X62" s="20" t="str">
        <x:f>IF(OR(A62="",I62&lt;&gt;"Esecuzioni",W62=0),"",SUMIFS('Esecuzioni'!$L$8:$L$1007,'Esecuzioni'!$A$8:$A$1007,A62))</x:f>
      </x:c>
      <x:c r="Y62" s="20" t="str">
        <x:f>IF(OR(A62="",I62&lt;&gt;"Esecuzioni",W62=0),"",SUMIFS('Esecuzioni'!$M$8:$M$1007,'Esecuzioni'!$A$8:$A$1007,A62))</x:f>
      </x:c>
      <x:c r="Z62" s="20" t="str">
        <x:f>IF(A62="","",IF(J62="Annullato",0,IF(ISNUMBER(O62),O62,IF(AND(I62="Esecuzioni",W62&gt;0),_xlfn.MAXIFS('Esecuzioni'!$P$8:$P$1007,'Esecuzioni'!$A$8:$A$1007,A62),""))))</x:f>
      </x:c>
      <x:c r="AA62" s="20" t="str">
        <x:f>IF(OR(A62="",J62="Aperto"),"",IF(J62="Annullato",0,IF(I62="Lordo manuale",IF(ISNUMBER(P62),P62,""),IF(I62="Netto manuale",IF(AND(ISNUMBER(P62),ISNUMBER(Q62)),P62+Q62,""),IF(OR(W62=0,COUNTIFS('Esecuzioni'!$A$8:$A$1007,A62,'Esecuzioni'!$Q$8:$Q$1007,"&lt;&gt;OK")&gt;0),"",IF(S62="Vince",X62,IF(S62="Perde",Y62,IF(AND(S62="Coperto",ABS(X62-Y62)&lt;='Impostazioni'!$B$11),ROUND((X62+Y62)/2,2),""))))))))</x:f>
      </x:c>
      <x:c r="AB62" s="20" t="str">
        <x:f>IF(NOT(ISNUMBER(AA62)),"",IF(J62="Annullato",0,IF(ISNUMBER(Q62),Q62,ROUND(MAX(0,AA62)*IF(ISNUMBER(R62),R62,'Impostazioni'!$B$8),2))))</x:f>
      </x:c>
      <x:c r="AC62" s="20" t="str">
        <x:f>IF(AND(ISNUMBER(AA62),ISNUMBER(AB62)),ROUND(AA62-AB62,2),"")</x:f>
      </x:c>
      <x:c r="AD62" s="18" t="str">
        <x:f>IF(A62="","",IF(AQ62&lt;&gt;"OK","Incompleto",IF(J62="Aperto","Aperto",IF(J62="Annullato","Annullato",IF(AC62&gt;0,"Green",IF(AC62&lt;0,"Red","Flat"))))))</x:f>
      </x:c>
      <x:c r="AE62" s="21" t="str">
        <x:f>IF(AND(AH62=1,Z62&gt;0),AC62/Z62,"")</x:f>
      </x:c>
      <x:c r="AF62" s="22" t="str">
        <x:f>IF(AH62&lt;&gt;1,"",COUNTIFS($C$8:$C$507,"&lt;"&amp;C62,$AH$8:$AH$507,1)+COUNTIFS($C$8:$C$507,C62,$A$8:$A$507,"&lt;="&amp;A62,$AH$8:$AH$507,1))</x:f>
      </x:c>
      <x:c r="AG62" s="20" t="str">
        <x:f>IF(AH62&lt;&gt;1,"",SUMIFS($AC$8:$AC$507,$C$8:$C$507,"&lt;"&amp;C62,$AH$8:$AH$507,1)+SUMIFS($AC$8:$AC$507,$C$8:$C$507,C62,$A$8:$A$507,"&lt;="&amp;A62,$AH$8:$AH$507,1))</x:f>
      </x:c>
      <x:c r="AH62" s="22" t="str">
        <x:f>IF(A62="","",IF(AND(J62="Chiuso",AQ62="OK",ISNUMBER(AC62)),1,0))</x:f>
      </x:c>
      <x:c r="AI62" s="20" t="str">
        <x:f>IF(AH62&lt;&gt;1,"",MAX(0,_xlfn.MAXIFS($AG$8:$AG$507,$AF$8:$AF$507,"&lt;="&amp;AF62,$AH$8:$AH$507,1)))</x:f>
      </x:c>
      <x:c r="AJ62" s="20" t="str">
        <x:f>IF(AH62&lt;&gt;1,"",MAX(0,AI62-AG62))</x:f>
      </x:c>
      <x:c r="AK62" s="21" t="str">
        <x:f>IF(OR(AH62&lt;&gt;1,NOT(ISNUMBER('Impostazioni'!$B$6)),'Impostazioni'!$B$6+AI62&lt;=0),"",AJ62/('Impostazioni'!$B$6+AI62))</x:f>
      </x:c>
      <x:c r="AL62" s="22" t="str">
        <x:f>IF(AH62&lt;&gt;1,"",IF(AC62&gt;0,AF62-_xlfn.MAXIFS($AF$8:$AF$507,$AF$8:$AF$507,"&lt;="&amp;AF62,$AC$8:$AC$507,"&lt;=0",$AH$8:$AH$507,1),0))</x:f>
      </x:c>
      <x:c r="AM62" s="22" t="str">
        <x:f>IF(AH62&lt;&gt;1,"",IF(AC62&lt;0,AF62-_xlfn.MAXIFS($AF$8:$AF$507,$AF$8:$AF$507,"&lt;="&amp;AF62,$AC$8:$AC$507,"&gt;=0",$AH$8:$AH$507,1),0))</x:f>
      </x:c>
      <x:c r="AN62" s="20" t="str">
        <x:f>IF(OR(A62="",NOT(ISNUMBER(B62)),NOT(ISNUMBER('Impostazioni'!$B$6))),"",'Impostazioni'!$B$6+SUMIFS($AC$8:$AC$507,$C$8:$C$507,"&lt;"&amp;B62,$AH$8:$AH$507,1)+SUMIFS('Cassa'!$F$8:$F$307,'Cassa'!$A$8:$A$307,"&lt;="&amp;B62,'Cassa'!$G$8:$G$307,"OK"))</x:f>
      </x:c>
      <x:c r="AO62" s="21" t="str">
        <x:f>IF(AND(ISNUMBER(Z62),ISNUMBER(AN62),AN62&gt;0),Z62/AN62,"")</x:f>
      </x:c>
      <x:c r="AP62" s="18" t="str">
        <x:f>IF(NOT(ISNUMBER(AO62)),"",IF(AO62&gt;'Impostazioni'!$B$7,"Oltre soglia personale","Nella soglia personale"))</x:f>
      </x:c>
      <x:c r="AQ62" s="18" t="str">
        <x:f>IF(A62="",IF(COUNTA(B62:V62)=0,"","Inserisci ID"),IF(COUNTIFS($A$8:$A$507,A62)&lt;&gt;1,"ID duplicato",IF(OR(NOT(ISNUMBER(B62)),D62="",E62="",F62="",G62="",H62="",COUNTIFS('Impostazioni'!$J$6:$J$25,F62)&lt;&gt;1),"Completa dati / elenchi",IF(OR(AND(I62&lt;&gt;"Lordo manuale",I62&lt;&gt;"Netto manuale",I62&lt;&gt;"Esecuzioni"),AND(J62&lt;&gt;"Aperto",J62&lt;&gt;"Chiuso",J62&lt;&gt;"Annullato")),"Modalità / stato mancanti",IF(AND(J62&lt;&gt;"Aperto",OR(NOT(ISNUMBER(C62)),C62&lt;B62)),"Correggi data chiusura",IF(OR(AND(Q62&lt;&gt;"",OR(NOT(ISNUMBER(Q62)),Q62&lt;0)),AND(R62&lt;&gt;"",OR(NOT(ISNUMBER(R62)),R62&lt;0,R62&gt;1))),"Commissione non valida",IF(J62="Annullato","OK",IF(OR(NOT(ISNUMBER(Z62)),Z62&lt;0,AND(O62&lt;&gt;"",NOT(ISNUMBER(O62)))),"Inserisci rischio",IF(AND(I62="Esecuzioni",OR(W62=0,COUNTIFS('Esecuzioni'!$A$8:$A$1007,A62,'Esecuzioni'!$Q$8:$Q$1007,"&lt;&gt;OK")&gt;0)),"Correggi esecuzioni",IF(J62="Aperto","OK",IF(AND(I62="Esecuzioni",S62="Coperto",ABS(X62-Y62)&gt;'Impostazioni'!$B$11),"Copertura residua",IF(NOT(ISNUMBER(AC62)),"Completa risultato / esito",IF(AND(Z62=0,AC62&lt;&gt;0),"Rischio nullo con P/L","OK")))))))))))))</x:f>
      </x:c>
      <x:c r="AR62" s="20" t="str">
        <x:f>IF(OR(A62="",J62&lt;&gt;"Aperto",AQ62&lt;&gt;"OK"),"",IF(I62="Esecuzioni",SUMIFS('Esecuzioni'!$P$8:$P$1007,'Esecuzioni'!$A$8:$A$1007,A62,'Esecuzioni'!$B$8:$B$1007,_xlfn.MAXIFS('Esecuzioni'!$B$8:$B$1007,'Esecuzioni'!$A$8:$A$1007,A62)),IF(LEFT(U62,8)="FREEBET:",0,Z62)))</x:f>
      </x:c>
      <x:c r="AS62" s="48" t="str">
        <x:f>IF(OR(A62="",E62=""),"",IF(COUNTIFS($E$8:E62,E62)=1,COUNT($AS$7:AS61)+1,""))</x:f>
      </x:c>
    </x:row>
    <x:row r="63" ht="22" customHeight="1">
      <x:c r="A63" s="7"/>
      <x:c r="B63" s="19"/>
      <x:c r="C63" s="19"/>
      <x:c r="D63" s="7"/>
      <x:c r="E63" s="7"/>
      <x:c r="F63" s="7"/>
      <x:c r="G63" s="7"/>
      <x:c r="H63" s="7"/>
      <x:c r="I63" s="7"/>
      <x:c r="J63" s="7"/>
      <x:c r="K63" s="10"/>
      <x:c r="L63" s="7"/>
      <x:c r="M63" s="10"/>
      <x:c r="N63" s="7"/>
      <x:c r="O63" s="8"/>
      <x:c r="P63" s="8"/>
      <x:c r="Q63" s="8"/>
      <x:c r="R63" s="9"/>
      <x:c r="S63" s="7"/>
      <x:c r="T63" s="7"/>
      <x:c r="U63" s="7"/>
      <x:c r="V63" s="7"/>
      <x:c r="W63" s="22" t="str">
        <x:f>IF(A63="","",COUNTIFS('Esecuzioni'!$A$8:$A$1007,A63,'Esecuzioni'!$Q$8:$Q$1007,"OK"))</x:f>
      </x:c>
      <x:c r="X63" s="20" t="str">
        <x:f>IF(OR(A63="",I63&lt;&gt;"Esecuzioni",W63=0),"",SUMIFS('Esecuzioni'!$L$8:$L$1007,'Esecuzioni'!$A$8:$A$1007,A63))</x:f>
      </x:c>
      <x:c r="Y63" s="20" t="str">
        <x:f>IF(OR(A63="",I63&lt;&gt;"Esecuzioni",W63=0),"",SUMIFS('Esecuzioni'!$M$8:$M$1007,'Esecuzioni'!$A$8:$A$1007,A63))</x:f>
      </x:c>
      <x:c r="Z63" s="20" t="str">
        <x:f>IF(A63="","",IF(J63="Annullato",0,IF(ISNUMBER(O63),O63,IF(AND(I63="Esecuzioni",W63&gt;0),_xlfn.MAXIFS('Esecuzioni'!$P$8:$P$1007,'Esecuzioni'!$A$8:$A$1007,A63),""))))</x:f>
      </x:c>
      <x:c r="AA63" s="20" t="str">
        <x:f>IF(OR(A63="",J63="Aperto"),"",IF(J63="Annullato",0,IF(I63="Lordo manuale",IF(ISNUMBER(P63),P63,""),IF(I63="Netto manuale",IF(AND(ISNUMBER(P63),ISNUMBER(Q63)),P63+Q63,""),IF(OR(W63=0,COUNTIFS('Esecuzioni'!$A$8:$A$1007,A63,'Esecuzioni'!$Q$8:$Q$1007,"&lt;&gt;OK")&gt;0),"",IF(S63="Vince",X63,IF(S63="Perde",Y63,IF(AND(S63="Coperto",ABS(X63-Y63)&lt;='Impostazioni'!$B$11),ROUND((X63+Y63)/2,2),""))))))))</x:f>
      </x:c>
      <x:c r="AB63" s="20" t="str">
        <x:f>IF(NOT(ISNUMBER(AA63)),"",IF(J63="Annullato",0,IF(ISNUMBER(Q63),Q63,ROUND(MAX(0,AA63)*IF(ISNUMBER(R63),R63,'Impostazioni'!$B$8),2))))</x:f>
      </x:c>
      <x:c r="AC63" s="20" t="str">
        <x:f>IF(AND(ISNUMBER(AA63),ISNUMBER(AB63)),ROUND(AA63-AB63,2),"")</x:f>
      </x:c>
      <x:c r="AD63" s="18" t="str">
        <x:f>IF(A63="","",IF(AQ63&lt;&gt;"OK","Incompleto",IF(J63="Aperto","Aperto",IF(J63="Annullato","Annullato",IF(AC63&gt;0,"Green",IF(AC63&lt;0,"Red","Flat"))))))</x:f>
      </x:c>
      <x:c r="AE63" s="21" t="str">
        <x:f>IF(AND(AH63=1,Z63&gt;0),AC63/Z63,"")</x:f>
      </x:c>
      <x:c r="AF63" s="22" t="str">
        <x:f>IF(AH63&lt;&gt;1,"",COUNTIFS($C$8:$C$507,"&lt;"&amp;C63,$AH$8:$AH$507,1)+COUNTIFS($C$8:$C$507,C63,$A$8:$A$507,"&lt;="&amp;A63,$AH$8:$AH$507,1))</x:f>
      </x:c>
      <x:c r="AG63" s="20" t="str">
        <x:f>IF(AH63&lt;&gt;1,"",SUMIFS($AC$8:$AC$507,$C$8:$C$507,"&lt;"&amp;C63,$AH$8:$AH$507,1)+SUMIFS($AC$8:$AC$507,$C$8:$C$507,C63,$A$8:$A$507,"&lt;="&amp;A63,$AH$8:$AH$507,1))</x:f>
      </x:c>
      <x:c r="AH63" s="22" t="str">
        <x:f>IF(A63="","",IF(AND(J63="Chiuso",AQ63="OK",ISNUMBER(AC63)),1,0))</x:f>
      </x:c>
      <x:c r="AI63" s="20" t="str">
        <x:f>IF(AH63&lt;&gt;1,"",MAX(0,_xlfn.MAXIFS($AG$8:$AG$507,$AF$8:$AF$507,"&lt;="&amp;AF63,$AH$8:$AH$507,1)))</x:f>
      </x:c>
      <x:c r="AJ63" s="20" t="str">
        <x:f>IF(AH63&lt;&gt;1,"",MAX(0,AI63-AG63))</x:f>
      </x:c>
      <x:c r="AK63" s="21" t="str">
        <x:f>IF(OR(AH63&lt;&gt;1,NOT(ISNUMBER('Impostazioni'!$B$6)),'Impostazioni'!$B$6+AI63&lt;=0),"",AJ63/('Impostazioni'!$B$6+AI63))</x:f>
      </x:c>
      <x:c r="AL63" s="22" t="str">
        <x:f>IF(AH63&lt;&gt;1,"",IF(AC63&gt;0,AF63-_xlfn.MAXIFS($AF$8:$AF$507,$AF$8:$AF$507,"&lt;="&amp;AF63,$AC$8:$AC$507,"&lt;=0",$AH$8:$AH$507,1),0))</x:f>
      </x:c>
      <x:c r="AM63" s="22" t="str">
        <x:f>IF(AH63&lt;&gt;1,"",IF(AC63&lt;0,AF63-_xlfn.MAXIFS($AF$8:$AF$507,$AF$8:$AF$507,"&lt;="&amp;AF63,$AC$8:$AC$507,"&gt;=0",$AH$8:$AH$507,1),0))</x:f>
      </x:c>
      <x:c r="AN63" s="20" t="str">
        <x:f>IF(OR(A63="",NOT(ISNUMBER(B63)),NOT(ISNUMBER('Impostazioni'!$B$6))),"",'Impostazioni'!$B$6+SUMIFS($AC$8:$AC$507,$C$8:$C$507,"&lt;"&amp;B63,$AH$8:$AH$507,1)+SUMIFS('Cassa'!$F$8:$F$307,'Cassa'!$A$8:$A$307,"&lt;="&amp;B63,'Cassa'!$G$8:$G$307,"OK"))</x:f>
      </x:c>
      <x:c r="AO63" s="21" t="str">
        <x:f>IF(AND(ISNUMBER(Z63),ISNUMBER(AN63),AN63&gt;0),Z63/AN63,"")</x:f>
      </x:c>
      <x:c r="AP63" s="18" t="str">
        <x:f>IF(NOT(ISNUMBER(AO63)),"",IF(AO63&gt;'Impostazioni'!$B$7,"Oltre soglia personale","Nella soglia personale"))</x:f>
      </x:c>
      <x:c r="AQ63" s="18" t="str">
        <x:f>IF(A63="",IF(COUNTA(B63:V63)=0,"","Inserisci ID"),IF(COUNTIFS($A$8:$A$507,A63)&lt;&gt;1,"ID duplicato",IF(OR(NOT(ISNUMBER(B63)),D63="",E63="",F63="",G63="",H63="",COUNTIFS('Impostazioni'!$J$6:$J$25,F63)&lt;&gt;1),"Completa dati / elenchi",IF(OR(AND(I63&lt;&gt;"Lordo manuale",I63&lt;&gt;"Netto manuale",I63&lt;&gt;"Esecuzioni"),AND(J63&lt;&gt;"Aperto",J63&lt;&gt;"Chiuso",J63&lt;&gt;"Annullato")),"Modalità / stato mancanti",IF(AND(J63&lt;&gt;"Aperto",OR(NOT(ISNUMBER(C63)),C63&lt;B63)),"Correggi data chiusura",IF(OR(AND(Q63&lt;&gt;"",OR(NOT(ISNUMBER(Q63)),Q63&lt;0)),AND(R63&lt;&gt;"",OR(NOT(ISNUMBER(R63)),R63&lt;0,R63&gt;1))),"Commissione non valida",IF(J63="Annullato","OK",IF(OR(NOT(ISNUMBER(Z63)),Z63&lt;0,AND(O63&lt;&gt;"",NOT(ISNUMBER(O63)))),"Inserisci rischio",IF(AND(I63="Esecuzioni",OR(W63=0,COUNTIFS('Esecuzioni'!$A$8:$A$1007,A63,'Esecuzioni'!$Q$8:$Q$1007,"&lt;&gt;OK")&gt;0)),"Correggi esecuzioni",IF(J63="Aperto","OK",IF(AND(I63="Esecuzioni",S63="Coperto",ABS(X63-Y63)&gt;'Impostazioni'!$B$11),"Copertura residua",IF(NOT(ISNUMBER(AC63)),"Completa risultato / esito",IF(AND(Z63=0,AC63&lt;&gt;0),"Rischio nullo con P/L","OK")))))))))))))</x:f>
      </x:c>
      <x:c r="AR63" s="20" t="str">
        <x:f>IF(OR(A63="",J63&lt;&gt;"Aperto",AQ63&lt;&gt;"OK"),"",IF(I63="Esecuzioni",SUMIFS('Esecuzioni'!$P$8:$P$1007,'Esecuzioni'!$A$8:$A$1007,A63,'Esecuzioni'!$B$8:$B$1007,_xlfn.MAXIFS('Esecuzioni'!$B$8:$B$1007,'Esecuzioni'!$A$8:$A$1007,A63)),IF(LEFT(U63,8)="FREEBET:",0,Z63)))</x:f>
      </x:c>
      <x:c r="AS63" s="48" t="str">
        <x:f>IF(OR(A63="",E63=""),"",IF(COUNTIFS($E$8:E63,E63)=1,COUNT($AS$7:AS62)+1,""))</x:f>
      </x:c>
    </x:row>
    <x:row r="64" ht="22" customHeight="1">
      <x:c r="A64" s="7"/>
      <x:c r="B64" s="19"/>
      <x:c r="C64" s="19"/>
      <x:c r="D64" s="7"/>
      <x:c r="E64" s="7"/>
      <x:c r="F64" s="7"/>
      <x:c r="G64" s="7"/>
      <x:c r="H64" s="7"/>
      <x:c r="I64" s="7"/>
      <x:c r="J64" s="7"/>
      <x:c r="K64" s="10"/>
      <x:c r="L64" s="7"/>
      <x:c r="M64" s="10"/>
      <x:c r="N64" s="7"/>
      <x:c r="O64" s="8"/>
      <x:c r="P64" s="8"/>
      <x:c r="Q64" s="8"/>
      <x:c r="R64" s="9"/>
      <x:c r="S64" s="7"/>
      <x:c r="T64" s="7"/>
      <x:c r="U64" s="7"/>
      <x:c r="V64" s="7"/>
      <x:c r="W64" s="22" t="str">
        <x:f>IF(A64="","",COUNTIFS('Esecuzioni'!$A$8:$A$1007,A64,'Esecuzioni'!$Q$8:$Q$1007,"OK"))</x:f>
      </x:c>
      <x:c r="X64" s="20" t="str">
        <x:f>IF(OR(A64="",I64&lt;&gt;"Esecuzioni",W64=0),"",SUMIFS('Esecuzioni'!$L$8:$L$1007,'Esecuzioni'!$A$8:$A$1007,A64))</x:f>
      </x:c>
      <x:c r="Y64" s="20" t="str">
        <x:f>IF(OR(A64="",I64&lt;&gt;"Esecuzioni",W64=0),"",SUMIFS('Esecuzioni'!$M$8:$M$1007,'Esecuzioni'!$A$8:$A$1007,A64))</x:f>
      </x:c>
      <x:c r="Z64" s="20" t="str">
        <x:f>IF(A64="","",IF(J64="Annullato",0,IF(ISNUMBER(O64),O64,IF(AND(I64="Esecuzioni",W64&gt;0),_xlfn.MAXIFS('Esecuzioni'!$P$8:$P$1007,'Esecuzioni'!$A$8:$A$1007,A64),""))))</x:f>
      </x:c>
      <x:c r="AA64" s="20" t="str">
        <x:f>IF(OR(A64="",J64="Aperto"),"",IF(J64="Annullato",0,IF(I64="Lordo manuale",IF(ISNUMBER(P64),P64,""),IF(I64="Netto manuale",IF(AND(ISNUMBER(P64),ISNUMBER(Q64)),P64+Q64,""),IF(OR(W64=0,COUNTIFS('Esecuzioni'!$A$8:$A$1007,A64,'Esecuzioni'!$Q$8:$Q$1007,"&lt;&gt;OK")&gt;0),"",IF(S64="Vince",X64,IF(S64="Perde",Y64,IF(AND(S64="Coperto",ABS(X64-Y64)&lt;='Impostazioni'!$B$11),ROUND((X64+Y64)/2,2),""))))))))</x:f>
      </x:c>
      <x:c r="AB64" s="20" t="str">
        <x:f>IF(NOT(ISNUMBER(AA64)),"",IF(J64="Annullato",0,IF(ISNUMBER(Q64),Q64,ROUND(MAX(0,AA64)*IF(ISNUMBER(R64),R64,'Impostazioni'!$B$8),2))))</x:f>
      </x:c>
      <x:c r="AC64" s="20" t="str">
        <x:f>IF(AND(ISNUMBER(AA64),ISNUMBER(AB64)),ROUND(AA64-AB64,2),"")</x:f>
      </x:c>
      <x:c r="AD64" s="18" t="str">
        <x:f>IF(A64="","",IF(AQ64&lt;&gt;"OK","Incompleto",IF(J64="Aperto","Aperto",IF(J64="Annullato","Annullato",IF(AC64&gt;0,"Green",IF(AC64&lt;0,"Red","Flat"))))))</x:f>
      </x:c>
      <x:c r="AE64" s="21" t="str">
        <x:f>IF(AND(AH64=1,Z64&gt;0),AC64/Z64,"")</x:f>
      </x:c>
      <x:c r="AF64" s="22" t="str">
        <x:f>IF(AH64&lt;&gt;1,"",COUNTIFS($C$8:$C$507,"&lt;"&amp;C64,$AH$8:$AH$507,1)+COUNTIFS($C$8:$C$507,C64,$A$8:$A$507,"&lt;="&amp;A64,$AH$8:$AH$507,1))</x:f>
      </x:c>
      <x:c r="AG64" s="20" t="str">
        <x:f>IF(AH64&lt;&gt;1,"",SUMIFS($AC$8:$AC$507,$C$8:$C$507,"&lt;"&amp;C64,$AH$8:$AH$507,1)+SUMIFS($AC$8:$AC$507,$C$8:$C$507,C64,$A$8:$A$507,"&lt;="&amp;A64,$AH$8:$AH$507,1))</x:f>
      </x:c>
      <x:c r="AH64" s="22" t="str">
        <x:f>IF(A64="","",IF(AND(J64="Chiuso",AQ64="OK",ISNUMBER(AC64)),1,0))</x:f>
      </x:c>
      <x:c r="AI64" s="20" t="str">
        <x:f>IF(AH64&lt;&gt;1,"",MAX(0,_xlfn.MAXIFS($AG$8:$AG$507,$AF$8:$AF$507,"&lt;="&amp;AF64,$AH$8:$AH$507,1)))</x:f>
      </x:c>
      <x:c r="AJ64" s="20" t="str">
        <x:f>IF(AH64&lt;&gt;1,"",MAX(0,AI64-AG64))</x:f>
      </x:c>
      <x:c r="AK64" s="21" t="str">
        <x:f>IF(OR(AH64&lt;&gt;1,NOT(ISNUMBER('Impostazioni'!$B$6)),'Impostazioni'!$B$6+AI64&lt;=0),"",AJ64/('Impostazioni'!$B$6+AI64))</x:f>
      </x:c>
      <x:c r="AL64" s="22" t="str">
        <x:f>IF(AH64&lt;&gt;1,"",IF(AC64&gt;0,AF64-_xlfn.MAXIFS($AF$8:$AF$507,$AF$8:$AF$507,"&lt;="&amp;AF64,$AC$8:$AC$507,"&lt;=0",$AH$8:$AH$507,1),0))</x:f>
      </x:c>
      <x:c r="AM64" s="22" t="str">
        <x:f>IF(AH64&lt;&gt;1,"",IF(AC64&lt;0,AF64-_xlfn.MAXIFS($AF$8:$AF$507,$AF$8:$AF$507,"&lt;="&amp;AF64,$AC$8:$AC$507,"&gt;=0",$AH$8:$AH$507,1),0))</x:f>
      </x:c>
      <x:c r="AN64" s="20" t="str">
        <x:f>IF(OR(A64="",NOT(ISNUMBER(B64)),NOT(ISNUMBER('Impostazioni'!$B$6))),"",'Impostazioni'!$B$6+SUMIFS($AC$8:$AC$507,$C$8:$C$507,"&lt;"&amp;B64,$AH$8:$AH$507,1)+SUMIFS('Cassa'!$F$8:$F$307,'Cassa'!$A$8:$A$307,"&lt;="&amp;B64,'Cassa'!$G$8:$G$307,"OK"))</x:f>
      </x:c>
      <x:c r="AO64" s="21" t="str">
        <x:f>IF(AND(ISNUMBER(Z64),ISNUMBER(AN64),AN64&gt;0),Z64/AN64,"")</x:f>
      </x:c>
      <x:c r="AP64" s="18" t="str">
        <x:f>IF(NOT(ISNUMBER(AO64)),"",IF(AO64&gt;'Impostazioni'!$B$7,"Oltre soglia personale","Nella soglia personale"))</x:f>
      </x:c>
      <x:c r="AQ64" s="18" t="str">
        <x:f>IF(A64="",IF(COUNTA(B64:V64)=0,"","Inserisci ID"),IF(COUNTIFS($A$8:$A$507,A64)&lt;&gt;1,"ID duplicato",IF(OR(NOT(ISNUMBER(B64)),D64="",E64="",F64="",G64="",H64="",COUNTIFS('Impostazioni'!$J$6:$J$25,F64)&lt;&gt;1),"Completa dati / elenchi",IF(OR(AND(I64&lt;&gt;"Lordo manuale",I64&lt;&gt;"Netto manuale",I64&lt;&gt;"Esecuzioni"),AND(J64&lt;&gt;"Aperto",J64&lt;&gt;"Chiuso",J64&lt;&gt;"Annullato")),"Modalità / stato mancanti",IF(AND(J64&lt;&gt;"Aperto",OR(NOT(ISNUMBER(C64)),C64&lt;B64)),"Correggi data chiusura",IF(OR(AND(Q64&lt;&gt;"",OR(NOT(ISNUMBER(Q64)),Q64&lt;0)),AND(R64&lt;&gt;"",OR(NOT(ISNUMBER(R64)),R64&lt;0,R64&gt;1))),"Commissione non valida",IF(J64="Annullato","OK",IF(OR(NOT(ISNUMBER(Z64)),Z64&lt;0,AND(O64&lt;&gt;"",NOT(ISNUMBER(O64)))),"Inserisci rischio",IF(AND(I64="Esecuzioni",OR(W64=0,COUNTIFS('Esecuzioni'!$A$8:$A$1007,A64,'Esecuzioni'!$Q$8:$Q$1007,"&lt;&gt;OK")&gt;0)),"Correggi esecuzioni",IF(J64="Aperto","OK",IF(AND(I64="Esecuzioni",S64="Coperto",ABS(X64-Y64)&gt;'Impostazioni'!$B$11),"Copertura residua",IF(NOT(ISNUMBER(AC64)),"Completa risultato / esito",IF(AND(Z64=0,AC64&lt;&gt;0),"Rischio nullo con P/L","OK")))))))))))))</x:f>
      </x:c>
      <x:c r="AR64" s="20" t="str">
        <x:f>IF(OR(A64="",J64&lt;&gt;"Aperto",AQ64&lt;&gt;"OK"),"",IF(I64="Esecuzioni",SUMIFS('Esecuzioni'!$P$8:$P$1007,'Esecuzioni'!$A$8:$A$1007,A64,'Esecuzioni'!$B$8:$B$1007,_xlfn.MAXIFS('Esecuzioni'!$B$8:$B$1007,'Esecuzioni'!$A$8:$A$1007,A64)),IF(LEFT(U64,8)="FREEBET:",0,Z64)))</x:f>
      </x:c>
      <x:c r="AS64" s="48" t="str">
        <x:f>IF(OR(A64="",E64=""),"",IF(COUNTIFS($E$8:E64,E64)=1,COUNT($AS$7:AS63)+1,""))</x:f>
      </x:c>
    </x:row>
    <x:row r="65" ht="22" customHeight="1">
      <x:c r="A65" s="7"/>
      <x:c r="B65" s="19"/>
      <x:c r="C65" s="19"/>
      <x:c r="D65" s="7"/>
      <x:c r="E65" s="7"/>
      <x:c r="F65" s="7"/>
      <x:c r="G65" s="7"/>
      <x:c r="H65" s="7"/>
      <x:c r="I65" s="7"/>
      <x:c r="J65" s="7"/>
      <x:c r="K65" s="10"/>
      <x:c r="L65" s="7"/>
      <x:c r="M65" s="10"/>
      <x:c r="N65" s="7"/>
      <x:c r="O65" s="8"/>
      <x:c r="P65" s="8"/>
      <x:c r="Q65" s="8"/>
      <x:c r="R65" s="9"/>
      <x:c r="S65" s="7"/>
      <x:c r="T65" s="7"/>
      <x:c r="U65" s="7"/>
      <x:c r="V65" s="7"/>
      <x:c r="W65" s="22" t="str">
        <x:f>IF(A65="","",COUNTIFS('Esecuzioni'!$A$8:$A$1007,A65,'Esecuzioni'!$Q$8:$Q$1007,"OK"))</x:f>
      </x:c>
      <x:c r="X65" s="20" t="str">
        <x:f>IF(OR(A65="",I65&lt;&gt;"Esecuzioni",W65=0),"",SUMIFS('Esecuzioni'!$L$8:$L$1007,'Esecuzioni'!$A$8:$A$1007,A65))</x:f>
      </x:c>
      <x:c r="Y65" s="20" t="str">
        <x:f>IF(OR(A65="",I65&lt;&gt;"Esecuzioni",W65=0),"",SUMIFS('Esecuzioni'!$M$8:$M$1007,'Esecuzioni'!$A$8:$A$1007,A65))</x:f>
      </x:c>
      <x:c r="Z65" s="20" t="str">
        <x:f>IF(A65="","",IF(J65="Annullato",0,IF(ISNUMBER(O65),O65,IF(AND(I65="Esecuzioni",W65&gt;0),_xlfn.MAXIFS('Esecuzioni'!$P$8:$P$1007,'Esecuzioni'!$A$8:$A$1007,A65),""))))</x:f>
      </x:c>
      <x:c r="AA65" s="20" t="str">
        <x:f>IF(OR(A65="",J65="Aperto"),"",IF(J65="Annullato",0,IF(I65="Lordo manuale",IF(ISNUMBER(P65),P65,""),IF(I65="Netto manuale",IF(AND(ISNUMBER(P65),ISNUMBER(Q65)),P65+Q65,""),IF(OR(W65=0,COUNTIFS('Esecuzioni'!$A$8:$A$1007,A65,'Esecuzioni'!$Q$8:$Q$1007,"&lt;&gt;OK")&gt;0),"",IF(S65="Vince",X65,IF(S65="Perde",Y65,IF(AND(S65="Coperto",ABS(X65-Y65)&lt;='Impostazioni'!$B$11),ROUND((X65+Y65)/2,2),""))))))))</x:f>
      </x:c>
      <x:c r="AB65" s="20" t="str">
        <x:f>IF(NOT(ISNUMBER(AA65)),"",IF(J65="Annullato",0,IF(ISNUMBER(Q65),Q65,ROUND(MAX(0,AA65)*IF(ISNUMBER(R65),R65,'Impostazioni'!$B$8),2))))</x:f>
      </x:c>
      <x:c r="AC65" s="20" t="str">
        <x:f>IF(AND(ISNUMBER(AA65),ISNUMBER(AB65)),ROUND(AA65-AB65,2),"")</x:f>
      </x:c>
      <x:c r="AD65" s="18" t="str">
        <x:f>IF(A65="","",IF(AQ65&lt;&gt;"OK","Incompleto",IF(J65="Aperto","Aperto",IF(J65="Annullato","Annullato",IF(AC65&gt;0,"Green",IF(AC65&lt;0,"Red","Flat"))))))</x:f>
      </x:c>
      <x:c r="AE65" s="21" t="str">
        <x:f>IF(AND(AH65=1,Z65&gt;0),AC65/Z65,"")</x:f>
      </x:c>
      <x:c r="AF65" s="22" t="str">
        <x:f>IF(AH65&lt;&gt;1,"",COUNTIFS($C$8:$C$507,"&lt;"&amp;C65,$AH$8:$AH$507,1)+COUNTIFS($C$8:$C$507,C65,$A$8:$A$507,"&lt;="&amp;A65,$AH$8:$AH$507,1))</x:f>
      </x:c>
      <x:c r="AG65" s="20" t="str">
        <x:f>IF(AH65&lt;&gt;1,"",SUMIFS($AC$8:$AC$507,$C$8:$C$507,"&lt;"&amp;C65,$AH$8:$AH$507,1)+SUMIFS($AC$8:$AC$507,$C$8:$C$507,C65,$A$8:$A$507,"&lt;="&amp;A65,$AH$8:$AH$507,1))</x:f>
      </x:c>
      <x:c r="AH65" s="22" t="str">
        <x:f>IF(A65="","",IF(AND(J65="Chiuso",AQ65="OK",ISNUMBER(AC65)),1,0))</x:f>
      </x:c>
      <x:c r="AI65" s="20" t="str">
        <x:f>IF(AH65&lt;&gt;1,"",MAX(0,_xlfn.MAXIFS($AG$8:$AG$507,$AF$8:$AF$507,"&lt;="&amp;AF65,$AH$8:$AH$507,1)))</x:f>
      </x:c>
      <x:c r="AJ65" s="20" t="str">
        <x:f>IF(AH65&lt;&gt;1,"",MAX(0,AI65-AG65))</x:f>
      </x:c>
      <x:c r="AK65" s="21" t="str">
        <x:f>IF(OR(AH65&lt;&gt;1,NOT(ISNUMBER('Impostazioni'!$B$6)),'Impostazioni'!$B$6+AI65&lt;=0),"",AJ65/('Impostazioni'!$B$6+AI65))</x:f>
      </x:c>
      <x:c r="AL65" s="22" t="str">
        <x:f>IF(AH65&lt;&gt;1,"",IF(AC65&gt;0,AF65-_xlfn.MAXIFS($AF$8:$AF$507,$AF$8:$AF$507,"&lt;="&amp;AF65,$AC$8:$AC$507,"&lt;=0",$AH$8:$AH$507,1),0))</x:f>
      </x:c>
      <x:c r="AM65" s="22" t="str">
        <x:f>IF(AH65&lt;&gt;1,"",IF(AC65&lt;0,AF65-_xlfn.MAXIFS($AF$8:$AF$507,$AF$8:$AF$507,"&lt;="&amp;AF65,$AC$8:$AC$507,"&gt;=0",$AH$8:$AH$507,1),0))</x:f>
      </x:c>
      <x:c r="AN65" s="20" t="str">
        <x:f>IF(OR(A65="",NOT(ISNUMBER(B65)),NOT(ISNUMBER('Impostazioni'!$B$6))),"",'Impostazioni'!$B$6+SUMIFS($AC$8:$AC$507,$C$8:$C$507,"&lt;"&amp;B65,$AH$8:$AH$507,1)+SUMIFS('Cassa'!$F$8:$F$307,'Cassa'!$A$8:$A$307,"&lt;="&amp;B65,'Cassa'!$G$8:$G$307,"OK"))</x:f>
      </x:c>
      <x:c r="AO65" s="21" t="str">
        <x:f>IF(AND(ISNUMBER(Z65),ISNUMBER(AN65),AN65&gt;0),Z65/AN65,"")</x:f>
      </x:c>
      <x:c r="AP65" s="18" t="str">
        <x:f>IF(NOT(ISNUMBER(AO65)),"",IF(AO65&gt;'Impostazioni'!$B$7,"Oltre soglia personale","Nella soglia personale"))</x:f>
      </x:c>
      <x:c r="AQ65" s="18" t="str">
        <x:f>IF(A65="",IF(COUNTA(B65:V65)=0,"","Inserisci ID"),IF(COUNTIFS($A$8:$A$507,A65)&lt;&gt;1,"ID duplicato",IF(OR(NOT(ISNUMBER(B65)),D65="",E65="",F65="",G65="",H65="",COUNTIFS('Impostazioni'!$J$6:$J$25,F65)&lt;&gt;1),"Completa dati / elenchi",IF(OR(AND(I65&lt;&gt;"Lordo manuale",I65&lt;&gt;"Netto manuale",I65&lt;&gt;"Esecuzioni"),AND(J65&lt;&gt;"Aperto",J65&lt;&gt;"Chiuso",J65&lt;&gt;"Annullato")),"Modalità / stato mancanti",IF(AND(J65&lt;&gt;"Aperto",OR(NOT(ISNUMBER(C65)),C65&lt;B65)),"Correggi data chiusura",IF(OR(AND(Q65&lt;&gt;"",OR(NOT(ISNUMBER(Q65)),Q65&lt;0)),AND(R65&lt;&gt;"",OR(NOT(ISNUMBER(R65)),R65&lt;0,R65&gt;1))),"Commissione non valida",IF(J65="Annullato","OK",IF(OR(NOT(ISNUMBER(Z65)),Z65&lt;0,AND(O65&lt;&gt;"",NOT(ISNUMBER(O65)))),"Inserisci rischio",IF(AND(I65="Esecuzioni",OR(W65=0,COUNTIFS('Esecuzioni'!$A$8:$A$1007,A65,'Esecuzioni'!$Q$8:$Q$1007,"&lt;&gt;OK")&gt;0)),"Correggi esecuzioni",IF(J65="Aperto","OK",IF(AND(I65="Esecuzioni",S65="Coperto",ABS(X65-Y65)&gt;'Impostazioni'!$B$11),"Copertura residua",IF(NOT(ISNUMBER(AC65)),"Completa risultato / esito",IF(AND(Z65=0,AC65&lt;&gt;0),"Rischio nullo con P/L","OK")))))))))))))</x:f>
      </x:c>
      <x:c r="AR65" s="20" t="str">
        <x:f>IF(OR(A65="",J65&lt;&gt;"Aperto",AQ65&lt;&gt;"OK"),"",IF(I65="Esecuzioni",SUMIFS('Esecuzioni'!$P$8:$P$1007,'Esecuzioni'!$A$8:$A$1007,A65,'Esecuzioni'!$B$8:$B$1007,_xlfn.MAXIFS('Esecuzioni'!$B$8:$B$1007,'Esecuzioni'!$A$8:$A$1007,A65)),IF(LEFT(U65,8)="FREEBET:",0,Z65)))</x:f>
      </x:c>
      <x:c r="AS65" s="48" t="str">
        <x:f>IF(OR(A65="",E65=""),"",IF(COUNTIFS($E$8:E65,E65)=1,COUNT($AS$7:AS64)+1,""))</x:f>
      </x:c>
    </x:row>
    <x:row r="66" ht="22" customHeight="1">
      <x:c r="A66" s="7"/>
      <x:c r="B66" s="19"/>
      <x:c r="C66" s="19"/>
      <x:c r="D66" s="7"/>
      <x:c r="E66" s="7"/>
      <x:c r="F66" s="7"/>
      <x:c r="G66" s="7"/>
      <x:c r="H66" s="7"/>
      <x:c r="I66" s="7"/>
      <x:c r="J66" s="7"/>
      <x:c r="K66" s="10"/>
      <x:c r="L66" s="7"/>
      <x:c r="M66" s="10"/>
      <x:c r="N66" s="7"/>
      <x:c r="O66" s="8"/>
      <x:c r="P66" s="8"/>
      <x:c r="Q66" s="8"/>
      <x:c r="R66" s="9"/>
      <x:c r="S66" s="7"/>
      <x:c r="T66" s="7"/>
      <x:c r="U66" s="7"/>
      <x:c r="V66" s="7"/>
      <x:c r="W66" s="22" t="str">
        <x:f>IF(A66="","",COUNTIFS('Esecuzioni'!$A$8:$A$1007,A66,'Esecuzioni'!$Q$8:$Q$1007,"OK"))</x:f>
      </x:c>
      <x:c r="X66" s="20" t="str">
        <x:f>IF(OR(A66="",I66&lt;&gt;"Esecuzioni",W66=0),"",SUMIFS('Esecuzioni'!$L$8:$L$1007,'Esecuzioni'!$A$8:$A$1007,A66))</x:f>
      </x:c>
      <x:c r="Y66" s="20" t="str">
        <x:f>IF(OR(A66="",I66&lt;&gt;"Esecuzioni",W66=0),"",SUMIFS('Esecuzioni'!$M$8:$M$1007,'Esecuzioni'!$A$8:$A$1007,A66))</x:f>
      </x:c>
      <x:c r="Z66" s="20" t="str">
        <x:f>IF(A66="","",IF(J66="Annullato",0,IF(ISNUMBER(O66),O66,IF(AND(I66="Esecuzioni",W66&gt;0),_xlfn.MAXIFS('Esecuzioni'!$P$8:$P$1007,'Esecuzioni'!$A$8:$A$1007,A66),""))))</x:f>
      </x:c>
      <x:c r="AA66" s="20" t="str">
        <x:f>IF(OR(A66="",J66="Aperto"),"",IF(J66="Annullato",0,IF(I66="Lordo manuale",IF(ISNUMBER(P66),P66,""),IF(I66="Netto manuale",IF(AND(ISNUMBER(P66),ISNUMBER(Q66)),P66+Q66,""),IF(OR(W66=0,COUNTIFS('Esecuzioni'!$A$8:$A$1007,A66,'Esecuzioni'!$Q$8:$Q$1007,"&lt;&gt;OK")&gt;0),"",IF(S66="Vince",X66,IF(S66="Perde",Y66,IF(AND(S66="Coperto",ABS(X66-Y66)&lt;='Impostazioni'!$B$11),ROUND((X66+Y66)/2,2),""))))))))</x:f>
      </x:c>
      <x:c r="AB66" s="20" t="str">
        <x:f>IF(NOT(ISNUMBER(AA66)),"",IF(J66="Annullato",0,IF(ISNUMBER(Q66),Q66,ROUND(MAX(0,AA66)*IF(ISNUMBER(R66),R66,'Impostazioni'!$B$8),2))))</x:f>
      </x:c>
      <x:c r="AC66" s="20" t="str">
        <x:f>IF(AND(ISNUMBER(AA66),ISNUMBER(AB66)),ROUND(AA66-AB66,2),"")</x:f>
      </x:c>
      <x:c r="AD66" s="18" t="str">
        <x:f>IF(A66="","",IF(AQ66&lt;&gt;"OK","Incompleto",IF(J66="Aperto","Aperto",IF(J66="Annullato","Annullato",IF(AC66&gt;0,"Green",IF(AC66&lt;0,"Red","Flat"))))))</x:f>
      </x:c>
      <x:c r="AE66" s="21" t="str">
        <x:f>IF(AND(AH66=1,Z66&gt;0),AC66/Z66,"")</x:f>
      </x:c>
      <x:c r="AF66" s="22" t="str">
        <x:f>IF(AH66&lt;&gt;1,"",COUNTIFS($C$8:$C$507,"&lt;"&amp;C66,$AH$8:$AH$507,1)+COUNTIFS($C$8:$C$507,C66,$A$8:$A$507,"&lt;="&amp;A66,$AH$8:$AH$507,1))</x:f>
      </x:c>
      <x:c r="AG66" s="20" t="str">
        <x:f>IF(AH66&lt;&gt;1,"",SUMIFS($AC$8:$AC$507,$C$8:$C$507,"&lt;"&amp;C66,$AH$8:$AH$507,1)+SUMIFS($AC$8:$AC$507,$C$8:$C$507,C66,$A$8:$A$507,"&lt;="&amp;A66,$AH$8:$AH$507,1))</x:f>
      </x:c>
      <x:c r="AH66" s="22" t="str">
        <x:f>IF(A66="","",IF(AND(J66="Chiuso",AQ66="OK",ISNUMBER(AC66)),1,0))</x:f>
      </x:c>
      <x:c r="AI66" s="20" t="str">
        <x:f>IF(AH66&lt;&gt;1,"",MAX(0,_xlfn.MAXIFS($AG$8:$AG$507,$AF$8:$AF$507,"&lt;="&amp;AF66,$AH$8:$AH$507,1)))</x:f>
      </x:c>
      <x:c r="AJ66" s="20" t="str">
        <x:f>IF(AH66&lt;&gt;1,"",MAX(0,AI66-AG66))</x:f>
      </x:c>
      <x:c r="AK66" s="21" t="str">
        <x:f>IF(OR(AH66&lt;&gt;1,NOT(ISNUMBER('Impostazioni'!$B$6)),'Impostazioni'!$B$6+AI66&lt;=0),"",AJ66/('Impostazioni'!$B$6+AI66))</x:f>
      </x:c>
      <x:c r="AL66" s="22" t="str">
        <x:f>IF(AH66&lt;&gt;1,"",IF(AC66&gt;0,AF66-_xlfn.MAXIFS($AF$8:$AF$507,$AF$8:$AF$507,"&lt;="&amp;AF66,$AC$8:$AC$507,"&lt;=0",$AH$8:$AH$507,1),0))</x:f>
      </x:c>
      <x:c r="AM66" s="22" t="str">
        <x:f>IF(AH66&lt;&gt;1,"",IF(AC66&lt;0,AF66-_xlfn.MAXIFS($AF$8:$AF$507,$AF$8:$AF$507,"&lt;="&amp;AF66,$AC$8:$AC$507,"&gt;=0",$AH$8:$AH$507,1),0))</x:f>
      </x:c>
      <x:c r="AN66" s="20" t="str">
        <x:f>IF(OR(A66="",NOT(ISNUMBER(B66)),NOT(ISNUMBER('Impostazioni'!$B$6))),"",'Impostazioni'!$B$6+SUMIFS($AC$8:$AC$507,$C$8:$C$507,"&lt;"&amp;B66,$AH$8:$AH$507,1)+SUMIFS('Cassa'!$F$8:$F$307,'Cassa'!$A$8:$A$307,"&lt;="&amp;B66,'Cassa'!$G$8:$G$307,"OK"))</x:f>
      </x:c>
      <x:c r="AO66" s="21" t="str">
        <x:f>IF(AND(ISNUMBER(Z66),ISNUMBER(AN66),AN66&gt;0),Z66/AN66,"")</x:f>
      </x:c>
      <x:c r="AP66" s="18" t="str">
        <x:f>IF(NOT(ISNUMBER(AO66)),"",IF(AO66&gt;'Impostazioni'!$B$7,"Oltre soglia personale","Nella soglia personale"))</x:f>
      </x:c>
      <x:c r="AQ66" s="18" t="str">
        <x:f>IF(A66="",IF(COUNTA(B66:V66)=0,"","Inserisci ID"),IF(COUNTIFS($A$8:$A$507,A66)&lt;&gt;1,"ID duplicato",IF(OR(NOT(ISNUMBER(B66)),D66="",E66="",F66="",G66="",H66="",COUNTIFS('Impostazioni'!$J$6:$J$25,F66)&lt;&gt;1),"Completa dati / elenchi",IF(OR(AND(I66&lt;&gt;"Lordo manuale",I66&lt;&gt;"Netto manuale",I66&lt;&gt;"Esecuzioni"),AND(J66&lt;&gt;"Aperto",J66&lt;&gt;"Chiuso",J66&lt;&gt;"Annullato")),"Modalità / stato mancanti",IF(AND(J66&lt;&gt;"Aperto",OR(NOT(ISNUMBER(C66)),C66&lt;B66)),"Correggi data chiusura",IF(OR(AND(Q66&lt;&gt;"",OR(NOT(ISNUMBER(Q66)),Q66&lt;0)),AND(R66&lt;&gt;"",OR(NOT(ISNUMBER(R66)),R66&lt;0,R66&gt;1))),"Commissione non valida",IF(J66="Annullato","OK",IF(OR(NOT(ISNUMBER(Z66)),Z66&lt;0,AND(O66&lt;&gt;"",NOT(ISNUMBER(O66)))),"Inserisci rischio",IF(AND(I66="Esecuzioni",OR(W66=0,COUNTIFS('Esecuzioni'!$A$8:$A$1007,A66,'Esecuzioni'!$Q$8:$Q$1007,"&lt;&gt;OK")&gt;0)),"Correggi esecuzioni",IF(J66="Aperto","OK",IF(AND(I66="Esecuzioni",S66="Coperto",ABS(X66-Y66)&gt;'Impostazioni'!$B$11),"Copertura residua",IF(NOT(ISNUMBER(AC66)),"Completa risultato / esito",IF(AND(Z66=0,AC66&lt;&gt;0),"Rischio nullo con P/L","OK")))))))))))))</x:f>
      </x:c>
      <x:c r="AR66" s="20" t="str">
        <x:f>IF(OR(A66="",J66&lt;&gt;"Aperto",AQ66&lt;&gt;"OK"),"",IF(I66="Esecuzioni",SUMIFS('Esecuzioni'!$P$8:$P$1007,'Esecuzioni'!$A$8:$A$1007,A66,'Esecuzioni'!$B$8:$B$1007,_xlfn.MAXIFS('Esecuzioni'!$B$8:$B$1007,'Esecuzioni'!$A$8:$A$1007,A66)),IF(LEFT(U66,8)="FREEBET:",0,Z66)))</x:f>
      </x:c>
      <x:c r="AS66" s="48" t="str">
        <x:f>IF(OR(A66="",E66=""),"",IF(COUNTIFS($E$8:E66,E66)=1,COUNT($AS$7:AS65)+1,""))</x:f>
      </x:c>
    </x:row>
    <x:row r="67" ht="22" customHeight="1">
      <x:c r="A67" s="7"/>
      <x:c r="B67" s="19"/>
      <x:c r="C67" s="19"/>
      <x:c r="D67" s="7"/>
      <x:c r="E67" s="7"/>
      <x:c r="F67" s="7"/>
      <x:c r="G67" s="7"/>
      <x:c r="H67" s="7"/>
      <x:c r="I67" s="7"/>
      <x:c r="J67" s="7"/>
      <x:c r="K67" s="10"/>
      <x:c r="L67" s="7"/>
      <x:c r="M67" s="10"/>
      <x:c r="N67" s="7"/>
      <x:c r="O67" s="8"/>
      <x:c r="P67" s="8"/>
      <x:c r="Q67" s="8"/>
      <x:c r="R67" s="9"/>
      <x:c r="S67" s="7"/>
      <x:c r="T67" s="7"/>
      <x:c r="U67" s="7"/>
      <x:c r="V67" s="7"/>
      <x:c r="W67" s="22" t="str">
        <x:f>IF(A67="","",COUNTIFS('Esecuzioni'!$A$8:$A$1007,A67,'Esecuzioni'!$Q$8:$Q$1007,"OK"))</x:f>
      </x:c>
      <x:c r="X67" s="20" t="str">
        <x:f>IF(OR(A67="",I67&lt;&gt;"Esecuzioni",W67=0),"",SUMIFS('Esecuzioni'!$L$8:$L$1007,'Esecuzioni'!$A$8:$A$1007,A67))</x:f>
      </x:c>
      <x:c r="Y67" s="20" t="str">
        <x:f>IF(OR(A67="",I67&lt;&gt;"Esecuzioni",W67=0),"",SUMIFS('Esecuzioni'!$M$8:$M$1007,'Esecuzioni'!$A$8:$A$1007,A67))</x:f>
      </x:c>
      <x:c r="Z67" s="20" t="str">
        <x:f>IF(A67="","",IF(J67="Annullato",0,IF(ISNUMBER(O67),O67,IF(AND(I67="Esecuzioni",W67&gt;0),_xlfn.MAXIFS('Esecuzioni'!$P$8:$P$1007,'Esecuzioni'!$A$8:$A$1007,A67),""))))</x:f>
      </x:c>
      <x:c r="AA67" s="20" t="str">
        <x:f>IF(OR(A67="",J67="Aperto"),"",IF(J67="Annullato",0,IF(I67="Lordo manuale",IF(ISNUMBER(P67),P67,""),IF(I67="Netto manuale",IF(AND(ISNUMBER(P67),ISNUMBER(Q67)),P67+Q67,""),IF(OR(W67=0,COUNTIFS('Esecuzioni'!$A$8:$A$1007,A67,'Esecuzioni'!$Q$8:$Q$1007,"&lt;&gt;OK")&gt;0),"",IF(S67="Vince",X67,IF(S67="Perde",Y67,IF(AND(S67="Coperto",ABS(X67-Y67)&lt;='Impostazioni'!$B$11),ROUND((X67+Y67)/2,2),""))))))))</x:f>
      </x:c>
      <x:c r="AB67" s="20" t="str">
        <x:f>IF(NOT(ISNUMBER(AA67)),"",IF(J67="Annullato",0,IF(ISNUMBER(Q67),Q67,ROUND(MAX(0,AA67)*IF(ISNUMBER(R67),R67,'Impostazioni'!$B$8),2))))</x:f>
      </x:c>
      <x:c r="AC67" s="20" t="str">
        <x:f>IF(AND(ISNUMBER(AA67),ISNUMBER(AB67)),ROUND(AA67-AB67,2),"")</x:f>
      </x:c>
      <x:c r="AD67" s="18" t="str">
        <x:f>IF(A67="","",IF(AQ67&lt;&gt;"OK","Incompleto",IF(J67="Aperto","Aperto",IF(J67="Annullato","Annullato",IF(AC67&gt;0,"Green",IF(AC67&lt;0,"Red","Flat"))))))</x:f>
      </x:c>
      <x:c r="AE67" s="21" t="str">
        <x:f>IF(AND(AH67=1,Z67&gt;0),AC67/Z67,"")</x:f>
      </x:c>
      <x:c r="AF67" s="22" t="str">
        <x:f>IF(AH67&lt;&gt;1,"",COUNTIFS($C$8:$C$507,"&lt;"&amp;C67,$AH$8:$AH$507,1)+COUNTIFS($C$8:$C$507,C67,$A$8:$A$507,"&lt;="&amp;A67,$AH$8:$AH$507,1))</x:f>
      </x:c>
      <x:c r="AG67" s="20" t="str">
        <x:f>IF(AH67&lt;&gt;1,"",SUMIFS($AC$8:$AC$507,$C$8:$C$507,"&lt;"&amp;C67,$AH$8:$AH$507,1)+SUMIFS($AC$8:$AC$507,$C$8:$C$507,C67,$A$8:$A$507,"&lt;="&amp;A67,$AH$8:$AH$507,1))</x:f>
      </x:c>
      <x:c r="AH67" s="22" t="str">
        <x:f>IF(A67="","",IF(AND(J67="Chiuso",AQ67="OK",ISNUMBER(AC67)),1,0))</x:f>
      </x:c>
      <x:c r="AI67" s="20" t="str">
        <x:f>IF(AH67&lt;&gt;1,"",MAX(0,_xlfn.MAXIFS($AG$8:$AG$507,$AF$8:$AF$507,"&lt;="&amp;AF67,$AH$8:$AH$507,1)))</x:f>
      </x:c>
      <x:c r="AJ67" s="20" t="str">
        <x:f>IF(AH67&lt;&gt;1,"",MAX(0,AI67-AG67))</x:f>
      </x:c>
      <x:c r="AK67" s="21" t="str">
        <x:f>IF(OR(AH67&lt;&gt;1,NOT(ISNUMBER('Impostazioni'!$B$6)),'Impostazioni'!$B$6+AI67&lt;=0),"",AJ67/('Impostazioni'!$B$6+AI67))</x:f>
      </x:c>
      <x:c r="AL67" s="22" t="str">
        <x:f>IF(AH67&lt;&gt;1,"",IF(AC67&gt;0,AF67-_xlfn.MAXIFS($AF$8:$AF$507,$AF$8:$AF$507,"&lt;="&amp;AF67,$AC$8:$AC$507,"&lt;=0",$AH$8:$AH$507,1),0))</x:f>
      </x:c>
      <x:c r="AM67" s="22" t="str">
        <x:f>IF(AH67&lt;&gt;1,"",IF(AC67&lt;0,AF67-_xlfn.MAXIFS($AF$8:$AF$507,$AF$8:$AF$507,"&lt;="&amp;AF67,$AC$8:$AC$507,"&gt;=0",$AH$8:$AH$507,1),0))</x:f>
      </x:c>
      <x:c r="AN67" s="20" t="str">
        <x:f>IF(OR(A67="",NOT(ISNUMBER(B67)),NOT(ISNUMBER('Impostazioni'!$B$6))),"",'Impostazioni'!$B$6+SUMIFS($AC$8:$AC$507,$C$8:$C$507,"&lt;"&amp;B67,$AH$8:$AH$507,1)+SUMIFS('Cassa'!$F$8:$F$307,'Cassa'!$A$8:$A$307,"&lt;="&amp;B67,'Cassa'!$G$8:$G$307,"OK"))</x:f>
      </x:c>
      <x:c r="AO67" s="21" t="str">
        <x:f>IF(AND(ISNUMBER(Z67),ISNUMBER(AN67),AN67&gt;0),Z67/AN67,"")</x:f>
      </x:c>
      <x:c r="AP67" s="18" t="str">
        <x:f>IF(NOT(ISNUMBER(AO67)),"",IF(AO67&gt;'Impostazioni'!$B$7,"Oltre soglia personale","Nella soglia personale"))</x:f>
      </x:c>
      <x:c r="AQ67" s="18" t="str">
        <x:f>IF(A67="",IF(COUNTA(B67:V67)=0,"","Inserisci ID"),IF(COUNTIFS($A$8:$A$507,A67)&lt;&gt;1,"ID duplicato",IF(OR(NOT(ISNUMBER(B67)),D67="",E67="",F67="",G67="",H67="",COUNTIFS('Impostazioni'!$J$6:$J$25,F67)&lt;&gt;1),"Completa dati / elenchi",IF(OR(AND(I67&lt;&gt;"Lordo manuale",I67&lt;&gt;"Netto manuale",I67&lt;&gt;"Esecuzioni"),AND(J67&lt;&gt;"Aperto",J67&lt;&gt;"Chiuso",J67&lt;&gt;"Annullato")),"Modalità / stato mancanti",IF(AND(J67&lt;&gt;"Aperto",OR(NOT(ISNUMBER(C67)),C67&lt;B67)),"Correggi data chiusura",IF(OR(AND(Q67&lt;&gt;"",OR(NOT(ISNUMBER(Q67)),Q67&lt;0)),AND(R67&lt;&gt;"",OR(NOT(ISNUMBER(R67)),R67&lt;0,R67&gt;1))),"Commissione non valida",IF(J67="Annullato","OK",IF(OR(NOT(ISNUMBER(Z67)),Z67&lt;0,AND(O67&lt;&gt;"",NOT(ISNUMBER(O67)))),"Inserisci rischio",IF(AND(I67="Esecuzioni",OR(W67=0,COUNTIFS('Esecuzioni'!$A$8:$A$1007,A67,'Esecuzioni'!$Q$8:$Q$1007,"&lt;&gt;OK")&gt;0)),"Correggi esecuzioni",IF(J67="Aperto","OK",IF(AND(I67="Esecuzioni",S67="Coperto",ABS(X67-Y67)&gt;'Impostazioni'!$B$11),"Copertura residua",IF(NOT(ISNUMBER(AC67)),"Completa risultato / esito",IF(AND(Z67=0,AC67&lt;&gt;0),"Rischio nullo con P/L","OK")))))))))))))</x:f>
      </x:c>
      <x:c r="AR67" s="20" t="str">
        <x:f>IF(OR(A67="",J67&lt;&gt;"Aperto",AQ67&lt;&gt;"OK"),"",IF(I67="Esecuzioni",SUMIFS('Esecuzioni'!$P$8:$P$1007,'Esecuzioni'!$A$8:$A$1007,A67,'Esecuzioni'!$B$8:$B$1007,_xlfn.MAXIFS('Esecuzioni'!$B$8:$B$1007,'Esecuzioni'!$A$8:$A$1007,A67)),IF(LEFT(U67,8)="FREEBET:",0,Z67)))</x:f>
      </x:c>
      <x:c r="AS67" s="48" t="str">
        <x:f>IF(OR(A67="",E67=""),"",IF(COUNTIFS($E$8:E67,E67)=1,COUNT($AS$7:AS66)+1,""))</x:f>
      </x:c>
    </x:row>
    <x:row r="68" ht="22" customHeight="1">
      <x:c r="A68" s="7"/>
      <x:c r="B68" s="19"/>
      <x:c r="C68" s="19"/>
      <x:c r="D68" s="7"/>
      <x:c r="E68" s="7"/>
      <x:c r="F68" s="7"/>
      <x:c r="G68" s="7"/>
      <x:c r="H68" s="7"/>
      <x:c r="I68" s="7"/>
      <x:c r="J68" s="7"/>
      <x:c r="K68" s="10"/>
      <x:c r="L68" s="7"/>
      <x:c r="M68" s="10"/>
      <x:c r="N68" s="7"/>
      <x:c r="O68" s="8"/>
      <x:c r="P68" s="8"/>
      <x:c r="Q68" s="8"/>
      <x:c r="R68" s="9"/>
      <x:c r="S68" s="7"/>
      <x:c r="T68" s="7"/>
      <x:c r="U68" s="7"/>
      <x:c r="V68" s="7"/>
      <x:c r="W68" s="22" t="str">
        <x:f>IF(A68="","",COUNTIFS('Esecuzioni'!$A$8:$A$1007,A68,'Esecuzioni'!$Q$8:$Q$1007,"OK"))</x:f>
      </x:c>
      <x:c r="X68" s="20" t="str">
        <x:f>IF(OR(A68="",I68&lt;&gt;"Esecuzioni",W68=0),"",SUMIFS('Esecuzioni'!$L$8:$L$1007,'Esecuzioni'!$A$8:$A$1007,A68))</x:f>
      </x:c>
      <x:c r="Y68" s="20" t="str">
        <x:f>IF(OR(A68="",I68&lt;&gt;"Esecuzioni",W68=0),"",SUMIFS('Esecuzioni'!$M$8:$M$1007,'Esecuzioni'!$A$8:$A$1007,A68))</x:f>
      </x:c>
      <x:c r="Z68" s="20" t="str">
        <x:f>IF(A68="","",IF(J68="Annullato",0,IF(ISNUMBER(O68),O68,IF(AND(I68="Esecuzioni",W68&gt;0),_xlfn.MAXIFS('Esecuzioni'!$P$8:$P$1007,'Esecuzioni'!$A$8:$A$1007,A68),""))))</x:f>
      </x:c>
      <x:c r="AA68" s="20" t="str">
        <x:f>IF(OR(A68="",J68="Aperto"),"",IF(J68="Annullato",0,IF(I68="Lordo manuale",IF(ISNUMBER(P68),P68,""),IF(I68="Netto manuale",IF(AND(ISNUMBER(P68),ISNUMBER(Q68)),P68+Q68,""),IF(OR(W68=0,COUNTIFS('Esecuzioni'!$A$8:$A$1007,A68,'Esecuzioni'!$Q$8:$Q$1007,"&lt;&gt;OK")&gt;0),"",IF(S68="Vince",X68,IF(S68="Perde",Y68,IF(AND(S68="Coperto",ABS(X68-Y68)&lt;='Impostazioni'!$B$11),ROUND((X68+Y68)/2,2),""))))))))</x:f>
      </x:c>
      <x:c r="AB68" s="20" t="str">
        <x:f>IF(NOT(ISNUMBER(AA68)),"",IF(J68="Annullato",0,IF(ISNUMBER(Q68),Q68,ROUND(MAX(0,AA68)*IF(ISNUMBER(R68),R68,'Impostazioni'!$B$8),2))))</x:f>
      </x:c>
      <x:c r="AC68" s="20" t="str">
        <x:f>IF(AND(ISNUMBER(AA68),ISNUMBER(AB68)),ROUND(AA68-AB68,2),"")</x:f>
      </x:c>
      <x:c r="AD68" s="18" t="str">
        <x:f>IF(A68="","",IF(AQ68&lt;&gt;"OK","Incompleto",IF(J68="Aperto","Aperto",IF(J68="Annullato","Annullato",IF(AC68&gt;0,"Green",IF(AC68&lt;0,"Red","Flat"))))))</x:f>
      </x:c>
      <x:c r="AE68" s="21" t="str">
        <x:f>IF(AND(AH68=1,Z68&gt;0),AC68/Z68,"")</x:f>
      </x:c>
      <x:c r="AF68" s="22" t="str">
        <x:f>IF(AH68&lt;&gt;1,"",COUNTIFS($C$8:$C$507,"&lt;"&amp;C68,$AH$8:$AH$507,1)+COUNTIFS($C$8:$C$507,C68,$A$8:$A$507,"&lt;="&amp;A68,$AH$8:$AH$507,1))</x:f>
      </x:c>
      <x:c r="AG68" s="20" t="str">
        <x:f>IF(AH68&lt;&gt;1,"",SUMIFS($AC$8:$AC$507,$C$8:$C$507,"&lt;"&amp;C68,$AH$8:$AH$507,1)+SUMIFS($AC$8:$AC$507,$C$8:$C$507,C68,$A$8:$A$507,"&lt;="&amp;A68,$AH$8:$AH$507,1))</x:f>
      </x:c>
      <x:c r="AH68" s="22" t="str">
        <x:f>IF(A68="","",IF(AND(J68="Chiuso",AQ68="OK",ISNUMBER(AC68)),1,0))</x:f>
      </x:c>
      <x:c r="AI68" s="20" t="str">
        <x:f>IF(AH68&lt;&gt;1,"",MAX(0,_xlfn.MAXIFS($AG$8:$AG$507,$AF$8:$AF$507,"&lt;="&amp;AF68,$AH$8:$AH$507,1)))</x:f>
      </x:c>
      <x:c r="AJ68" s="20" t="str">
        <x:f>IF(AH68&lt;&gt;1,"",MAX(0,AI68-AG68))</x:f>
      </x:c>
      <x:c r="AK68" s="21" t="str">
        <x:f>IF(OR(AH68&lt;&gt;1,NOT(ISNUMBER('Impostazioni'!$B$6)),'Impostazioni'!$B$6+AI68&lt;=0),"",AJ68/('Impostazioni'!$B$6+AI68))</x:f>
      </x:c>
      <x:c r="AL68" s="22" t="str">
        <x:f>IF(AH68&lt;&gt;1,"",IF(AC68&gt;0,AF68-_xlfn.MAXIFS($AF$8:$AF$507,$AF$8:$AF$507,"&lt;="&amp;AF68,$AC$8:$AC$507,"&lt;=0",$AH$8:$AH$507,1),0))</x:f>
      </x:c>
      <x:c r="AM68" s="22" t="str">
        <x:f>IF(AH68&lt;&gt;1,"",IF(AC68&lt;0,AF68-_xlfn.MAXIFS($AF$8:$AF$507,$AF$8:$AF$507,"&lt;="&amp;AF68,$AC$8:$AC$507,"&gt;=0",$AH$8:$AH$507,1),0))</x:f>
      </x:c>
      <x:c r="AN68" s="20" t="str">
        <x:f>IF(OR(A68="",NOT(ISNUMBER(B68)),NOT(ISNUMBER('Impostazioni'!$B$6))),"",'Impostazioni'!$B$6+SUMIFS($AC$8:$AC$507,$C$8:$C$507,"&lt;"&amp;B68,$AH$8:$AH$507,1)+SUMIFS('Cassa'!$F$8:$F$307,'Cassa'!$A$8:$A$307,"&lt;="&amp;B68,'Cassa'!$G$8:$G$307,"OK"))</x:f>
      </x:c>
      <x:c r="AO68" s="21" t="str">
        <x:f>IF(AND(ISNUMBER(Z68),ISNUMBER(AN68),AN68&gt;0),Z68/AN68,"")</x:f>
      </x:c>
      <x:c r="AP68" s="18" t="str">
        <x:f>IF(NOT(ISNUMBER(AO68)),"",IF(AO68&gt;'Impostazioni'!$B$7,"Oltre soglia personale","Nella soglia personale"))</x:f>
      </x:c>
      <x:c r="AQ68" s="18" t="str">
        <x:f>IF(A68="",IF(COUNTA(B68:V68)=0,"","Inserisci ID"),IF(COUNTIFS($A$8:$A$507,A68)&lt;&gt;1,"ID duplicato",IF(OR(NOT(ISNUMBER(B68)),D68="",E68="",F68="",G68="",H68="",COUNTIFS('Impostazioni'!$J$6:$J$25,F68)&lt;&gt;1),"Completa dati / elenchi",IF(OR(AND(I68&lt;&gt;"Lordo manuale",I68&lt;&gt;"Netto manuale",I68&lt;&gt;"Esecuzioni"),AND(J68&lt;&gt;"Aperto",J68&lt;&gt;"Chiuso",J68&lt;&gt;"Annullato")),"Modalità / stato mancanti",IF(AND(J68&lt;&gt;"Aperto",OR(NOT(ISNUMBER(C68)),C68&lt;B68)),"Correggi data chiusura",IF(OR(AND(Q68&lt;&gt;"",OR(NOT(ISNUMBER(Q68)),Q68&lt;0)),AND(R68&lt;&gt;"",OR(NOT(ISNUMBER(R68)),R68&lt;0,R68&gt;1))),"Commissione non valida",IF(J68="Annullato","OK",IF(OR(NOT(ISNUMBER(Z68)),Z68&lt;0,AND(O68&lt;&gt;"",NOT(ISNUMBER(O68)))),"Inserisci rischio",IF(AND(I68="Esecuzioni",OR(W68=0,COUNTIFS('Esecuzioni'!$A$8:$A$1007,A68,'Esecuzioni'!$Q$8:$Q$1007,"&lt;&gt;OK")&gt;0)),"Correggi esecuzioni",IF(J68="Aperto","OK",IF(AND(I68="Esecuzioni",S68="Coperto",ABS(X68-Y68)&gt;'Impostazioni'!$B$11),"Copertura residua",IF(NOT(ISNUMBER(AC68)),"Completa risultato / esito",IF(AND(Z68=0,AC68&lt;&gt;0),"Rischio nullo con P/L","OK")))))))))))))</x:f>
      </x:c>
      <x:c r="AR68" s="20" t="str">
        <x:f>IF(OR(A68="",J68&lt;&gt;"Aperto",AQ68&lt;&gt;"OK"),"",IF(I68="Esecuzioni",SUMIFS('Esecuzioni'!$P$8:$P$1007,'Esecuzioni'!$A$8:$A$1007,A68,'Esecuzioni'!$B$8:$B$1007,_xlfn.MAXIFS('Esecuzioni'!$B$8:$B$1007,'Esecuzioni'!$A$8:$A$1007,A68)),IF(LEFT(U68,8)="FREEBET:",0,Z68)))</x:f>
      </x:c>
      <x:c r="AS68" s="48" t="str">
        <x:f>IF(OR(A68="",E68=""),"",IF(COUNTIFS($E$8:E68,E68)=1,COUNT($AS$7:AS67)+1,""))</x:f>
      </x:c>
    </x:row>
    <x:row r="69" ht="22" customHeight="1">
      <x:c r="A69" s="7"/>
      <x:c r="B69" s="19"/>
      <x:c r="C69" s="19"/>
      <x:c r="D69" s="7"/>
      <x:c r="E69" s="7"/>
      <x:c r="F69" s="7"/>
      <x:c r="G69" s="7"/>
      <x:c r="H69" s="7"/>
      <x:c r="I69" s="7"/>
      <x:c r="J69" s="7"/>
      <x:c r="K69" s="10"/>
      <x:c r="L69" s="7"/>
      <x:c r="M69" s="10"/>
      <x:c r="N69" s="7"/>
      <x:c r="O69" s="8"/>
      <x:c r="P69" s="8"/>
      <x:c r="Q69" s="8"/>
      <x:c r="R69" s="9"/>
      <x:c r="S69" s="7"/>
      <x:c r="T69" s="7"/>
      <x:c r="U69" s="7"/>
      <x:c r="V69" s="7"/>
      <x:c r="W69" s="22" t="str">
        <x:f>IF(A69="","",COUNTIFS('Esecuzioni'!$A$8:$A$1007,A69,'Esecuzioni'!$Q$8:$Q$1007,"OK"))</x:f>
      </x:c>
      <x:c r="X69" s="20" t="str">
        <x:f>IF(OR(A69="",I69&lt;&gt;"Esecuzioni",W69=0),"",SUMIFS('Esecuzioni'!$L$8:$L$1007,'Esecuzioni'!$A$8:$A$1007,A69))</x:f>
      </x:c>
      <x:c r="Y69" s="20" t="str">
        <x:f>IF(OR(A69="",I69&lt;&gt;"Esecuzioni",W69=0),"",SUMIFS('Esecuzioni'!$M$8:$M$1007,'Esecuzioni'!$A$8:$A$1007,A69))</x:f>
      </x:c>
      <x:c r="Z69" s="20" t="str">
        <x:f>IF(A69="","",IF(J69="Annullato",0,IF(ISNUMBER(O69),O69,IF(AND(I69="Esecuzioni",W69&gt;0),_xlfn.MAXIFS('Esecuzioni'!$P$8:$P$1007,'Esecuzioni'!$A$8:$A$1007,A69),""))))</x:f>
      </x:c>
      <x:c r="AA69" s="20" t="str">
        <x:f>IF(OR(A69="",J69="Aperto"),"",IF(J69="Annullato",0,IF(I69="Lordo manuale",IF(ISNUMBER(P69),P69,""),IF(I69="Netto manuale",IF(AND(ISNUMBER(P69),ISNUMBER(Q69)),P69+Q69,""),IF(OR(W69=0,COUNTIFS('Esecuzioni'!$A$8:$A$1007,A69,'Esecuzioni'!$Q$8:$Q$1007,"&lt;&gt;OK")&gt;0),"",IF(S69="Vince",X69,IF(S69="Perde",Y69,IF(AND(S69="Coperto",ABS(X69-Y69)&lt;='Impostazioni'!$B$11),ROUND((X69+Y69)/2,2),""))))))))</x:f>
      </x:c>
      <x:c r="AB69" s="20" t="str">
        <x:f>IF(NOT(ISNUMBER(AA69)),"",IF(J69="Annullato",0,IF(ISNUMBER(Q69),Q69,ROUND(MAX(0,AA69)*IF(ISNUMBER(R69),R69,'Impostazioni'!$B$8),2))))</x:f>
      </x:c>
      <x:c r="AC69" s="20" t="str">
        <x:f>IF(AND(ISNUMBER(AA69),ISNUMBER(AB69)),ROUND(AA69-AB69,2),"")</x:f>
      </x:c>
      <x:c r="AD69" s="18" t="str">
        <x:f>IF(A69="","",IF(AQ69&lt;&gt;"OK","Incompleto",IF(J69="Aperto","Aperto",IF(J69="Annullato","Annullato",IF(AC69&gt;0,"Green",IF(AC69&lt;0,"Red","Flat"))))))</x:f>
      </x:c>
      <x:c r="AE69" s="21" t="str">
        <x:f>IF(AND(AH69=1,Z69&gt;0),AC69/Z69,"")</x:f>
      </x:c>
      <x:c r="AF69" s="22" t="str">
        <x:f>IF(AH69&lt;&gt;1,"",COUNTIFS($C$8:$C$507,"&lt;"&amp;C69,$AH$8:$AH$507,1)+COUNTIFS($C$8:$C$507,C69,$A$8:$A$507,"&lt;="&amp;A69,$AH$8:$AH$507,1))</x:f>
      </x:c>
      <x:c r="AG69" s="20" t="str">
        <x:f>IF(AH69&lt;&gt;1,"",SUMIFS($AC$8:$AC$507,$C$8:$C$507,"&lt;"&amp;C69,$AH$8:$AH$507,1)+SUMIFS($AC$8:$AC$507,$C$8:$C$507,C69,$A$8:$A$507,"&lt;="&amp;A69,$AH$8:$AH$507,1))</x:f>
      </x:c>
      <x:c r="AH69" s="22" t="str">
        <x:f>IF(A69="","",IF(AND(J69="Chiuso",AQ69="OK",ISNUMBER(AC69)),1,0))</x:f>
      </x:c>
      <x:c r="AI69" s="20" t="str">
        <x:f>IF(AH69&lt;&gt;1,"",MAX(0,_xlfn.MAXIFS($AG$8:$AG$507,$AF$8:$AF$507,"&lt;="&amp;AF69,$AH$8:$AH$507,1)))</x:f>
      </x:c>
      <x:c r="AJ69" s="20" t="str">
        <x:f>IF(AH69&lt;&gt;1,"",MAX(0,AI69-AG69))</x:f>
      </x:c>
      <x:c r="AK69" s="21" t="str">
        <x:f>IF(OR(AH69&lt;&gt;1,NOT(ISNUMBER('Impostazioni'!$B$6)),'Impostazioni'!$B$6+AI69&lt;=0),"",AJ69/('Impostazioni'!$B$6+AI69))</x:f>
      </x:c>
      <x:c r="AL69" s="22" t="str">
        <x:f>IF(AH69&lt;&gt;1,"",IF(AC69&gt;0,AF69-_xlfn.MAXIFS($AF$8:$AF$507,$AF$8:$AF$507,"&lt;="&amp;AF69,$AC$8:$AC$507,"&lt;=0",$AH$8:$AH$507,1),0))</x:f>
      </x:c>
      <x:c r="AM69" s="22" t="str">
        <x:f>IF(AH69&lt;&gt;1,"",IF(AC69&lt;0,AF69-_xlfn.MAXIFS($AF$8:$AF$507,$AF$8:$AF$507,"&lt;="&amp;AF69,$AC$8:$AC$507,"&gt;=0",$AH$8:$AH$507,1),0))</x:f>
      </x:c>
      <x:c r="AN69" s="20" t="str">
        <x:f>IF(OR(A69="",NOT(ISNUMBER(B69)),NOT(ISNUMBER('Impostazioni'!$B$6))),"",'Impostazioni'!$B$6+SUMIFS($AC$8:$AC$507,$C$8:$C$507,"&lt;"&amp;B69,$AH$8:$AH$507,1)+SUMIFS('Cassa'!$F$8:$F$307,'Cassa'!$A$8:$A$307,"&lt;="&amp;B69,'Cassa'!$G$8:$G$307,"OK"))</x:f>
      </x:c>
      <x:c r="AO69" s="21" t="str">
        <x:f>IF(AND(ISNUMBER(Z69),ISNUMBER(AN69),AN69&gt;0),Z69/AN69,"")</x:f>
      </x:c>
      <x:c r="AP69" s="18" t="str">
        <x:f>IF(NOT(ISNUMBER(AO69)),"",IF(AO69&gt;'Impostazioni'!$B$7,"Oltre soglia personale","Nella soglia personale"))</x:f>
      </x:c>
      <x:c r="AQ69" s="18" t="str">
        <x:f>IF(A69="",IF(COUNTA(B69:V69)=0,"","Inserisci ID"),IF(COUNTIFS($A$8:$A$507,A69)&lt;&gt;1,"ID duplicato",IF(OR(NOT(ISNUMBER(B69)),D69="",E69="",F69="",G69="",H69="",COUNTIFS('Impostazioni'!$J$6:$J$25,F69)&lt;&gt;1),"Completa dati / elenchi",IF(OR(AND(I69&lt;&gt;"Lordo manuale",I69&lt;&gt;"Netto manuale",I69&lt;&gt;"Esecuzioni"),AND(J69&lt;&gt;"Aperto",J69&lt;&gt;"Chiuso",J69&lt;&gt;"Annullato")),"Modalità / stato mancanti",IF(AND(J69&lt;&gt;"Aperto",OR(NOT(ISNUMBER(C69)),C69&lt;B69)),"Correggi data chiusura",IF(OR(AND(Q69&lt;&gt;"",OR(NOT(ISNUMBER(Q69)),Q69&lt;0)),AND(R69&lt;&gt;"",OR(NOT(ISNUMBER(R69)),R69&lt;0,R69&gt;1))),"Commissione non valida",IF(J69="Annullato","OK",IF(OR(NOT(ISNUMBER(Z69)),Z69&lt;0,AND(O69&lt;&gt;"",NOT(ISNUMBER(O69)))),"Inserisci rischio",IF(AND(I69="Esecuzioni",OR(W69=0,COUNTIFS('Esecuzioni'!$A$8:$A$1007,A69,'Esecuzioni'!$Q$8:$Q$1007,"&lt;&gt;OK")&gt;0)),"Correggi esecuzioni",IF(J69="Aperto","OK",IF(AND(I69="Esecuzioni",S69="Coperto",ABS(X69-Y69)&gt;'Impostazioni'!$B$11),"Copertura residua",IF(NOT(ISNUMBER(AC69)),"Completa risultato / esito",IF(AND(Z69=0,AC69&lt;&gt;0),"Rischio nullo con P/L","OK")))))))))))))</x:f>
      </x:c>
      <x:c r="AR69" s="20" t="str">
        <x:f>IF(OR(A69="",J69&lt;&gt;"Aperto",AQ69&lt;&gt;"OK"),"",IF(I69="Esecuzioni",SUMIFS('Esecuzioni'!$P$8:$P$1007,'Esecuzioni'!$A$8:$A$1007,A69,'Esecuzioni'!$B$8:$B$1007,_xlfn.MAXIFS('Esecuzioni'!$B$8:$B$1007,'Esecuzioni'!$A$8:$A$1007,A69)),IF(LEFT(U69,8)="FREEBET:",0,Z69)))</x:f>
      </x:c>
      <x:c r="AS69" s="48" t="str">
        <x:f>IF(OR(A69="",E69=""),"",IF(COUNTIFS($E$8:E69,E69)=1,COUNT($AS$7:AS68)+1,""))</x:f>
      </x:c>
    </x:row>
    <x:row r="70" ht="22" customHeight="1">
      <x:c r="A70" s="7"/>
      <x:c r="B70" s="19"/>
      <x:c r="C70" s="19"/>
      <x:c r="D70" s="7"/>
      <x:c r="E70" s="7"/>
      <x:c r="F70" s="7"/>
      <x:c r="G70" s="7"/>
      <x:c r="H70" s="7"/>
      <x:c r="I70" s="7"/>
      <x:c r="J70" s="7"/>
      <x:c r="K70" s="10"/>
      <x:c r="L70" s="7"/>
      <x:c r="M70" s="10"/>
      <x:c r="N70" s="7"/>
      <x:c r="O70" s="8"/>
      <x:c r="P70" s="8"/>
      <x:c r="Q70" s="8"/>
      <x:c r="R70" s="9"/>
      <x:c r="S70" s="7"/>
      <x:c r="T70" s="7"/>
      <x:c r="U70" s="7"/>
      <x:c r="V70" s="7"/>
      <x:c r="W70" s="22" t="str">
        <x:f>IF(A70="","",COUNTIFS('Esecuzioni'!$A$8:$A$1007,A70,'Esecuzioni'!$Q$8:$Q$1007,"OK"))</x:f>
      </x:c>
      <x:c r="X70" s="20" t="str">
        <x:f>IF(OR(A70="",I70&lt;&gt;"Esecuzioni",W70=0),"",SUMIFS('Esecuzioni'!$L$8:$L$1007,'Esecuzioni'!$A$8:$A$1007,A70))</x:f>
      </x:c>
      <x:c r="Y70" s="20" t="str">
        <x:f>IF(OR(A70="",I70&lt;&gt;"Esecuzioni",W70=0),"",SUMIFS('Esecuzioni'!$M$8:$M$1007,'Esecuzioni'!$A$8:$A$1007,A70))</x:f>
      </x:c>
      <x:c r="Z70" s="20" t="str">
        <x:f>IF(A70="","",IF(J70="Annullato",0,IF(ISNUMBER(O70),O70,IF(AND(I70="Esecuzioni",W70&gt;0),_xlfn.MAXIFS('Esecuzioni'!$P$8:$P$1007,'Esecuzioni'!$A$8:$A$1007,A70),""))))</x:f>
      </x:c>
      <x:c r="AA70" s="20" t="str">
        <x:f>IF(OR(A70="",J70="Aperto"),"",IF(J70="Annullato",0,IF(I70="Lordo manuale",IF(ISNUMBER(P70),P70,""),IF(I70="Netto manuale",IF(AND(ISNUMBER(P70),ISNUMBER(Q70)),P70+Q70,""),IF(OR(W70=0,COUNTIFS('Esecuzioni'!$A$8:$A$1007,A70,'Esecuzioni'!$Q$8:$Q$1007,"&lt;&gt;OK")&gt;0),"",IF(S70="Vince",X70,IF(S70="Perde",Y70,IF(AND(S70="Coperto",ABS(X70-Y70)&lt;='Impostazioni'!$B$11),ROUND((X70+Y70)/2,2),""))))))))</x:f>
      </x:c>
      <x:c r="AB70" s="20" t="str">
        <x:f>IF(NOT(ISNUMBER(AA70)),"",IF(J70="Annullato",0,IF(ISNUMBER(Q70),Q70,ROUND(MAX(0,AA70)*IF(ISNUMBER(R70),R70,'Impostazioni'!$B$8),2))))</x:f>
      </x:c>
      <x:c r="AC70" s="20" t="str">
        <x:f>IF(AND(ISNUMBER(AA70),ISNUMBER(AB70)),ROUND(AA70-AB70,2),"")</x:f>
      </x:c>
      <x:c r="AD70" s="18" t="str">
        <x:f>IF(A70="","",IF(AQ70&lt;&gt;"OK","Incompleto",IF(J70="Aperto","Aperto",IF(J70="Annullato","Annullato",IF(AC70&gt;0,"Green",IF(AC70&lt;0,"Red","Flat"))))))</x:f>
      </x:c>
      <x:c r="AE70" s="21" t="str">
        <x:f>IF(AND(AH70=1,Z70&gt;0),AC70/Z70,"")</x:f>
      </x:c>
      <x:c r="AF70" s="22" t="str">
        <x:f>IF(AH70&lt;&gt;1,"",COUNTIFS($C$8:$C$507,"&lt;"&amp;C70,$AH$8:$AH$507,1)+COUNTIFS($C$8:$C$507,C70,$A$8:$A$507,"&lt;="&amp;A70,$AH$8:$AH$507,1))</x:f>
      </x:c>
      <x:c r="AG70" s="20" t="str">
        <x:f>IF(AH70&lt;&gt;1,"",SUMIFS($AC$8:$AC$507,$C$8:$C$507,"&lt;"&amp;C70,$AH$8:$AH$507,1)+SUMIFS($AC$8:$AC$507,$C$8:$C$507,C70,$A$8:$A$507,"&lt;="&amp;A70,$AH$8:$AH$507,1))</x:f>
      </x:c>
      <x:c r="AH70" s="22" t="str">
        <x:f>IF(A70="","",IF(AND(J70="Chiuso",AQ70="OK",ISNUMBER(AC70)),1,0))</x:f>
      </x:c>
      <x:c r="AI70" s="20" t="str">
        <x:f>IF(AH70&lt;&gt;1,"",MAX(0,_xlfn.MAXIFS($AG$8:$AG$507,$AF$8:$AF$507,"&lt;="&amp;AF70,$AH$8:$AH$507,1)))</x:f>
      </x:c>
      <x:c r="AJ70" s="20" t="str">
        <x:f>IF(AH70&lt;&gt;1,"",MAX(0,AI70-AG70))</x:f>
      </x:c>
      <x:c r="AK70" s="21" t="str">
        <x:f>IF(OR(AH70&lt;&gt;1,NOT(ISNUMBER('Impostazioni'!$B$6)),'Impostazioni'!$B$6+AI70&lt;=0),"",AJ70/('Impostazioni'!$B$6+AI70))</x:f>
      </x:c>
      <x:c r="AL70" s="22" t="str">
        <x:f>IF(AH70&lt;&gt;1,"",IF(AC70&gt;0,AF70-_xlfn.MAXIFS($AF$8:$AF$507,$AF$8:$AF$507,"&lt;="&amp;AF70,$AC$8:$AC$507,"&lt;=0",$AH$8:$AH$507,1),0))</x:f>
      </x:c>
      <x:c r="AM70" s="22" t="str">
        <x:f>IF(AH70&lt;&gt;1,"",IF(AC70&lt;0,AF70-_xlfn.MAXIFS($AF$8:$AF$507,$AF$8:$AF$507,"&lt;="&amp;AF70,$AC$8:$AC$507,"&gt;=0",$AH$8:$AH$507,1),0))</x:f>
      </x:c>
      <x:c r="AN70" s="20" t="str">
        <x:f>IF(OR(A70="",NOT(ISNUMBER(B70)),NOT(ISNUMBER('Impostazioni'!$B$6))),"",'Impostazioni'!$B$6+SUMIFS($AC$8:$AC$507,$C$8:$C$507,"&lt;"&amp;B70,$AH$8:$AH$507,1)+SUMIFS('Cassa'!$F$8:$F$307,'Cassa'!$A$8:$A$307,"&lt;="&amp;B70,'Cassa'!$G$8:$G$307,"OK"))</x:f>
      </x:c>
      <x:c r="AO70" s="21" t="str">
        <x:f>IF(AND(ISNUMBER(Z70),ISNUMBER(AN70),AN70&gt;0),Z70/AN70,"")</x:f>
      </x:c>
      <x:c r="AP70" s="18" t="str">
        <x:f>IF(NOT(ISNUMBER(AO70)),"",IF(AO70&gt;'Impostazioni'!$B$7,"Oltre soglia personale","Nella soglia personale"))</x:f>
      </x:c>
      <x:c r="AQ70" s="18" t="str">
        <x:f>IF(A70="",IF(COUNTA(B70:V70)=0,"","Inserisci ID"),IF(COUNTIFS($A$8:$A$507,A70)&lt;&gt;1,"ID duplicato",IF(OR(NOT(ISNUMBER(B70)),D70="",E70="",F70="",G70="",H70="",COUNTIFS('Impostazioni'!$J$6:$J$25,F70)&lt;&gt;1),"Completa dati / elenchi",IF(OR(AND(I70&lt;&gt;"Lordo manuale",I70&lt;&gt;"Netto manuale",I70&lt;&gt;"Esecuzioni"),AND(J70&lt;&gt;"Aperto",J70&lt;&gt;"Chiuso",J70&lt;&gt;"Annullato")),"Modalità / stato mancanti",IF(AND(J70&lt;&gt;"Aperto",OR(NOT(ISNUMBER(C70)),C70&lt;B70)),"Correggi data chiusura",IF(OR(AND(Q70&lt;&gt;"",OR(NOT(ISNUMBER(Q70)),Q70&lt;0)),AND(R70&lt;&gt;"",OR(NOT(ISNUMBER(R70)),R70&lt;0,R70&gt;1))),"Commissione non valida",IF(J70="Annullato","OK",IF(OR(NOT(ISNUMBER(Z70)),Z70&lt;0,AND(O70&lt;&gt;"",NOT(ISNUMBER(O70)))),"Inserisci rischio",IF(AND(I70="Esecuzioni",OR(W70=0,COUNTIFS('Esecuzioni'!$A$8:$A$1007,A70,'Esecuzioni'!$Q$8:$Q$1007,"&lt;&gt;OK")&gt;0)),"Correggi esecuzioni",IF(J70="Aperto","OK",IF(AND(I70="Esecuzioni",S70="Coperto",ABS(X70-Y70)&gt;'Impostazioni'!$B$11),"Copertura residua",IF(NOT(ISNUMBER(AC70)),"Completa risultato / esito",IF(AND(Z70=0,AC70&lt;&gt;0),"Rischio nullo con P/L","OK")))))))))))))</x:f>
      </x:c>
      <x:c r="AR70" s="20" t="str">
        <x:f>IF(OR(A70="",J70&lt;&gt;"Aperto",AQ70&lt;&gt;"OK"),"",IF(I70="Esecuzioni",SUMIFS('Esecuzioni'!$P$8:$P$1007,'Esecuzioni'!$A$8:$A$1007,A70,'Esecuzioni'!$B$8:$B$1007,_xlfn.MAXIFS('Esecuzioni'!$B$8:$B$1007,'Esecuzioni'!$A$8:$A$1007,A70)),IF(LEFT(U70,8)="FREEBET:",0,Z70)))</x:f>
      </x:c>
      <x:c r="AS70" s="48" t="str">
        <x:f>IF(OR(A70="",E70=""),"",IF(COUNTIFS($E$8:E70,E70)=1,COUNT($AS$7:AS69)+1,""))</x:f>
      </x:c>
    </x:row>
    <x:row r="71" ht="22" customHeight="1">
      <x:c r="A71" s="7"/>
      <x:c r="B71" s="19"/>
      <x:c r="C71" s="19"/>
      <x:c r="D71" s="7"/>
      <x:c r="E71" s="7"/>
      <x:c r="F71" s="7"/>
      <x:c r="G71" s="7"/>
      <x:c r="H71" s="7"/>
      <x:c r="I71" s="7"/>
      <x:c r="J71" s="7"/>
      <x:c r="K71" s="10"/>
      <x:c r="L71" s="7"/>
      <x:c r="M71" s="10"/>
      <x:c r="N71" s="7"/>
      <x:c r="O71" s="8"/>
      <x:c r="P71" s="8"/>
      <x:c r="Q71" s="8"/>
      <x:c r="R71" s="9"/>
      <x:c r="S71" s="7"/>
      <x:c r="T71" s="7"/>
      <x:c r="U71" s="7"/>
      <x:c r="V71" s="7"/>
      <x:c r="W71" s="22" t="str">
        <x:f>IF(A71="","",COUNTIFS('Esecuzioni'!$A$8:$A$1007,A71,'Esecuzioni'!$Q$8:$Q$1007,"OK"))</x:f>
      </x:c>
      <x:c r="X71" s="20" t="str">
        <x:f>IF(OR(A71="",I71&lt;&gt;"Esecuzioni",W71=0),"",SUMIFS('Esecuzioni'!$L$8:$L$1007,'Esecuzioni'!$A$8:$A$1007,A71))</x:f>
      </x:c>
      <x:c r="Y71" s="20" t="str">
        <x:f>IF(OR(A71="",I71&lt;&gt;"Esecuzioni",W71=0),"",SUMIFS('Esecuzioni'!$M$8:$M$1007,'Esecuzioni'!$A$8:$A$1007,A71))</x:f>
      </x:c>
      <x:c r="Z71" s="20" t="str">
        <x:f>IF(A71="","",IF(J71="Annullato",0,IF(ISNUMBER(O71),O71,IF(AND(I71="Esecuzioni",W71&gt;0),_xlfn.MAXIFS('Esecuzioni'!$P$8:$P$1007,'Esecuzioni'!$A$8:$A$1007,A71),""))))</x:f>
      </x:c>
      <x:c r="AA71" s="20" t="str">
        <x:f>IF(OR(A71="",J71="Aperto"),"",IF(J71="Annullato",0,IF(I71="Lordo manuale",IF(ISNUMBER(P71),P71,""),IF(I71="Netto manuale",IF(AND(ISNUMBER(P71),ISNUMBER(Q71)),P71+Q71,""),IF(OR(W71=0,COUNTIFS('Esecuzioni'!$A$8:$A$1007,A71,'Esecuzioni'!$Q$8:$Q$1007,"&lt;&gt;OK")&gt;0),"",IF(S71="Vince",X71,IF(S71="Perde",Y71,IF(AND(S71="Coperto",ABS(X71-Y71)&lt;='Impostazioni'!$B$11),ROUND((X71+Y71)/2,2),""))))))))</x:f>
      </x:c>
      <x:c r="AB71" s="20" t="str">
        <x:f>IF(NOT(ISNUMBER(AA71)),"",IF(J71="Annullato",0,IF(ISNUMBER(Q71),Q71,ROUND(MAX(0,AA71)*IF(ISNUMBER(R71),R71,'Impostazioni'!$B$8),2))))</x:f>
      </x:c>
      <x:c r="AC71" s="20" t="str">
        <x:f>IF(AND(ISNUMBER(AA71),ISNUMBER(AB71)),ROUND(AA71-AB71,2),"")</x:f>
      </x:c>
      <x:c r="AD71" s="18" t="str">
        <x:f>IF(A71="","",IF(AQ71&lt;&gt;"OK","Incompleto",IF(J71="Aperto","Aperto",IF(J71="Annullato","Annullato",IF(AC71&gt;0,"Green",IF(AC71&lt;0,"Red","Flat"))))))</x:f>
      </x:c>
      <x:c r="AE71" s="21" t="str">
        <x:f>IF(AND(AH71=1,Z71&gt;0),AC71/Z71,"")</x:f>
      </x:c>
      <x:c r="AF71" s="22" t="str">
        <x:f>IF(AH71&lt;&gt;1,"",COUNTIFS($C$8:$C$507,"&lt;"&amp;C71,$AH$8:$AH$507,1)+COUNTIFS($C$8:$C$507,C71,$A$8:$A$507,"&lt;="&amp;A71,$AH$8:$AH$507,1))</x:f>
      </x:c>
      <x:c r="AG71" s="20" t="str">
        <x:f>IF(AH71&lt;&gt;1,"",SUMIFS($AC$8:$AC$507,$C$8:$C$507,"&lt;"&amp;C71,$AH$8:$AH$507,1)+SUMIFS($AC$8:$AC$507,$C$8:$C$507,C71,$A$8:$A$507,"&lt;="&amp;A71,$AH$8:$AH$507,1))</x:f>
      </x:c>
      <x:c r="AH71" s="22" t="str">
        <x:f>IF(A71="","",IF(AND(J71="Chiuso",AQ71="OK",ISNUMBER(AC71)),1,0))</x:f>
      </x:c>
      <x:c r="AI71" s="20" t="str">
        <x:f>IF(AH71&lt;&gt;1,"",MAX(0,_xlfn.MAXIFS($AG$8:$AG$507,$AF$8:$AF$507,"&lt;="&amp;AF71,$AH$8:$AH$507,1)))</x:f>
      </x:c>
      <x:c r="AJ71" s="20" t="str">
        <x:f>IF(AH71&lt;&gt;1,"",MAX(0,AI71-AG71))</x:f>
      </x:c>
      <x:c r="AK71" s="21" t="str">
        <x:f>IF(OR(AH71&lt;&gt;1,NOT(ISNUMBER('Impostazioni'!$B$6)),'Impostazioni'!$B$6+AI71&lt;=0),"",AJ71/('Impostazioni'!$B$6+AI71))</x:f>
      </x:c>
      <x:c r="AL71" s="22" t="str">
        <x:f>IF(AH71&lt;&gt;1,"",IF(AC71&gt;0,AF71-_xlfn.MAXIFS($AF$8:$AF$507,$AF$8:$AF$507,"&lt;="&amp;AF71,$AC$8:$AC$507,"&lt;=0",$AH$8:$AH$507,1),0))</x:f>
      </x:c>
      <x:c r="AM71" s="22" t="str">
        <x:f>IF(AH71&lt;&gt;1,"",IF(AC71&lt;0,AF71-_xlfn.MAXIFS($AF$8:$AF$507,$AF$8:$AF$507,"&lt;="&amp;AF71,$AC$8:$AC$507,"&gt;=0",$AH$8:$AH$507,1),0))</x:f>
      </x:c>
      <x:c r="AN71" s="20" t="str">
        <x:f>IF(OR(A71="",NOT(ISNUMBER(B71)),NOT(ISNUMBER('Impostazioni'!$B$6))),"",'Impostazioni'!$B$6+SUMIFS($AC$8:$AC$507,$C$8:$C$507,"&lt;"&amp;B71,$AH$8:$AH$507,1)+SUMIFS('Cassa'!$F$8:$F$307,'Cassa'!$A$8:$A$307,"&lt;="&amp;B71,'Cassa'!$G$8:$G$307,"OK"))</x:f>
      </x:c>
      <x:c r="AO71" s="21" t="str">
        <x:f>IF(AND(ISNUMBER(Z71),ISNUMBER(AN71),AN71&gt;0),Z71/AN71,"")</x:f>
      </x:c>
      <x:c r="AP71" s="18" t="str">
        <x:f>IF(NOT(ISNUMBER(AO71)),"",IF(AO71&gt;'Impostazioni'!$B$7,"Oltre soglia personale","Nella soglia personale"))</x:f>
      </x:c>
      <x:c r="AQ71" s="18" t="str">
        <x:f>IF(A71="",IF(COUNTA(B71:V71)=0,"","Inserisci ID"),IF(COUNTIFS($A$8:$A$507,A71)&lt;&gt;1,"ID duplicato",IF(OR(NOT(ISNUMBER(B71)),D71="",E71="",F71="",G71="",H71="",COUNTIFS('Impostazioni'!$J$6:$J$25,F71)&lt;&gt;1),"Completa dati / elenchi",IF(OR(AND(I71&lt;&gt;"Lordo manuale",I71&lt;&gt;"Netto manuale",I71&lt;&gt;"Esecuzioni"),AND(J71&lt;&gt;"Aperto",J71&lt;&gt;"Chiuso",J71&lt;&gt;"Annullato")),"Modalità / stato mancanti",IF(AND(J71&lt;&gt;"Aperto",OR(NOT(ISNUMBER(C71)),C71&lt;B71)),"Correggi data chiusura",IF(OR(AND(Q71&lt;&gt;"",OR(NOT(ISNUMBER(Q71)),Q71&lt;0)),AND(R71&lt;&gt;"",OR(NOT(ISNUMBER(R71)),R71&lt;0,R71&gt;1))),"Commissione non valida",IF(J71="Annullato","OK",IF(OR(NOT(ISNUMBER(Z71)),Z71&lt;0,AND(O71&lt;&gt;"",NOT(ISNUMBER(O71)))),"Inserisci rischio",IF(AND(I71="Esecuzioni",OR(W71=0,COUNTIFS('Esecuzioni'!$A$8:$A$1007,A71,'Esecuzioni'!$Q$8:$Q$1007,"&lt;&gt;OK")&gt;0)),"Correggi esecuzioni",IF(J71="Aperto","OK",IF(AND(I71="Esecuzioni",S71="Coperto",ABS(X71-Y71)&gt;'Impostazioni'!$B$11),"Copertura residua",IF(NOT(ISNUMBER(AC71)),"Completa risultato / esito",IF(AND(Z71=0,AC71&lt;&gt;0),"Rischio nullo con P/L","OK")))))))))))))</x:f>
      </x:c>
      <x:c r="AR71" s="20" t="str">
        <x:f>IF(OR(A71="",J71&lt;&gt;"Aperto",AQ71&lt;&gt;"OK"),"",IF(I71="Esecuzioni",SUMIFS('Esecuzioni'!$P$8:$P$1007,'Esecuzioni'!$A$8:$A$1007,A71,'Esecuzioni'!$B$8:$B$1007,_xlfn.MAXIFS('Esecuzioni'!$B$8:$B$1007,'Esecuzioni'!$A$8:$A$1007,A71)),IF(LEFT(U71,8)="FREEBET:",0,Z71)))</x:f>
      </x:c>
      <x:c r="AS71" s="48" t="str">
        <x:f>IF(OR(A71="",E71=""),"",IF(COUNTIFS($E$8:E71,E71)=1,COUNT($AS$7:AS70)+1,""))</x:f>
      </x:c>
    </x:row>
    <x:row r="72" ht="22" customHeight="1">
      <x:c r="A72" s="7"/>
      <x:c r="B72" s="19"/>
      <x:c r="C72" s="19"/>
      <x:c r="D72" s="7"/>
      <x:c r="E72" s="7"/>
      <x:c r="F72" s="7"/>
      <x:c r="G72" s="7"/>
      <x:c r="H72" s="7"/>
      <x:c r="I72" s="7"/>
      <x:c r="J72" s="7"/>
      <x:c r="K72" s="10"/>
      <x:c r="L72" s="7"/>
      <x:c r="M72" s="10"/>
      <x:c r="N72" s="7"/>
      <x:c r="O72" s="8"/>
      <x:c r="P72" s="8"/>
      <x:c r="Q72" s="8"/>
      <x:c r="R72" s="9"/>
      <x:c r="S72" s="7"/>
      <x:c r="T72" s="7"/>
      <x:c r="U72" s="7"/>
      <x:c r="V72" s="7"/>
      <x:c r="W72" s="22" t="str">
        <x:f>IF(A72="","",COUNTIFS('Esecuzioni'!$A$8:$A$1007,A72,'Esecuzioni'!$Q$8:$Q$1007,"OK"))</x:f>
      </x:c>
      <x:c r="X72" s="20" t="str">
        <x:f>IF(OR(A72="",I72&lt;&gt;"Esecuzioni",W72=0),"",SUMIFS('Esecuzioni'!$L$8:$L$1007,'Esecuzioni'!$A$8:$A$1007,A72))</x:f>
      </x:c>
      <x:c r="Y72" s="20" t="str">
        <x:f>IF(OR(A72="",I72&lt;&gt;"Esecuzioni",W72=0),"",SUMIFS('Esecuzioni'!$M$8:$M$1007,'Esecuzioni'!$A$8:$A$1007,A72))</x:f>
      </x:c>
      <x:c r="Z72" s="20" t="str">
        <x:f>IF(A72="","",IF(J72="Annullato",0,IF(ISNUMBER(O72),O72,IF(AND(I72="Esecuzioni",W72&gt;0),_xlfn.MAXIFS('Esecuzioni'!$P$8:$P$1007,'Esecuzioni'!$A$8:$A$1007,A72),""))))</x:f>
      </x:c>
      <x:c r="AA72" s="20" t="str">
        <x:f>IF(OR(A72="",J72="Aperto"),"",IF(J72="Annullato",0,IF(I72="Lordo manuale",IF(ISNUMBER(P72),P72,""),IF(I72="Netto manuale",IF(AND(ISNUMBER(P72),ISNUMBER(Q72)),P72+Q72,""),IF(OR(W72=0,COUNTIFS('Esecuzioni'!$A$8:$A$1007,A72,'Esecuzioni'!$Q$8:$Q$1007,"&lt;&gt;OK")&gt;0),"",IF(S72="Vince",X72,IF(S72="Perde",Y72,IF(AND(S72="Coperto",ABS(X72-Y72)&lt;='Impostazioni'!$B$11),ROUND((X72+Y72)/2,2),""))))))))</x:f>
      </x:c>
      <x:c r="AB72" s="20" t="str">
        <x:f>IF(NOT(ISNUMBER(AA72)),"",IF(J72="Annullato",0,IF(ISNUMBER(Q72),Q72,ROUND(MAX(0,AA72)*IF(ISNUMBER(R72),R72,'Impostazioni'!$B$8),2))))</x:f>
      </x:c>
      <x:c r="AC72" s="20" t="str">
        <x:f>IF(AND(ISNUMBER(AA72),ISNUMBER(AB72)),ROUND(AA72-AB72,2),"")</x:f>
      </x:c>
      <x:c r="AD72" s="18" t="str">
        <x:f>IF(A72="","",IF(AQ72&lt;&gt;"OK","Incompleto",IF(J72="Aperto","Aperto",IF(J72="Annullato","Annullato",IF(AC72&gt;0,"Green",IF(AC72&lt;0,"Red","Flat"))))))</x:f>
      </x:c>
      <x:c r="AE72" s="21" t="str">
        <x:f>IF(AND(AH72=1,Z72&gt;0),AC72/Z72,"")</x:f>
      </x:c>
      <x:c r="AF72" s="22" t="str">
        <x:f>IF(AH72&lt;&gt;1,"",COUNTIFS($C$8:$C$507,"&lt;"&amp;C72,$AH$8:$AH$507,1)+COUNTIFS($C$8:$C$507,C72,$A$8:$A$507,"&lt;="&amp;A72,$AH$8:$AH$507,1))</x:f>
      </x:c>
      <x:c r="AG72" s="20" t="str">
        <x:f>IF(AH72&lt;&gt;1,"",SUMIFS($AC$8:$AC$507,$C$8:$C$507,"&lt;"&amp;C72,$AH$8:$AH$507,1)+SUMIFS($AC$8:$AC$507,$C$8:$C$507,C72,$A$8:$A$507,"&lt;="&amp;A72,$AH$8:$AH$507,1))</x:f>
      </x:c>
      <x:c r="AH72" s="22" t="str">
        <x:f>IF(A72="","",IF(AND(J72="Chiuso",AQ72="OK",ISNUMBER(AC72)),1,0))</x:f>
      </x:c>
      <x:c r="AI72" s="20" t="str">
        <x:f>IF(AH72&lt;&gt;1,"",MAX(0,_xlfn.MAXIFS($AG$8:$AG$507,$AF$8:$AF$507,"&lt;="&amp;AF72,$AH$8:$AH$507,1)))</x:f>
      </x:c>
      <x:c r="AJ72" s="20" t="str">
        <x:f>IF(AH72&lt;&gt;1,"",MAX(0,AI72-AG72))</x:f>
      </x:c>
      <x:c r="AK72" s="21" t="str">
        <x:f>IF(OR(AH72&lt;&gt;1,NOT(ISNUMBER('Impostazioni'!$B$6)),'Impostazioni'!$B$6+AI72&lt;=0),"",AJ72/('Impostazioni'!$B$6+AI72))</x:f>
      </x:c>
      <x:c r="AL72" s="22" t="str">
        <x:f>IF(AH72&lt;&gt;1,"",IF(AC72&gt;0,AF72-_xlfn.MAXIFS($AF$8:$AF$507,$AF$8:$AF$507,"&lt;="&amp;AF72,$AC$8:$AC$507,"&lt;=0",$AH$8:$AH$507,1),0))</x:f>
      </x:c>
      <x:c r="AM72" s="22" t="str">
        <x:f>IF(AH72&lt;&gt;1,"",IF(AC72&lt;0,AF72-_xlfn.MAXIFS($AF$8:$AF$507,$AF$8:$AF$507,"&lt;="&amp;AF72,$AC$8:$AC$507,"&gt;=0",$AH$8:$AH$507,1),0))</x:f>
      </x:c>
      <x:c r="AN72" s="20" t="str">
        <x:f>IF(OR(A72="",NOT(ISNUMBER(B72)),NOT(ISNUMBER('Impostazioni'!$B$6))),"",'Impostazioni'!$B$6+SUMIFS($AC$8:$AC$507,$C$8:$C$507,"&lt;"&amp;B72,$AH$8:$AH$507,1)+SUMIFS('Cassa'!$F$8:$F$307,'Cassa'!$A$8:$A$307,"&lt;="&amp;B72,'Cassa'!$G$8:$G$307,"OK"))</x:f>
      </x:c>
      <x:c r="AO72" s="21" t="str">
        <x:f>IF(AND(ISNUMBER(Z72),ISNUMBER(AN72),AN72&gt;0),Z72/AN72,"")</x:f>
      </x:c>
      <x:c r="AP72" s="18" t="str">
        <x:f>IF(NOT(ISNUMBER(AO72)),"",IF(AO72&gt;'Impostazioni'!$B$7,"Oltre soglia personale","Nella soglia personale"))</x:f>
      </x:c>
      <x:c r="AQ72" s="18" t="str">
        <x:f>IF(A72="",IF(COUNTA(B72:V72)=0,"","Inserisci ID"),IF(COUNTIFS($A$8:$A$507,A72)&lt;&gt;1,"ID duplicato",IF(OR(NOT(ISNUMBER(B72)),D72="",E72="",F72="",G72="",H72="",COUNTIFS('Impostazioni'!$J$6:$J$25,F72)&lt;&gt;1),"Completa dati / elenchi",IF(OR(AND(I72&lt;&gt;"Lordo manuale",I72&lt;&gt;"Netto manuale",I72&lt;&gt;"Esecuzioni"),AND(J72&lt;&gt;"Aperto",J72&lt;&gt;"Chiuso",J72&lt;&gt;"Annullato")),"Modalità / stato mancanti",IF(AND(J72&lt;&gt;"Aperto",OR(NOT(ISNUMBER(C72)),C72&lt;B72)),"Correggi data chiusura",IF(OR(AND(Q72&lt;&gt;"",OR(NOT(ISNUMBER(Q72)),Q72&lt;0)),AND(R72&lt;&gt;"",OR(NOT(ISNUMBER(R72)),R72&lt;0,R72&gt;1))),"Commissione non valida",IF(J72="Annullato","OK",IF(OR(NOT(ISNUMBER(Z72)),Z72&lt;0,AND(O72&lt;&gt;"",NOT(ISNUMBER(O72)))),"Inserisci rischio",IF(AND(I72="Esecuzioni",OR(W72=0,COUNTIFS('Esecuzioni'!$A$8:$A$1007,A72,'Esecuzioni'!$Q$8:$Q$1007,"&lt;&gt;OK")&gt;0)),"Correggi esecuzioni",IF(J72="Aperto","OK",IF(AND(I72="Esecuzioni",S72="Coperto",ABS(X72-Y72)&gt;'Impostazioni'!$B$11),"Copertura residua",IF(NOT(ISNUMBER(AC72)),"Completa risultato / esito",IF(AND(Z72=0,AC72&lt;&gt;0),"Rischio nullo con P/L","OK")))))))))))))</x:f>
      </x:c>
      <x:c r="AR72" s="20" t="str">
        <x:f>IF(OR(A72="",J72&lt;&gt;"Aperto",AQ72&lt;&gt;"OK"),"",IF(I72="Esecuzioni",SUMIFS('Esecuzioni'!$P$8:$P$1007,'Esecuzioni'!$A$8:$A$1007,A72,'Esecuzioni'!$B$8:$B$1007,_xlfn.MAXIFS('Esecuzioni'!$B$8:$B$1007,'Esecuzioni'!$A$8:$A$1007,A72)),IF(LEFT(U72,8)="FREEBET:",0,Z72)))</x:f>
      </x:c>
      <x:c r="AS72" s="48" t="str">
        <x:f>IF(OR(A72="",E72=""),"",IF(COUNTIFS($E$8:E72,E72)=1,COUNT($AS$7:AS71)+1,""))</x:f>
      </x:c>
    </x:row>
    <x:row r="73" ht="22" customHeight="1">
      <x:c r="A73" s="7"/>
      <x:c r="B73" s="19"/>
      <x:c r="C73" s="19"/>
      <x:c r="D73" s="7"/>
      <x:c r="E73" s="7"/>
      <x:c r="F73" s="7"/>
      <x:c r="G73" s="7"/>
      <x:c r="H73" s="7"/>
      <x:c r="I73" s="7"/>
      <x:c r="J73" s="7"/>
      <x:c r="K73" s="10"/>
      <x:c r="L73" s="7"/>
      <x:c r="M73" s="10"/>
      <x:c r="N73" s="7"/>
      <x:c r="O73" s="8"/>
      <x:c r="P73" s="8"/>
      <x:c r="Q73" s="8"/>
      <x:c r="R73" s="9"/>
      <x:c r="S73" s="7"/>
      <x:c r="T73" s="7"/>
      <x:c r="U73" s="7"/>
      <x:c r="V73" s="7"/>
      <x:c r="W73" s="22" t="str">
        <x:f>IF(A73="","",COUNTIFS('Esecuzioni'!$A$8:$A$1007,A73,'Esecuzioni'!$Q$8:$Q$1007,"OK"))</x:f>
      </x:c>
      <x:c r="X73" s="20" t="str">
        <x:f>IF(OR(A73="",I73&lt;&gt;"Esecuzioni",W73=0),"",SUMIFS('Esecuzioni'!$L$8:$L$1007,'Esecuzioni'!$A$8:$A$1007,A73))</x:f>
      </x:c>
      <x:c r="Y73" s="20" t="str">
        <x:f>IF(OR(A73="",I73&lt;&gt;"Esecuzioni",W73=0),"",SUMIFS('Esecuzioni'!$M$8:$M$1007,'Esecuzioni'!$A$8:$A$1007,A73))</x:f>
      </x:c>
      <x:c r="Z73" s="20" t="str">
        <x:f>IF(A73="","",IF(J73="Annullato",0,IF(ISNUMBER(O73),O73,IF(AND(I73="Esecuzioni",W73&gt;0),_xlfn.MAXIFS('Esecuzioni'!$P$8:$P$1007,'Esecuzioni'!$A$8:$A$1007,A73),""))))</x:f>
      </x:c>
      <x:c r="AA73" s="20" t="str">
        <x:f>IF(OR(A73="",J73="Aperto"),"",IF(J73="Annullato",0,IF(I73="Lordo manuale",IF(ISNUMBER(P73),P73,""),IF(I73="Netto manuale",IF(AND(ISNUMBER(P73),ISNUMBER(Q73)),P73+Q73,""),IF(OR(W73=0,COUNTIFS('Esecuzioni'!$A$8:$A$1007,A73,'Esecuzioni'!$Q$8:$Q$1007,"&lt;&gt;OK")&gt;0),"",IF(S73="Vince",X73,IF(S73="Perde",Y73,IF(AND(S73="Coperto",ABS(X73-Y73)&lt;='Impostazioni'!$B$11),ROUND((X73+Y73)/2,2),""))))))))</x:f>
      </x:c>
      <x:c r="AB73" s="20" t="str">
        <x:f>IF(NOT(ISNUMBER(AA73)),"",IF(J73="Annullato",0,IF(ISNUMBER(Q73),Q73,ROUND(MAX(0,AA73)*IF(ISNUMBER(R73),R73,'Impostazioni'!$B$8),2))))</x:f>
      </x:c>
      <x:c r="AC73" s="20" t="str">
        <x:f>IF(AND(ISNUMBER(AA73),ISNUMBER(AB73)),ROUND(AA73-AB73,2),"")</x:f>
      </x:c>
      <x:c r="AD73" s="18" t="str">
        <x:f>IF(A73="","",IF(AQ73&lt;&gt;"OK","Incompleto",IF(J73="Aperto","Aperto",IF(J73="Annullato","Annullato",IF(AC73&gt;0,"Green",IF(AC73&lt;0,"Red","Flat"))))))</x:f>
      </x:c>
      <x:c r="AE73" s="21" t="str">
        <x:f>IF(AND(AH73=1,Z73&gt;0),AC73/Z73,"")</x:f>
      </x:c>
      <x:c r="AF73" s="22" t="str">
        <x:f>IF(AH73&lt;&gt;1,"",COUNTIFS($C$8:$C$507,"&lt;"&amp;C73,$AH$8:$AH$507,1)+COUNTIFS($C$8:$C$507,C73,$A$8:$A$507,"&lt;="&amp;A73,$AH$8:$AH$507,1))</x:f>
      </x:c>
      <x:c r="AG73" s="20" t="str">
        <x:f>IF(AH73&lt;&gt;1,"",SUMIFS($AC$8:$AC$507,$C$8:$C$507,"&lt;"&amp;C73,$AH$8:$AH$507,1)+SUMIFS($AC$8:$AC$507,$C$8:$C$507,C73,$A$8:$A$507,"&lt;="&amp;A73,$AH$8:$AH$507,1))</x:f>
      </x:c>
      <x:c r="AH73" s="22" t="str">
        <x:f>IF(A73="","",IF(AND(J73="Chiuso",AQ73="OK",ISNUMBER(AC73)),1,0))</x:f>
      </x:c>
      <x:c r="AI73" s="20" t="str">
        <x:f>IF(AH73&lt;&gt;1,"",MAX(0,_xlfn.MAXIFS($AG$8:$AG$507,$AF$8:$AF$507,"&lt;="&amp;AF73,$AH$8:$AH$507,1)))</x:f>
      </x:c>
      <x:c r="AJ73" s="20" t="str">
        <x:f>IF(AH73&lt;&gt;1,"",MAX(0,AI73-AG73))</x:f>
      </x:c>
      <x:c r="AK73" s="21" t="str">
        <x:f>IF(OR(AH73&lt;&gt;1,NOT(ISNUMBER('Impostazioni'!$B$6)),'Impostazioni'!$B$6+AI73&lt;=0),"",AJ73/('Impostazioni'!$B$6+AI73))</x:f>
      </x:c>
      <x:c r="AL73" s="22" t="str">
        <x:f>IF(AH73&lt;&gt;1,"",IF(AC73&gt;0,AF73-_xlfn.MAXIFS($AF$8:$AF$507,$AF$8:$AF$507,"&lt;="&amp;AF73,$AC$8:$AC$507,"&lt;=0",$AH$8:$AH$507,1),0))</x:f>
      </x:c>
      <x:c r="AM73" s="22" t="str">
        <x:f>IF(AH73&lt;&gt;1,"",IF(AC73&lt;0,AF73-_xlfn.MAXIFS($AF$8:$AF$507,$AF$8:$AF$507,"&lt;="&amp;AF73,$AC$8:$AC$507,"&gt;=0",$AH$8:$AH$507,1),0))</x:f>
      </x:c>
      <x:c r="AN73" s="20" t="str">
        <x:f>IF(OR(A73="",NOT(ISNUMBER(B73)),NOT(ISNUMBER('Impostazioni'!$B$6))),"",'Impostazioni'!$B$6+SUMIFS($AC$8:$AC$507,$C$8:$C$507,"&lt;"&amp;B73,$AH$8:$AH$507,1)+SUMIFS('Cassa'!$F$8:$F$307,'Cassa'!$A$8:$A$307,"&lt;="&amp;B73,'Cassa'!$G$8:$G$307,"OK"))</x:f>
      </x:c>
      <x:c r="AO73" s="21" t="str">
        <x:f>IF(AND(ISNUMBER(Z73),ISNUMBER(AN73),AN73&gt;0),Z73/AN73,"")</x:f>
      </x:c>
      <x:c r="AP73" s="18" t="str">
        <x:f>IF(NOT(ISNUMBER(AO73)),"",IF(AO73&gt;'Impostazioni'!$B$7,"Oltre soglia personale","Nella soglia personale"))</x:f>
      </x:c>
      <x:c r="AQ73" s="18" t="str">
        <x:f>IF(A73="",IF(COUNTA(B73:V73)=0,"","Inserisci ID"),IF(COUNTIFS($A$8:$A$507,A73)&lt;&gt;1,"ID duplicato",IF(OR(NOT(ISNUMBER(B73)),D73="",E73="",F73="",G73="",H73="",COUNTIFS('Impostazioni'!$J$6:$J$25,F73)&lt;&gt;1),"Completa dati / elenchi",IF(OR(AND(I73&lt;&gt;"Lordo manuale",I73&lt;&gt;"Netto manuale",I73&lt;&gt;"Esecuzioni"),AND(J73&lt;&gt;"Aperto",J73&lt;&gt;"Chiuso",J73&lt;&gt;"Annullato")),"Modalità / stato mancanti",IF(AND(J73&lt;&gt;"Aperto",OR(NOT(ISNUMBER(C73)),C73&lt;B73)),"Correggi data chiusura",IF(OR(AND(Q73&lt;&gt;"",OR(NOT(ISNUMBER(Q73)),Q73&lt;0)),AND(R73&lt;&gt;"",OR(NOT(ISNUMBER(R73)),R73&lt;0,R73&gt;1))),"Commissione non valida",IF(J73="Annullato","OK",IF(OR(NOT(ISNUMBER(Z73)),Z73&lt;0,AND(O73&lt;&gt;"",NOT(ISNUMBER(O73)))),"Inserisci rischio",IF(AND(I73="Esecuzioni",OR(W73=0,COUNTIFS('Esecuzioni'!$A$8:$A$1007,A73,'Esecuzioni'!$Q$8:$Q$1007,"&lt;&gt;OK")&gt;0)),"Correggi esecuzioni",IF(J73="Aperto","OK",IF(AND(I73="Esecuzioni",S73="Coperto",ABS(X73-Y73)&gt;'Impostazioni'!$B$11),"Copertura residua",IF(NOT(ISNUMBER(AC73)),"Completa risultato / esito",IF(AND(Z73=0,AC73&lt;&gt;0),"Rischio nullo con P/L","OK")))))))))))))</x:f>
      </x:c>
      <x:c r="AR73" s="20" t="str">
        <x:f>IF(OR(A73="",J73&lt;&gt;"Aperto",AQ73&lt;&gt;"OK"),"",IF(I73="Esecuzioni",SUMIFS('Esecuzioni'!$P$8:$P$1007,'Esecuzioni'!$A$8:$A$1007,A73,'Esecuzioni'!$B$8:$B$1007,_xlfn.MAXIFS('Esecuzioni'!$B$8:$B$1007,'Esecuzioni'!$A$8:$A$1007,A73)),IF(LEFT(U73,8)="FREEBET:",0,Z73)))</x:f>
      </x:c>
      <x:c r="AS73" s="48" t="str">
        <x:f>IF(OR(A73="",E73=""),"",IF(COUNTIFS($E$8:E73,E73)=1,COUNT($AS$7:AS72)+1,""))</x:f>
      </x:c>
    </x:row>
    <x:row r="74" ht="22" customHeight="1">
      <x:c r="A74" s="7"/>
      <x:c r="B74" s="19"/>
      <x:c r="C74" s="19"/>
      <x:c r="D74" s="7"/>
      <x:c r="E74" s="7"/>
      <x:c r="F74" s="7"/>
      <x:c r="G74" s="7"/>
      <x:c r="H74" s="7"/>
      <x:c r="I74" s="7"/>
      <x:c r="J74" s="7"/>
      <x:c r="K74" s="10"/>
      <x:c r="L74" s="7"/>
      <x:c r="M74" s="10"/>
      <x:c r="N74" s="7"/>
      <x:c r="O74" s="8"/>
      <x:c r="P74" s="8"/>
      <x:c r="Q74" s="8"/>
      <x:c r="R74" s="9"/>
      <x:c r="S74" s="7"/>
      <x:c r="T74" s="7"/>
      <x:c r="U74" s="7"/>
      <x:c r="V74" s="7"/>
      <x:c r="W74" s="22" t="str">
        <x:f>IF(A74="","",COUNTIFS('Esecuzioni'!$A$8:$A$1007,A74,'Esecuzioni'!$Q$8:$Q$1007,"OK"))</x:f>
      </x:c>
      <x:c r="X74" s="20" t="str">
        <x:f>IF(OR(A74="",I74&lt;&gt;"Esecuzioni",W74=0),"",SUMIFS('Esecuzioni'!$L$8:$L$1007,'Esecuzioni'!$A$8:$A$1007,A74))</x:f>
      </x:c>
      <x:c r="Y74" s="20" t="str">
        <x:f>IF(OR(A74="",I74&lt;&gt;"Esecuzioni",W74=0),"",SUMIFS('Esecuzioni'!$M$8:$M$1007,'Esecuzioni'!$A$8:$A$1007,A74))</x:f>
      </x:c>
      <x:c r="Z74" s="20" t="str">
        <x:f>IF(A74="","",IF(J74="Annullato",0,IF(ISNUMBER(O74),O74,IF(AND(I74="Esecuzioni",W74&gt;0),_xlfn.MAXIFS('Esecuzioni'!$P$8:$P$1007,'Esecuzioni'!$A$8:$A$1007,A74),""))))</x:f>
      </x:c>
      <x:c r="AA74" s="20" t="str">
        <x:f>IF(OR(A74="",J74="Aperto"),"",IF(J74="Annullato",0,IF(I74="Lordo manuale",IF(ISNUMBER(P74),P74,""),IF(I74="Netto manuale",IF(AND(ISNUMBER(P74),ISNUMBER(Q74)),P74+Q74,""),IF(OR(W74=0,COUNTIFS('Esecuzioni'!$A$8:$A$1007,A74,'Esecuzioni'!$Q$8:$Q$1007,"&lt;&gt;OK")&gt;0),"",IF(S74="Vince",X74,IF(S74="Perde",Y74,IF(AND(S74="Coperto",ABS(X74-Y74)&lt;='Impostazioni'!$B$11),ROUND((X74+Y74)/2,2),""))))))))</x:f>
      </x:c>
      <x:c r="AB74" s="20" t="str">
        <x:f>IF(NOT(ISNUMBER(AA74)),"",IF(J74="Annullato",0,IF(ISNUMBER(Q74),Q74,ROUND(MAX(0,AA74)*IF(ISNUMBER(R74),R74,'Impostazioni'!$B$8),2))))</x:f>
      </x:c>
      <x:c r="AC74" s="20" t="str">
        <x:f>IF(AND(ISNUMBER(AA74),ISNUMBER(AB74)),ROUND(AA74-AB74,2),"")</x:f>
      </x:c>
      <x:c r="AD74" s="18" t="str">
        <x:f>IF(A74="","",IF(AQ74&lt;&gt;"OK","Incompleto",IF(J74="Aperto","Aperto",IF(J74="Annullato","Annullato",IF(AC74&gt;0,"Green",IF(AC74&lt;0,"Red","Flat"))))))</x:f>
      </x:c>
      <x:c r="AE74" s="21" t="str">
        <x:f>IF(AND(AH74=1,Z74&gt;0),AC74/Z74,"")</x:f>
      </x:c>
      <x:c r="AF74" s="22" t="str">
        <x:f>IF(AH74&lt;&gt;1,"",COUNTIFS($C$8:$C$507,"&lt;"&amp;C74,$AH$8:$AH$507,1)+COUNTIFS($C$8:$C$507,C74,$A$8:$A$507,"&lt;="&amp;A74,$AH$8:$AH$507,1))</x:f>
      </x:c>
      <x:c r="AG74" s="20" t="str">
        <x:f>IF(AH74&lt;&gt;1,"",SUMIFS($AC$8:$AC$507,$C$8:$C$507,"&lt;"&amp;C74,$AH$8:$AH$507,1)+SUMIFS($AC$8:$AC$507,$C$8:$C$507,C74,$A$8:$A$507,"&lt;="&amp;A74,$AH$8:$AH$507,1))</x:f>
      </x:c>
      <x:c r="AH74" s="22" t="str">
        <x:f>IF(A74="","",IF(AND(J74="Chiuso",AQ74="OK",ISNUMBER(AC74)),1,0))</x:f>
      </x:c>
      <x:c r="AI74" s="20" t="str">
        <x:f>IF(AH74&lt;&gt;1,"",MAX(0,_xlfn.MAXIFS($AG$8:$AG$507,$AF$8:$AF$507,"&lt;="&amp;AF74,$AH$8:$AH$507,1)))</x:f>
      </x:c>
      <x:c r="AJ74" s="20" t="str">
        <x:f>IF(AH74&lt;&gt;1,"",MAX(0,AI74-AG74))</x:f>
      </x:c>
      <x:c r="AK74" s="21" t="str">
        <x:f>IF(OR(AH74&lt;&gt;1,NOT(ISNUMBER('Impostazioni'!$B$6)),'Impostazioni'!$B$6+AI74&lt;=0),"",AJ74/('Impostazioni'!$B$6+AI74))</x:f>
      </x:c>
      <x:c r="AL74" s="22" t="str">
        <x:f>IF(AH74&lt;&gt;1,"",IF(AC74&gt;0,AF74-_xlfn.MAXIFS($AF$8:$AF$507,$AF$8:$AF$507,"&lt;="&amp;AF74,$AC$8:$AC$507,"&lt;=0",$AH$8:$AH$507,1),0))</x:f>
      </x:c>
      <x:c r="AM74" s="22" t="str">
        <x:f>IF(AH74&lt;&gt;1,"",IF(AC74&lt;0,AF74-_xlfn.MAXIFS($AF$8:$AF$507,$AF$8:$AF$507,"&lt;="&amp;AF74,$AC$8:$AC$507,"&gt;=0",$AH$8:$AH$507,1),0))</x:f>
      </x:c>
      <x:c r="AN74" s="20" t="str">
        <x:f>IF(OR(A74="",NOT(ISNUMBER(B74)),NOT(ISNUMBER('Impostazioni'!$B$6))),"",'Impostazioni'!$B$6+SUMIFS($AC$8:$AC$507,$C$8:$C$507,"&lt;"&amp;B74,$AH$8:$AH$507,1)+SUMIFS('Cassa'!$F$8:$F$307,'Cassa'!$A$8:$A$307,"&lt;="&amp;B74,'Cassa'!$G$8:$G$307,"OK"))</x:f>
      </x:c>
      <x:c r="AO74" s="21" t="str">
        <x:f>IF(AND(ISNUMBER(Z74),ISNUMBER(AN74),AN74&gt;0),Z74/AN74,"")</x:f>
      </x:c>
      <x:c r="AP74" s="18" t="str">
        <x:f>IF(NOT(ISNUMBER(AO74)),"",IF(AO74&gt;'Impostazioni'!$B$7,"Oltre soglia personale","Nella soglia personale"))</x:f>
      </x:c>
      <x:c r="AQ74" s="18" t="str">
        <x:f>IF(A74="",IF(COUNTA(B74:V74)=0,"","Inserisci ID"),IF(COUNTIFS($A$8:$A$507,A74)&lt;&gt;1,"ID duplicato",IF(OR(NOT(ISNUMBER(B74)),D74="",E74="",F74="",G74="",H74="",COUNTIFS('Impostazioni'!$J$6:$J$25,F74)&lt;&gt;1),"Completa dati / elenchi",IF(OR(AND(I74&lt;&gt;"Lordo manuale",I74&lt;&gt;"Netto manuale",I74&lt;&gt;"Esecuzioni"),AND(J74&lt;&gt;"Aperto",J74&lt;&gt;"Chiuso",J74&lt;&gt;"Annullato")),"Modalità / stato mancanti",IF(AND(J74&lt;&gt;"Aperto",OR(NOT(ISNUMBER(C74)),C74&lt;B74)),"Correggi data chiusura",IF(OR(AND(Q74&lt;&gt;"",OR(NOT(ISNUMBER(Q74)),Q74&lt;0)),AND(R74&lt;&gt;"",OR(NOT(ISNUMBER(R74)),R74&lt;0,R74&gt;1))),"Commissione non valida",IF(J74="Annullato","OK",IF(OR(NOT(ISNUMBER(Z74)),Z74&lt;0,AND(O74&lt;&gt;"",NOT(ISNUMBER(O74)))),"Inserisci rischio",IF(AND(I74="Esecuzioni",OR(W74=0,COUNTIFS('Esecuzioni'!$A$8:$A$1007,A74,'Esecuzioni'!$Q$8:$Q$1007,"&lt;&gt;OK")&gt;0)),"Correggi esecuzioni",IF(J74="Aperto","OK",IF(AND(I74="Esecuzioni",S74="Coperto",ABS(X74-Y74)&gt;'Impostazioni'!$B$11),"Copertura residua",IF(NOT(ISNUMBER(AC74)),"Completa risultato / esito",IF(AND(Z74=0,AC74&lt;&gt;0),"Rischio nullo con P/L","OK")))))))))))))</x:f>
      </x:c>
      <x:c r="AR74" s="20" t="str">
        <x:f>IF(OR(A74="",J74&lt;&gt;"Aperto",AQ74&lt;&gt;"OK"),"",IF(I74="Esecuzioni",SUMIFS('Esecuzioni'!$P$8:$P$1007,'Esecuzioni'!$A$8:$A$1007,A74,'Esecuzioni'!$B$8:$B$1007,_xlfn.MAXIFS('Esecuzioni'!$B$8:$B$1007,'Esecuzioni'!$A$8:$A$1007,A74)),IF(LEFT(U74,8)="FREEBET:",0,Z74)))</x:f>
      </x:c>
      <x:c r="AS74" s="48" t="str">
        <x:f>IF(OR(A74="",E74=""),"",IF(COUNTIFS($E$8:E74,E74)=1,COUNT($AS$7:AS73)+1,""))</x:f>
      </x:c>
    </x:row>
    <x:row r="75" ht="22" customHeight="1">
      <x:c r="A75" s="7"/>
      <x:c r="B75" s="19"/>
      <x:c r="C75" s="19"/>
      <x:c r="D75" s="7"/>
      <x:c r="E75" s="7"/>
      <x:c r="F75" s="7"/>
      <x:c r="G75" s="7"/>
      <x:c r="H75" s="7"/>
      <x:c r="I75" s="7"/>
      <x:c r="J75" s="7"/>
      <x:c r="K75" s="10"/>
      <x:c r="L75" s="7"/>
      <x:c r="M75" s="10"/>
      <x:c r="N75" s="7"/>
      <x:c r="O75" s="8"/>
      <x:c r="P75" s="8"/>
      <x:c r="Q75" s="8"/>
      <x:c r="R75" s="9"/>
      <x:c r="S75" s="7"/>
      <x:c r="T75" s="7"/>
      <x:c r="U75" s="7"/>
      <x:c r="V75" s="7"/>
      <x:c r="W75" s="22" t="str">
        <x:f>IF(A75="","",COUNTIFS('Esecuzioni'!$A$8:$A$1007,A75,'Esecuzioni'!$Q$8:$Q$1007,"OK"))</x:f>
      </x:c>
      <x:c r="X75" s="20" t="str">
        <x:f>IF(OR(A75="",I75&lt;&gt;"Esecuzioni",W75=0),"",SUMIFS('Esecuzioni'!$L$8:$L$1007,'Esecuzioni'!$A$8:$A$1007,A75))</x:f>
      </x:c>
      <x:c r="Y75" s="20" t="str">
        <x:f>IF(OR(A75="",I75&lt;&gt;"Esecuzioni",W75=0),"",SUMIFS('Esecuzioni'!$M$8:$M$1007,'Esecuzioni'!$A$8:$A$1007,A75))</x:f>
      </x:c>
      <x:c r="Z75" s="20" t="str">
        <x:f>IF(A75="","",IF(J75="Annullato",0,IF(ISNUMBER(O75),O75,IF(AND(I75="Esecuzioni",W75&gt;0),_xlfn.MAXIFS('Esecuzioni'!$P$8:$P$1007,'Esecuzioni'!$A$8:$A$1007,A75),""))))</x:f>
      </x:c>
      <x:c r="AA75" s="20" t="str">
        <x:f>IF(OR(A75="",J75="Aperto"),"",IF(J75="Annullato",0,IF(I75="Lordo manuale",IF(ISNUMBER(P75),P75,""),IF(I75="Netto manuale",IF(AND(ISNUMBER(P75),ISNUMBER(Q75)),P75+Q75,""),IF(OR(W75=0,COUNTIFS('Esecuzioni'!$A$8:$A$1007,A75,'Esecuzioni'!$Q$8:$Q$1007,"&lt;&gt;OK")&gt;0),"",IF(S75="Vince",X75,IF(S75="Perde",Y75,IF(AND(S75="Coperto",ABS(X75-Y75)&lt;='Impostazioni'!$B$11),ROUND((X75+Y75)/2,2),""))))))))</x:f>
      </x:c>
      <x:c r="AB75" s="20" t="str">
        <x:f>IF(NOT(ISNUMBER(AA75)),"",IF(J75="Annullato",0,IF(ISNUMBER(Q75),Q75,ROUND(MAX(0,AA75)*IF(ISNUMBER(R75),R75,'Impostazioni'!$B$8),2))))</x:f>
      </x:c>
      <x:c r="AC75" s="20" t="str">
        <x:f>IF(AND(ISNUMBER(AA75),ISNUMBER(AB75)),ROUND(AA75-AB75,2),"")</x:f>
      </x:c>
      <x:c r="AD75" s="18" t="str">
        <x:f>IF(A75="","",IF(AQ75&lt;&gt;"OK","Incompleto",IF(J75="Aperto","Aperto",IF(J75="Annullato","Annullato",IF(AC75&gt;0,"Green",IF(AC75&lt;0,"Red","Flat"))))))</x:f>
      </x:c>
      <x:c r="AE75" s="21" t="str">
        <x:f>IF(AND(AH75=1,Z75&gt;0),AC75/Z75,"")</x:f>
      </x:c>
      <x:c r="AF75" s="22" t="str">
        <x:f>IF(AH75&lt;&gt;1,"",COUNTIFS($C$8:$C$507,"&lt;"&amp;C75,$AH$8:$AH$507,1)+COUNTIFS($C$8:$C$507,C75,$A$8:$A$507,"&lt;="&amp;A75,$AH$8:$AH$507,1))</x:f>
      </x:c>
      <x:c r="AG75" s="20" t="str">
        <x:f>IF(AH75&lt;&gt;1,"",SUMIFS($AC$8:$AC$507,$C$8:$C$507,"&lt;"&amp;C75,$AH$8:$AH$507,1)+SUMIFS($AC$8:$AC$507,$C$8:$C$507,C75,$A$8:$A$507,"&lt;="&amp;A75,$AH$8:$AH$507,1))</x:f>
      </x:c>
      <x:c r="AH75" s="22" t="str">
        <x:f>IF(A75="","",IF(AND(J75="Chiuso",AQ75="OK",ISNUMBER(AC75)),1,0))</x:f>
      </x:c>
      <x:c r="AI75" s="20" t="str">
        <x:f>IF(AH75&lt;&gt;1,"",MAX(0,_xlfn.MAXIFS($AG$8:$AG$507,$AF$8:$AF$507,"&lt;="&amp;AF75,$AH$8:$AH$507,1)))</x:f>
      </x:c>
      <x:c r="AJ75" s="20" t="str">
        <x:f>IF(AH75&lt;&gt;1,"",MAX(0,AI75-AG75))</x:f>
      </x:c>
      <x:c r="AK75" s="21" t="str">
        <x:f>IF(OR(AH75&lt;&gt;1,NOT(ISNUMBER('Impostazioni'!$B$6)),'Impostazioni'!$B$6+AI75&lt;=0),"",AJ75/('Impostazioni'!$B$6+AI75))</x:f>
      </x:c>
      <x:c r="AL75" s="22" t="str">
        <x:f>IF(AH75&lt;&gt;1,"",IF(AC75&gt;0,AF75-_xlfn.MAXIFS($AF$8:$AF$507,$AF$8:$AF$507,"&lt;="&amp;AF75,$AC$8:$AC$507,"&lt;=0",$AH$8:$AH$507,1),0))</x:f>
      </x:c>
      <x:c r="AM75" s="22" t="str">
        <x:f>IF(AH75&lt;&gt;1,"",IF(AC75&lt;0,AF75-_xlfn.MAXIFS($AF$8:$AF$507,$AF$8:$AF$507,"&lt;="&amp;AF75,$AC$8:$AC$507,"&gt;=0",$AH$8:$AH$507,1),0))</x:f>
      </x:c>
      <x:c r="AN75" s="20" t="str">
        <x:f>IF(OR(A75="",NOT(ISNUMBER(B75)),NOT(ISNUMBER('Impostazioni'!$B$6))),"",'Impostazioni'!$B$6+SUMIFS($AC$8:$AC$507,$C$8:$C$507,"&lt;"&amp;B75,$AH$8:$AH$507,1)+SUMIFS('Cassa'!$F$8:$F$307,'Cassa'!$A$8:$A$307,"&lt;="&amp;B75,'Cassa'!$G$8:$G$307,"OK"))</x:f>
      </x:c>
      <x:c r="AO75" s="21" t="str">
        <x:f>IF(AND(ISNUMBER(Z75),ISNUMBER(AN75),AN75&gt;0),Z75/AN75,"")</x:f>
      </x:c>
      <x:c r="AP75" s="18" t="str">
        <x:f>IF(NOT(ISNUMBER(AO75)),"",IF(AO75&gt;'Impostazioni'!$B$7,"Oltre soglia personale","Nella soglia personale"))</x:f>
      </x:c>
      <x:c r="AQ75" s="18" t="str">
        <x:f>IF(A75="",IF(COUNTA(B75:V75)=0,"","Inserisci ID"),IF(COUNTIFS($A$8:$A$507,A75)&lt;&gt;1,"ID duplicato",IF(OR(NOT(ISNUMBER(B75)),D75="",E75="",F75="",G75="",H75="",COUNTIFS('Impostazioni'!$J$6:$J$25,F75)&lt;&gt;1),"Completa dati / elenchi",IF(OR(AND(I75&lt;&gt;"Lordo manuale",I75&lt;&gt;"Netto manuale",I75&lt;&gt;"Esecuzioni"),AND(J75&lt;&gt;"Aperto",J75&lt;&gt;"Chiuso",J75&lt;&gt;"Annullato")),"Modalità / stato mancanti",IF(AND(J75&lt;&gt;"Aperto",OR(NOT(ISNUMBER(C75)),C75&lt;B75)),"Correggi data chiusura",IF(OR(AND(Q75&lt;&gt;"",OR(NOT(ISNUMBER(Q75)),Q75&lt;0)),AND(R75&lt;&gt;"",OR(NOT(ISNUMBER(R75)),R75&lt;0,R75&gt;1))),"Commissione non valida",IF(J75="Annullato","OK",IF(OR(NOT(ISNUMBER(Z75)),Z75&lt;0,AND(O75&lt;&gt;"",NOT(ISNUMBER(O75)))),"Inserisci rischio",IF(AND(I75="Esecuzioni",OR(W75=0,COUNTIFS('Esecuzioni'!$A$8:$A$1007,A75,'Esecuzioni'!$Q$8:$Q$1007,"&lt;&gt;OK")&gt;0)),"Correggi esecuzioni",IF(J75="Aperto","OK",IF(AND(I75="Esecuzioni",S75="Coperto",ABS(X75-Y75)&gt;'Impostazioni'!$B$11),"Copertura residua",IF(NOT(ISNUMBER(AC75)),"Completa risultato / esito",IF(AND(Z75=0,AC75&lt;&gt;0),"Rischio nullo con P/L","OK")))))))))))))</x:f>
      </x:c>
      <x:c r="AR75" s="20" t="str">
        <x:f>IF(OR(A75="",J75&lt;&gt;"Aperto",AQ75&lt;&gt;"OK"),"",IF(I75="Esecuzioni",SUMIFS('Esecuzioni'!$P$8:$P$1007,'Esecuzioni'!$A$8:$A$1007,A75,'Esecuzioni'!$B$8:$B$1007,_xlfn.MAXIFS('Esecuzioni'!$B$8:$B$1007,'Esecuzioni'!$A$8:$A$1007,A75)),IF(LEFT(U75,8)="FREEBET:",0,Z75)))</x:f>
      </x:c>
      <x:c r="AS75" s="48" t="str">
        <x:f>IF(OR(A75="",E75=""),"",IF(COUNTIFS($E$8:E75,E75)=1,COUNT($AS$7:AS74)+1,""))</x:f>
      </x:c>
    </x:row>
    <x:row r="76" ht="22" customHeight="1">
      <x:c r="A76" s="7"/>
      <x:c r="B76" s="19"/>
      <x:c r="C76" s="19"/>
      <x:c r="D76" s="7"/>
      <x:c r="E76" s="7"/>
      <x:c r="F76" s="7"/>
      <x:c r="G76" s="7"/>
      <x:c r="H76" s="7"/>
      <x:c r="I76" s="7"/>
      <x:c r="J76" s="7"/>
      <x:c r="K76" s="10"/>
      <x:c r="L76" s="7"/>
      <x:c r="M76" s="10"/>
      <x:c r="N76" s="7"/>
      <x:c r="O76" s="8"/>
      <x:c r="P76" s="8"/>
      <x:c r="Q76" s="8"/>
      <x:c r="R76" s="9"/>
      <x:c r="S76" s="7"/>
      <x:c r="T76" s="7"/>
      <x:c r="U76" s="7"/>
      <x:c r="V76" s="7"/>
      <x:c r="W76" s="22" t="str">
        <x:f>IF(A76="","",COUNTIFS('Esecuzioni'!$A$8:$A$1007,A76,'Esecuzioni'!$Q$8:$Q$1007,"OK"))</x:f>
      </x:c>
      <x:c r="X76" s="20" t="str">
        <x:f>IF(OR(A76="",I76&lt;&gt;"Esecuzioni",W76=0),"",SUMIFS('Esecuzioni'!$L$8:$L$1007,'Esecuzioni'!$A$8:$A$1007,A76))</x:f>
      </x:c>
      <x:c r="Y76" s="20" t="str">
        <x:f>IF(OR(A76="",I76&lt;&gt;"Esecuzioni",W76=0),"",SUMIFS('Esecuzioni'!$M$8:$M$1007,'Esecuzioni'!$A$8:$A$1007,A76))</x:f>
      </x:c>
      <x:c r="Z76" s="20" t="str">
        <x:f>IF(A76="","",IF(J76="Annullato",0,IF(ISNUMBER(O76),O76,IF(AND(I76="Esecuzioni",W76&gt;0),_xlfn.MAXIFS('Esecuzioni'!$P$8:$P$1007,'Esecuzioni'!$A$8:$A$1007,A76),""))))</x:f>
      </x:c>
      <x:c r="AA76" s="20" t="str">
        <x:f>IF(OR(A76="",J76="Aperto"),"",IF(J76="Annullato",0,IF(I76="Lordo manuale",IF(ISNUMBER(P76),P76,""),IF(I76="Netto manuale",IF(AND(ISNUMBER(P76),ISNUMBER(Q76)),P76+Q76,""),IF(OR(W76=0,COUNTIFS('Esecuzioni'!$A$8:$A$1007,A76,'Esecuzioni'!$Q$8:$Q$1007,"&lt;&gt;OK")&gt;0),"",IF(S76="Vince",X76,IF(S76="Perde",Y76,IF(AND(S76="Coperto",ABS(X76-Y76)&lt;='Impostazioni'!$B$11),ROUND((X76+Y76)/2,2),""))))))))</x:f>
      </x:c>
      <x:c r="AB76" s="20" t="str">
        <x:f>IF(NOT(ISNUMBER(AA76)),"",IF(J76="Annullato",0,IF(ISNUMBER(Q76),Q76,ROUND(MAX(0,AA76)*IF(ISNUMBER(R76),R76,'Impostazioni'!$B$8),2))))</x:f>
      </x:c>
      <x:c r="AC76" s="20" t="str">
        <x:f>IF(AND(ISNUMBER(AA76),ISNUMBER(AB76)),ROUND(AA76-AB76,2),"")</x:f>
      </x:c>
      <x:c r="AD76" s="18" t="str">
        <x:f>IF(A76="","",IF(AQ76&lt;&gt;"OK","Incompleto",IF(J76="Aperto","Aperto",IF(J76="Annullato","Annullato",IF(AC76&gt;0,"Green",IF(AC76&lt;0,"Red","Flat"))))))</x:f>
      </x:c>
      <x:c r="AE76" s="21" t="str">
        <x:f>IF(AND(AH76=1,Z76&gt;0),AC76/Z76,"")</x:f>
      </x:c>
      <x:c r="AF76" s="22" t="str">
        <x:f>IF(AH76&lt;&gt;1,"",COUNTIFS($C$8:$C$507,"&lt;"&amp;C76,$AH$8:$AH$507,1)+COUNTIFS($C$8:$C$507,C76,$A$8:$A$507,"&lt;="&amp;A76,$AH$8:$AH$507,1))</x:f>
      </x:c>
      <x:c r="AG76" s="20" t="str">
        <x:f>IF(AH76&lt;&gt;1,"",SUMIFS($AC$8:$AC$507,$C$8:$C$507,"&lt;"&amp;C76,$AH$8:$AH$507,1)+SUMIFS($AC$8:$AC$507,$C$8:$C$507,C76,$A$8:$A$507,"&lt;="&amp;A76,$AH$8:$AH$507,1))</x:f>
      </x:c>
      <x:c r="AH76" s="22" t="str">
        <x:f>IF(A76="","",IF(AND(J76="Chiuso",AQ76="OK",ISNUMBER(AC76)),1,0))</x:f>
      </x:c>
      <x:c r="AI76" s="20" t="str">
        <x:f>IF(AH76&lt;&gt;1,"",MAX(0,_xlfn.MAXIFS($AG$8:$AG$507,$AF$8:$AF$507,"&lt;="&amp;AF76,$AH$8:$AH$507,1)))</x:f>
      </x:c>
      <x:c r="AJ76" s="20" t="str">
        <x:f>IF(AH76&lt;&gt;1,"",MAX(0,AI76-AG76))</x:f>
      </x:c>
      <x:c r="AK76" s="21" t="str">
        <x:f>IF(OR(AH76&lt;&gt;1,NOT(ISNUMBER('Impostazioni'!$B$6)),'Impostazioni'!$B$6+AI76&lt;=0),"",AJ76/('Impostazioni'!$B$6+AI76))</x:f>
      </x:c>
      <x:c r="AL76" s="22" t="str">
        <x:f>IF(AH76&lt;&gt;1,"",IF(AC76&gt;0,AF76-_xlfn.MAXIFS($AF$8:$AF$507,$AF$8:$AF$507,"&lt;="&amp;AF76,$AC$8:$AC$507,"&lt;=0",$AH$8:$AH$507,1),0))</x:f>
      </x:c>
      <x:c r="AM76" s="22" t="str">
        <x:f>IF(AH76&lt;&gt;1,"",IF(AC76&lt;0,AF76-_xlfn.MAXIFS($AF$8:$AF$507,$AF$8:$AF$507,"&lt;="&amp;AF76,$AC$8:$AC$507,"&gt;=0",$AH$8:$AH$507,1),0))</x:f>
      </x:c>
      <x:c r="AN76" s="20" t="str">
        <x:f>IF(OR(A76="",NOT(ISNUMBER(B76)),NOT(ISNUMBER('Impostazioni'!$B$6))),"",'Impostazioni'!$B$6+SUMIFS($AC$8:$AC$507,$C$8:$C$507,"&lt;"&amp;B76,$AH$8:$AH$507,1)+SUMIFS('Cassa'!$F$8:$F$307,'Cassa'!$A$8:$A$307,"&lt;="&amp;B76,'Cassa'!$G$8:$G$307,"OK"))</x:f>
      </x:c>
      <x:c r="AO76" s="21" t="str">
        <x:f>IF(AND(ISNUMBER(Z76),ISNUMBER(AN76),AN76&gt;0),Z76/AN76,"")</x:f>
      </x:c>
      <x:c r="AP76" s="18" t="str">
        <x:f>IF(NOT(ISNUMBER(AO76)),"",IF(AO76&gt;'Impostazioni'!$B$7,"Oltre soglia personale","Nella soglia personale"))</x:f>
      </x:c>
      <x:c r="AQ76" s="18" t="str">
        <x:f>IF(A76="",IF(COUNTA(B76:V76)=0,"","Inserisci ID"),IF(COUNTIFS($A$8:$A$507,A76)&lt;&gt;1,"ID duplicato",IF(OR(NOT(ISNUMBER(B76)),D76="",E76="",F76="",G76="",H76="",COUNTIFS('Impostazioni'!$J$6:$J$25,F76)&lt;&gt;1),"Completa dati / elenchi",IF(OR(AND(I76&lt;&gt;"Lordo manuale",I76&lt;&gt;"Netto manuale",I76&lt;&gt;"Esecuzioni"),AND(J76&lt;&gt;"Aperto",J76&lt;&gt;"Chiuso",J76&lt;&gt;"Annullato")),"Modalità / stato mancanti",IF(AND(J76&lt;&gt;"Aperto",OR(NOT(ISNUMBER(C76)),C76&lt;B76)),"Correggi data chiusura",IF(OR(AND(Q76&lt;&gt;"",OR(NOT(ISNUMBER(Q76)),Q76&lt;0)),AND(R76&lt;&gt;"",OR(NOT(ISNUMBER(R76)),R76&lt;0,R76&gt;1))),"Commissione non valida",IF(J76="Annullato","OK",IF(OR(NOT(ISNUMBER(Z76)),Z76&lt;0,AND(O76&lt;&gt;"",NOT(ISNUMBER(O76)))),"Inserisci rischio",IF(AND(I76="Esecuzioni",OR(W76=0,COUNTIFS('Esecuzioni'!$A$8:$A$1007,A76,'Esecuzioni'!$Q$8:$Q$1007,"&lt;&gt;OK")&gt;0)),"Correggi esecuzioni",IF(J76="Aperto","OK",IF(AND(I76="Esecuzioni",S76="Coperto",ABS(X76-Y76)&gt;'Impostazioni'!$B$11),"Copertura residua",IF(NOT(ISNUMBER(AC76)),"Completa risultato / esito",IF(AND(Z76=0,AC76&lt;&gt;0),"Rischio nullo con P/L","OK")))))))))))))</x:f>
      </x:c>
      <x:c r="AR76" s="20" t="str">
        <x:f>IF(OR(A76="",J76&lt;&gt;"Aperto",AQ76&lt;&gt;"OK"),"",IF(I76="Esecuzioni",SUMIFS('Esecuzioni'!$P$8:$P$1007,'Esecuzioni'!$A$8:$A$1007,A76,'Esecuzioni'!$B$8:$B$1007,_xlfn.MAXIFS('Esecuzioni'!$B$8:$B$1007,'Esecuzioni'!$A$8:$A$1007,A76)),IF(LEFT(U76,8)="FREEBET:",0,Z76)))</x:f>
      </x:c>
      <x:c r="AS76" s="48" t="str">
        <x:f>IF(OR(A76="",E76=""),"",IF(COUNTIFS($E$8:E76,E76)=1,COUNT($AS$7:AS75)+1,""))</x:f>
      </x:c>
    </x:row>
    <x:row r="77" ht="22" customHeight="1">
      <x:c r="A77" s="7"/>
      <x:c r="B77" s="19"/>
      <x:c r="C77" s="19"/>
      <x:c r="D77" s="7"/>
      <x:c r="E77" s="7"/>
      <x:c r="F77" s="7"/>
      <x:c r="G77" s="7"/>
      <x:c r="H77" s="7"/>
      <x:c r="I77" s="7"/>
      <x:c r="J77" s="7"/>
      <x:c r="K77" s="10"/>
      <x:c r="L77" s="7"/>
      <x:c r="M77" s="10"/>
      <x:c r="N77" s="7"/>
      <x:c r="O77" s="8"/>
      <x:c r="P77" s="8"/>
      <x:c r="Q77" s="8"/>
      <x:c r="R77" s="9"/>
      <x:c r="S77" s="7"/>
      <x:c r="T77" s="7"/>
      <x:c r="U77" s="7"/>
      <x:c r="V77" s="7"/>
      <x:c r="W77" s="22" t="str">
        <x:f>IF(A77="","",COUNTIFS('Esecuzioni'!$A$8:$A$1007,A77,'Esecuzioni'!$Q$8:$Q$1007,"OK"))</x:f>
      </x:c>
      <x:c r="X77" s="20" t="str">
        <x:f>IF(OR(A77="",I77&lt;&gt;"Esecuzioni",W77=0),"",SUMIFS('Esecuzioni'!$L$8:$L$1007,'Esecuzioni'!$A$8:$A$1007,A77))</x:f>
      </x:c>
      <x:c r="Y77" s="20" t="str">
        <x:f>IF(OR(A77="",I77&lt;&gt;"Esecuzioni",W77=0),"",SUMIFS('Esecuzioni'!$M$8:$M$1007,'Esecuzioni'!$A$8:$A$1007,A77))</x:f>
      </x:c>
      <x:c r="Z77" s="20" t="str">
        <x:f>IF(A77="","",IF(J77="Annullato",0,IF(ISNUMBER(O77),O77,IF(AND(I77="Esecuzioni",W77&gt;0),_xlfn.MAXIFS('Esecuzioni'!$P$8:$P$1007,'Esecuzioni'!$A$8:$A$1007,A77),""))))</x:f>
      </x:c>
      <x:c r="AA77" s="20" t="str">
        <x:f>IF(OR(A77="",J77="Aperto"),"",IF(J77="Annullato",0,IF(I77="Lordo manuale",IF(ISNUMBER(P77),P77,""),IF(I77="Netto manuale",IF(AND(ISNUMBER(P77),ISNUMBER(Q77)),P77+Q77,""),IF(OR(W77=0,COUNTIFS('Esecuzioni'!$A$8:$A$1007,A77,'Esecuzioni'!$Q$8:$Q$1007,"&lt;&gt;OK")&gt;0),"",IF(S77="Vince",X77,IF(S77="Perde",Y77,IF(AND(S77="Coperto",ABS(X77-Y77)&lt;='Impostazioni'!$B$11),ROUND((X77+Y77)/2,2),""))))))))</x:f>
      </x:c>
      <x:c r="AB77" s="20" t="str">
        <x:f>IF(NOT(ISNUMBER(AA77)),"",IF(J77="Annullato",0,IF(ISNUMBER(Q77),Q77,ROUND(MAX(0,AA77)*IF(ISNUMBER(R77),R77,'Impostazioni'!$B$8),2))))</x:f>
      </x:c>
      <x:c r="AC77" s="20" t="str">
        <x:f>IF(AND(ISNUMBER(AA77),ISNUMBER(AB77)),ROUND(AA77-AB77,2),"")</x:f>
      </x:c>
      <x:c r="AD77" s="18" t="str">
        <x:f>IF(A77="","",IF(AQ77&lt;&gt;"OK","Incompleto",IF(J77="Aperto","Aperto",IF(J77="Annullato","Annullato",IF(AC77&gt;0,"Green",IF(AC77&lt;0,"Red","Flat"))))))</x:f>
      </x:c>
      <x:c r="AE77" s="21" t="str">
        <x:f>IF(AND(AH77=1,Z77&gt;0),AC77/Z77,"")</x:f>
      </x:c>
      <x:c r="AF77" s="22" t="str">
        <x:f>IF(AH77&lt;&gt;1,"",COUNTIFS($C$8:$C$507,"&lt;"&amp;C77,$AH$8:$AH$507,1)+COUNTIFS($C$8:$C$507,C77,$A$8:$A$507,"&lt;="&amp;A77,$AH$8:$AH$507,1))</x:f>
      </x:c>
      <x:c r="AG77" s="20" t="str">
        <x:f>IF(AH77&lt;&gt;1,"",SUMIFS($AC$8:$AC$507,$C$8:$C$507,"&lt;"&amp;C77,$AH$8:$AH$507,1)+SUMIFS($AC$8:$AC$507,$C$8:$C$507,C77,$A$8:$A$507,"&lt;="&amp;A77,$AH$8:$AH$507,1))</x:f>
      </x:c>
      <x:c r="AH77" s="22" t="str">
        <x:f>IF(A77="","",IF(AND(J77="Chiuso",AQ77="OK",ISNUMBER(AC77)),1,0))</x:f>
      </x:c>
      <x:c r="AI77" s="20" t="str">
        <x:f>IF(AH77&lt;&gt;1,"",MAX(0,_xlfn.MAXIFS($AG$8:$AG$507,$AF$8:$AF$507,"&lt;="&amp;AF77,$AH$8:$AH$507,1)))</x:f>
      </x:c>
      <x:c r="AJ77" s="20" t="str">
        <x:f>IF(AH77&lt;&gt;1,"",MAX(0,AI77-AG77))</x:f>
      </x:c>
      <x:c r="AK77" s="21" t="str">
        <x:f>IF(OR(AH77&lt;&gt;1,NOT(ISNUMBER('Impostazioni'!$B$6)),'Impostazioni'!$B$6+AI77&lt;=0),"",AJ77/('Impostazioni'!$B$6+AI77))</x:f>
      </x:c>
      <x:c r="AL77" s="22" t="str">
        <x:f>IF(AH77&lt;&gt;1,"",IF(AC77&gt;0,AF77-_xlfn.MAXIFS($AF$8:$AF$507,$AF$8:$AF$507,"&lt;="&amp;AF77,$AC$8:$AC$507,"&lt;=0",$AH$8:$AH$507,1),0))</x:f>
      </x:c>
      <x:c r="AM77" s="22" t="str">
        <x:f>IF(AH77&lt;&gt;1,"",IF(AC77&lt;0,AF77-_xlfn.MAXIFS($AF$8:$AF$507,$AF$8:$AF$507,"&lt;="&amp;AF77,$AC$8:$AC$507,"&gt;=0",$AH$8:$AH$507,1),0))</x:f>
      </x:c>
      <x:c r="AN77" s="20" t="str">
        <x:f>IF(OR(A77="",NOT(ISNUMBER(B77)),NOT(ISNUMBER('Impostazioni'!$B$6))),"",'Impostazioni'!$B$6+SUMIFS($AC$8:$AC$507,$C$8:$C$507,"&lt;"&amp;B77,$AH$8:$AH$507,1)+SUMIFS('Cassa'!$F$8:$F$307,'Cassa'!$A$8:$A$307,"&lt;="&amp;B77,'Cassa'!$G$8:$G$307,"OK"))</x:f>
      </x:c>
      <x:c r="AO77" s="21" t="str">
        <x:f>IF(AND(ISNUMBER(Z77),ISNUMBER(AN77),AN77&gt;0),Z77/AN77,"")</x:f>
      </x:c>
      <x:c r="AP77" s="18" t="str">
        <x:f>IF(NOT(ISNUMBER(AO77)),"",IF(AO77&gt;'Impostazioni'!$B$7,"Oltre soglia personale","Nella soglia personale"))</x:f>
      </x:c>
      <x:c r="AQ77" s="18" t="str">
        <x:f>IF(A77="",IF(COUNTA(B77:V77)=0,"","Inserisci ID"),IF(COUNTIFS($A$8:$A$507,A77)&lt;&gt;1,"ID duplicato",IF(OR(NOT(ISNUMBER(B77)),D77="",E77="",F77="",G77="",H77="",COUNTIFS('Impostazioni'!$J$6:$J$25,F77)&lt;&gt;1),"Completa dati / elenchi",IF(OR(AND(I77&lt;&gt;"Lordo manuale",I77&lt;&gt;"Netto manuale",I77&lt;&gt;"Esecuzioni"),AND(J77&lt;&gt;"Aperto",J77&lt;&gt;"Chiuso",J77&lt;&gt;"Annullato")),"Modalità / stato mancanti",IF(AND(J77&lt;&gt;"Aperto",OR(NOT(ISNUMBER(C77)),C77&lt;B77)),"Correggi data chiusura",IF(OR(AND(Q77&lt;&gt;"",OR(NOT(ISNUMBER(Q77)),Q77&lt;0)),AND(R77&lt;&gt;"",OR(NOT(ISNUMBER(R77)),R77&lt;0,R77&gt;1))),"Commissione non valida",IF(J77="Annullato","OK",IF(OR(NOT(ISNUMBER(Z77)),Z77&lt;0,AND(O77&lt;&gt;"",NOT(ISNUMBER(O77)))),"Inserisci rischio",IF(AND(I77="Esecuzioni",OR(W77=0,COUNTIFS('Esecuzioni'!$A$8:$A$1007,A77,'Esecuzioni'!$Q$8:$Q$1007,"&lt;&gt;OK")&gt;0)),"Correggi esecuzioni",IF(J77="Aperto","OK",IF(AND(I77="Esecuzioni",S77="Coperto",ABS(X77-Y77)&gt;'Impostazioni'!$B$11),"Copertura residua",IF(NOT(ISNUMBER(AC77)),"Completa risultato / esito",IF(AND(Z77=0,AC77&lt;&gt;0),"Rischio nullo con P/L","OK")))))))))))))</x:f>
      </x:c>
      <x:c r="AR77" s="20" t="str">
        <x:f>IF(OR(A77="",J77&lt;&gt;"Aperto",AQ77&lt;&gt;"OK"),"",IF(I77="Esecuzioni",SUMIFS('Esecuzioni'!$P$8:$P$1007,'Esecuzioni'!$A$8:$A$1007,A77,'Esecuzioni'!$B$8:$B$1007,_xlfn.MAXIFS('Esecuzioni'!$B$8:$B$1007,'Esecuzioni'!$A$8:$A$1007,A77)),IF(LEFT(U77,8)="FREEBET:",0,Z77)))</x:f>
      </x:c>
      <x:c r="AS77" s="48" t="str">
        <x:f>IF(OR(A77="",E77=""),"",IF(COUNTIFS($E$8:E77,E77)=1,COUNT($AS$7:AS76)+1,""))</x:f>
      </x:c>
    </x:row>
    <x:row r="78" ht="22" customHeight="1">
      <x:c r="A78" s="7"/>
      <x:c r="B78" s="19"/>
      <x:c r="C78" s="19"/>
      <x:c r="D78" s="7"/>
      <x:c r="E78" s="7"/>
      <x:c r="F78" s="7"/>
      <x:c r="G78" s="7"/>
      <x:c r="H78" s="7"/>
      <x:c r="I78" s="7"/>
      <x:c r="J78" s="7"/>
      <x:c r="K78" s="10"/>
      <x:c r="L78" s="7"/>
      <x:c r="M78" s="10"/>
      <x:c r="N78" s="7"/>
      <x:c r="O78" s="8"/>
      <x:c r="P78" s="8"/>
      <x:c r="Q78" s="8"/>
      <x:c r="R78" s="9"/>
      <x:c r="S78" s="7"/>
      <x:c r="T78" s="7"/>
      <x:c r="U78" s="7"/>
      <x:c r="V78" s="7"/>
      <x:c r="W78" s="22" t="str">
        <x:f>IF(A78="","",COUNTIFS('Esecuzioni'!$A$8:$A$1007,A78,'Esecuzioni'!$Q$8:$Q$1007,"OK"))</x:f>
      </x:c>
      <x:c r="X78" s="20" t="str">
        <x:f>IF(OR(A78="",I78&lt;&gt;"Esecuzioni",W78=0),"",SUMIFS('Esecuzioni'!$L$8:$L$1007,'Esecuzioni'!$A$8:$A$1007,A78))</x:f>
      </x:c>
      <x:c r="Y78" s="20" t="str">
        <x:f>IF(OR(A78="",I78&lt;&gt;"Esecuzioni",W78=0),"",SUMIFS('Esecuzioni'!$M$8:$M$1007,'Esecuzioni'!$A$8:$A$1007,A78))</x:f>
      </x:c>
      <x:c r="Z78" s="20" t="str">
        <x:f>IF(A78="","",IF(J78="Annullato",0,IF(ISNUMBER(O78),O78,IF(AND(I78="Esecuzioni",W78&gt;0),_xlfn.MAXIFS('Esecuzioni'!$P$8:$P$1007,'Esecuzioni'!$A$8:$A$1007,A78),""))))</x:f>
      </x:c>
      <x:c r="AA78" s="20" t="str">
        <x:f>IF(OR(A78="",J78="Aperto"),"",IF(J78="Annullato",0,IF(I78="Lordo manuale",IF(ISNUMBER(P78),P78,""),IF(I78="Netto manuale",IF(AND(ISNUMBER(P78),ISNUMBER(Q78)),P78+Q78,""),IF(OR(W78=0,COUNTIFS('Esecuzioni'!$A$8:$A$1007,A78,'Esecuzioni'!$Q$8:$Q$1007,"&lt;&gt;OK")&gt;0),"",IF(S78="Vince",X78,IF(S78="Perde",Y78,IF(AND(S78="Coperto",ABS(X78-Y78)&lt;='Impostazioni'!$B$11),ROUND((X78+Y78)/2,2),""))))))))</x:f>
      </x:c>
      <x:c r="AB78" s="20" t="str">
        <x:f>IF(NOT(ISNUMBER(AA78)),"",IF(J78="Annullato",0,IF(ISNUMBER(Q78),Q78,ROUND(MAX(0,AA78)*IF(ISNUMBER(R78),R78,'Impostazioni'!$B$8),2))))</x:f>
      </x:c>
      <x:c r="AC78" s="20" t="str">
        <x:f>IF(AND(ISNUMBER(AA78),ISNUMBER(AB78)),ROUND(AA78-AB78,2),"")</x:f>
      </x:c>
      <x:c r="AD78" s="18" t="str">
        <x:f>IF(A78="","",IF(AQ78&lt;&gt;"OK","Incompleto",IF(J78="Aperto","Aperto",IF(J78="Annullato","Annullato",IF(AC78&gt;0,"Green",IF(AC78&lt;0,"Red","Flat"))))))</x:f>
      </x:c>
      <x:c r="AE78" s="21" t="str">
        <x:f>IF(AND(AH78=1,Z78&gt;0),AC78/Z78,"")</x:f>
      </x:c>
      <x:c r="AF78" s="22" t="str">
        <x:f>IF(AH78&lt;&gt;1,"",COUNTIFS($C$8:$C$507,"&lt;"&amp;C78,$AH$8:$AH$507,1)+COUNTIFS($C$8:$C$507,C78,$A$8:$A$507,"&lt;="&amp;A78,$AH$8:$AH$507,1))</x:f>
      </x:c>
      <x:c r="AG78" s="20" t="str">
        <x:f>IF(AH78&lt;&gt;1,"",SUMIFS($AC$8:$AC$507,$C$8:$C$507,"&lt;"&amp;C78,$AH$8:$AH$507,1)+SUMIFS($AC$8:$AC$507,$C$8:$C$507,C78,$A$8:$A$507,"&lt;="&amp;A78,$AH$8:$AH$507,1))</x:f>
      </x:c>
      <x:c r="AH78" s="22" t="str">
        <x:f>IF(A78="","",IF(AND(J78="Chiuso",AQ78="OK",ISNUMBER(AC78)),1,0))</x:f>
      </x:c>
      <x:c r="AI78" s="20" t="str">
        <x:f>IF(AH78&lt;&gt;1,"",MAX(0,_xlfn.MAXIFS($AG$8:$AG$507,$AF$8:$AF$507,"&lt;="&amp;AF78,$AH$8:$AH$507,1)))</x:f>
      </x:c>
      <x:c r="AJ78" s="20" t="str">
        <x:f>IF(AH78&lt;&gt;1,"",MAX(0,AI78-AG78))</x:f>
      </x:c>
      <x:c r="AK78" s="21" t="str">
        <x:f>IF(OR(AH78&lt;&gt;1,NOT(ISNUMBER('Impostazioni'!$B$6)),'Impostazioni'!$B$6+AI78&lt;=0),"",AJ78/('Impostazioni'!$B$6+AI78))</x:f>
      </x:c>
      <x:c r="AL78" s="22" t="str">
        <x:f>IF(AH78&lt;&gt;1,"",IF(AC78&gt;0,AF78-_xlfn.MAXIFS($AF$8:$AF$507,$AF$8:$AF$507,"&lt;="&amp;AF78,$AC$8:$AC$507,"&lt;=0",$AH$8:$AH$507,1),0))</x:f>
      </x:c>
      <x:c r="AM78" s="22" t="str">
        <x:f>IF(AH78&lt;&gt;1,"",IF(AC78&lt;0,AF78-_xlfn.MAXIFS($AF$8:$AF$507,$AF$8:$AF$507,"&lt;="&amp;AF78,$AC$8:$AC$507,"&gt;=0",$AH$8:$AH$507,1),0))</x:f>
      </x:c>
      <x:c r="AN78" s="20" t="str">
        <x:f>IF(OR(A78="",NOT(ISNUMBER(B78)),NOT(ISNUMBER('Impostazioni'!$B$6))),"",'Impostazioni'!$B$6+SUMIFS($AC$8:$AC$507,$C$8:$C$507,"&lt;"&amp;B78,$AH$8:$AH$507,1)+SUMIFS('Cassa'!$F$8:$F$307,'Cassa'!$A$8:$A$307,"&lt;="&amp;B78,'Cassa'!$G$8:$G$307,"OK"))</x:f>
      </x:c>
      <x:c r="AO78" s="21" t="str">
        <x:f>IF(AND(ISNUMBER(Z78),ISNUMBER(AN78),AN78&gt;0),Z78/AN78,"")</x:f>
      </x:c>
      <x:c r="AP78" s="18" t="str">
        <x:f>IF(NOT(ISNUMBER(AO78)),"",IF(AO78&gt;'Impostazioni'!$B$7,"Oltre soglia personale","Nella soglia personale"))</x:f>
      </x:c>
      <x:c r="AQ78" s="18" t="str">
        <x:f>IF(A78="",IF(COUNTA(B78:V78)=0,"","Inserisci ID"),IF(COUNTIFS($A$8:$A$507,A78)&lt;&gt;1,"ID duplicato",IF(OR(NOT(ISNUMBER(B78)),D78="",E78="",F78="",G78="",H78="",COUNTIFS('Impostazioni'!$J$6:$J$25,F78)&lt;&gt;1),"Completa dati / elenchi",IF(OR(AND(I78&lt;&gt;"Lordo manuale",I78&lt;&gt;"Netto manuale",I78&lt;&gt;"Esecuzioni"),AND(J78&lt;&gt;"Aperto",J78&lt;&gt;"Chiuso",J78&lt;&gt;"Annullato")),"Modalità / stato mancanti",IF(AND(J78&lt;&gt;"Aperto",OR(NOT(ISNUMBER(C78)),C78&lt;B78)),"Correggi data chiusura",IF(OR(AND(Q78&lt;&gt;"",OR(NOT(ISNUMBER(Q78)),Q78&lt;0)),AND(R78&lt;&gt;"",OR(NOT(ISNUMBER(R78)),R78&lt;0,R78&gt;1))),"Commissione non valida",IF(J78="Annullato","OK",IF(OR(NOT(ISNUMBER(Z78)),Z78&lt;0,AND(O78&lt;&gt;"",NOT(ISNUMBER(O78)))),"Inserisci rischio",IF(AND(I78="Esecuzioni",OR(W78=0,COUNTIFS('Esecuzioni'!$A$8:$A$1007,A78,'Esecuzioni'!$Q$8:$Q$1007,"&lt;&gt;OK")&gt;0)),"Correggi esecuzioni",IF(J78="Aperto","OK",IF(AND(I78="Esecuzioni",S78="Coperto",ABS(X78-Y78)&gt;'Impostazioni'!$B$11),"Copertura residua",IF(NOT(ISNUMBER(AC78)),"Completa risultato / esito",IF(AND(Z78=0,AC78&lt;&gt;0),"Rischio nullo con P/L","OK")))))))))))))</x:f>
      </x:c>
      <x:c r="AR78" s="20" t="str">
        <x:f>IF(OR(A78="",J78&lt;&gt;"Aperto",AQ78&lt;&gt;"OK"),"",IF(I78="Esecuzioni",SUMIFS('Esecuzioni'!$P$8:$P$1007,'Esecuzioni'!$A$8:$A$1007,A78,'Esecuzioni'!$B$8:$B$1007,_xlfn.MAXIFS('Esecuzioni'!$B$8:$B$1007,'Esecuzioni'!$A$8:$A$1007,A78)),IF(LEFT(U78,8)="FREEBET:",0,Z78)))</x:f>
      </x:c>
      <x:c r="AS78" s="48" t="str">
        <x:f>IF(OR(A78="",E78=""),"",IF(COUNTIFS($E$8:E78,E78)=1,COUNT($AS$7:AS77)+1,""))</x:f>
      </x:c>
    </x:row>
    <x:row r="79" ht="22" customHeight="1">
      <x:c r="A79" s="7"/>
      <x:c r="B79" s="19"/>
      <x:c r="C79" s="19"/>
      <x:c r="D79" s="7"/>
      <x:c r="E79" s="7"/>
      <x:c r="F79" s="7"/>
      <x:c r="G79" s="7"/>
      <x:c r="H79" s="7"/>
      <x:c r="I79" s="7"/>
      <x:c r="J79" s="7"/>
      <x:c r="K79" s="10"/>
      <x:c r="L79" s="7"/>
      <x:c r="M79" s="10"/>
      <x:c r="N79" s="7"/>
      <x:c r="O79" s="8"/>
      <x:c r="P79" s="8"/>
      <x:c r="Q79" s="8"/>
      <x:c r="R79" s="9"/>
      <x:c r="S79" s="7"/>
      <x:c r="T79" s="7"/>
      <x:c r="U79" s="7"/>
      <x:c r="V79" s="7"/>
      <x:c r="W79" s="22" t="str">
        <x:f>IF(A79="","",COUNTIFS('Esecuzioni'!$A$8:$A$1007,A79,'Esecuzioni'!$Q$8:$Q$1007,"OK"))</x:f>
      </x:c>
      <x:c r="X79" s="20" t="str">
        <x:f>IF(OR(A79="",I79&lt;&gt;"Esecuzioni",W79=0),"",SUMIFS('Esecuzioni'!$L$8:$L$1007,'Esecuzioni'!$A$8:$A$1007,A79))</x:f>
      </x:c>
      <x:c r="Y79" s="20" t="str">
        <x:f>IF(OR(A79="",I79&lt;&gt;"Esecuzioni",W79=0),"",SUMIFS('Esecuzioni'!$M$8:$M$1007,'Esecuzioni'!$A$8:$A$1007,A79))</x:f>
      </x:c>
      <x:c r="Z79" s="20" t="str">
        <x:f>IF(A79="","",IF(J79="Annullato",0,IF(ISNUMBER(O79),O79,IF(AND(I79="Esecuzioni",W79&gt;0),_xlfn.MAXIFS('Esecuzioni'!$P$8:$P$1007,'Esecuzioni'!$A$8:$A$1007,A79),""))))</x:f>
      </x:c>
      <x:c r="AA79" s="20" t="str">
        <x:f>IF(OR(A79="",J79="Aperto"),"",IF(J79="Annullato",0,IF(I79="Lordo manuale",IF(ISNUMBER(P79),P79,""),IF(I79="Netto manuale",IF(AND(ISNUMBER(P79),ISNUMBER(Q79)),P79+Q79,""),IF(OR(W79=0,COUNTIFS('Esecuzioni'!$A$8:$A$1007,A79,'Esecuzioni'!$Q$8:$Q$1007,"&lt;&gt;OK")&gt;0),"",IF(S79="Vince",X79,IF(S79="Perde",Y79,IF(AND(S79="Coperto",ABS(X79-Y79)&lt;='Impostazioni'!$B$11),ROUND((X79+Y79)/2,2),""))))))))</x:f>
      </x:c>
      <x:c r="AB79" s="20" t="str">
        <x:f>IF(NOT(ISNUMBER(AA79)),"",IF(J79="Annullato",0,IF(ISNUMBER(Q79),Q79,ROUND(MAX(0,AA79)*IF(ISNUMBER(R79),R79,'Impostazioni'!$B$8),2))))</x:f>
      </x:c>
      <x:c r="AC79" s="20" t="str">
        <x:f>IF(AND(ISNUMBER(AA79),ISNUMBER(AB79)),ROUND(AA79-AB79,2),"")</x:f>
      </x:c>
      <x:c r="AD79" s="18" t="str">
        <x:f>IF(A79="","",IF(AQ79&lt;&gt;"OK","Incompleto",IF(J79="Aperto","Aperto",IF(J79="Annullato","Annullato",IF(AC79&gt;0,"Green",IF(AC79&lt;0,"Red","Flat"))))))</x:f>
      </x:c>
      <x:c r="AE79" s="21" t="str">
        <x:f>IF(AND(AH79=1,Z79&gt;0),AC79/Z79,"")</x:f>
      </x:c>
      <x:c r="AF79" s="22" t="str">
        <x:f>IF(AH79&lt;&gt;1,"",COUNTIFS($C$8:$C$507,"&lt;"&amp;C79,$AH$8:$AH$507,1)+COUNTIFS($C$8:$C$507,C79,$A$8:$A$507,"&lt;="&amp;A79,$AH$8:$AH$507,1))</x:f>
      </x:c>
      <x:c r="AG79" s="20" t="str">
        <x:f>IF(AH79&lt;&gt;1,"",SUMIFS($AC$8:$AC$507,$C$8:$C$507,"&lt;"&amp;C79,$AH$8:$AH$507,1)+SUMIFS($AC$8:$AC$507,$C$8:$C$507,C79,$A$8:$A$507,"&lt;="&amp;A79,$AH$8:$AH$507,1))</x:f>
      </x:c>
      <x:c r="AH79" s="22" t="str">
        <x:f>IF(A79="","",IF(AND(J79="Chiuso",AQ79="OK",ISNUMBER(AC79)),1,0))</x:f>
      </x:c>
      <x:c r="AI79" s="20" t="str">
        <x:f>IF(AH79&lt;&gt;1,"",MAX(0,_xlfn.MAXIFS($AG$8:$AG$507,$AF$8:$AF$507,"&lt;="&amp;AF79,$AH$8:$AH$507,1)))</x:f>
      </x:c>
      <x:c r="AJ79" s="20" t="str">
        <x:f>IF(AH79&lt;&gt;1,"",MAX(0,AI79-AG79))</x:f>
      </x:c>
      <x:c r="AK79" s="21" t="str">
        <x:f>IF(OR(AH79&lt;&gt;1,NOT(ISNUMBER('Impostazioni'!$B$6)),'Impostazioni'!$B$6+AI79&lt;=0),"",AJ79/('Impostazioni'!$B$6+AI79))</x:f>
      </x:c>
      <x:c r="AL79" s="22" t="str">
        <x:f>IF(AH79&lt;&gt;1,"",IF(AC79&gt;0,AF79-_xlfn.MAXIFS($AF$8:$AF$507,$AF$8:$AF$507,"&lt;="&amp;AF79,$AC$8:$AC$507,"&lt;=0",$AH$8:$AH$507,1),0))</x:f>
      </x:c>
      <x:c r="AM79" s="22" t="str">
        <x:f>IF(AH79&lt;&gt;1,"",IF(AC79&lt;0,AF79-_xlfn.MAXIFS($AF$8:$AF$507,$AF$8:$AF$507,"&lt;="&amp;AF79,$AC$8:$AC$507,"&gt;=0",$AH$8:$AH$507,1),0))</x:f>
      </x:c>
      <x:c r="AN79" s="20" t="str">
        <x:f>IF(OR(A79="",NOT(ISNUMBER(B79)),NOT(ISNUMBER('Impostazioni'!$B$6))),"",'Impostazioni'!$B$6+SUMIFS($AC$8:$AC$507,$C$8:$C$507,"&lt;"&amp;B79,$AH$8:$AH$507,1)+SUMIFS('Cassa'!$F$8:$F$307,'Cassa'!$A$8:$A$307,"&lt;="&amp;B79,'Cassa'!$G$8:$G$307,"OK"))</x:f>
      </x:c>
      <x:c r="AO79" s="21" t="str">
        <x:f>IF(AND(ISNUMBER(Z79),ISNUMBER(AN79),AN79&gt;0),Z79/AN79,"")</x:f>
      </x:c>
      <x:c r="AP79" s="18" t="str">
        <x:f>IF(NOT(ISNUMBER(AO79)),"",IF(AO79&gt;'Impostazioni'!$B$7,"Oltre soglia personale","Nella soglia personale"))</x:f>
      </x:c>
      <x:c r="AQ79" s="18" t="str">
        <x:f>IF(A79="",IF(COUNTA(B79:V79)=0,"","Inserisci ID"),IF(COUNTIFS($A$8:$A$507,A79)&lt;&gt;1,"ID duplicato",IF(OR(NOT(ISNUMBER(B79)),D79="",E79="",F79="",G79="",H79="",COUNTIFS('Impostazioni'!$J$6:$J$25,F79)&lt;&gt;1),"Completa dati / elenchi",IF(OR(AND(I79&lt;&gt;"Lordo manuale",I79&lt;&gt;"Netto manuale",I79&lt;&gt;"Esecuzioni"),AND(J79&lt;&gt;"Aperto",J79&lt;&gt;"Chiuso",J79&lt;&gt;"Annullato")),"Modalità / stato mancanti",IF(AND(J79&lt;&gt;"Aperto",OR(NOT(ISNUMBER(C79)),C79&lt;B79)),"Correggi data chiusura",IF(OR(AND(Q79&lt;&gt;"",OR(NOT(ISNUMBER(Q79)),Q79&lt;0)),AND(R79&lt;&gt;"",OR(NOT(ISNUMBER(R79)),R79&lt;0,R79&gt;1))),"Commissione non valida",IF(J79="Annullato","OK",IF(OR(NOT(ISNUMBER(Z79)),Z79&lt;0,AND(O79&lt;&gt;"",NOT(ISNUMBER(O79)))),"Inserisci rischio",IF(AND(I79="Esecuzioni",OR(W79=0,COUNTIFS('Esecuzioni'!$A$8:$A$1007,A79,'Esecuzioni'!$Q$8:$Q$1007,"&lt;&gt;OK")&gt;0)),"Correggi esecuzioni",IF(J79="Aperto","OK",IF(AND(I79="Esecuzioni",S79="Coperto",ABS(X79-Y79)&gt;'Impostazioni'!$B$11),"Copertura residua",IF(NOT(ISNUMBER(AC79)),"Completa risultato / esito",IF(AND(Z79=0,AC79&lt;&gt;0),"Rischio nullo con P/L","OK")))))))))))))</x:f>
      </x:c>
      <x:c r="AR79" s="20" t="str">
        <x:f>IF(OR(A79="",J79&lt;&gt;"Aperto",AQ79&lt;&gt;"OK"),"",IF(I79="Esecuzioni",SUMIFS('Esecuzioni'!$P$8:$P$1007,'Esecuzioni'!$A$8:$A$1007,A79,'Esecuzioni'!$B$8:$B$1007,_xlfn.MAXIFS('Esecuzioni'!$B$8:$B$1007,'Esecuzioni'!$A$8:$A$1007,A79)),IF(LEFT(U79,8)="FREEBET:",0,Z79)))</x:f>
      </x:c>
      <x:c r="AS79" s="48" t="str">
        <x:f>IF(OR(A79="",E79=""),"",IF(COUNTIFS($E$8:E79,E79)=1,COUNT($AS$7:AS78)+1,""))</x:f>
      </x:c>
    </x:row>
    <x:row r="80" ht="22" customHeight="1">
      <x:c r="A80" s="7"/>
      <x:c r="B80" s="19"/>
      <x:c r="C80" s="19"/>
      <x:c r="D80" s="7"/>
      <x:c r="E80" s="7"/>
      <x:c r="F80" s="7"/>
      <x:c r="G80" s="7"/>
      <x:c r="H80" s="7"/>
      <x:c r="I80" s="7"/>
      <x:c r="J80" s="7"/>
      <x:c r="K80" s="10"/>
      <x:c r="L80" s="7"/>
      <x:c r="M80" s="10"/>
      <x:c r="N80" s="7"/>
      <x:c r="O80" s="8"/>
      <x:c r="P80" s="8"/>
      <x:c r="Q80" s="8"/>
      <x:c r="R80" s="9"/>
      <x:c r="S80" s="7"/>
      <x:c r="T80" s="7"/>
      <x:c r="U80" s="7"/>
      <x:c r="V80" s="7"/>
      <x:c r="W80" s="22" t="str">
        <x:f>IF(A80="","",COUNTIFS('Esecuzioni'!$A$8:$A$1007,A80,'Esecuzioni'!$Q$8:$Q$1007,"OK"))</x:f>
      </x:c>
      <x:c r="X80" s="20" t="str">
        <x:f>IF(OR(A80="",I80&lt;&gt;"Esecuzioni",W80=0),"",SUMIFS('Esecuzioni'!$L$8:$L$1007,'Esecuzioni'!$A$8:$A$1007,A80))</x:f>
      </x:c>
      <x:c r="Y80" s="20" t="str">
        <x:f>IF(OR(A80="",I80&lt;&gt;"Esecuzioni",W80=0),"",SUMIFS('Esecuzioni'!$M$8:$M$1007,'Esecuzioni'!$A$8:$A$1007,A80))</x:f>
      </x:c>
      <x:c r="Z80" s="20" t="str">
        <x:f>IF(A80="","",IF(J80="Annullato",0,IF(ISNUMBER(O80),O80,IF(AND(I80="Esecuzioni",W80&gt;0),_xlfn.MAXIFS('Esecuzioni'!$P$8:$P$1007,'Esecuzioni'!$A$8:$A$1007,A80),""))))</x:f>
      </x:c>
      <x:c r="AA80" s="20" t="str">
        <x:f>IF(OR(A80="",J80="Aperto"),"",IF(J80="Annullato",0,IF(I80="Lordo manuale",IF(ISNUMBER(P80),P80,""),IF(I80="Netto manuale",IF(AND(ISNUMBER(P80),ISNUMBER(Q80)),P80+Q80,""),IF(OR(W80=0,COUNTIFS('Esecuzioni'!$A$8:$A$1007,A80,'Esecuzioni'!$Q$8:$Q$1007,"&lt;&gt;OK")&gt;0),"",IF(S80="Vince",X80,IF(S80="Perde",Y80,IF(AND(S80="Coperto",ABS(X80-Y80)&lt;='Impostazioni'!$B$11),ROUND((X80+Y80)/2,2),""))))))))</x:f>
      </x:c>
      <x:c r="AB80" s="20" t="str">
        <x:f>IF(NOT(ISNUMBER(AA80)),"",IF(J80="Annullato",0,IF(ISNUMBER(Q80),Q80,ROUND(MAX(0,AA80)*IF(ISNUMBER(R80),R80,'Impostazioni'!$B$8),2))))</x:f>
      </x:c>
      <x:c r="AC80" s="20" t="str">
        <x:f>IF(AND(ISNUMBER(AA80),ISNUMBER(AB80)),ROUND(AA80-AB80,2),"")</x:f>
      </x:c>
      <x:c r="AD80" s="18" t="str">
        <x:f>IF(A80="","",IF(AQ80&lt;&gt;"OK","Incompleto",IF(J80="Aperto","Aperto",IF(J80="Annullato","Annullato",IF(AC80&gt;0,"Green",IF(AC80&lt;0,"Red","Flat"))))))</x:f>
      </x:c>
      <x:c r="AE80" s="21" t="str">
        <x:f>IF(AND(AH80=1,Z80&gt;0),AC80/Z80,"")</x:f>
      </x:c>
      <x:c r="AF80" s="22" t="str">
        <x:f>IF(AH80&lt;&gt;1,"",COUNTIFS($C$8:$C$507,"&lt;"&amp;C80,$AH$8:$AH$507,1)+COUNTIFS($C$8:$C$507,C80,$A$8:$A$507,"&lt;="&amp;A80,$AH$8:$AH$507,1))</x:f>
      </x:c>
      <x:c r="AG80" s="20" t="str">
        <x:f>IF(AH80&lt;&gt;1,"",SUMIFS($AC$8:$AC$507,$C$8:$C$507,"&lt;"&amp;C80,$AH$8:$AH$507,1)+SUMIFS($AC$8:$AC$507,$C$8:$C$507,C80,$A$8:$A$507,"&lt;="&amp;A80,$AH$8:$AH$507,1))</x:f>
      </x:c>
      <x:c r="AH80" s="22" t="str">
        <x:f>IF(A80="","",IF(AND(J80="Chiuso",AQ80="OK",ISNUMBER(AC80)),1,0))</x:f>
      </x:c>
      <x:c r="AI80" s="20" t="str">
        <x:f>IF(AH80&lt;&gt;1,"",MAX(0,_xlfn.MAXIFS($AG$8:$AG$507,$AF$8:$AF$507,"&lt;="&amp;AF80,$AH$8:$AH$507,1)))</x:f>
      </x:c>
      <x:c r="AJ80" s="20" t="str">
        <x:f>IF(AH80&lt;&gt;1,"",MAX(0,AI80-AG80))</x:f>
      </x:c>
      <x:c r="AK80" s="21" t="str">
        <x:f>IF(OR(AH80&lt;&gt;1,NOT(ISNUMBER('Impostazioni'!$B$6)),'Impostazioni'!$B$6+AI80&lt;=0),"",AJ80/('Impostazioni'!$B$6+AI80))</x:f>
      </x:c>
      <x:c r="AL80" s="22" t="str">
        <x:f>IF(AH80&lt;&gt;1,"",IF(AC80&gt;0,AF80-_xlfn.MAXIFS($AF$8:$AF$507,$AF$8:$AF$507,"&lt;="&amp;AF80,$AC$8:$AC$507,"&lt;=0",$AH$8:$AH$507,1),0))</x:f>
      </x:c>
      <x:c r="AM80" s="22" t="str">
        <x:f>IF(AH80&lt;&gt;1,"",IF(AC80&lt;0,AF80-_xlfn.MAXIFS($AF$8:$AF$507,$AF$8:$AF$507,"&lt;="&amp;AF80,$AC$8:$AC$507,"&gt;=0",$AH$8:$AH$507,1),0))</x:f>
      </x:c>
      <x:c r="AN80" s="20" t="str">
        <x:f>IF(OR(A80="",NOT(ISNUMBER(B80)),NOT(ISNUMBER('Impostazioni'!$B$6))),"",'Impostazioni'!$B$6+SUMIFS($AC$8:$AC$507,$C$8:$C$507,"&lt;"&amp;B80,$AH$8:$AH$507,1)+SUMIFS('Cassa'!$F$8:$F$307,'Cassa'!$A$8:$A$307,"&lt;="&amp;B80,'Cassa'!$G$8:$G$307,"OK"))</x:f>
      </x:c>
      <x:c r="AO80" s="21" t="str">
        <x:f>IF(AND(ISNUMBER(Z80),ISNUMBER(AN80),AN80&gt;0),Z80/AN80,"")</x:f>
      </x:c>
      <x:c r="AP80" s="18" t="str">
        <x:f>IF(NOT(ISNUMBER(AO80)),"",IF(AO80&gt;'Impostazioni'!$B$7,"Oltre soglia personale","Nella soglia personale"))</x:f>
      </x:c>
      <x:c r="AQ80" s="18" t="str">
        <x:f>IF(A80="",IF(COUNTA(B80:V80)=0,"","Inserisci ID"),IF(COUNTIFS($A$8:$A$507,A80)&lt;&gt;1,"ID duplicato",IF(OR(NOT(ISNUMBER(B80)),D80="",E80="",F80="",G80="",H80="",COUNTIFS('Impostazioni'!$J$6:$J$25,F80)&lt;&gt;1),"Completa dati / elenchi",IF(OR(AND(I80&lt;&gt;"Lordo manuale",I80&lt;&gt;"Netto manuale",I80&lt;&gt;"Esecuzioni"),AND(J80&lt;&gt;"Aperto",J80&lt;&gt;"Chiuso",J80&lt;&gt;"Annullato")),"Modalità / stato mancanti",IF(AND(J80&lt;&gt;"Aperto",OR(NOT(ISNUMBER(C80)),C80&lt;B80)),"Correggi data chiusura",IF(OR(AND(Q80&lt;&gt;"",OR(NOT(ISNUMBER(Q80)),Q80&lt;0)),AND(R80&lt;&gt;"",OR(NOT(ISNUMBER(R80)),R80&lt;0,R80&gt;1))),"Commissione non valida",IF(J80="Annullato","OK",IF(OR(NOT(ISNUMBER(Z80)),Z80&lt;0,AND(O80&lt;&gt;"",NOT(ISNUMBER(O80)))),"Inserisci rischio",IF(AND(I80="Esecuzioni",OR(W80=0,COUNTIFS('Esecuzioni'!$A$8:$A$1007,A80,'Esecuzioni'!$Q$8:$Q$1007,"&lt;&gt;OK")&gt;0)),"Correggi esecuzioni",IF(J80="Aperto","OK",IF(AND(I80="Esecuzioni",S80="Coperto",ABS(X80-Y80)&gt;'Impostazioni'!$B$11),"Copertura residua",IF(NOT(ISNUMBER(AC80)),"Completa risultato / esito",IF(AND(Z80=0,AC80&lt;&gt;0),"Rischio nullo con P/L","OK")))))))))))))</x:f>
      </x:c>
      <x:c r="AR80" s="20" t="str">
        <x:f>IF(OR(A80="",J80&lt;&gt;"Aperto",AQ80&lt;&gt;"OK"),"",IF(I80="Esecuzioni",SUMIFS('Esecuzioni'!$P$8:$P$1007,'Esecuzioni'!$A$8:$A$1007,A80,'Esecuzioni'!$B$8:$B$1007,_xlfn.MAXIFS('Esecuzioni'!$B$8:$B$1007,'Esecuzioni'!$A$8:$A$1007,A80)),IF(LEFT(U80,8)="FREEBET:",0,Z80)))</x:f>
      </x:c>
      <x:c r="AS80" s="48" t="str">
        <x:f>IF(OR(A80="",E80=""),"",IF(COUNTIFS($E$8:E80,E80)=1,COUNT($AS$7:AS79)+1,""))</x:f>
      </x:c>
    </x:row>
    <x:row r="81" ht="22" customHeight="1">
      <x:c r="A81" s="7"/>
      <x:c r="B81" s="19"/>
      <x:c r="C81" s="19"/>
      <x:c r="D81" s="7"/>
      <x:c r="E81" s="7"/>
      <x:c r="F81" s="7"/>
      <x:c r="G81" s="7"/>
      <x:c r="H81" s="7"/>
      <x:c r="I81" s="7"/>
      <x:c r="J81" s="7"/>
      <x:c r="K81" s="10"/>
      <x:c r="L81" s="7"/>
      <x:c r="M81" s="10"/>
      <x:c r="N81" s="7"/>
      <x:c r="O81" s="8"/>
      <x:c r="P81" s="8"/>
      <x:c r="Q81" s="8"/>
      <x:c r="R81" s="9"/>
      <x:c r="S81" s="7"/>
      <x:c r="T81" s="7"/>
      <x:c r="U81" s="7"/>
      <x:c r="V81" s="7"/>
      <x:c r="W81" s="22" t="str">
        <x:f>IF(A81="","",COUNTIFS('Esecuzioni'!$A$8:$A$1007,A81,'Esecuzioni'!$Q$8:$Q$1007,"OK"))</x:f>
      </x:c>
      <x:c r="X81" s="20" t="str">
        <x:f>IF(OR(A81="",I81&lt;&gt;"Esecuzioni",W81=0),"",SUMIFS('Esecuzioni'!$L$8:$L$1007,'Esecuzioni'!$A$8:$A$1007,A81))</x:f>
      </x:c>
      <x:c r="Y81" s="20" t="str">
        <x:f>IF(OR(A81="",I81&lt;&gt;"Esecuzioni",W81=0),"",SUMIFS('Esecuzioni'!$M$8:$M$1007,'Esecuzioni'!$A$8:$A$1007,A81))</x:f>
      </x:c>
      <x:c r="Z81" s="20" t="str">
        <x:f>IF(A81="","",IF(J81="Annullato",0,IF(ISNUMBER(O81),O81,IF(AND(I81="Esecuzioni",W81&gt;0),_xlfn.MAXIFS('Esecuzioni'!$P$8:$P$1007,'Esecuzioni'!$A$8:$A$1007,A81),""))))</x:f>
      </x:c>
      <x:c r="AA81" s="20" t="str">
        <x:f>IF(OR(A81="",J81="Aperto"),"",IF(J81="Annullato",0,IF(I81="Lordo manuale",IF(ISNUMBER(P81),P81,""),IF(I81="Netto manuale",IF(AND(ISNUMBER(P81),ISNUMBER(Q81)),P81+Q81,""),IF(OR(W81=0,COUNTIFS('Esecuzioni'!$A$8:$A$1007,A81,'Esecuzioni'!$Q$8:$Q$1007,"&lt;&gt;OK")&gt;0),"",IF(S81="Vince",X81,IF(S81="Perde",Y81,IF(AND(S81="Coperto",ABS(X81-Y81)&lt;='Impostazioni'!$B$11),ROUND((X81+Y81)/2,2),""))))))))</x:f>
      </x:c>
      <x:c r="AB81" s="20" t="str">
        <x:f>IF(NOT(ISNUMBER(AA81)),"",IF(J81="Annullato",0,IF(ISNUMBER(Q81),Q81,ROUND(MAX(0,AA81)*IF(ISNUMBER(R81),R81,'Impostazioni'!$B$8),2))))</x:f>
      </x:c>
      <x:c r="AC81" s="20" t="str">
        <x:f>IF(AND(ISNUMBER(AA81),ISNUMBER(AB81)),ROUND(AA81-AB81,2),"")</x:f>
      </x:c>
      <x:c r="AD81" s="18" t="str">
        <x:f>IF(A81="","",IF(AQ81&lt;&gt;"OK","Incompleto",IF(J81="Aperto","Aperto",IF(J81="Annullato","Annullato",IF(AC81&gt;0,"Green",IF(AC81&lt;0,"Red","Flat"))))))</x:f>
      </x:c>
      <x:c r="AE81" s="21" t="str">
        <x:f>IF(AND(AH81=1,Z81&gt;0),AC81/Z81,"")</x:f>
      </x:c>
      <x:c r="AF81" s="22" t="str">
        <x:f>IF(AH81&lt;&gt;1,"",COUNTIFS($C$8:$C$507,"&lt;"&amp;C81,$AH$8:$AH$507,1)+COUNTIFS($C$8:$C$507,C81,$A$8:$A$507,"&lt;="&amp;A81,$AH$8:$AH$507,1))</x:f>
      </x:c>
      <x:c r="AG81" s="20" t="str">
        <x:f>IF(AH81&lt;&gt;1,"",SUMIFS($AC$8:$AC$507,$C$8:$C$507,"&lt;"&amp;C81,$AH$8:$AH$507,1)+SUMIFS($AC$8:$AC$507,$C$8:$C$507,C81,$A$8:$A$507,"&lt;="&amp;A81,$AH$8:$AH$507,1))</x:f>
      </x:c>
      <x:c r="AH81" s="22" t="str">
        <x:f>IF(A81="","",IF(AND(J81="Chiuso",AQ81="OK",ISNUMBER(AC81)),1,0))</x:f>
      </x:c>
      <x:c r="AI81" s="20" t="str">
        <x:f>IF(AH81&lt;&gt;1,"",MAX(0,_xlfn.MAXIFS($AG$8:$AG$507,$AF$8:$AF$507,"&lt;="&amp;AF81,$AH$8:$AH$507,1)))</x:f>
      </x:c>
      <x:c r="AJ81" s="20" t="str">
        <x:f>IF(AH81&lt;&gt;1,"",MAX(0,AI81-AG81))</x:f>
      </x:c>
      <x:c r="AK81" s="21" t="str">
        <x:f>IF(OR(AH81&lt;&gt;1,NOT(ISNUMBER('Impostazioni'!$B$6)),'Impostazioni'!$B$6+AI81&lt;=0),"",AJ81/('Impostazioni'!$B$6+AI81))</x:f>
      </x:c>
      <x:c r="AL81" s="22" t="str">
        <x:f>IF(AH81&lt;&gt;1,"",IF(AC81&gt;0,AF81-_xlfn.MAXIFS($AF$8:$AF$507,$AF$8:$AF$507,"&lt;="&amp;AF81,$AC$8:$AC$507,"&lt;=0",$AH$8:$AH$507,1),0))</x:f>
      </x:c>
      <x:c r="AM81" s="22" t="str">
        <x:f>IF(AH81&lt;&gt;1,"",IF(AC81&lt;0,AF81-_xlfn.MAXIFS($AF$8:$AF$507,$AF$8:$AF$507,"&lt;="&amp;AF81,$AC$8:$AC$507,"&gt;=0",$AH$8:$AH$507,1),0))</x:f>
      </x:c>
      <x:c r="AN81" s="20" t="str">
        <x:f>IF(OR(A81="",NOT(ISNUMBER(B81)),NOT(ISNUMBER('Impostazioni'!$B$6))),"",'Impostazioni'!$B$6+SUMIFS($AC$8:$AC$507,$C$8:$C$507,"&lt;"&amp;B81,$AH$8:$AH$507,1)+SUMIFS('Cassa'!$F$8:$F$307,'Cassa'!$A$8:$A$307,"&lt;="&amp;B81,'Cassa'!$G$8:$G$307,"OK"))</x:f>
      </x:c>
      <x:c r="AO81" s="21" t="str">
        <x:f>IF(AND(ISNUMBER(Z81),ISNUMBER(AN81),AN81&gt;0),Z81/AN81,"")</x:f>
      </x:c>
      <x:c r="AP81" s="18" t="str">
        <x:f>IF(NOT(ISNUMBER(AO81)),"",IF(AO81&gt;'Impostazioni'!$B$7,"Oltre soglia personale","Nella soglia personale"))</x:f>
      </x:c>
      <x:c r="AQ81" s="18" t="str">
        <x:f>IF(A81="",IF(COUNTA(B81:V81)=0,"","Inserisci ID"),IF(COUNTIFS($A$8:$A$507,A81)&lt;&gt;1,"ID duplicato",IF(OR(NOT(ISNUMBER(B81)),D81="",E81="",F81="",G81="",H81="",COUNTIFS('Impostazioni'!$J$6:$J$25,F81)&lt;&gt;1),"Completa dati / elenchi",IF(OR(AND(I81&lt;&gt;"Lordo manuale",I81&lt;&gt;"Netto manuale",I81&lt;&gt;"Esecuzioni"),AND(J81&lt;&gt;"Aperto",J81&lt;&gt;"Chiuso",J81&lt;&gt;"Annullato")),"Modalità / stato mancanti",IF(AND(J81&lt;&gt;"Aperto",OR(NOT(ISNUMBER(C81)),C81&lt;B81)),"Correggi data chiusura",IF(OR(AND(Q81&lt;&gt;"",OR(NOT(ISNUMBER(Q81)),Q81&lt;0)),AND(R81&lt;&gt;"",OR(NOT(ISNUMBER(R81)),R81&lt;0,R81&gt;1))),"Commissione non valida",IF(J81="Annullato","OK",IF(OR(NOT(ISNUMBER(Z81)),Z81&lt;0,AND(O81&lt;&gt;"",NOT(ISNUMBER(O81)))),"Inserisci rischio",IF(AND(I81="Esecuzioni",OR(W81=0,COUNTIFS('Esecuzioni'!$A$8:$A$1007,A81,'Esecuzioni'!$Q$8:$Q$1007,"&lt;&gt;OK")&gt;0)),"Correggi esecuzioni",IF(J81="Aperto","OK",IF(AND(I81="Esecuzioni",S81="Coperto",ABS(X81-Y81)&gt;'Impostazioni'!$B$11),"Copertura residua",IF(NOT(ISNUMBER(AC81)),"Completa risultato / esito",IF(AND(Z81=0,AC81&lt;&gt;0),"Rischio nullo con P/L","OK")))))))))))))</x:f>
      </x:c>
      <x:c r="AR81" s="20" t="str">
        <x:f>IF(OR(A81="",J81&lt;&gt;"Aperto",AQ81&lt;&gt;"OK"),"",IF(I81="Esecuzioni",SUMIFS('Esecuzioni'!$P$8:$P$1007,'Esecuzioni'!$A$8:$A$1007,A81,'Esecuzioni'!$B$8:$B$1007,_xlfn.MAXIFS('Esecuzioni'!$B$8:$B$1007,'Esecuzioni'!$A$8:$A$1007,A81)),IF(LEFT(U81,8)="FREEBET:",0,Z81)))</x:f>
      </x:c>
      <x:c r="AS81" s="48" t="str">
        <x:f>IF(OR(A81="",E81=""),"",IF(COUNTIFS($E$8:E81,E81)=1,COUNT($AS$7:AS80)+1,""))</x:f>
      </x:c>
    </x:row>
    <x:row r="82" ht="22" customHeight="1">
      <x:c r="A82" s="7"/>
      <x:c r="B82" s="19"/>
      <x:c r="C82" s="19"/>
      <x:c r="D82" s="7"/>
      <x:c r="E82" s="7"/>
      <x:c r="F82" s="7"/>
      <x:c r="G82" s="7"/>
      <x:c r="H82" s="7"/>
      <x:c r="I82" s="7"/>
      <x:c r="J82" s="7"/>
      <x:c r="K82" s="10"/>
      <x:c r="L82" s="7"/>
      <x:c r="M82" s="10"/>
      <x:c r="N82" s="7"/>
      <x:c r="O82" s="8"/>
      <x:c r="P82" s="8"/>
      <x:c r="Q82" s="8"/>
      <x:c r="R82" s="9"/>
      <x:c r="S82" s="7"/>
      <x:c r="T82" s="7"/>
      <x:c r="U82" s="7"/>
      <x:c r="V82" s="7"/>
      <x:c r="W82" s="22" t="str">
        <x:f>IF(A82="","",COUNTIFS('Esecuzioni'!$A$8:$A$1007,A82,'Esecuzioni'!$Q$8:$Q$1007,"OK"))</x:f>
      </x:c>
      <x:c r="X82" s="20" t="str">
        <x:f>IF(OR(A82="",I82&lt;&gt;"Esecuzioni",W82=0),"",SUMIFS('Esecuzioni'!$L$8:$L$1007,'Esecuzioni'!$A$8:$A$1007,A82))</x:f>
      </x:c>
      <x:c r="Y82" s="20" t="str">
        <x:f>IF(OR(A82="",I82&lt;&gt;"Esecuzioni",W82=0),"",SUMIFS('Esecuzioni'!$M$8:$M$1007,'Esecuzioni'!$A$8:$A$1007,A82))</x:f>
      </x:c>
      <x:c r="Z82" s="20" t="str">
        <x:f>IF(A82="","",IF(J82="Annullato",0,IF(ISNUMBER(O82),O82,IF(AND(I82="Esecuzioni",W82&gt;0),_xlfn.MAXIFS('Esecuzioni'!$P$8:$P$1007,'Esecuzioni'!$A$8:$A$1007,A82),""))))</x:f>
      </x:c>
      <x:c r="AA82" s="20" t="str">
        <x:f>IF(OR(A82="",J82="Aperto"),"",IF(J82="Annullato",0,IF(I82="Lordo manuale",IF(ISNUMBER(P82),P82,""),IF(I82="Netto manuale",IF(AND(ISNUMBER(P82),ISNUMBER(Q82)),P82+Q82,""),IF(OR(W82=0,COUNTIFS('Esecuzioni'!$A$8:$A$1007,A82,'Esecuzioni'!$Q$8:$Q$1007,"&lt;&gt;OK")&gt;0),"",IF(S82="Vince",X82,IF(S82="Perde",Y82,IF(AND(S82="Coperto",ABS(X82-Y82)&lt;='Impostazioni'!$B$11),ROUND((X82+Y82)/2,2),""))))))))</x:f>
      </x:c>
      <x:c r="AB82" s="20" t="str">
        <x:f>IF(NOT(ISNUMBER(AA82)),"",IF(J82="Annullato",0,IF(ISNUMBER(Q82),Q82,ROUND(MAX(0,AA82)*IF(ISNUMBER(R82),R82,'Impostazioni'!$B$8),2))))</x:f>
      </x:c>
      <x:c r="AC82" s="20" t="str">
        <x:f>IF(AND(ISNUMBER(AA82),ISNUMBER(AB82)),ROUND(AA82-AB82,2),"")</x:f>
      </x:c>
      <x:c r="AD82" s="18" t="str">
        <x:f>IF(A82="","",IF(AQ82&lt;&gt;"OK","Incompleto",IF(J82="Aperto","Aperto",IF(J82="Annullato","Annullato",IF(AC82&gt;0,"Green",IF(AC82&lt;0,"Red","Flat"))))))</x:f>
      </x:c>
      <x:c r="AE82" s="21" t="str">
        <x:f>IF(AND(AH82=1,Z82&gt;0),AC82/Z82,"")</x:f>
      </x:c>
      <x:c r="AF82" s="22" t="str">
        <x:f>IF(AH82&lt;&gt;1,"",COUNTIFS($C$8:$C$507,"&lt;"&amp;C82,$AH$8:$AH$507,1)+COUNTIFS($C$8:$C$507,C82,$A$8:$A$507,"&lt;="&amp;A82,$AH$8:$AH$507,1))</x:f>
      </x:c>
      <x:c r="AG82" s="20" t="str">
        <x:f>IF(AH82&lt;&gt;1,"",SUMIFS($AC$8:$AC$507,$C$8:$C$507,"&lt;"&amp;C82,$AH$8:$AH$507,1)+SUMIFS($AC$8:$AC$507,$C$8:$C$507,C82,$A$8:$A$507,"&lt;="&amp;A82,$AH$8:$AH$507,1))</x:f>
      </x:c>
      <x:c r="AH82" s="22" t="str">
        <x:f>IF(A82="","",IF(AND(J82="Chiuso",AQ82="OK",ISNUMBER(AC82)),1,0))</x:f>
      </x:c>
      <x:c r="AI82" s="20" t="str">
        <x:f>IF(AH82&lt;&gt;1,"",MAX(0,_xlfn.MAXIFS($AG$8:$AG$507,$AF$8:$AF$507,"&lt;="&amp;AF82,$AH$8:$AH$507,1)))</x:f>
      </x:c>
      <x:c r="AJ82" s="20" t="str">
        <x:f>IF(AH82&lt;&gt;1,"",MAX(0,AI82-AG82))</x:f>
      </x:c>
      <x:c r="AK82" s="21" t="str">
        <x:f>IF(OR(AH82&lt;&gt;1,NOT(ISNUMBER('Impostazioni'!$B$6)),'Impostazioni'!$B$6+AI82&lt;=0),"",AJ82/('Impostazioni'!$B$6+AI82))</x:f>
      </x:c>
      <x:c r="AL82" s="22" t="str">
        <x:f>IF(AH82&lt;&gt;1,"",IF(AC82&gt;0,AF82-_xlfn.MAXIFS($AF$8:$AF$507,$AF$8:$AF$507,"&lt;="&amp;AF82,$AC$8:$AC$507,"&lt;=0",$AH$8:$AH$507,1),0))</x:f>
      </x:c>
      <x:c r="AM82" s="22" t="str">
        <x:f>IF(AH82&lt;&gt;1,"",IF(AC82&lt;0,AF82-_xlfn.MAXIFS($AF$8:$AF$507,$AF$8:$AF$507,"&lt;="&amp;AF82,$AC$8:$AC$507,"&gt;=0",$AH$8:$AH$507,1),0))</x:f>
      </x:c>
      <x:c r="AN82" s="20" t="str">
        <x:f>IF(OR(A82="",NOT(ISNUMBER(B82)),NOT(ISNUMBER('Impostazioni'!$B$6))),"",'Impostazioni'!$B$6+SUMIFS($AC$8:$AC$507,$C$8:$C$507,"&lt;"&amp;B82,$AH$8:$AH$507,1)+SUMIFS('Cassa'!$F$8:$F$307,'Cassa'!$A$8:$A$307,"&lt;="&amp;B82,'Cassa'!$G$8:$G$307,"OK"))</x:f>
      </x:c>
      <x:c r="AO82" s="21" t="str">
        <x:f>IF(AND(ISNUMBER(Z82),ISNUMBER(AN82),AN82&gt;0),Z82/AN82,"")</x:f>
      </x:c>
      <x:c r="AP82" s="18" t="str">
        <x:f>IF(NOT(ISNUMBER(AO82)),"",IF(AO82&gt;'Impostazioni'!$B$7,"Oltre soglia personale","Nella soglia personale"))</x:f>
      </x:c>
      <x:c r="AQ82" s="18" t="str">
        <x:f>IF(A82="",IF(COUNTA(B82:V82)=0,"","Inserisci ID"),IF(COUNTIFS($A$8:$A$507,A82)&lt;&gt;1,"ID duplicato",IF(OR(NOT(ISNUMBER(B82)),D82="",E82="",F82="",G82="",H82="",COUNTIFS('Impostazioni'!$J$6:$J$25,F82)&lt;&gt;1),"Completa dati / elenchi",IF(OR(AND(I82&lt;&gt;"Lordo manuale",I82&lt;&gt;"Netto manuale",I82&lt;&gt;"Esecuzioni"),AND(J82&lt;&gt;"Aperto",J82&lt;&gt;"Chiuso",J82&lt;&gt;"Annullato")),"Modalità / stato mancanti",IF(AND(J82&lt;&gt;"Aperto",OR(NOT(ISNUMBER(C82)),C82&lt;B82)),"Correggi data chiusura",IF(OR(AND(Q82&lt;&gt;"",OR(NOT(ISNUMBER(Q82)),Q82&lt;0)),AND(R82&lt;&gt;"",OR(NOT(ISNUMBER(R82)),R82&lt;0,R82&gt;1))),"Commissione non valida",IF(J82="Annullato","OK",IF(OR(NOT(ISNUMBER(Z82)),Z82&lt;0,AND(O82&lt;&gt;"",NOT(ISNUMBER(O82)))),"Inserisci rischio",IF(AND(I82="Esecuzioni",OR(W82=0,COUNTIFS('Esecuzioni'!$A$8:$A$1007,A82,'Esecuzioni'!$Q$8:$Q$1007,"&lt;&gt;OK")&gt;0)),"Correggi esecuzioni",IF(J82="Aperto","OK",IF(AND(I82="Esecuzioni",S82="Coperto",ABS(X82-Y82)&gt;'Impostazioni'!$B$11),"Copertura residua",IF(NOT(ISNUMBER(AC82)),"Completa risultato / esito",IF(AND(Z82=0,AC82&lt;&gt;0),"Rischio nullo con P/L","OK")))))))))))))</x:f>
      </x:c>
      <x:c r="AR82" s="20" t="str">
        <x:f>IF(OR(A82="",J82&lt;&gt;"Aperto",AQ82&lt;&gt;"OK"),"",IF(I82="Esecuzioni",SUMIFS('Esecuzioni'!$P$8:$P$1007,'Esecuzioni'!$A$8:$A$1007,A82,'Esecuzioni'!$B$8:$B$1007,_xlfn.MAXIFS('Esecuzioni'!$B$8:$B$1007,'Esecuzioni'!$A$8:$A$1007,A82)),IF(LEFT(U82,8)="FREEBET:",0,Z82)))</x:f>
      </x:c>
      <x:c r="AS82" s="48" t="str">
        <x:f>IF(OR(A82="",E82=""),"",IF(COUNTIFS($E$8:E82,E82)=1,COUNT($AS$7:AS81)+1,""))</x:f>
      </x:c>
    </x:row>
    <x:row r="83" ht="22" customHeight="1">
      <x:c r="A83" s="7"/>
      <x:c r="B83" s="19"/>
      <x:c r="C83" s="19"/>
      <x:c r="D83" s="7"/>
      <x:c r="E83" s="7"/>
      <x:c r="F83" s="7"/>
      <x:c r="G83" s="7"/>
      <x:c r="H83" s="7"/>
      <x:c r="I83" s="7"/>
      <x:c r="J83" s="7"/>
      <x:c r="K83" s="10"/>
      <x:c r="L83" s="7"/>
      <x:c r="M83" s="10"/>
      <x:c r="N83" s="7"/>
      <x:c r="O83" s="8"/>
      <x:c r="P83" s="8"/>
      <x:c r="Q83" s="8"/>
      <x:c r="R83" s="9"/>
      <x:c r="S83" s="7"/>
      <x:c r="T83" s="7"/>
      <x:c r="U83" s="7"/>
      <x:c r="V83" s="7"/>
      <x:c r="W83" s="22" t="str">
        <x:f>IF(A83="","",COUNTIFS('Esecuzioni'!$A$8:$A$1007,A83,'Esecuzioni'!$Q$8:$Q$1007,"OK"))</x:f>
      </x:c>
      <x:c r="X83" s="20" t="str">
        <x:f>IF(OR(A83="",I83&lt;&gt;"Esecuzioni",W83=0),"",SUMIFS('Esecuzioni'!$L$8:$L$1007,'Esecuzioni'!$A$8:$A$1007,A83))</x:f>
      </x:c>
      <x:c r="Y83" s="20" t="str">
        <x:f>IF(OR(A83="",I83&lt;&gt;"Esecuzioni",W83=0),"",SUMIFS('Esecuzioni'!$M$8:$M$1007,'Esecuzioni'!$A$8:$A$1007,A83))</x:f>
      </x:c>
      <x:c r="Z83" s="20" t="str">
        <x:f>IF(A83="","",IF(J83="Annullato",0,IF(ISNUMBER(O83),O83,IF(AND(I83="Esecuzioni",W83&gt;0),_xlfn.MAXIFS('Esecuzioni'!$P$8:$P$1007,'Esecuzioni'!$A$8:$A$1007,A83),""))))</x:f>
      </x:c>
      <x:c r="AA83" s="20" t="str">
        <x:f>IF(OR(A83="",J83="Aperto"),"",IF(J83="Annullato",0,IF(I83="Lordo manuale",IF(ISNUMBER(P83),P83,""),IF(I83="Netto manuale",IF(AND(ISNUMBER(P83),ISNUMBER(Q83)),P83+Q83,""),IF(OR(W83=0,COUNTIFS('Esecuzioni'!$A$8:$A$1007,A83,'Esecuzioni'!$Q$8:$Q$1007,"&lt;&gt;OK")&gt;0),"",IF(S83="Vince",X83,IF(S83="Perde",Y83,IF(AND(S83="Coperto",ABS(X83-Y83)&lt;='Impostazioni'!$B$11),ROUND((X83+Y83)/2,2),""))))))))</x:f>
      </x:c>
      <x:c r="AB83" s="20" t="str">
        <x:f>IF(NOT(ISNUMBER(AA83)),"",IF(J83="Annullato",0,IF(ISNUMBER(Q83),Q83,ROUND(MAX(0,AA83)*IF(ISNUMBER(R83),R83,'Impostazioni'!$B$8),2))))</x:f>
      </x:c>
      <x:c r="AC83" s="20" t="str">
        <x:f>IF(AND(ISNUMBER(AA83),ISNUMBER(AB83)),ROUND(AA83-AB83,2),"")</x:f>
      </x:c>
      <x:c r="AD83" s="18" t="str">
        <x:f>IF(A83="","",IF(AQ83&lt;&gt;"OK","Incompleto",IF(J83="Aperto","Aperto",IF(J83="Annullato","Annullato",IF(AC83&gt;0,"Green",IF(AC83&lt;0,"Red","Flat"))))))</x:f>
      </x:c>
      <x:c r="AE83" s="21" t="str">
        <x:f>IF(AND(AH83=1,Z83&gt;0),AC83/Z83,"")</x:f>
      </x:c>
      <x:c r="AF83" s="22" t="str">
        <x:f>IF(AH83&lt;&gt;1,"",COUNTIFS($C$8:$C$507,"&lt;"&amp;C83,$AH$8:$AH$507,1)+COUNTIFS($C$8:$C$507,C83,$A$8:$A$507,"&lt;="&amp;A83,$AH$8:$AH$507,1))</x:f>
      </x:c>
      <x:c r="AG83" s="20" t="str">
        <x:f>IF(AH83&lt;&gt;1,"",SUMIFS($AC$8:$AC$507,$C$8:$C$507,"&lt;"&amp;C83,$AH$8:$AH$507,1)+SUMIFS($AC$8:$AC$507,$C$8:$C$507,C83,$A$8:$A$507,"&lt;="&amp;A83,$AH$8:$AH$507,1))</x:f>
      </x:c>
      <x:c r="AH83" s="22" t="str">
        <x:f>IF(A83="","",IF(AND(J83="Chiuso",AQ83="OK",ISNUMBER(AC83)),1,0))</x:f>
      </x:c>
      <x:c r="AI83" s="20" t="str">
        <x:f>IF(AH83&lt;&gt;1,"",MAX(0,_xlfn.MAXIFS($AG$8:$AG$507,$AF$8:$AF$507,"&lt;="&amp;AF83,$AH$8:$AH$507,1)))</x:f>
      </x:c>
      <x:c r="AJ83" s="20" t="str">
        <x:f>IF(AH83&lt;&gt;1,"",MAX(0,AI83-AG83))</x:f>
      </x:c>
      <x:c r="AK83" s="21" t="str">
        <x:f>IF(OR(AH83&lt;&gt;1,NOT(ISNUMBER('Impostazioni'!$B$6)),'Impostazioni'!$B$6+AI83&lt;=0),"",AJ83/('Impostazioni'!$B$6+AI83))</x:f>
      </x:c>
      <x:c r="AL83" s="22" t="str">
        <x:f>IF(AH83&lt;&gt;1,"",IF(AC83&gt;0,AF83-_xlfn.MAXIFS($AF$8:$AF$507,$AF$8:$AF$507,"&lt;="&amp;AF83,$AC$8:$AC$507,"&lt;=0",$AH$8:$AH$507,1),0))</x:f>
      </x:c>
      <x:c r="AM83" s="22" t="str">
        <x:f>IF(AH83&lt;&gt;1,"",IF(AC83&lt;0,AF83-_xlfn.MAXIFS($AF$8:$AF$507,$AF$8:$AF$507,"&lt;="&amp;AF83,$AC$8:$AC$507,"&gt;=0",$AH$8:$AH$507,1),0))</x:f>
      </x:c>
      <x:c r="AN83" s="20" t="str">
        <x:f>IF(OR(A83="",NOT(ISNUMBER(B83)),NOT(ISNUMBER('Impostazioni'!$B$6))),"",'Impostazioni'!$B$6+SUMIFS($AC$8:$AC$507,$C$8:$C$507,"&lt;"&amp;B83,$AH$8:$AH$507,1)+SUMIFS('Cassa'!$F$8:$F$307,'Cassa'!$A$8:$A$307,"&lt;="&amp;B83,'Cassa'!$G$8:$G$307,"OK"))</x:f>
      </x:c>
      <x:c r="AO83" s="21" t="str">
        <x:f>IF(AND(ISNUMBER(Z83),ISNUMBER(AN83),AN83&gt;0),Z83/AN83,"")</x:f>
      </x:c>
      <x:c r="AP83" s="18" t="str">
        <x:f>IF(NOT(ISNUMBER(AO83)),"",IF(AO83&gt;'Impostazioni'!$B$7,"Oltre soglia personale","Nella soglia personale"))</x:f>
      </x:c>
      <x:c r="AQ83" s="18" t="str">
        <x:f>IF(A83="",IF(COUNTA(B83:V83)=0,"","Inserisci ID"),IF(COUNTIFS($A$8:$A$507,A83)&lt;&gt;1,"ID duplicato",IF(OR(NOT(ISNUMBER(B83)),D83="",E83="",F83="",G83="",H83="",COUNTIFS('Impostazioni'!$J$6:$J$25,F83)&lt;&gt;1),"Completa dati / elenchi",IF(OR(AND(I83&lt;&gt;"Lordo manuale",I83&lt;&gt;"Netto manuale",I83&lt;&gt;"Esecuzioni"),AND(J83&lt;&gt;"Aperto",J83&lt;&gt;"Chiuso",J83&lt;&gt;"Annullato")),"Modalità / stato mancanti",IF(AND(J83&lt;&gt;"Aperto",OR(NOT(ISNUMBER(C83)),C83&lt;B83)),"Correggi data chiusura",IF(OR(AND(Q83&lt;&gt;"",OR(NOT(ISNUMBER(Q83)),Q83&lt;0)),AND(R83&lt;&gt;"",OR(NOT(ISNUMBER(R83)),R83&lt;0,R83&gt;1))),"Commissione non valida",IF(J83="Annullato","OK",IF(OR(NOT(ISNUMBER(Z83)),Z83&lt;0,AND(O83&lt;&gt;"",NOT(ISNUMBER(O83)))),"Inserisci rischio",IF(AND(I83="Esecuzioni",OR(W83=0,COUNTIFS('Esecuzioni'!$A$8:$A$1007,A83,'Esecuzioni'!$Q$8:$Q$1007,"&lt;&gt;OK")&gt;0)),"Correggi esecuzioni",IF(J83="Aperto","OK",IF(AND(I83="Esecuzioni",S83="Coperto",ABS(X83-Y83)&gt;'Impostazioni'!$B$11),"Copertura residua",IF(NOT(ISNUMBER(AC83)),"Completa risultato / esito",IF(AND(Z83=0,AC83&lt;&gt;0),"Rischio nullo con P/L","OK")))))))))))))</x:f>
      </x:c>
      <x:c r="AR83" s="20" t="str">
        <x:f>IF(OR(A83="",J83&lt;&gt;"Aperto",AQ83&lt;&gt;"OK"),"",IF(I83="Esecuzioni",SUMIFS('Esecuzioni'!$P$8:$P$1007,'Esecuzioni'!$A$8:$A$1007,A83,'Esecuzioni'!$B$8:$B$1007,_xlfn.MAXIFS('Esecuzioni'!$B$8:$B$1007,'Esecuzioni'!$A$8:$A$1007,A83)),IF(LEFT(U83,8)="FREEBET:",0,Z83)))</x:f>
      </x:c>
      <x:c r="AS83" s="48" t="str">
        <x:f>IF(OR(A83="",E83=""),"",IF(COUNTIFS($E$8:E83,E83)=1,COUNT($AS$7:AS82)+1,""))</x:f>
      </x:c>
    </x:row>
    <x:row r="84" ht="22" customHeight="1">
      <x:c r="A84" s="7"/>
      <x:c r="B84" s="19"/>
      <x:c r="C84" s="19"/>
      <x:c r="D84" s="7"/>
      <x:c r="E84" s="7"/>
      <x:c r="F84" s="7"/>
      <x:c r="G84" s="7"/>
      <x:c r="H84" s="7"/>
      <x:c r="I84" s="7"/>
      <x:c r="J84" s="7"/>
      <x:c r="K84" s="10"/>
      <x:c r="L84" s="7"/>
      <x:c r="M84" s="10"/>
      <x:c r="N84" s="7"/>
      <x:c r="O84" s="8"/>
      <x:c r="P84" s="8"/>
      <x:c r="Q84" s="8"/>
      <x:c r="R84" s="9"/>
      <x:c r="S84" s="7"/>
      <x:c r="T84" s="7"/>
      <x:c r="U84" s="7"/>
      <x:c r="V84" s="7"/>
      <x:c r="W84" s="22" t="str">
        <x:f>IF(A84="","",COUNTIFS('Esecuzioni'!$A$8:$A$1007,A84,'Esecuzioni'!$Q$8:$Q$1007,"OK"))</x:f>
      </x:c>
      <x:c r="X84" s="20" t="str">
        <x:f>IF(OR(A84="",I84&lt;&gt;"Esecuzioni",W84=0),"",SUMIFS('Esecuzioni'!$L$8:$L$1007,'Esecuzioni'!$A$8:$A$1007,A84))</x:f>
      </x:c>
      <x:c r="Y84" s="20" t="str">
        <x:f>IF(OR(A84="",I84&lt;&gt;"Esecuzioni",W84=0),"",SUMIFS('Esecuzioni'!$M$8:$M$1007,'Esecuzioni'!$A$8:$A$1007,A84))</x:f>
      </x:c>
      <x:c r="Z84" s="20" t="str">
        <x:f>IF(A84="","",IF(J84="Annullato",0,IF(ISNUMBER(O84),O84,IF(AND(I84="Esecuzioni",W84&gt;0),_xlfn.MAXIFS('Esecuzioni'!$P$8:$P$1007,'Esecuzioni'!$A$8:$A$1007,A84),""))))</x:f>
      </x:c>
      <x:c r="AA84" s="20" t="str">
        <x:f>IF(OR(A84="",J84="Aperto"),"",IF(J84="Annullato",0,IF(I84="Lordo manuale",IF(ISNUMBER(P84),P84,""),IF(I84="Netto manuale",IF(AND(ISNUMBER(P84),ISNUMBER(Q84)),P84+Q84,""),IF(OR(W84=0,COUNTIFS('Esecuzioni'!$A$8:$A$1007,A84,'Esecuzioni'!$Q$8:$Q$1007,"&lt;&gt;OK")&gt;0),"",IF(S84="Vince",X84,IF(S84="Perde",Y84,IF(AND(S84="Coperto",ABS(X84-Y84)&lt;='Impostazioni'!$B$11),ROUND((X84+Y84)/2,2),""))))))))</x:f>
      </x:c>
      <x:c r="AB84" s="20" t="str">
        <x:f>IF(NOT(ISNUMBER(AA84)),"",IF(J84="Annullato",0,IF(ISNUMBER(Q84),Q84,ROUND(MAX(0,AA84)*IF(ISNUMBER(R84),R84,'Impostazioni'!$B$8),2))))</x:f>
      </x:c>
      <x:c r="AC84" s="20" t="str">
        <x:f>IF(AND(ISNUMBER(AA84),ISNUMBER(AB84)),ROUND(AA84-AB84,2),"")</x:f>
      </x:c>
      <x:c r="AD84" s="18" t="str">
        <x:f>IF(A84="","",IF(AQ84&lt;&gt;"OK","Incompleto",IF(J84="Aperto","Aperto",IF(J84="Annullato","Annullato",IF(AC84&gt;0,"Green",IF(AC84&lt;0,"Red","Flat"))))))</x:f>
      </x:c>
      <x:c r="AE84" s="21" t="str">
        <x:f>IF(AND(AH84=1,Z84&gt;0),AC84/Z84,"")</x:f>
      </x:c>
      <x:c r="AF84" s="22" t="str">
        <x:f>IF(AH84&lt;&gt;1,"",COUNTIFS($C$8:$C$507,"&lt;"&amp;C84,$AH$8:$AH$507,1)+COUNTIFS($C$8:$C$507,C84,$A$8:$A$507,"&lt;="&amp;A84,$AH$8:$AH$507,1))</x:f>
      </x:c>
      <x:c r="AG84" s="20" t="str">
        <x:f>IF(AH84&lt;&gt;1,"",SUMIFS($AC$8:$AC$507,$C$8:$C$507,"&lt;"&amp;C84,$AH$8:$AH$507,1)+SUMIFS($AC$8:$AC$507,$C$8:$C$507,C84,$A$8:$A$507,"&lt;="&amp;A84,$AH$8:$AH$507,1))</x:f>
      </x:c>
      <x:c r="AH84" s="22" t="str">
        <x:f>IF(A84="","",IF(AND(J84="Chiuso",AQ84="OK",ISNUMBER(AC84)),1,0))</x:f>
      </x:c>
      <x:c r="AI84" s="20" t="str">
        <x:f>IF(AH84&lt;&gt;1,"",MAX(0,_xlfn.MAXIFS($AG$8:$AG$507,$AF$8:$AF$507,"&lt;="&amp;AF84,$AH$8:$AH$507,1)))</x:f>
      </x:c>
      <x:c r="AJ84" s="20" t="str">
        <x:f>IF(AH84&lt;&gt;1,"",MAX(0,AI84-AG84))</x:f>
      </x:c>
      <x:c r="AK84" s="21" t="str">
        <x:f>IF(OR(AH84&lt;&gt;1,NOT(ISNUMBER('Impostazioni'!$B$6)),'Impostazioni'!$B$6+AI84&lt;=0),"",AJ84/('Impostazioni'!$B$6+AI84))</x:f>
      </x:c>
      <x:c r="AL84" s="22" t="str">
        <x:f>IF(AH84&lt;&gt;1,"",IF(AC84&gt;0,AF84-_xlfn.MAXIFS($AF$8:$AF$507,$AF$8:$AF$507,"&lt;="&amp;AF84,$AC$8:$AC$507,"&lt;=0",$AH$8:$AH$507,1),0))</x:f>
      </x:c>
      <x:c r="AM84" s="22" t="str">
        <x:f>IF(AH84&lt;&gt;1,"",IF(AC84&lt;0,AF84-_xlfn.MAXIFS($AF$8:$AF$507,$AF$8:$AF$507,"&lt;="&amp;AF84,$AC$8:$AC$507,"&gt;=0",$AH$8:$AH$507,1),0))</x:f>
      </x:c>
      <x:c r="AN84" s="20" t="str">
        <x:f>IF(OR(A84="",NOT(ISNUMBER(B84)),NOT(ISNUMBER('Impostazioni'!$B$6))),"",'Impostazioni'!$B$6+SUMIFS($AC$8:$AC$507,$C$8:$C$507,"&lt;"&amp;B84,$AH$8:$AH$507,1)+SUMIFS('Cassa'!$F$8:$F$307,'Cassa'!$A$8:$A$307,"&lt;="&amp;B84,'Cassa'!$G$8:$G$307,"OK"))</x:f>
      </x:c>
      <x:c r="AO84" s="21" t="str">
        <x:f>IF(AND(ISNUMBER(Z84),ISNUMBER(AN84),AN84&gt;0),Z84/AN84,"")</x:f>
      </x:c>
      <x:c r="AP84" s="18" t="str">
        <x:f>IF(NOT(ISNUMBER(AO84)),"",IF(AO84&gt;'Impostazioni'!$B$7,"Oltre soglia personale","Nella soglia personale"))</x:f>
      </x:c>
      <x:c r="AQ84" s="18" t="str">
        <x:f>IF(A84="",IF(COUNTA(B84:V84)=0,"","Inserisci ID"),IF(COUNTIFS($A$8:$A$507,A84)&lt;&gt;1,"ID duplicato",IF(OR(NOT(ISNUMBER(B84)),D84="",E84="",F84="",G84="",H84="",COUNTIFS('Impostazioni'!$J$6:$J$25,F84)&lt;&gt;1),"Completa dati / elenchi",IF(OR(AND(I84&lt;&gt;"Lordo manuale",I84&lt;&gt;"Netto manuale",I84&lt;&gt;"Esecuzioni"),AND(J84&lt;&gt;"Aperto",J84&lt;&gt;"Chiuso",J84&lt;&gt;"Annullato")),"Modalità / stato mancanti",IF(AND(J84&lt;&gt;"Aperto",OR(NOT(ISNUMBER(C84)),C84&lt;B84)),"Correggi data chiusura",IF(OR(AND(Q84&lt;&gt;"",OR(NOT(ISNUMBER(Q84)),Q84&lt;0)),AND(R84&lt;&gt;"",OR(NOT(ISNUMBER(R84)),R84&lt;0,R84&gt;1))),"Commissione non valida",IF(J84="Annullato","OK",IF(OR(NOT(ISNUMBER(Z84)),Z84&lt;0,AND(O84&lt;&gt;"",NOT(ISNUMBER(O84)))),"Inserisci rischio",IF(AND(I84="Esecuzioni",OR(W84=0,COUNTIFS('Esecuzioni'!$A$8:$A$1007,A84,'Esecuzioni'!$Q$8:$Q$1007,"&lt;&gt;OK")&gt;0)),"Correggi esecuzioni",IF(J84="Aperto","OK",IF(AND(I84="Esecuzioni",S84="Coperto",ABS(X84-Y84)&gt;'Impostazioni'!$B$11),"Copertura residua",IF(NOT(ISNUMBER(AC84)),"Completa risultato / esito",IF(AND(Z84=0,AC84&lt;&gt;0),"Rischio nullo con P/L","OK")))))))))))))</x:f>
      </x:c>
      <x:c r="AR84" s="20" t="str">
        <x:f>IF(OR(A84="",J84&lt;&gt;"Aperto",AQ84&lt;&gt;"OK"),"",IF(I84="Esecuzioni",SUMIFS('Esecuzioni'!$P$8:$P$1007,'Esecuzioni'!$A$8:$A$1007,A84,'Esecuzioni'!$B$8:$B$1007,_xlfn.MAXIFS('Esecuzioni'!$B$8:$B$1007,'Esecuzioni'!$A$8:$A$1007,A84)),IF(LEFT(U84,8)="FREEBET:",0,Z84)))</x:f>
      </x:c>
      <x:c r="AS84" s="48" t="str">
        <x:f>IF(OR(A84="",E84=""),"",IF(COUNTIFS($E$8:E84,E84)=1,COUNT($AS$7:AS83)+1,""))</x:f>
      </x:c>
    </x:row>
    <x:row r="85" ht="22" customHeight="1">
      <x:c r="A85" s="7"/>
      <x:c r="B85" s="19"/>
      <x:c r="C85" s="19"/>
      <x:c r="D85" s="7"/>
      <x:c r="E85" s="7"/>
      <x:c r="F85" s="7"/>
      <x:c r="G85" s="7"/>
      <x:c r="H85" s="7"/>
      <x:c r="I85" s="7"/>
      <x:c r="J85" s="7"/>
      <x:c r="K85" s="10"/>
      <x:c r="L85" s="7"/>
      <x:c r="M85" s="10"/>
      <x:c r="N85" s="7"/>
      <x:c r="O85" s="8"/>
      <x:c r="P85" s="8"/>
      <x:c r="Q85" s="8"/>
      <x:c r="R85" s="9"/>
      <x:c r="S85" s="7"/>
      <x:c r="T85" s="7"/>
      <x:c r="U85" s="7"/>
      <x:c r="V85" s="7"/>
      <x:c r="W85" s="22" t="str">
        <x:f>IF(A85="","",COUNTIFS('Esecuzioni'!$A$8:$A$1007,A85,'Esecuzioni'!$Q$8:$Q$1007,"OK"))</x:f>
      </x:c>
      <x:c r="X85" s="20" t="str">
        <x:f>IF(OR(A85="",I85&lt;&gt;"Esecuzioni",W85=0),"",SUMIFS('Esecuzioni'!$L$8:$L$1007,'Esecuzioni'!$A$8:$A$1007,A85))</x:f>
      </x:c>
      <x:c r="Y85" s="20" t="str">
        <x:f>IF(OR(A85="",I85&lt;&gt;"Esecuzioni",W85=0),"",SUMIFS('Esecuzioni'!$M$8:$M$1007,'Esecuzioni'!$A$8:$A$1007,A85))</x:f>
      </x:c>
      <x:c r="Z85" s="20" t="str">
        <x:f>IF(A85="","",IF(J85="Annullato",0,IF(ISNUMBER(O85),O85,IF(AND(I85="Esecuzioni",W85&gt;0),_xlfn.MAXIFS('Esecuzioni'!$P$8:$P$1007,'Esecuzioni'!$A$8:$A$1007,A85),""))))</x:f>
      </x:c>
      <x:c r="AA85" s="20" t="str">
        <x:f>IF(OR(A85="",J85="Aperto"),"",IF(J85="Annullato",0,IF(I85="Lordo manuale",IF(ISNUMBER(P85),P85,""),IF(I85="Netto manuale",IF(AND(ISNUMBER(P85),ISNUMBER(Q85)),P85+Q85,""),IF(OR(W85=0,COUNTIFS('Esecuzioni'!$A$8:$A$1007,A85,'Esecuzioni'!$Q$8:$Q$1007,"&lt;&gt;OK")&gt;0),"",IF(S85="Vince",X85,IF(S85="Perde",Y85,IF(AND(S85="Coperto",ABS(X85-Y85)&lt;='Impostazioni'!$B$11),ROUND((X85+Y85)/2,2),""))))))))</x:f>
      </x:c>
      <x:c r="AB85" s="20" t="str">
        <x:f>IF(NOT(ISNUMBER(AA85)),"",IF(J85="Annullato",0,IF(ISNUMBER(Q85),Q85,ROUND(MAX(0,AA85)*IF(ISNUMBER(R85),R85,'Impostazioni'!$B$8),2))))</x:f>
      </x:c>
      <x:c r="AC85" s="20" t="str">
        <x:f>IF(AND(ISNUMBER(AA85),ISNUMBER(AB85)),ROUND(AA85-AB85,2),"")</x:f>
      </x:c>
      <x:c r="AD85" s="18" t="str">
        <x:f>IF(A85="","",IF(AQ85&lt;&gt;"OK","Incompleto",IF(J85="Aperto","Aperto",IF(J85="Annullato","Annullato",IF(AC85&gt;0,"Green",IF(AC85&lt;0,"Red","Flat"))))))</x:f>
      </x:c>
      <x:c r="AE85" s="21" t="str">
        <x:f>IF(AND(AH85=1,Z85&gt;0),AC85/Z85,"")</x:f>
      </x:c>
      <x:c r="AF85" s="22" t="str">
        <x:f>IF(AH85&lt;&gt;1,"",COUNTIFS($C$8:$C$507,"&lt;"&amp;C85,$AH$8:$AH$507,1)+COUNTIFS($C$8:$C$507,C85,$A$8:$A$507,"&lt;="&amp;A85,$AH$8:$AH$507,1))</x:f>
      </x:c>
      <x:c r="AG85" s="20" t="str">
        <x:f>IF(AH85&lt;&gt;1,"",SUMIFS($AC$8:$AC$507,$C$8:$C$507,"&lt;"&amp;C85,$AH$8:$AH$507,1)+SUMIFS($AC$8:$AC$507,$C$8:$C$507,C85,$A$8:$A$507,"&lt;="&amp;A85,$AH$8:$AH$507,1))</x:f>
      </x:c>
      <x:c r="AH85" s="22" t="str">
        <x:f>IF(A85="","",IF(AND(J85="Chiuso",AQ85="OK",ISNUMBER(AC85)),1,0))</x:f>
      </x:c>
      <x:c r="AI85" s="20" t="str">
        <x:f>IF(AH85&lt;&gt;1,"",MAX(0,_xlfn.MAXIFS($AG$8:$AG$507,$AF$8:$AF$507,"&lt;="&amp;AF85,$AH$8:$AH$507,1)))</x:f>
      </x:c>
      <x:c r="AJ85" s="20" t="str">
        <x:f>IF(AH85&lt;&gt;1,"",MAX(0,AI85-AG85))</x:f>
      </x:c>
      <x:c r="AK85" s="21" t="str">
        <x:f>IF(OR(AH85&lt;&gt;1,NOT(ISNUMBER('Impostazioni'!$B$6)),'Impostazioni'!$B$6+AI85&lt;=0),"",AJ85/('Impostazioni'!$B$6+AI85))</x:f>
      </x:c>
      <x:c r="AL85" s="22" t="str">
        <x:f>IF(AH85&lt;&gt;1,"",IF(AC85&gt;0,AF85-_xlfn.MAXIFS($AF$8:$AF$507,$AF$8:$AF$507,"&lt;="&amp;AF85,$AC$8:$AC$507,"&lt;=0",$AH$8:$AH$507,1),0))</x:f>
      </x:c>
      <x:c r="AM85" s="22" t="str">
        <x:f>IF(AH85&lt;&gt;1,"",IF(AC85&lt;0,AF85-_xlfn.MAXIFS($AF$8:$AF$507,$AF$8:$AF$507,"&lt;="&amp;AF85,$AC$8:$AC$507,"&gt;=0",$AH$8:$AH$507,1),0))</x:f>
      </x:c>
      <x:c r="AN85" s="20" t="str">
        <x:f>IF(OR(A85="",NOT(ISNUMBER(B85)),NOT(ISNUMBER('Impostazioni'!$B$6))),"",'Impostazioni'!$B$6+SUMIFS($AC$8:$AC$507,$C$8:$C$507,"&lt;"&amp;B85,$AH$8:$AH$507,1)+SUMIFS('Cassa'!$F$8:$F$307,'Cassa'!$A$8:$A$307,"&lt;="&amp;B85,'Cassa'!$G$8:$G$307,"OK"))</x:f>
      </x:c>
      <x:c r="AO85" s="21" t="str">
        <x:f>IF(AND(ISNUMBER(Z85),ISNUMBER(AN85),AN85&gt;0),Z85/AN85,"")</x:f>
      </x:c>
      <x:c r="AP85" s="18" t="str">
        <x:f>IF(NOT(ISNUMBER(AO85)),"",IF(AO85&gt;'Impostazioni'!$B$7,"Oltre soglia personale","Nella soglia personale"))</x:f>
      </x:c>
      <x:c r="AQ85" s="18" t="str">
        <x:f>IF(A85="",IF(COUNTA(B85:V85)=0,"","Inserisci ID"),IF(COUNTIFS($A$8:$A$507,A85)&lt;&gt;1,"ID duplicato",IF(OR(NOT(ISNUMBER(B85)),D85="",E85="",F85="",G85="",H85="",COUNTIFS('Impostazioni'!$J$6:$J$25,F85)&lt;&gt;1),"Completa dati / elenchi",IF(OR(AND(I85&lt;&gt;"Lordo manuale",I85&lt;&gt;"Netto manuale",I85&lt;&gt;"Esecuzioni"),AND(J85&lt;&gt;"Aperto",J85&lt;&gt;"Chiuso",J85&lt;&gt;"Annullato")),"Modalità / stato mancanti",IF(AND(J85&lt;&gt;"Aperto",OR(NOT(ISNUMBER(C85)),C85&lt;B85)),"Correggi data chiusura",IF(OR(AND(Q85&lt;&gt;"",OR(NOT(ISNUMBER(Q85)),Q85&lt;0)),AND(R85&lt;&gt;"",OR(NOT(ISNUMBER(R85)),R85&lt;0,R85&gt;1))),"Commissione non valida",IF(J85="Annullato","OK",IF(OR(NOT(ISNUMBER(Z85)),Z85&lt;0,AND(O85&lt;&gt;"",NOT(ISNUMBER(O85)))),"Inserisci rischio",IF(AND(I85="Esecuzioni",OR(W85=0,COUNTIFS('Esecuzioni'!$A$8:$A$1007,A85,'Esecuzioni'!$Q$8:$Q$1007,"&lt;&gt;OK")&gt;0)),"Correggi esecuzioni",IF(J85="Aperto","OK",IF(AND(I85="Esecuzioni",S85="Coperto",ABS(X85-Y85)&gt;'Impostazioni'!$B$11),"Copertura residua",IF(NOT(ISNUMBER(AC85)),"Completa risultato / esito",IF(AND(Z85=0,AC85&lt;&gt;0),"Rischio nullo con P/L","OK")))))))))))))</x:f>
      </x:c>
      <x:c r="AR85" s="20" t="str">
        <x:f>IF(OR(A85="",J85&lt;&gt;"Aperto",AQ85&lt;&gt;"OK"),"",IF(I85="Esecuzioni",SUMIFS('Esecuzioni'!$P$8:$P$1007,'Esecuzioni'!$A$8:$A$1007,A85,'Esecuzioni'!$B$8:$B$1007,_xlfn.MAXIFS('Esecuzioni'!$B$8:$B$1007,'Esecuzioni'!$A$8:$A$1007,A85)),IF(LEFT(U85,8)="FREEBET:",0,Z85)))</x:f>
      </x:c>
      <x:c r="AS85" s="48" t="str">
        <x:f>IF(OR(A85="",E85=""),"",IF(COUNTIFS($E$8:E85,E85)=1,COUNT($AS$7:AS84)+1,""))</x:f>
      </x:c>
    </x:row>
    <x:row r="86" ht="22" customHeight="1">
      <x:c r="A86" s="7"/>
      <x:c r="B86" s="19"/>
      <x:c r="C86" s="19"/>
      <x:c r="D86" s="7"/>
      <x:c r="E86" s="7"/>
      <x:c r="F86" s="7"/>
      <x:c r="G86" s="7"/>
      <x:c r="H86" s="7"/>
      <x:c r="I86" s="7"/>
      <x:c r="J86" s="7"/>
      <x:c r="K86" s="10"/>
      <x:c r="L86" s="7"/>
      <x:c r="M86" s="10"/>
      <x:c r="N86" s="7"/>
      <x:c r="O86" s="8"/>
      <x:c r="P86" s="8"/>
      <x:c r="Q86" s="8"/>
      <x:c r="R86" s="9"/>
      <x:c r="S86" s="7"/>
      <x:c r="T86" s="7"/>
      <x:c r="U86" s="7"/>
      <x:c r="V86" s="7"/>
      <x:c r="W86" s="22" t="str">
        <x:f>IF(A86="","",COUNTIFS('Esecuzioni'!$A$8:$A$1007,A86,'Esecuzioni'!$Q$8:$Q$1007,"OK"))</x:f>
      </x:c>
      <x:c r="X86" s="20" t="str">
        <x:f>IF(OR(A86="",I86&lt;&gt;"Esecuzioni",W86=0),"",SUMIFS('Esecuzioni'!$L$8:$L$1007,'Esecuzioni'!$A$8:$A$1007,A86))</x:f>
      </x:c>
      <x:c r="Y86" s="20" t="str">
        <x:f>IF(OR(A86="",I86&lt;&gt;"Esecuzioni",W86=0),"",SUMIFS('Esecuzioni'!$M$8:$M$1007,'Esecuzioni'!$A$8:$A$1007,A86))</x:f>
      </x:c>
      <x:c r="Z86" s="20" t="str">
        <x:f>IF(A86="","",IF(J86="Annullato",0,IF(ISNUMBER(O86),O86,IF(AND(I86="Esecuzioni",W86&gt;0),_xlfn.MAXIFS('Esecuzioni'!$P$8:$P$1007,'Esecuzioni'!$A$8:$A$1007,A86),""))))</x:f>
      </x:c>
      <x:c r="AA86" s="20" t="str">
        <x:f>IF(OR(A86="",J86="Aperto"),"",IF(J86="Annullato",0,IF(I86="Lordo manuale",IF(ISNUMBER(P86),P86,""),IF(I86="Netto manuale",IF(AND(ISNUMBER(P86),ISNUMBER(Q86)),P86+Q86,""),IF(OR(W86=0,COUNTIFS('Esecuzioni'!$A$8:$A$1007,A86,'Esecuzioni'!$Q$8:$Q$1007,"&lt;&gt;OK")&gt;0),"",IF(S86="Vince",X86,IF(S86="Perde",Y86,IF(AND(S86="Coperto",ABS(X86-Y86)&lt;='Impostazioni'!$B$11),ROUND((X86+Y86)/2,2),""))))))))</x:f>
      </x:c>
      <x:c r="AB86" s="20" t="str">
        <x:f>IF(NOT(ISNUMBER(AA86)),"",IF(J86="Annullato",0,IF(ISNUMBER(Q86),Q86,ROUND(MAX(0,AA86)*IF(ISNUMBER(R86),R86,'Impostazioni'!$B$8),2))))</x:f>
      </x:c>
      <x:c r="AC86" s="20" t="str">
        <x:f>IF(AND(ISNUMBER(AA86),ISNUMBER(AB86)),ROUND(AA86-AB86,2),"")</x:f>
      </x:c>
      <x:c r="AD86" s="18" t="str">
        <x:f>IF(A86="","",IF(AQ86&lt;&gt;"OK","Incompleto",IF(J86="Aperto","Aperto",IF(J86="Annullato","Annullato",IF(AC86&gt;0,"Green",IF(AC86&lt;0,"Red","Flat"))))))</x:f>
      </x:c>
      <x:c r="AE86" s="21" t="str">
        <x:f>IF(AND(AH86=1,Z86&gt;0),AC86/Z86,"")</x:f>
      </x:c>
      <x:c r="AF86" s="22" t="str">
        <x:f>IF(AH86&lt;&gt;1,"",COUNTIFS($C$8:$C$507,"&lt;"&amp;C86,$AH$8:$AH$507,1)+COUNTIFS($C$8:$C$507,C86,$A$8:$A$507,"&lt;="&amp;A86,$AH$8:$AH$507,1))</x:f>
      </x:c>
      <x:c r="AG86" s="20" t="str">
        <x:f>IF(AH86&lt;&gt;1,"",SUMIFS($AC$8:$AC$507,$C$8:$C$507,"&lt;"&amp;C86,$AH$8:$AH$507,1)+SUMIFS($AC$8:$AC$507,$C$8:$C$507,C86,$A$8:$A$507,"&lt;="&amp;A86,$AH$8:$AH$507,1))</x:f>
      </x:c>
      <x:c r="AH86" s="22" t="str">
        <x:f>IF(A86="","",IF(AND(J86="Chiuso",AQ86="OK",ISNUMBER(AC86)),1,0))</x:f>
      </x:c>
      <x:c r="AI86" s="20" t="str">
        <x:f>IF(AH86&lt;&gt;1,"",MAX(0,_xlfn.MAXIFS($AG$8:$AG$507,$AF$8:$AF$507,"&lt;="&amp;AF86,$AH$8:$AH$507,1)))</x:f>
      </x:c>
      <x:c r="AJ86" s="20" t="str">
        <x:f>IF(AH86&lt;&gt;1,"",MAX(0,AI86-AG86))</x:f>
      </x:c>
      <x:c r="AK86" s="21" t="str">
        <x:f>IF(OR(AH86&lt;&gt;1,NOT(ISNUMBER('Impostazioni'!$B$6)),'Impostazioni'!$B$6+AI86&lt;=0),"",AJ86/('Impostazioni'!$B$6+AI86))</x:f>
      </x:c>
      <x:c r="AL86" s="22" t="str">
        <x:f>IF(AH86&lt;&gt;1,"",IF(AC86&gt;0,AF86-_xlfn.MAXIFS($AF$8:$AF$507,$AF$8:$AF$507,"&lt;="&amp;AF86,$AC$8:$AC$507,"&lt;=0",$AH$8:$AH$507,1),0))</x:f>
      </x:c>
      <x:c r="AM86" s="22" t="str">
        <x:f>IF(AH86&lt;&gt;1,"",IF(AC86&lt;0,AF86-_xlfn.MAXIFS($AF$8:$AF$507,$AF$8:$AF$507,"&lt;="&amp;AF86,$AC$8:$AC$507,"&gt;=0",$AH$8:$AH$507,1),0))</x:f>
      </x:c>
      <x:c r="AN86" s="20" t="str">
        <x:f>IF(OR(A86="",NOT(ISNUMBER(B86)),NOT(ISNUMBER('Impostazioni'!$B$6))),"",'Impostazioni'!$B$6+SUMIFS($AC$8:$AC$507,$C$8:$C$507,"&lt;"&amp;B86,$AH$8:$AH$507,1)+SUMIFS('Cassa'!$F$8:$F$307,'Cassa'!$A$8:$A$307,"&lt;="&amp;B86,'Cassa'!$G$8:$G$307,"OK"))</x:f>
      </x:c>
      <x:c r="AO86" s="21" t="str">
        <x:f>IF(AND(ISNUMBER(Z86),ISNUMBER(AN86),AN86&gt;0),Z86/AN86,"")</x:f>
      </x:c>
      <x:c r="AP86" s="18" t="str">
        <x:f>IF(NOT(ISNUMBER(AO86)),"",IF(AO86&gt;'Impostazioni'!$B$7,"Oltre soglia personale","Nella soglia personale"))</x:f>
      </x:c>
      <x:c r="AQ86" s="18" t="str">
        <x:f>IF(A86="",IF(COUNTA(B86:V86)=0,"","Inserisci ID"),IF(COUNTIFS($A$8:$A$507,A86)&lt;&gt;1,"ID duplicato",IF(OR(NOT(ISNUMBER(B86)),D86="",E86="",F86="",G86="",H86="",COUNTIFS('Impostazioni'!$J$6:$J$25,F86)&lt;&gt;1),"Completa dati / elenchi",IF(OR(AND(I86&lt;&gt;"Lordo manuale",I86&lt;&gt;"Netto manuale",I86&lt;&gt;"Esecuzioni"),AND(J86&lt;&gt;"Aperto",J86&lt;&gt;"Chiuso",J86&lt;&gt;"Annullato")),"Modalità / stato mancanti",IF(AND(J86&lt;&gt;"Aperto",OR(NOT(ISNUMBER(C86)),C86&lt;B86)),"Correggi data chiusura",IF(OR(AND(Q86&lt;&gt;"",OR(NOT(ISNUMBER(Q86)),Q86&lt;0)),AND(R86&lt;&gt;"",OR(NOT(ISNUMBER(R86)),R86&lt;0,R86&gt;1))),"Commissione non valida",IF(J86="Annullato","OK",IF(OR(NOT(ISNUMBER(Z86)),Z86&lt;0,AND(O86&lt;&gt;"",NOT(ISNUMBER(O86)))),"Inserisci rischio",IF(AND(I86="Esecuzioni",OR(W86=0,COUNTIFS('Esecuzioni'!$A$8:$A$1007,A86,'Esecuzioni'!$Q$8:$Q$1007,"&lt;&gt;OK")&gt;0)),"Correggi esecuzioni",IF(J86="Aperto","OK",IF(AND(I86="Esecuzioni",S86="Coperto",ABS(X86-Y86)&gt;'Impostazioni'!$B$11),"Copertura residua",IF(NOT(ISNUMBER(AC86)),"Completa risultato / esito",IF(AND(Z86=0,AC86&lt;&gt;0),"Rischio nullo con P/L","OK")))))))))))))</x:f>
      </x:c>
      <x:c r="AR86" s="20" t="str">
        <x:f>IF(OR(A86="",J86&lt;&gt;"Aperto",AQ86&lt;&gt;"OK"),"",IF(I86="Esecuzioni",SUMIFS('Esecuzioni'!$P$8:$P$1007,'Esecuzioni'!$A$8:$A$1007,A86,'Esecuzioni'!$B$8:$B$1007,_xlfn.MAXIFS('Esecuzioni'!$B$8:$B$1007,'Esecuzioni'!$A$8:$A$1007,A86)),IF(LEFT(U86,8)="FREEBET:",0,Z86)))</x:f>
      </x:c>
      <x:c r="AS86" s="48" t="str">
        <x:f>IF(OR(A86="",E86=""),"",IF(COUNTIFS($E$8:E86,E86)=1,COUNT($AS$7:AS85)+1,""))</x:f>
      </x:c>
    </x:row>
    <x:row r="87" ht="22" customHeight="1">
      <x:c r="A87" s="7"/>
      <x:c r="B87" s="19"/>
      <x:c r="C87" s="19"/>
      <x:c r="D87" s="7"/>
      <x:c r="E87" s="7"/>
      <x:c r="F87" s="7"/>
      <x:c r="G87" s="7"/>
      <x:c r="H87" s="7"/>
      <x:c r="I87" s="7"/>
      <x:c r="J87" s="7"/>
      <x:c r="K87" s="10"/>
      <x:c r="L87" s="7"/>
      <x:c r="M87" s="10"/>
      <x:c r="N87" s="7"/>
      <x:c r="O87" s="8"/>
      <x:c r="P87" s="8"/>
      <x:c r="Q87" s="8"/>
      <x:c r="R87" s="9"/>
      <x:c r="S87" s="7"/>
      <x:c r="T87" s="7"/>
      <x:c r="U87" s="7"/>
      <x:c r="V87" s="7"/>
      <x:c r="W87" s="22" t="str">
        <x:f>IF(A87="","",COUNTIFS('Esecuzioni'!$A$8:$A$1007,A87,'Esecuzioni'!$Q$8:$Q$1007,"OK"))</x:f>
      </x:c>
      <x:c r="X87" s="20" t="str">
        <x:f>IF(OR(A87="",I87&lt;&gt;"Esecuzioni",W87=0),"",SUMIFS('Esecuzioni'!$L$8:$L$1007,'Esecuzioni'!$A$8:$A$1007,A87))</x:f>
      </x:c>
      <x:c r="Y87" s="20" t="str">
        <x:f>IF(OR(A87="",I87&lt;&gt;"Esecuzioni",W87=0),"",SUMIFS('Esecuzioni'!$M$8:$M$1007,'Esecuzioni'!$A$8:$A$1007,A87))</x:f>
      </x:c>
      <x:c r="Z87" s="20" t="str">
        <x:f>IF(A87="","",IF(J87="Annullato",0,IF(ISNUMBER(O87),O87,IF(AND(I87="Esecuzioni",W87&gt;0),_xlfn.MAXIFS('Esecuzioni'!$P$8:$P$1007,'Esecuzioni'!$A$8:$A$1007,A87),""))))</x:f>
      </x:c>
      <x:c r="AA87" s="20" t="str">
        <x:f>IF(OR(A87="",J87="Aperto"),"",IF(J87="Annullato",0,IF(I87="Lordo manuale",IF(ISNUMBER(P87),P87,""),IF(I87="Netto manuale",IF(AND(ISNUMBER(P87),ISNUMBER(Q87)),P87+Q87,""),IF(OR(W87=0,COUNTIFS('Esecuzioni'!$A$8:$A$1007,A87,'Esecuzioni'!$Q$8:$Q$1007,"&lt;&gt;OK")&gt;0),"",IF(S87="Vince",X87,IF(S87="Perde",Y87,IF(AND(S87="Coperto",ABS(X87-Y87)&lt;='Impostazioni'!$B$11),ROUND((X87+Y87)/2,2),""))))))))</x:f>
      </x:c>
      <x:c r="AB87" s="20" t="str">
        <x:f>IF(NOT(ISNUMBER(AA87)),"",IF(J87="Annullato",0,IF(ISNUMBER(Q87),Q87,ROUND(MAX(0,AA87)*IF(ISNUMBER(R87),R87,'Impostazioni'!$B$8),2))))</x:f>
      </x:c>
      <x:c r="AC87" s="20" t="str">
        <x:f>IF(AND(ISNUMBER(AA87),ISNUMBER(AB87)),ROUND(AA87-AB87,2),"")</x:f>
      </x:c>
      <x:c r="AD87" s="18" t="str">
        <x:f>IF(A87="","",IF(AQ87&lt;&gt;"OK","Incompleto",IF(J87="Aperto","Aperto",IF(J87="Annullato","Annullato",IF(AC87&gt;0,"Green",IF(AC87&lt;0,"Red","Flat"))))))</x:f>
      </x:c>
      <x:c r="AE87" s="21" t="str">
        <x:f>IF(AND(AH87=1,Z87&gt;0),AC87/Z87,"")</x:f>
      </x:c>
      <x:c r="AF87" s="22" t="str">
        <x:f>IF(AH87&lt;&gt;1,"",COUNTIFS($C$8:$C$507,"&lt;"&amp;C87,$AH$8:$AH$507,1)+COUNTIFS($C$8:$C$507,C87,$A$8:$A$507,"&lt;="&amp;A87,$AH$8:$AH$507,1))</x:f>
      </x:c>
      <x:c r="AG87" s="20" t="str">
        <x:f>IF(AH87&lt;&gt;1,"",SUMIFS($AC$8:$AC$507,$C$8:$C$507,"&lt;"&amp;C87,$AH$8:$AH$507,1)+SUMIFS($AC$8:$AC$507,$C$8:$C$507,C87,$A$8:$A$507,"&lt;="&amp;A87,$AH$8:$AH$507,1))</x:f>
      </x:c>
      <x:c r="AH87" s="22" t="str">
        <x:f>IF(A87="","",IF(AND(J87="Chiuso",AQ87="OK",ISNUMBER(AC87)),1,0))</x:f>
      </x:c>
      <x:c r="AI87" s="20" t="str">
        <x:f>IF(AH87&lt;&gt;1,"",MAX(0,_xlfn.MAXIFS($AG$8:$AG$507,$AF$8:$AF$507,"&lt;="&amp;AF87,$AH$8:$AH$507,1)))</x:f>
      </x:c>
      <x:c r="AJ87" s="20" t="str">
        <x:f>IF(AH87&lt;&gt;1,"",MAX(0,AI87-AG87))</x:f>
      </x:c>
      <x:c r="AK87" s="21" t="str">
        <x:f>IF(OR(AH87&lt;&gt;1,NOT(ISNUMBER('Impostazioni'!$B$6)),'Impostazioni'!$B$6+AI87&lt;=0),"",AJ87/('Impostazioni'!$B$6+AI87))</x:f>
      </x:c>
      <x:c r="AL87" s="22" t="str">
        <x:f>IF(AH87&lt;&gt;1,"",IF(AC87&gt;0,AF87-_xlfn.MAXIFS($AF$8:$AF$507,$AF$8:$AF$507,"&lt;="&amp;AF87,$AC$8:$AC$507,"&lt;=0",$AH$8:$AH$507,1),0))</x:f>
      </x:c>
      <x:c r="AM87" s="22" t="str">
        <x:f>IF(AH87&lt;&gt;1,"",IF(AC87&lt;0,AF87-_xlfn.MAXIFS($AF$8:$AF$507,$AF$8:$AF$507,"&lt;="&amp;AF87,$AC$8:$AC$507,"&gt;=0",$AH$8:$AH$507,1),0))</x:f>
      </x:c>
      <x:c r="AN87" s="20" t="str">
        <x:f>IF(OR(A87="",NOT(ISNUMBER(B87)),NOT(ISNUMBER('Impostazioni'!$B$6))),"",'Impostazioni'!$B$6+SUMIFS($AC$8:$AC$507,$C$8:$C$507,"&lt;"&amp;B87,$AH$8:$AH$507,1)+SUMIFS('Cassa'!$F$8:$F$307,'Cassa'!$A$8:$A$307,"&lt;="&amp;B87,'Cassa'!$G$8:$G$307,"OK"))</x:f>
      </x:c>
      <x:c r="AO87" s="21" t="str">
        <x:f>IF(AND(ISNUMBER(Z87),ISNUMBER(AN87),AN87&gt;0),Z87/AN87,"")</x:f>
      </x:c>
      <x:c r="AP87" s="18" t="str">
        <x:f>IF(NOT(ISNUMBER(AO87)),"",IF(AO87&gt;'Impostazioni'!$B$7,"Oltre soglia personale","Nella soglia personale"))</x:f>
      </x:c>
      <x:c r="AQ87" s="18" t="str">
        <x:f>IF(A87="",IF(COUNTA(B87:V87)=0,"","Inserisci ID"),IF(COUNTIFS($A$8:$A$507,A87)&lt;&gt;1,"ID duplicato",IF(OR(NOT(ISNUMBER(B87)),D87="",E87="",F87="",G87="",H87="",COUNTIFS('Impostazioni'!$J$6:$J$25,F87)&lt;&gt;1),"Completa dati / elenchi",IF(OR(AND(I87&lt;&gt;"Lordo manuale",I87&lt;&gt;"Netto manuale",I87&lt;&gt;"Esecuzioni"),AND(J87&lt;&gt;"Aperto",J87&lt;&gt;"Chiuso",J87&lt;&gt;"Annullato")),"Modalità / stato mancanti",IF(AND(J87&lt;&gt;"Aperto",OR(NOT(ISNUMBER(C87)),C87&lt;B87)),"Correggi data chiusura",IF(OR(AND(Q87&lt;&gt;"",OR(NOT(ISNUMBER(Q87)),Q87&lt;0)),AND(R87&lt;&gt;"",OR(NOT(ISNUMBER(R87)),R87&lt;0,R87&gt;1))),"Commissione non valida",IF(J87="Annullato","OK",IF(OR(NOT(ISNUMBER(Z87)),Z87&lt;0,AND(O87&lt;&gt;"",NOT(ISNUMBER(O87)))),"Inserisci rischio",IF(AND(I87="Esecuzioni",OR(W87=0,COUNTIFS('Esecuzioni'!$A$8:$A$1007,A87,'Esecuzioni'!$Q$8:$Q$1007,"&lt;&gt;OK")&gt;0)),"Correggi esecuzioni",IF(J87="Aperto","OK",IF(AND(I87="Esecuzioni",S87="Coperto",ABS(X87-Y87)&gt;'Impostazioni'!$B$11),"Copertura residua",IF(NOT(ISNUMBER(AC87)),"Completa risultato / esito",IF(AND(Z87=0,AC87&lt;&gt;0),"Rischio nullo con P/L","OK")))))))))))))</x:f>
      </x:c>
      <x:c r="AR87" s="20" t="str">
        <x:f>IF(OR(A87="",J87&lt;&gt;"Aperto",AQ87&lt;&gt;"OK"),"",IF(I87="Esecuzioni",SUMIFS('Esecuzioni'!$P$8:$P$1007,'Esecuzioni'!$A$8:$A$1007,A87,'Esecuzioni'!$B$8:$B$1007,_xlfn.MAXIFS('Esecuzioni'!$B$8:$B$1007,'Esecuzioni'!$A$8:$A$1007,A87)),IF(LEFT(U87,8)="FREEBET:",0,Z87)))</x:f>
      </x:c>
      <x:c r="AS87" s="48" t="str">
        <x:f>IF(OR(A87="",E87=""),"",IF(COUNTIFS($E$8:E87,E87)=1,COUNT($AS$7:AS86)+1,""))</x:f>
      </x:c>
    </x:row>
    <x:row r="88" ht="22" customHeight="1">
      <x:c r="A88" s="7"/>
      <x:c r="B88" s="19"/>
      <x:c r="C88" s="19"/>
      <x:c r="D88" s="7"/>
      <x:c r="E88" s="7"/>
      <x:c r="F88" s="7"/>
      <x:c r="G88" s="7"/>
      <x:c r="H88" s="7"/>
      <x:c r="I88" s="7"/>
      <x:c r="J88" s="7"/>
      <x:c r="K88" s="10"/>
      <x:c r="L88" s="7"/>
      <x:c r="M88" s="10"/>
      <x:c r="N88" s="7"/>
      <x:c r="O88" s="8"/>
      <x:c r="P88" s="8"/>
      <x:c r="Q88" s="8"/>
      <x:c r="R88" s="9"/>
      <x:c r="S88" s="7"/>
      <x:c r="T88" s="7"/>
      <x:c r="U88" s="7"/>
      <x:c r="V88" s="7"/>
      <x:c r="W88" s="22" t="str">
        <x:f>IF(A88="","",COUNTIFS('Esecuzioni'!$A$8:$A$1007,A88,'Esecuzioni'!$Q$8:$Q$1007,"OK"))</x:f>
      </x:c>
      <x:c r="X88" s="20" t="str">
        <x:f>IF(OR(A88="",I88&lt;&gt;"Esecuzioni",W88=0),"",SUMIFS('Esecuzioni'!$L$8:$L$1007,'Esecuzioni'!$A$8:$A$1007,A88))</x:f>
      </x:c>
      <x:c r="Y88" s="20" t="str">
        <x:f>IF(OR(A88="",I88&lt;&gt;"Esecuzioni",W88=0),"",SUMIFS('Esecuzioni'!$M$8:$M$1007,'Esecuzioni'!$A$8:$A$1007,A88))</x:f>
      </x:c>
      <x:c r="Z88" s="20" t="str">
        <x:f>IF(A88="","",IF(J88="Annullato",0,IF(ISNUMBER(O88),O88,IF(AND(I88="Esecuzioni",W88&gt;0),_xlfn.MAXIFS('Esecuzioni'!$P$8:$P$1007,'Esecuzioni'!$A$8:$A$1007,A88),""))))</x:f>
      </x:c>
      <x:c r="AA88" s="20" t="str">
        <x:f>IF(OR(A88="",J88="Aperto"),"",IF(J88="Annullato",0,IF(I88="Lordo manuale",IF(ISNUMBER(P88),P88,""),IF(I88="Netto manuale",IF(AND(ISNUMBER(P88),ISNUMBER(Q88)),P88+Q88,""),IF(OR(W88=0,COUNTIFS('Esecuzioni'!$A$8:$A$1007,A88,'Esecuzioni'!$Q$8:$Q$1007,"&lt;&gt;OK")&gt;0),"",IF(S88="Vince",X88,IF(S88="Perde",Y88,IF(AND(S88="Coperto",ABS(X88-Y88)&lt;='Impostazioni'!$B$11),ROUND((X88+Y88)/2,2),""))))))))</x:f>
      </x:c>
      <x:c r="AB88" s="20" t="str">
        <x:f>IF(NOT(ISNUMBER(AA88)),"",IF(J88="Annullato",0,IF(ISNUMBER(Q88),Q88,ROUND(MAX(0,AA88)*IF(ISNUMBER(R88),R88,'Impostazioni'!$B$8),2))))</x:f>
      </x:c>
      <x:c r="AC88" s="20" t="str">
        <x:f>IF(AND(ISNUMBER(AA88),ISNUMBER(AB88)),ROUND(AA88-AB88,2),"")</x:f>
      </x:c>
      <x:c r="AD88" s="18" t="str">
        <x:f>IF(A88="","",IF(AQ88&lt;&gt;"OK","Incompleto",IF(J88="Aperto","Aperto",IF(J88="Annullato","Annullato",IF(AC88&gt;0,"Green",IF(AC88&lt;0,"Red","Flat"))))))</x:f>
      </x:c>
      <x:c r="AE88" s="21" t="str">
        <x:f>IF(AND(AH88=1,Z88&gt;0),AC88/Z88,"")</x:f>
      </x:c>
      <x:c r="AF88" s="22" t="str">
        <x:f>IF(AH88&lt;&gt;1,"",COUNTIFS($C$8:$C$507,"&lt;"&amp;C88,$AH$8:$AH$507,1)+COUNTIFS($C$8:$C$507,C88,$A$8:$A$507,"&lt;="&amp;A88,$AH$8:$AH$507,1))</x:f>
      </x:c>
      <x:c r="AG88" s="20" t="str">
        <x:f>IF(AH88&lt;&gt;1,"",SUMIFS($AC$8:$AC$507,$C$8:$C$507,"&lt;"&amp;C88,$AH$8:$AH$507,1)+SUMIFS($AC$8:$AC$507,$C$8:$C$507,C88,$A$8:$A$507,"&lt;="&amp;A88,$AH$8:$AH$507,1))</x:f>
      </x:c>
      <x:c r="AH88" s="22" t="str">
        <x:f>IF(A88="","",IF(AND(J88="Chiuso",AQ88="OK",ISNUMBER(AC88)),1,0))</x:f>
      </x:c>
      <x:c r="AI88" s="20" t="str">
        <x:f>IF(AH88&lt;&gt;1,"",MAX(0,_xlfn.MAXIFS($AG$8:$AG$507,$AF$8:$AF$507,"&lt;="&amp;AF88,$AH$8:$AH$507,1)))</x:f>
      </x:c>
      <x:c r="AJ88" s="20" t="str">
        <x:f>IF(AH88&lt;&gt;1,"",MAX(0,AI88-AG88))</x:f>
      </x:c>
      <x:c r="AK88" s="21" t="str">
        <x:f>IF(OR(AH88&lt;&gt;1,NOT(ISNUMBER('Impostazioni'!$B$6)),'Impostazioni'!$B$6+AI88&lt;=0),"",AJ88/('Impostazioni'!$B$6+AI88))</x:f>
      </x:c>
      <x:c r="AL88" s="22" t="str">
        <x:f>IF(AH88&lt;&gt;1,"",IF(AC88&gt;0,AF88-_xlfn.MAXIFS($AF$8:$AF$507,$AF$8:$AF$507,"&lt;="&amp;AF88,$AC$8:$AC$507,"&lt;=0",$AH$8:$AH$507,1),0))</x:f>
      </x:c>
      <x:c r="AM88" s="22" t="str">
        <x:f>IF(AH88&lt;&gt;1,"",IF(AC88&lt;0,AF88-_xlfn.MAXIFS($AF$8:$AF$507,$AF$8:$AF$507,"&lt;="&amp;AF88,$AC$8:$AC$507,"&gt;=0",$AH$8:$AH$507,1),0))</x:f>
      </x:c>
      <x:c r="AN88" s="20" t="str">
        <x:f>IF(OR(A88="",NOT(ISNUMBER(B88)),NOT(ISNUMBER('Impostazioni'!$B$6))),"",'Impostazioni'!$B$6+SUMIFS($AC$8:$AC$507,$C$8:$C$507,"&lt;"&amp;B88,$AH$8:$AH$507,1)+SUMIFS('Cassa'!$F$8:$F$307,'Cassa'!$A$8:$A$307,"&lt;="&amp;B88,'Cassa'!$G$8:$G$307,"OK"))</x:f>
      </x:c>
      <x:c r="AO88" s="21" t="str">
        <x:f>IF(AND(ISNUMBER(Z88),ISNUMBER(AN88),AN88&gt;0),Z88/AN88,"")</x:f>
      </x:c>
      <x:c r="AP88" s="18" t="str">
        <x:f>IF(NOT(ISNUMBER(AO88)),"",IF(AO88&gt;'Impostazioni'!$B$7,"Oltre soglia personale","Nella soglia personale"))</x:f>
      </x:c>
      <x:c r="AQ88" s="18" t="str">
        <x:f>IF(A88="",IF(COUNTA(B88:V88)=0,"","Inserisci ID"),IF(COUNTIFS($A$8:$A$507,A88)&lt;&gt;1,"ID duplicato",IF(OR(NOT(ISNUMBER(B88)),D88="",E88="",F88="",G88="",H88="",COUNTIFS('Impostazioni'!$J$6:$J$25,F88)&lt;&gt;1),"Completa dati / elenchi",IF(OR(AND(I88&lt;&gt;"Lordo manuale",I88&lt;&gt;"Netto manuale",I88&lt;&gt;"Esecuzioni"),AND(J88&lt;&gt;"Aperto",J88&lt;&gt;"Chiuso",J88&lt;&gt;"Annullato")),"Modalità / stato mancanti",IF(AND(J88&lt;&gt;"Aperto",OR(NOT(ISNUMBER(C88)),C88&lt;B88)),"Correggi data chiusura",IF(OR(AND(Q88&lt;&gt;"",OR(NOT(ISNUMBER(Q88)),Q88&lt;0)),AND(R88&lt;&gt;"",OR(NOT(ISNUMBER(R88)),R88&lt;0,R88&gt;1))),"Commissione non valida",IF(J88="Annullato","OK",IF(OR(NOT(ISNUMBER(Z88)),Z88&lt;0,AND(O88&lt;&gt;"",NOT(ISNUMBER(O88)))),"Inserisci rischio",IF(AND(I88="Esecuzioni",OR(W88=0,COUNTIFS('Esecuzioni'!$A$8:$A$1007,A88,'Esecuzioni'!$Q$8:$Q$1007,"&lt;&gt;OK")&gt;0)),"Correggi esecuzioni",IF(J88="Aperto","OK",IF(AND(I88="Esecuzioni",S88="Coperto",ABS(X88-Y88)&gt;'Impostazioni'!$B$11),"Copertura residua",IF(NOT(ISNUMBER(AC88)),"Completa risultato / esito",IF(AND(Z88=0,AC88&lt;&gt;0),"Rischio nullo con P/L","OK")))))))))))))</x:f>
      </x:c>
      <x:c r="AR88" s="20" t="str">
        <x:f>IF(OR(A88="",J88&lt;&gt;"Aperto",AQ88&lt;&gt;"OK"),"",IF(I88="Esecuzioni",SUMIFS('Esecuzioni'!$P$8:$P$1007,'Esecuzioni'!$A$8:$A$1007,A88,'Esecuzioni'!$B$8:$B$1007,_xlfn.MAXIFS('Esecuzioni'!$B$8:$B$1007,'Esecuzioni'!$A$8:$A$1007,A88)),IF(LEFT(U88,8)="FREEBET:",0,Z88)))</x:f>
      </x:c>
      <x:c r="AS88" s="48" t="str">
        <x:f>IF(OR(A88="",E88=""),"",IF(COUNTIFS($E$8:E88,E88)=1,COUNT($AS$7:AS87)+1,""))</x:f>
      </x:c>
    </x:row>
    <x:row r="89" ht="22" customHeight="1">
      <x:c r="A89" s="7"/>
      <x:c r="B89" s="19"/>
      <x:c r="C89" s="19"/>
      <x:c r="D89" s="7"/>
      <x:c r="E89" s="7"/>
      <x:c r="F89" s="7"/>
      <x:c r="G89" s="7"/>
      <x:c r="H89" s="7"/>
      <x:c r="I89" s="7"/>
      <x:c r="J89" s="7"/>
      <x:c r="K89" s="10"/>
      <x:c r="L89" s="7"/>
      <x:c r="M89" s="10"/>
      <x:c r="N89" s="7"/>
      <x:c r="O89" s="8"/>
      <x:c r="P89" s="8"/>
      <x:c r="Q89" s="8"/>
      <x:c r="R89" s="9"/>
      <x:c r="S89" s="7"/>
      <x:c r="T89" s="7"/>
      <x:c r="U89" s="7"/>
      <x:c r="V89" s="7"/>
      <x:c r="W89" s="22" t="str">
        <x:f>IF(A89="","",COUNTIFS('Esecuzioni'!$A$8:$A$1007,A89,'Esecuzioni'!$Q$8:$Q$1007,"OK"))</x:f>
      </x:c>
      <x:c r="X89" s="20" t="str">
        <x:f>IF(OR(A89="",I89&lt;&gt;"Esecuzioni",W89=0),"",SUMIFS('Esecuzioni'!$L$8:$L$1007,'Esecuzioni'!$A$8:$A$1007,A89))</x:f>
      </x:c>
      <x:c r="Y89" s="20" t="str">
        <x:f>IF(OR(A89="",I89&lt;&gt;"Esecuzioni",W89=0),"",SUMIFS('Esecuzioni'!$M$8:$M$1007,'Esecuzioni'!$A$8:$A$1007,A89))</x:f>
      </x:c>
      <x:c r="Z89" s="20" t="str">
        <x:f>IF(A89="","",IF(J89="Annullato",0,IF(ISNUMBER(O89),O89,IF(AND(I89="Esecuzioni",W89&gt;0),_xlfn.MAXIFS('Esecuzioni'!$P$8:$P$1007,'Esecuzioni'!$A$8:$A$1007,A89),""))))</x:f>
      </x:c>
      <x:c r="AA89" s="20" t="str">
        <x:f>IF(OR(A89="",J89="Aperto"),"",IF(J89="Annullato",0,IF(I89="Lordo manuale",IF(ISNUMBER(P89),P89,""),IF(I89="Netto manuale",IF(AND(ISNUMBER(P89),ISNUMBER(Q89)),P89+Q89,""),IF(OR(W89=0,COUNTIFS('Esecuzioni'!$A$8:$A$1007,A89,'Esecuzioni'!$Q$8:$Q$1007,"&lt;&gt;OK")&gt;0),"",IF(S89="Vince",X89,IF(S89="Perde",Y89,IF(AND(S89="Coperto",ABS(X89-Y89)&lt;='Impostazioni'!$B$11),ROUND((X89+Y89)/2,2),""))))))))</x:f>
      </x:c>
      <x:c r="AB89" s="20" t="str">
        <x:f>IF(NOT(ISNUMBER(AA89)),"",IF(J89="Annullato",0,IF(ISNUMBER(Q89),Q89,ROUND(MAX(0,AA89)*IF(ISNUMBER(R89),R89,'Impostazioni'!$B$8),2))))</x:f>
      </x:c>
      <x:c r="AC89" s="20" t="str">
        <x:f>IF(AND(ISNUMBER(AA89),ISNUMBER(AB89)),ROUND(AA89-AB89,2),"")</x:f>
      </x:c>
      <x:c r="AD89" s="18" t="str">
        <x:f>IF(A89="","",IF(AQ89&lt;&gt;"OK","Incompleto",IF(J89="Aperto","Aperto",IF(J89="Annullato","Annullato",IF(AC89&gt;0,"Green",IF(AC89&lt;0,"Red","Flat"))))))</x:f>
      </x:c>
      <x:c r="AE89" s="21" t="str">
        <x:f>IF(AND(AH89=1,Z89&gt;0),AC89/Z89,"")</x:f>
      </x:c>
      <x:c r="AF89" s="22" t="str">
        <x:f>IF(AH89&lt;&gt;1,"",COUNTIFS($C$8:$C$507,"&lt;"&amp;C89,$AH$8:$AH$507,1)+COUNTIFS($C$8:$C$507,C89,$A$8:$A$507,"&lt;="&amp;A89,$AH$8:$AH$507,1))</x:f>
      </x:c>
      <x:c r="AG89" s="20" t="str">
        <x:f>IF(AH89&lt;&gt;1,"",SUMIFS($AC$8:$AC$507,$C$8:$C$507,"&lt;"&amp;C89,$AH$8:$AH$507,1)+SUMIFS($AC$8:$AC$507,$C$8:$C$507,C89,$A$8:$A$507,"&lt;="&amp;A89,$AH$8:$AH$507,1))</x:f>
      </x:c>
      <x:c r="AH89" s="22" t="str">
        <x:f>IF(A89="","",IF(AND(J89="Chiuso",AQ89="OK",ISNUMBER(AC89)),1,0))</x:f>
      </x:c>
      <x:c r="AI89" s="20" t="str">
        <x:f>IF(AH89&lt;&gt;1,"",MAX(0,_xlfn.MAXIFS($AG$8:$AG$507,$AF$8:$AF$507,"&lt;="&amp;AF89,$AH$8:$AH$507,1)))</x:f>
      </x:c>
      <x:c r="AJ89" s="20" t="str">
        <x:f>IF(AH89&lt;&gt;1,"",MAX(0,AI89-AG89))</x:f>
      </x:c>
      <x:c r="AK89" s="21" t="str">
        <x:f>IF(OR(AH89&lt;&gt;1,NOT(ISNUMBER('Impostazioni'!$B$6)),'Impostazioni'!$B$6+AI89&lt;=0),"",AJ89/('Impostazioni'!$B$6+AI89))</x:f>
      </x:c>
      <x:c r="AL89" s="22" t="str">
        <x:f>IF(AH89&lt;&gt;1,"",IF(AC89&gt;0,AF89-_xlfn.MAXIFS($AF$8:$AF$507,$AF$8:$AF$507,"&lt;="&amp;AF89,$AC$8:$AC$507,"&lt;=0",$AH$8:$AH$507,1),0))</x:f>
      </x:c>
      <x:c r="AM89" s="22" t="str">
        <x:f>IF(AH89&lt;&gt;1,"",IF(AC89&lt;0,AF89-_xlfn.MAXIFS($AF$8:$AF$507,$AF$8:$AF$507,"&lt;="&amp;AF89,$AC$8:$AC$507,"&gt;=0",$AH$8:$AH$507,1),0))</x:f>
      </x:c>
      <x:c r="AN89" s="20" t="str">
        <x:f>IF(OR(A89="",NOT(ISNUMBER(B89)),NOT(ISNUMBER('Impostazioni'!$B$6))),"",'Impostazioni'!$B$6+SUMIFS($AC$8:$AC$507,$C$8:$C$507,"&lt;"&amp;B89,$AH$8:$AH$507,1)+SUMIFS('Cassa'!$F$8:$F$307,'Cassa'!$A$8:$A$307,"&lt;="&amp;B89,'Cassa'!$G$8:$G$307,"OK"))</x:f>
      </x:c>
      <x:c r="AO89" s="21" t="str">
        <x:f>IF(AND(ISNUMBER(Z89),ISNUMBER(AN89),AN89&gt;0),Z89/AN89,"")</x:f>
      </x:c>
      <x:c r="AP89" s="18" t="str">
        <x:f>IF(NOT(ISNUMBER(AO89)),"",IF(AO89&gt;'Impostazioni'!$B$7,"Oltre soglia personale","Nella soglia personale"))</x:f>
      </x:c>
      <x:c r="AQ89" s="18" t="str">
        <x:f>IF(A89="",IF(COUNTA(B89:V89)=0,"","Inserisci ID"),IF(COUNTIFS($A$8:$A$507,A89)&lt;&gt;1,"ID duplicato",IF(OR(NOT(ISNUMBER(B89)),D89="",E89="",F89="",G89="",H89="",COUNTIFS('Impostazioni'!$J$6:$J$25,F89)&lt;&gt;1),"Completa dati / elenchi",IF(OR(AND(I89&lt;&gt;"Lordo manuale",I89&lt;&gt;"Netto manuale",I89&lt;&gt;"Esecuzioni"),AND(J89&lt;&gt;"Aperto",J89&lt;&gt;"Chiuso",J89&lt;&gt;"Annullato")),"Modalità / stato mancanti",IF(AND(J89&lt;&gt;"Aperto",OR(NOT(ISNUMBER(C89)),C89&lt;B89)),"Correggi data chiusura",IF(OR(AND(Q89&lt;&gt;"",OR(NOT(ISNUMBER(Q89)),Q89&lt;0)),AND(R89&lt;&gt;"",OR(NOT(ISNUMBER(R89)),R89&lt;0,R89&gt;1))),"Commissione non valida",IF(J89="Annullato","OK",IF(OR(NOT(ISNUMBER(Z89)),Z89&lt;0,AND(O89&lt;&gt;"",NOT(ISNUMBER(O89)))),"Inserisci rischio",IF(AND(I89="Esecuzioni",OR(W89=0,COUNTIFS('Esecuzioni'!$A$8:$A$1007,A89,'Esecuzioni'!$Q$8:$Q$1007,"&lt;&gt;OK")&gt;0)),"Correggi esecuzioni",IF(J89="Aperto","OK",IF(AND(I89="Esecuzioni",S89="Coperto",ABS(X89-Y89)&gt;'Impostazioni'!$B$11),"Copertura residua",IF(NOT(ISNUMBER(AC89)),"Completa risultato / esito",IF(AND(Z89=0,AC89&lt;&gt;0),"Rischio nullo con P/L","OK")))))))))))))</x:f>
      </x:c>
      <x:c r="AR89" s="20" t="str">
        <x:f>IF(OR(A89="",J89&lt;&gt;"Aperto",AQ89&lt;&gt;"OK"),"",IF(I89="Esecuzioni",SUMIFS('Esecuzioni'!$P$8:$P$1007,'Esecuzioni'!$A$8:$A$1007,A89,'Esecuzioni'!$B$8:$B$1007,_xlfn.MAXIFS('Esecuzioni'!$B$8:$B$1007,'Esecuzioni'!$A$8:$A$1007,A89)),IF(LEFT(U89,8)="FREEBET:",0,Z89)))</x:f>
      </x:c>
      <x:c r="AS89" s="48" t="str">
        <x:f>IF(OR(A89="",E89=""),"",IF(COUNTIFS($E$8:E89,E89)=1,COUNT($AS$7:AS88)+1,""))</x:f>
      </x:c>
    </x:row>
    <x:row r="90" ht="22" customHeight="1">
      <x:c r="A90" s="7"/>
      <x:c r="B90" s="19"/>
      <x:c r="C90" s="19"/>
      <x:c r="D90" s="7"/>
      <x:c r="E90" s="7"/>
      <x:c r="F90" s="7"/>
      <x:c r="G90" s="7"/>
      <x:c r="H90" s="7"/>
      <x:c r="I90" s="7"/>
      <x:c r="J90" s="7"/>
      <x:c r="K90" s="10"/>
      <x:c r="L90" s="7"/>
      <x:c r="M90" s="10"/>
      <x:c r="N90" s="7"/>
      <x:c r="O90" s="8"/>
      <x:c r="P90" s="8"/>
      <x:c r="Q90" s="8"/>
      <x:c r="R90" s="9"/>
      <x:c r="S90" s="7"/>
      <x:c r="T90" s="7"/>
      <x:c r="U90" s="7"/>
      <x:c r="V90" s="7"/>
      <x:c r="W90" s="22" t="str">
        <x:f>IF(A90="","",COUNTIFS('Esecuzioni'!$A$8:$A$1007,A90,'Esecuzioni'!$Q$8:$Q$1007,"OK"))</x:f>
      </x:c>
      <x:c r="X90" s="20" t="str">
        <x:f>IF(OR(A90="",I90&lt;&gt;"Esecuzioni",W90=0),"",SUMIFS('Esecuzioni'!$L$8:$L$1007,'Esecuzioni'!$A$8:$A$1007,A90))</x:f>
      </x:c>
      <x:c r="Y90" s="20" t="str">
        <x:f>IF(OR(A90="",I90&lt;&gt;"Esecuzioni",W90=0),"",SUMIFS('Esecuzioni'!$M$8:$M$1007,'Esecuzioni'!$A$8:$A$1007,A90))</x:f>
      </x:c>
      <x:c r="Z90" s="20" t="str">
        <x:f>IF(A90="","",IF(J90="Annullato",0,IF(ISNUMBER(O90),O90,IF(AND(I90="Esecuzioni",W90&gt;0),_xlfn.MAXIFS('Esecuzioni'!$P$8:$P$1007,'Esecuzioni'!$A$8:$A$1007,A90),""))))</x:f>
      </x:c>
      <x:c r="AA90" s="20" t="str">
        <x:f>IF(OR(A90="",J90="Aperto"),"",IF(J90="Annullato",0,IF(I90="Lordo manuale",IF(ISNUMBER(P90),P90,""),IF(I90="Netto manuale",IF(AND(ISNUMBER(P90),ISNUMBER(Q90)),P90+Q90,""),IF(OR(W90=0,COUNTIFS('Esecuzioni'!$A$8:$A$1007,A90,'Esecuzioni'!$Q$8:$Q$1007,"&lt;&gt;OK")&gt;0),"",IF(S90="Vince",X90,IF(S90="Perde",Y90,IF(AND(S90="Coperto",ABS(X90-Y90)&lt;='Impostazioni'!$B$11),ROUND((X90+Y90)/2,2),""))))))))</x:f>
      </x:c>
      <x:c r="AB90" s="20" t="str">
        <x:f>IF(NOT(ISNUMBER(AA90)),"",IF(J90="Annullato",0,IF(ISNUMBER(Q90),Q90,ROUND(MAX(0,AA90)*IF(ISNUMBER(R90),R90,'Impostazioni'!$B$8),2))))</x:f>
      </x:c>
      <x:c r="AC90" s="20" t="str">
        <x:f>IF(AND(ISNUMBER(AA90),ISNUMBER(AB90)),ROUND(AA90-AB90,2),"")</x:f>
      </x:c>
      <x:c r="AD90" s="18" t="str">
        <x:f>IF(A90="","",IF(AQ90&lt;&gt;"OK","Incompleto",IF(J90="Aperto","Aperto",IF(J90="Annullato","Annullato",IF(AC90&gt;0,"Green",IF(AC90&lt;0,"Red","Flat"))))))</x:f>
      </x:c>
      <x:c r="AE90" s="21" t="str">
        <x:f>IF(AND(AH90=1,Z90&gt;0),AC90/Z90,"")</x:f>
      </x:c>
      <x:c r="AF90" s="22" t="str">
        <x:f>IF(AH90&lt;&gt;1,"",COUNTIFS($C$8:$C$507,"&lt;"&amp;C90,$AH$8:$AH$507,1)+COUNTIFS($C$8:$C$507,C90,$A$8:$A$507,"&lt;="&amp;A90,$AH$8:$AH$507,1))</x:f>
      </x:c>
      <x:c r="AG90" s="20" t="str">
        <x:f>IF(AH90&lt;&gt;1,"",SUMIFS($AC$8:$AC$507,$C$8:$C$507,"&lt;"&amp;C90,$AH$8:$AH$507,1)+SUMIFS($AC$8:$AC$507,$C$8:$C$507,C90,$A$8:$A$507,"&lt;="&amp;A90,$AH$8:$AH$507,1))</x:f>
      </x:c>
      <x:c r="AH90" s="22" t="str">
        <x:f>IF(A90="","",IF(AND(J90="Chiuso",AQ90="OK",ISNUMBER(AC90)),1,0))</x:f>
      </x:c>
      <x:c r="AI90" s="20" t="str">
        <x:f>IF(AH90&lt;&gt;1,"",MAX(0,_xlfn.MAXIFS($AG$8:$AG$507,$AF$8:$AF$507,"&lt;="&amp;AF90,$AH$8:$AH$507,1)))</x:f>
      </x:c>
      <x:c r="AJ90" s="20" t="str">
        <x:f>IF(AH90&lt;&gt;1,"",MAX(0,AI90-AG90))</x:f>
      </x:c>
      <x:c r="AK90" s="21" t="str">
        <x:f>IF(OR(AH90&lt;&gt;1,NOT(ISNUMBER('Impostazioni'!$B$6)),'Impostazioni'!$B$6+AI90&lt;=0),"",AJ90/('Impostazioni'!$B$6+AI90))</x:f>
      </x:c>
      <x:c r="AL90" s="22" t="str">
        <x:f>IF(AH90&lt;&gt;1,"",IF(AC90&gt;0,AF90-_xlfn.MAXIFS($AF$8:$AF$507,$AF$8:$AF$507,"&lt;="&amp;AF90,$AC$8:$AC$507,"&lt;=0",$AH$8:$AH$507,1),0))</x:f>
      </x:c>
      <x:c r="AM90" s="22" t="str">
        <x:f>IF(AH90&lt;&gt;1,"",IF(AC90&lt;0,AF90-_xlfn.MAXIFS($AF$8:$AF$507,$AF$8:$AF$507,"&lt;="&amp;AF90,$AC$8:$AC$507,"&gt;=0",$AH$8:$AH$507,1),0))</x:f>
      </x:c>
      <x:c r="AN90" s="20" t="str">
        <x:f>IF(OR(A90="",NOT(ISNUMBER(B90)),NOT(ISNUMBER('Impostazioni'!$B$6))),"",'Impostazioni'!$B$6+SUMIFS($AC$8:$AC$507,$C$8:$C$507,"&lt;"&amp;B90,$AH$8:$AH$507,1)+SUMIFS('Cassa'!$F$8:$F$307,'Cassa'!$A$8:$A$307,"&lt;="&amp;B90,'Cassa'!$G$8:$G$307,"OK"))</x:f>
      </x:c>
      <x:c r="AO90" s="21" t="str">
        <x:f>IF(AND(ISNUMBER(Z90),ISNUMBER(AN90),AN90&gt;0),Z90/AN90,"")</x:f>
      </x:c>
      <x:c r="AP90" s="18" t="str">
        <x:f>IF(NOT(ISNUMBER(AO90)),"",IF(AO90&gt;'Impostazioni'!$B$7,"Oltre soglia personale","Nella soglia personale"))</x:f>
      </x:c>
      <x:c r="AQ90" s="18" t="str">
        <x:f>IF(A90="",IF(COUNTA(B90:V90)=0,"","Inserisci ID"),IF(COUNTIFS($A$8:$A$507,A90)&lt;&gt;1,"ID duplicato",IF(OR(NOT(ISNUMBER(B90)),D90="",E90="",F90="",G90="",H90="",COUNTIFS('Impostazioni'!$J$6:$J$25,F90)&lt;&gt;1),"Completa dati / elenchi",IF(OR(AND(I90&lt;&gt;"Lordo manuale",I90&lt;&gt;"Netto manuale",I90&lt;&gt;"Esecuzioni"),AND(J90&lt;&gt;"Aperto",J90&lt;&gt;"Chiuso",J90&lt;&gt;"Annullato")),"Modalità / stato mancanti",IF(AND(J90&lt;&gt;"Aperto",OR(NOT(ISNUMBER(C90)),C90&lt;B90)),"Correggi data chiusura",IF(OR(AND(Q90&lt;&gt;"",OR(NOT(ISNUMBER(Q90)),Q90&lt;0)),AND(R90&lt;&gt;"",OR(NOT(ISNUMBER(R90)),R90&lt;0,R90&gt;1))),"Commissione non valida",IF(J90="Annullato","OK",IF(OR(NOT(ISNUMBER(Z90)),Z90&lt;0,AND(O90&lt;&gt;"",NOT(ISNUMBER(O90)))),"Inserisci rischio",IF(AND(I90="Esecuzioni",OR(W90=0,COUNTIFS('Esecuzioni'!$A$8:$A$1007,A90,'Esecuzioni'!$Q$8:$Q$1007,"&lt;&gt;OK")&gt;0)),"Correggi esecuzioni",IF(J90="Aperto","OK",IF(AND(I90="Esecuzioni",S90="Coperto",ABS(X90-Y90)&gt;'Impostazioni'!$B$11),"Copertura residua",IF(NOT(ISNUMBER(AC90)),"Completa risultato / esito",IF(AND(Z90=0,AC90&lt;&gt;0),"Rischio nullo con P/L","OK")))))))))))))</x:f>
      </x:c>
      <x:c r="AR90" s="20" t="str">
        <x:f>IF(OR(A90="",J90&lt;&gt;"Aperto",AQ90&lt;&gt;"OK"),"",IF(I90="Esecuzioni",SUMIFS('Esecuzioni'!$P$8:$P$1007,'Esecuzioni'!$A$8:$A$1007,A90,'Esecuzioni'!$B$8:$B$1007,_xlfn.MAXIFS('Esecuzioni'!$B$8:$B$1007,'Esecuzioni'!$A$8:$A$1007,A90)),IF(LEFT(U90,8)="FREEBET:",0,Z90)))</x:f>
      </x:c>
      <x:c r="AS90" s="48" t="str">
        <x:f>IF(OR(A90="",E90=""),"",IF(COUNTIFS($E$8:E90,E90)=1,COUNT($AS$7:AS89)+1,""))</x:f>
      </x:c>
    </x:row>
    <x:row r="91" ht="22" customHeight="1">
      <x:c r="A91" s="7"/>
      <x:c r="B91" s="19"/>
      <x:c r="C91" s="19"/>
      <x:c r="D91" s="7"/>
      <x:c r="E91" s="7"/>
      <x:c r="F91" s="7"/>
      <x:c r="G91" s="7"/>
      <x:c r="H91" s="7"/>
      <x:c r="I91" s="7"/>
      <x:c r="J91" s="7"/>
      <x:c r="K91" s="10"/>
      <x:c r="L91" s="7"/>
      <x:c r="M91" s="10"/>
      <x:c r="N91" s="7"/>
      <x:c r="O91" s="8"/>
      <x:c r="P91" s="8"/>
      <x:c r="Q91" s="8"/>
      <x:c r="R91" s="9"/>
      <x:c r="S91" s="7"/>
      <x:c r="T91" s="7"/>
      <x:c r="U91" s="7"/>
      <x:c r="V91" s="7"/>
      <x:c r="W91" s="22" t="str">
        <x:f>IF(A91="","",COUNTIFS('Esecuzioni'!$A$8:$A$1007,A91,'Esecuzioni'!$Q$8:$Q$1007,"OK"))</x:f>
      </x:c>
      <x:c r="X91" s="20" t="str">
        <x:f>IF(OR(A91="",I91&lt;&gt;"Esecuzioni",W91=0),"",SUMIFS('Esecuzioni'!$L$8:$L$1007,'Esecuzioni'!$A$8:$A$1007,A91))</x:f>
      </x:c>
      <x:c r="Y91" s="20" t="str">
        <x:f>IF(OR(A91="",I91&lt;&gt;"Esecuzioni",W91=0),"",SUMIFS('Esecuzioni'!$M$8:$M$1007,'Esecuzioni'!$A$8:$A$1007,A91))</x:f>
      </x:c>
      <x:c r="Z91" s="20" t="str">
        <x:f>IF(A91="","",IF(J91="Annullato",0,IF(ISNUMBER(O91),O91,IF(AND(I91="Esecuzioni",W91&gt;0),_xlfn.MAXIFS('Esecuzioni'!$P$8:$P$1007,'Esecuzioni'!$A$8:$A$1007,A91),""))))</x:f>
      </x:c>
      <x:c r="AA91" s="20" t="str">
        <x:f>IF(OR(A91="",J91="Aperto"),"",IF(J91="Annullato",0,IF(I91="Lordo manuale",IF(ISNUMBER(P91),P91,""),IF(I91="Netto manuale",IF(AND(ISNUMBER(P91),ISNUMBER(Q91)),P91+Q91,""),IF(OR(W91=0,COUNTIFS('Esecuzioni'!$A$8:$A$1007,A91,'Esecuzioni'!$Q$8:$Q$1007,"&lt;&gt;OK")&gt;0),"",IF(S91="Vince",X91,IF(S91="Perde",Y91,IF(AND(S91="Coperto",ABS(X91-Y91)&lt;='Impostazioni'!$B$11),ROUND((X91+Y91)/2,2),""))))))))</x:f>
      </x:c>
      <x:c r="AB91" s="20" t="str">
        <x:f>IF(NOT(ISNUMBER(AA91)),"",IF(J91="Annullato",0,IF(ISNUMBER(Q91),Q91,ROUND(MAX(0,AA91)*IF(ISNUMBER(R91),R91,'Impostazioni'!$B$8),2))))</x:f>
      </x:c>
      <x:c r="AC91" s="20" t="str">
        <x:f>IF(AND(ISNUMBER(AA91),ISNUMBER(AB91)),ROUND(AA91-AB91,2),"")</x:f>
      </x:c>
      <x:c r="AD91" s="18" t="str">
        <x:f>IF(A91="","",IF(AQ91&lt;&gt;"OK","Incompleto",IF(J91="Aperto","Aperto",IF(J91="Annullato","Annullato",IF(AC91&gt;0,"Green",IF(AC91&lt;0,"Red","Flat"))))))</x:f>
      </x:c>
      <x:c r="AE91" s="21" t="str">
        <x:f>IF(AND(AH91=1,Z91&gt;0),AC91/Z91,"")</x:f>
      </x:c>
      <x:c r="AF91" s="22" t="str">
        <x:f>IF(AH91&lt;&gt;1,"",COUNTIFS($C$8:$C$507,"&lt;"&amp;C91,$AH$8:$AH$507,1)+COUNTIFS($C$8:$C$507,C91,$A$8:$A$507,"&lt;="&amp;A91,$AH$8:$AH$507,1))</x:f>
      </x:c>
      <x:c r="AG91" s="20" t="str">
        <x:f>IF(AH91&lt;&gt;1,"",SUMIFS($AC$8:$AC$507,$C$8:$C$507,"&lt;"&amp;C91,$AH$8:$AH$507,1)+SUMIFS($AC$8:$AC$507,$C$8:$C$507,C91,$A$8:$A$507,"&lt;="&amp;A91,$AH$8:$AH$507,1))</x:f>
      </x:c>
      <x:c r="AH91" s="22" t="str">
        <x:f>IF(A91="","",IF(AND(J91="Chiuso",AQ91="OK",ISNUMBER(AC91)),1,0))</x:f>
      </x:c>
      <x:c r="AI91" s="20" t="str">
        <x:f>IF(AH91&lt;&gt;1,"",MAX(0,_xlfn.MAXIFS($AG$8:$AG$507,$AF$8:$AF$507,"&lt;="&amp;AF91,$AH$8:$AH$507,1)))</x:f>
      </x:c>
      <x:c r="AJ91" s="20" t="str">
        <x:f>IF(AH91&lt;&gt;1,"",MAX(0,AI91-AG91))</x:f>
      </x:c>
      <x:c r="AK91" s="21" t="str">
        <x:f>IF(OR(AH91&lt;&gt;1,NOT(ISNUMBER('Impostazioni'!$B$6)),'Impostazioni'!$B$6+AI91&lt;=0),"",AJ91/('Impostazioni'!$B$6+AI91))</x:f>
      </x:c>
      <x:c r="AL91" s="22" t="str">
        <x:f>IF(AH91&lt;&gt;1,"",IF(AC91&gt;0,AF91-_xlfn.MAXIFS($AF$8:$AF$507,$AF$8:$AF$507,"&lt;="&amp;AF91,$AC$8:$AC$507,"&lt;=0",$AH$8:$AH$507,1),0))</x:f>
      </x:c>
      <x:c r="AM91" s="22" t="str">
        <x:f>IF(AH91&lt;&gt;1,"",IF(AC91&lt;0,AF91-_xlfn.MAXIFS($AF$8:$AF$507,$AF$8:$AF$507,"&lt;="&amp;AF91,$AC$8:$AC$507,"&gt;=0",$AH$8:$AH$507,1),0))</x:f>
      </x:c>
      <x:c r="AN91" s="20" t="str">
        <x:f>IF(OR(A91="",NOT(ISNUMBER(B91)),NOT(ISNUMBER('Impostazioni'!$B$6))),"",'Impostazioni'!$B$6+SUMIFS($AC$8:$AC$507,$C$8:$C$507,"&lt;"&amp;B91,$AH$8:$AH$507,1)+SUMIFS('Cassa'!$F$8:$F$307,'Cassa'!$A$8:$A$307,"&lt;="&amp;B91,'Cassa'!$G$8:$G$307,"OK"))</x:f>
      </x:c>
      <x:c r="AO91" s="21" t="str">
        <x:f>IF(AND(ISNUMBER(Z91),ISNUMBER(AN91),AN91&gt;0),Z91/AN91,"")</x:f>
      </x:c>
      <x:c r="AP91" s="18" t="str">
        <x:f>IF(NOT(ISNUMBER(AO91)),"",IF(AO91&gt;'Impostazioni'!$B$7,"Oltre soglia personale","Nella soglia personale"))</x:f>
      </x:c>
      <x:c r="AQ91" s="18" t="str">
        <x:f>IF(A91="",IF(COUNTA(B91:V91)=0,"","Inserisci ID"),IF(COUNTIFS($A$8:$A$507,A91)&lt;&gt;1,"ID duplicato",IF(OR(NOT(ISNUMBER(B91)),D91="",E91="",F91="",G91="",H91="",COUNTIFS('Impostazioni'!$J$6:$J$25,F91)&lt;&gt;1),"Completa dati / elenchi",IF(OR(AND(I91&lt;&gt;"Lordo manuale",I91&lt;&gt;"Netto manuale",I91&lt;&gt;"Esecuzioni"),AND(J91&lt;&gt;"Aperto",J91&lt;&gt;"Chiuso",J91&lt;&gt;"Annullato")),"Modalità / stato mancanti",IF(AND(J91&lt;&gt;"Aperto",OR(NOT(ISNUMBER(C91)),C91&lt;B91)),"Correggi data chiusura",IF(OR(AND(Q91&lt;&gt;"",OR(NOT(ISNUMBER(Q91)),Q91&lt;0)),AND(R91&lt;&gt;"",OR(NOT(ISNUMBER(R91)),R91&lt;0,R91&gt;1))),"Commissione non valida",IF(J91="Annullato","OK",IF(OR(NOT(ISNUMBER(Z91)),Z91&lt;0,AND(O91&lt;&gt;"",NOT(ISNUMBER(O91)))),"Inserisci rischio",IF(AND(I91="Esecuzioni",OR(W91=0,COUNTIFS('Esecuzioni'!$A$8:$A$1007,A91,'Esecuzioni'!$Q$8:$Q$1007,"&lt;&gt;OK")&gt;0)),"Correggi esecuzioni",IF(J91="Aperto","OK",IF(AND(I91="Esecuzioni",S91="Coperto",ABS(X91-Y91)&gt;'Impostazioni'!$B$11),"Copertura residua",IF(NOT(ISNUMBER(AC91)),"Completa risultato / esito",IF(AND(Z91=0,AC91&lt;&gt;0),"Rischio nullo con P/L","OK")))))))))))))</x:f>
      </x:c>
      <x:c r="AR91" s="20" t="str">
        <x:f>IF(OR(A91="",J91&lt;&gt;"Aperto",AQ91&lt;&gt;"OK"),"",IF(I91="Esecuzioni",SUMIFS('Esecuzioni'!$P$8:$P$1007,'Esecuzioni'!$A$8:$A$1007,A91,'Esecuzioni'!$B$8:$B$1007,_xlfn.MAXIFS('Esecuzioni'!$B$8:$B$1007,'Esecuzioni'!$A$8:$A$1007,A91)),IF(LEFT(U91,8)="FREEBET:",0,Z91)))</x:f>
      </x:c>
      <x:c r="AS91" s="48" t="str">
        <x:f>IF(OR(A91="",E91=""),"",IF(COUNTIFS($E$8:E91,E91)=1,COUNT($AS$7:AS90)+1,""))</x:f>
      </x:c>
    </x:row>
    <x:row r="92" ht="22" customHeight="1">
      <x:c r="A92" s="7"/>
      <x:c r="B92" s="19"/>
      <x:c r="C92" s="19"/>
      <x:c r="D92" s="7"/>
      <x:c r="E92" s="7"/>
      <x:c r="F92" s="7"/>
      <x:c r="G92" s="7"/>
      <x:c r="H92" s="7"/>
      <x:c r="I92" s="7"/>
      <x:c r="J92" s="7"/>
      <x:c r="K92" s="10"/>
      <x:c r="L92" s="7"/>
      <x:c r="M92" s="10"/>
      <x:c r="N92" s="7"/>
      <x:c r="O92" s="8"/>
      <x:c r="P92" s="8"/>
      <x:c r="Q92" s="8"/>
      <x:c r="R92" s="9"/>
      <x:c r="S92" s="7"/>
      <x:c r="T92" s="7"/>
      <x:c r="U92" s="7"/>
      <x:c r="V92" s="7"/>
      <x:c r="W92" s="22" t="str">
        <x:f>IF(A92="","",COUNTIFS('Esecuzioni'!$A$8:$A$1007,A92,'Esecuzioni'!$Q$8:$Q$1007,"OK"))</x:f>
      </x:c>
      <x:c r="X92" s="20" t="str">
        <x:f>IF(OR(A92="",I92&lt;&gt;"Esecuzioni",W92=0),"",SUMIFS('Esecuzioni'!$L$8:$L$1007,'Esecuzioni'!$A$8:$A$1007,A92))</x:f>
      </x:c>
      <x:c r="Y92" s="20" t="str">
        <x:f>IF(OR(A92="",I92&lt;&gt;"Esecuzioni",W92=0),"",SUMIFS('Esecuzioni'!$M$8:$M$1007,'Esecuzioni'!$A$8:$A$1007,A92))</x:f>
      </x:c>
      <x:c r="Z92" s="20" t="str">
        <x:f>IF(A92="","",IF(J92="Annullato",0,IF(ISNUMBER(O92),O92,IF(AND(I92="Esecuzioni",W92&gt;0),_xlfn.MAXIFS('Esecuzioni'!$P$8:$P$1007,'Esecuzioni'!$A$8:$A$1007,A92),""))))</x:f>
      </x:c>
      <x:c r="AA92" s="20" t="str">
        <x:f>IF(OR(A92="",J92="Aperto"),"",IF(J92="Annullato",0,IF(I92="Lordo manuale",IF(ISNUMBER(P92),P92,""),IF(I92="Netto manuale",IF(AND(ISNUMBER(P92),ISNUMBER(Q92)),P92+Q92,""),IF(OR(W92=0,COUNTIFS('Esecuzioni'!$A$8:$A$1007,A92,'Esecuzioni'!$Q$8:$Q$1007,"&lt;&gt;OK")&gt;0),"",IF(S92="Vince",X92,IF(S92="Perde",Y92,IF(AND(S92="Coperto",ABS(X92-Y92)&lt;='Impostazioni'!$B$11),ROUND((X92+Y92)/2,2),""))))))))</x:f>
      </x:c>
      <x:c r="AB92" s="20" t="str">
        <x:f>IF(NOT(ISNUMBER(AA92)),"",IF(J92="Annullato",0,IF(ISNUMBER(Q92),Q92,ROUND(MAX(0,AA92)*IF(ISNUMBER(R92),R92,'Impostazioni'!$B$8),2))))</x:f>
      </x:c>
      <x:c r="AC92" s="20" t="str">
        <x:f>IF(AND(ISNUMBER(AA92),ISNUMBER(AB92)),ROUND(AA92-AB92,2),"")</x:f>
      </x:c>
      <x:c r="AD92" s="18" t="str">
        <x:f>IF(A92="","",IF(AQ92&lt;&gt;"OK","Incompleto",IF(J92="Aperto","Aperto",IF(J92="Annullato","Annullato",IF(AC92&gt;0,"Green",IF(AC92&lt;0,"Red","Flat"))))))</x:f>
      </x:c>
      <x:c r="AE92" s="21" t="str">
        <x:f>IF(AND(AH92=1,Z92&gt;0),AC92/Z92,"")</x:f>
      </x:c>
      <x:c r="AF92" s="22" t="str">
        <x:f>IF(AH92&lt;&gt;1,"",COUNTIFS($C$8:$C$507,"&lt;"&amp;C92,$AH$8:$AH$507,1)+COUNTIFS($C$8:$C$507,C92,$A$8:$A$507,"&lt;="&amp;A92,$AH$8:$AH$507,1))</x:f>
      </x:c>
      <x:c r="AG92" s="20" t="str">
        <x:f>IF(AH92&lt;&gt;1,"",SUMIFS($AC$8:$AC$507,$C$8:$C$507,"&lt;"&amp;C92,$AH$8:$AH$507,1)+SUMIFS($AC$8:$AC$507,$C$8:$C$507,C92,$A$8:$A$507,"&lt;="&amp;A92,$AH$8:$AH$507,1))</x:f>
      </x:c>
      <x:c r="AH92" s="22" t="str">
        <x:f>IF(A92="","",IF(AND(J92="Chiuso",AQ92="OK",ISNUMBER(AC92)),1,0))</x:f>
      </x:c>
      <x:c r="AI92" s="20" t="str">
        <x:f>IF(AH92&lt;&gt;1,"",MAX(0,_xlfn.MAXIFS($AG$8:$AG$507,$AF$8:$AF$507,"&lt;="&amp;AF92,$AH$8:$AH$507,1)))</x:f>
      </x:c>
      <x:c r="AJ92" s="20" t="str">
        <x:f>IF(AH92&lt;&gt;1,"",MAX(0,AI92-AG92))</x:f>
      </x:c>
      <x:c r="AK92" s="21" t="str">
        <x:f>IF(OR(AH92&lt;&gt;1,NOT(ISNUMBER('Impostazioni'!$B$6)),'Impostazioni'!$B$6+AI92&lt;=0),"",AJ92/('Impostazioni'!$B$6+AI92))</x:f>
      </x:c>
      <x:c r="AL92" s="22" t="str">
        <x:f>IF(AH92&lt;&gt;1,"",IF(AC92&gt;0,AF92-_xlfn.MAXIFS($AF$8:$AF$507,$AF$8:$AF$507,"&lt;="&amp;AF92,$AC$8:$AC$507,"&lt;=0",$AH$8:$AH$507,1),0))</x:f>
      </x:c>
      <x:c r="AM92" s="22" t="str">
        <x:f>IF(AH92&lt;&gt;1,"",IF(AC92&lt;0,AF92-_xlfn.MAXIFS($AF$8:$AF$507,$AF$8:$AF$507,"&lt;="&amp;AF92,$AC$8:$AC$507,"&gt;=0",$AH$8:$AH$507,1),0))</x:f>
      </x:c>
      <x:c r="AN92" s="20" t="str">
        <x:f>IF(OR(A92="",NOT(ISNUMBER(B92)),NOT(ISNUMBER('Impostazioni'!$B$6))),"",'Impostazioni'!$B$6+SUMIFS($AC$8:$AC$507,$C$8:$C$507,"&lt;"&amp;B92,$AH$8:$AH$507,1)+SUMIFS('Cassa'!$F$8:$F$307,'Cassa'!$A$8:$A$307,"&lt;="&amp;B92,'Cassa'!$G$8:$G$307,"OK"))</x:f>
      </x:c>
      <x:c r="AO92" s="21" t="str">
        <x:f>IF(AND(ISNUMBER(Z92),ISNUMBER(AN92),AN92&gt;0),Z92/AN92,"")</x:f>
      </x:c>
      <x:c r="AP92" s="18" t="str">
        <x:f>IF(NOT(ISNUMBER(AO92)),"",IF(AO92&gt;'Impostazioni'!$B$7,"Oltre soglia personale","Nella soglia personale"))</x:f>
      </x:c>
      <x:c r="AQ92" s="18" t="str">
        <x:f>IF(A92="",IF(COUNTA(B92:V92)=0,"","Inserisci ID"),IF(COUNTIFS($A$8:$A$507,A92)&lt;&gt;1,"ID duplicato",IF(OR(NOT(ISNUMBER(B92)),D92="",E92="",F92="",G92="",H92="",COUNTIFS('Impostazioni'!$J$6:$J$25,F92)&lt;&gt;1),"Completa dati / elenchi",IF(OR(AND(I92&lt;&gt;"Lordo manuale",I92&lt;&gt;"Netto manuale",I92&lt;&gt;"Esecuzioni"),AND(J92&lt;&gt;"Aperto",J92&lt;&gt;"Chiuso",J92&lt;&gt;"Annullato")),"Modalità / stato mancanti",IF(AND(J92&lt;&gt;"Aperto",OR(NOT(ISNUMBER(C92)),C92&lt;B92)),"Correggi data chiusura",IF(OR(AND(Q92&lt;&gt;"",OR(NOT(ISNUMBER(Q92)),Q92&lt;0)),AND(R92&lt;&gt;"",OR(NOT(ISNUMBER(R92)),R92&lt;0,R92&gt;1))),"Commissione non valida",IF(J92="Annullato","OK",IF(OR(NOT(ISNUMBER(Z92)),Z92&lt;0,AND(O92&lt;&gt;"",NOT(ISNUMBER(O92)))),"Inserisci rischio",IF(AND(I92="Esecuzioni",OR(W92=0,COUNTIFS('Esecuzioni'!$A$8:$A$1007,A92,'Esecuzioni'!$Q$8:$Q$1007,"&lt;&gt;OK")&gt;0)),"Correggi esecuzioni",IF(J92="Aperto","OK",IF(AND(I92="Esecuzioni",S92="Coperto",ABS(X92-Y92)&gt;'Impostazioni'!$B$11),"Copertura residua",IF(NOT(ISNUMBER(AC92)),"Completa risultato / esito",IF(AND(Z92=0,AC92&lt;&gt;0),"Rischio nullo con P/L","OK")))))))))))))</x:f>
      </x:c>
      <x:c r="AR92" s="20" t="str">
        <x:f>IF(OR(A92="",J92&lt;&gt;"Aperto",AQ92&lt;&gt;"OK"),"",IF(I92="Esecuzioni",SUMIFS('Esecuzioni'!$P$8:$P$1007,'Esecuzioni'!$A$8:$A$1007,A92,'Esecuzioni'!$B$8:$B$1007,_xlfn.MAXIFS('Esecuzioni'!$B$8:$B$1007,'Esecuzioni'!$A$8:$A$1007,A92)),IF(LEFT(U92,8)="FREEBET:",0,Z92)))</x:f>
      </x:c>
      <x:c r="AS92" s="48" t="str">
        <x:f>IF(OR(A92="",E92=""),"",IF(COUNTIFS($E$8:E92,E92)=1,COUNT($AS$7:AS91)+1,""))</x:f>
      </x:c>
    </x:row>
    <x:row r="93" ht="22" customHeight="1">
      <x:c r="A93" s="7"/>
      <x:c r="B93" s="19"/>
      <x:c r="C93" s="19"/>
      <x:c r="D93" s="7"/>
      <x:c r="E93" s="7"/>
      <x:c r="F93" s="7"/>
      <x:c r="G93" s="7"/>
      <x:c r="H93" s="7"/>
      <x:c r="I93" s="7"/>
      <x:c r="J93" s="7"/>
      <x:c r="K93" s="10"/>
      <x:c r="L93" s="7"/>
      <x:c r="M93" s="10"/>
      <x:c r="N93" s="7"/>
      <x:c r="O93" s="8"/>
      <x:c r="P93" s="8"/>
      <x:c r="Q93" s="8"/>
      <x:c r="R93" s="9"/>
      <x:c r="S93" s="7"/>
      <x:c r="T93" s="7"/>
      <x:c r="U93" s="7"/>
      <x:c r="V93" s="7"/>
      <x:c r="W93" s="22" t="str">
        <x:f>IF(A93="","",COUNTIFS('Esecuzioni'!$A$8:$A$1007,A93,'Esecuzioni'!$Q$8:$Q$1007,"OK"))</x:f>
      </x:c>
      <x:c r="X93" s="20" t="str">
        <x:f>IF(OR(A93="",I93&lt;&gt;"Esecuzioni",W93=0),"",SUMIFS('Esecuzioni'!$L$8:$L$1007,'Esecuzioni'!$A$8:$A$1007,A93))</x:f>
      </x:c>
      <x:c r="Y93" s="20" t="str">
        <x:f>IF(OR(A93="",I93&lt;&gt;"Esecuzioni",W93=0),"",SUMIFS('Esecuzioni'!$M$8:$M$1007,'Esecuzioni'!$A$8:$A$1007,A93))</x:f>
      </x:c>
      <x:c r="Z93" s="20" t="str">
        <x:f>IF(A93="","",IF(J93="Annullato",0,IF(ISNUMBER(O93),O93,IF(AND(I93="Esecuzioni",W93&gt;0),_xlfn.MAXIFS('Esecuzioni'!$P$8:$P$1007,'Esecuzioni'!$A$8:$A$1007,A93),""))))</x:f>
      </x:c>
      <x:c r="AA93" s="20" t="str">
        <x:f>IF(OR(A93="",J93="Aperto"),"",IF(J93="Annullato",0,IF(I93="Lordo manuale",IF(ISNUMBER(P93),P93,""),IF(I93="Netto manuale",IF(AND(ISNUMBER(P93),ISNUMBER(Q93)),P93+Q93,""),IF(OR(W93=0,COUNTIFS('Esecuzioni'!$A$8:$A$1007,A93,'Esecuzioni'!$Q$8:$Q$1007,"&lt;&gt;OK")&gt;0),"",IF(S93="Vince",X93,IF(S93="Perde",Y93,IF(AND(S93="Coperto",ABS(X93-Y93)&lt;='Impostazioni'!$B$11),ROUND((X93+Y93)/2,2),""))))))))</x:f>
      </x:c>
      <x:c r="AB93" s="20" t="str">
        <x:f>IF(NOT(ISNUMBER(AA93)),"",IF(J93="Annullato",0,IF(ISNUMBER(Q93),Q93,ROUND(MAX(0,AA93)*IF(ISNUMBER(R93),R93,'Impostazioni'!$B$8),2))))</x:f>
      </x:c>
      <x:c r="AC93" s="20" t="str">
        <x:f>IF(AND(ISNUMBER(AA93),ISNUMBER(AB93)),ROUND(AA93-AB93,2),"")</x:f>
      </x:c>
      <x:c r="AD93" s="18" t="str">
        <x:f>IF(A93="","",IF(AQ93&lt;&gt;"OK","Incompleto",IF(J93="Aperto","Aperto",IF(J93="Annullato","Annullato",IF(AC93&gt;0,"Green",IF(AC93&lt;0,"Red","Flat"))))))</x:f>
      </x:c>
      <x:c r="AE93" s="21" t="str">
        <x:f>IF(AND(AH93=1,Z93&gt;0),AC93/Z93,"")</x:f>
      </x:c>
      <x:c r="AF93" s="22" t="str">
        <x:f>IF(AH93&lt;&gt;1,"",COUNTIFS($C$8:$C$507,"&lt;"&amp;C93,$AH$8:$AH$507,1)+COUNTIFS($C$8:$C$507,C93,$A$8:$A$507,"&lt;="&amp;A93,$AH$8:$AH$507,1))</x:f>
      </x:c>
      <x:c r="AG93" s="20" t="str">
        <x:f>IF(AH93&lt;&gt;1,"",SUMIFS($AC$8:$AC$507,$C$8:$C$507,"&lt;"&amp;C93,$AH$8:$AH$507,1)+SUMIFS($AC$8:$AC$507,$C$8:$C$507,C93,$A$8:$A$507,"&lt;="&amp;A93,$AH$8:$AH$507,1))</x:f>
      </x:c>
      <x:c r="AH93" s="22" t="str">
        <x:f>IF(A93="","",IF(AND(J93="Chiuso",AQ93="OK",ISNUMBER(AC93)),1,0))</x:f>
      </x:c>
      <x:c r="AI93" s="20" t="str">
        <x:f>IF(AH93&lt;&gt;1,"",MAX(0,_xlfn.MAXIFS($AG$8:$AG$507,$AF$8:$AF$507,"&lt;="&amp;AF93,$AH$8:$AH$507,1)))</x:f>
      </x:c>
      <x:c r="AJ93" s="20" t="str">
        <x:f>IF(AH93&lt;&gt;1,"",MAX(0,AI93-AG93))</x:f>
      </x:c>
      <x:c r="AK93" s="21" t="str">
        <x:f>IF(OR(AH93&lt;&gt;1,NOT(ISNUMBER('Impostazioni'!$B$6)),'Impostazioni'!$B$6+AI93&lt;=0),"",AJ93/('Impostazioni'!$B$6+AI93))</x:f>
      </x:c>
      <x:c r="AL93" s="22" t="str">
        <x:f>IF(AH93&lt;&gt;1,"",IF(AC93&gt;0,AF93-_xlfn.MAXIFS($AF$8:$AF$507,$AF$8:$AF$507,"&lt;="&amp;AF93,$AC$8:$AC$507,"&lt;=0",$AH$8:$AH$507,1),0))</x:f>
      </x:c>
      <x:c r="AM93" s="22" t="str">
        <x:f>IF(AH93&lt;&gt;1,"",IF(AC93&lt;0,AF93-_xlfn.MAXIFS($AF$8:$AF$507,$AF$8:$AF$507,"&lt;="&amp;AF93,$AC$8:$AC$507,"&gt;=0",$AH$8:$AH$507,1),0))</x:f>
      </x:c>
      <x:c r="AN93" s="20" t="str">
        <x:f>IF(OR(A93="",NOT(ISNUMBER(B93)),NOT(ISNUMBER('Impostazioni'!$B$6))),"",'Impostazioni'!$B$6+SUMIFS($AC$8:$AC$507,$C$8:$C$507,"&lt;"&amp;B93,$AH$8:$AH$507,1)+SUMIFS('Cassa'!$F$8:$F$307,'Cassa'!$A$8:$A$307,"&lt;="&amp;B93,'Cassa'!$G$8:$G$307,"OK"))</x:f>
      </x:c>
      <x:c r="AO93" s="21" t="str">
        <x:f>IF(AND(ISNUMBER(Z93),ISNUMBER(AN93),AN93&gt;0),Z93/AN93,"")</x:f>
      </x:c>
      <x:c r="AP93" s="18" t="str">
        <x:f>IF(NOT(ISNUMBER(AO93)),"",IF(AO93&gt;'Impostazioni'!$B$7,"Oltre soglia personale","Nella soglia personale"))</x:f>
      </x:c>
      <x:c r="AQ93" s="18" t="str">
        <x:f>IF(A93="",IF(COUNTA(B93:V93)=0,"","Inserisci ID"),IF(COUNTIFS($A$8:$A$507,A93)&lt;&gt;1,"ID duplicato",IF(OR(NOT(ISNUMBER(B93)),D93="",E93="",F93="",G93="",H93="",COUNTIFS('Impostazioni'!$J$6:$J$25,F93)&lt;&gt;1),"Completa dati / elenchi",IF(OR(AND(I93&lt;&gt;"Lordo manuale",I93&lt;&gt;"Netto manuale",I93&lt;&gt;"Esecuzioni"),AND(J93&lt;&gt;"Aperto",J93&lt;&gt;"Chiuso",J93&lt;&gt;"Annullato")),"Modalità / stato mancanti",IF(AND(J93&lt;&gt;"Aperto",OR(NOT(ISNUMBER(C93)),C93&lt;B93)),"Correggi data chiusura",IF(OR(AND(Q93&lt;&gt;"",OR(NOT(ISNUMBER(Q93)),Q93&lt;0)),AND(R93&lt;&gt;"",OR(NOT(ISNUMBER(R93)),R93&lt;0,R93&gt;1))),"Commissione non valida",IF(J93="Annullato","OK",IF(OR(NOT(ISNUMBER(Z93)),Z93&lt;0,AND(O93&lt;&gt;"",NOT(ISNUMBER(O93)))),"Inserisci rischio",IF(AND(I93="Esecuzioni",OR(W93=0,COUNTIFS('Esecuzioni'!$A$8:$A$1007,A93,'Esecuzioni'!$Q$8:$Q$1007,"&lt;&gt;OK")&gt;0)),"Correggi esecuzioni",IF(J93="Aperto","OK",IF(AND(I93="Esecuzioni",S93="Coperto",ABS(X93-Y93)&gt;'Impostazioni'!$B$11),"Copertura residua",IF(NOT(ISNUMBER(AC93)),"Completa risultato / esito",IF(AND(Z93=0,AC93&lt;&gt;0),"Rischio nullo con P/L","OK")))))))))))))</x:f>
      </x:c>
      <x:c r="AR93" s="20" t="str">
        <x:f>IF(OR(A93="",J93&lt;&gt;"Aperto",AQ93&lt;&gt;"OK"),"",IF(I93="Esecuzioni",SUMIFS('Esecuzioni'!$P$8:$P$1007,'Esecuzioni'!$A$8:$A$1007,A93,'Esecuzioni'!$B$8:$B$1007,_xlfn.MAXIFS('Esecuzioni'!$B$8:$B$1007,'Esecuzioni'!$A$8:$A$1007,A93)),IF(LEFT(U93,8)="FREEBET:",0,Z93)))</x:f>
      </x:c>
      <x:c r="AS93" s="48" t="str">
        <x:f>IF(OR(A93="",E93=""),"",IF(COUNTIFS($E$8:E93,E93)=1,COUNT($AS$7:AS92)+1,""))</x:f>
      </x:c>
    </x:row>
    <x:row r="94" ht="22" customHeight="1">
      <x:c r="A94" s="7"/>
      <x:c r="B94" s="19"/>
      <x:c r="C94" s="19"/>
      <x:c r="D94" s="7"/>
      <x:c r="E94" s="7"/>
      <x:c r="F94" s="7"/>
      <x:c r="G94" s="7"/>
      <x:c r="H94" s="7"/>
      <x:c r="I94" s="7"/>
      <x:c r="J94" s="7"/>
      <x:c r="K94" s="10"/>
      <x:c r="L94" s="7"/>
      <x:c r="M94" s="10"/>
      <x:c r="N94" s="7"/>
      <x:c r="O94" s="8"/>
      <x:c r="P94" s="8"/>
      <x:c r="Q94" s="8"/>
      <x:c r="R94" s="9"/>
      <x:c r="S94" s="7"/>
      <x:c r="T94" s="7"/>
      <x:c r="U94" s="7"/>
      <x:c r="V94" s="7"/>
      <x:c r="W94" s="22" t="str">
        <x:f>IF(A94="","",COUNTIFS('Esecuzioni'!$A$8:$A$1007,A94,'Esecuzioni'!$Q$8:$Q$1007,"OK"))</x:f>
      </x:c>
      <x:c r="X94" s="20" t="str">
        <x:f>IF(OR(A94="",I94&lt;&gt;"Esecuzioni",W94=0),"",SUMIFS('Esecuzioni'!$L$8:$L$1007,'Esecuzioni'!$A$8:$A$1007,A94))</x:f>
      </x:c>
      <x:c r="Y94" s="20" t="str">
        <x:f>IF(OR(A94="",I94&lt;&gt;"Esecuzioni",W94=0),"",SUMIFS('Esecuzioni'!$M$8:$M$1007,'Esecuzioni'!$A$8:$A$1007,A94))</x:f>
      </x:c>
      <x:c r="Z94" s="20" t="str">
        <x:f>IF(A94="","",IF(J94="Annullato",0,IF(ISNUMBER(O94),O94,IF(AND(I94="Esecuzioni",W94&gt;0),_xlfn.MAXIFS('Esecuzioni'!$P$8:$P$1007,'Esecuzioni'!$A$8:$A$1007,A94),""))))</x:f>
      </x:c>
      <x:c r="AA94" s="20" t="str">
        <x:f>IF(OR(A94="",J94="Aperto"),"",IF(J94="Annullato",0,IF(I94="Lordo manuale",IF(ISNUMBER(P94),P94,""),IF(I94="Netto manuale",IF(AND(ISNUMBER(P94),ISNUMBER(Q94)),P94+Q94,""),IF(OR(W94=0,COUNTIFS('Esecuzioni'!$A$8:$A$1007,A94,'Esecuzioni'!$Q$8:$Q$1007,"&lt;&gt;OK")&gt;0),"",IF(S94="Vince",X94,IF(S94="Perde",Y94,IF(AND(S94="Coperto",ABS(X94-Y94)&lt;='Impostazioni'!$B$11),ROUND((X94+Y94)/2,2),""))))))))</x:f>
      </x:c>
      <x:c r="AB94" s="20" t="str">
        <x:f>IF(NOT(ISNUMBER(AA94)),"",IF(J94="Annullato",0,IF(ISNUMBER(Q94),Q94,ROUND(MAX(0,AA94)*IF(ISNUMBER(R94),R94,'Impostazioni'!$B$8),2))))</x:f>
      </x:c>
      <x:c r="AC94" s="20" t="str">
        <x:f>IF(AND(ISNUMBER(AA94),ISNUMBER(AB94)),ROUND(AA94-AB94,2),"")</x:f>
      </x:c>
      <x:c r="AD94" s="18" t="str">
        <x:f>IF(A94="","",IF(AQ94&lt;&gt;"OK","Incompleto",IF(J94="Aperto","Aperto",IF(J94="Annullato","Annullato",IF(AC94&gt;0,"Green",IF(AC94&lt;0,"Red","Flat"))))))</x:f>
      </x:c>
      <x:c r="AE94" s="21" t="str">
        <x:f>IF(AND(AH94=1,Z94&gt;0),AC94/Z94,"")</x:f>
      </x:c>
      <x:c r="AF94" s="22" t="str">
        <x:f>IF(AH94&lt;&gt;1,"",COUNTIFS($C$8:$C$507,"&lt;"&amp;C94,$AH$8:$AH$507,1)+COUNTIFS($C$8:$C$507,C94,$A$8:$A$507,"&lt;="&amp;A94,$AH$8:$AH$507,1))</x:f>
      </x:c>
      <x:c r="AG94" s="20" t="str">
        <x:f>IF(AH94&lt;&gt;1,"",SUMIFS($AC$8:$AC$507,$C$8:$C$507,"&lt;"&amp;C94,$AH$8:$AH$507,1)+SUMIFS($AC$8:$AC$507,$C$8:$C$507,C94,$A$8:$A$507,"&lt;="&amp;A94,$AH$8:$AH$507,1))</x:f>
      </x:c>
      <x:c r="AH94" s="22" t="str">
        <x:f>IF(A94="","",IF(AND(J94="Chiuso",AQ94="OK",ISNUMBER(AC94)),1,0))</x:f>
      </x:c>
      <x:c r="AI94" s="20" t="str">
        <x:f>IF(AH94&lt;&gt;1,"",MAX(0,_xlfn.MAXIFS($AG$8:$AG$507,$AF$8:$AF$507,"&lt;="&amp;AF94,$AH$8:$AH$507,1)))</x:f>
      </x:c>
      <x:c r="AJ94" s="20" t="str">
        <x:f>IF(AH94&lt;&gt;1,"",MAX(0,AI94-AG94))</x:f>
      </x:c>
      <x:c r="AK94" s="21" t="str">
        <x:f>IF(OR(AH94&lt;&gt;1,NOT(ISNUMBER('Impostazioni'!$B$6)),'Impostazioni'!$B$6+AI94&lt;=0),"",AJ94/('Impostazioni'!$B$6+AI94))</x:f>
      </x:c>
      <x:c r="AL94" s="22" t="str">
        <x:f>IF(AH94&lt;&gt;1,"",IF(AC94&gt;0,AF94-_xlfn.MAXIFS($AF$8:$AF$507,$AF$8:$AF$507,"&lt;="&amp;AF94,$AC$8:$AC$507,"&lt;=0",$AH$8:$AH$507,1),0))</x:f>
      </x:c>
      <x:c r="AM94" s="22" t="str">
        <x:f>IF(AH94&lt;&gt;1,"",IF(AC94&lt;0,AF94-_xlfn.MAXIFS($AF$8:$AF$507,$AF$8:$AF$507,"&lt;="&amp;AF94,$AC$8:$AC$507,"&gt;=0",$AH$8:$AH$507,1),0))</x:f>
      </x:c>
      <x:c r="AN94" s="20" t="str">
        <x:f>IF(OR(A94="",NOT(ISNUMBER(B94)),NOT(ISNUMBER('Impostazioni'!$B$6))),"",'Impostazioni'!$B$6+SUMIFS($AC$8:$AC$507,$C$8:$C$507,"&lt;"&amp;B94,$AH$8:$AH$507,1)+SUMIFS('Cassa'!$F$8:$F$307,'Cassa'!$A$8:$A$307,"&lt;="&amp;B94,'Cassa'!$G$8:$G$307,"OK"))</x:f>
      </x:c>
      <x:c r="AO94" s="21" t="str">
        <x:f>IF(AND(ISNUMBER(Z94),ISNUMBER(AN94),AN94&gt;0),Z94/AN94,"")</x:f>
      </x:c>
      <x:c r="AP94" s="18" t="str">
        <x:f>IF(NOT(ISNUMBER(AO94)),"",IF(AO94&gt;'Impostazioni'!$B$7,"Oltre soglia personale","Nella soglia personale"))</x:f>
      </x:c>
      <x:c r="AQ94" s="18" t="str">
        <x:f>IF(A94="",IF(COUNTA(B94:V94)=0,"","Inserisci ID"),IF(COUNTIFS($A$8:$A$507,A94)&lt;&gt;1,"ID duplicato",IF(OR(NOT(ISNUMBER(B94)),D94="",E94="",F94="",G94="",H94="",COUNTIFS('Impostazioni'!$J$6:$J$25,F94)&lt;&gt;1),"Completa dati / elenchi",IF(OR(AND(I94&lt;&gt;"Lordo manuale",I94&lt;&gt;"Netto manuale",I94&lt;&gt;"Esecuzioni"),AND(J94&lt;&gt;"Aperto",J94&lt;&gt;"Chiuso",J94&lt;&gt;"Annullato")),"Modalità / stato mancanti",IF(AND(J94&lt;&gt;"Aperto",OR(NOT(ISNUMBER(C94)),C94&lt;B94)),"Correggi data chiusura",IF(OR(AND(Q94&lt;&gt;"",OR(NOT(ISNUMBER(Q94)),Q94&lt;0)),AND(R94&lt;&gt;"",OR(NOT(ISNUMBER(R94)),R94&lt;0,R94&gt;1))),"Commissione non valida",IF(J94="Annullato","OK",IF(OR(NOT(ISNUMBER(Z94)),Z94&lt;0,AND(O94&lt;&gt;"",NOT(ISNUMBER(O94)))),"Inserisci rischio",IF(AND(I94="Esecuzioni",OR(W94=0,COUNTIFS('Esecuzioni'!$A$8:$A$1007,A94,'Esecuzioni'!$Q$8:$Q$1007,"&lt;&gt;OK")&gt;0)),"Correggi esecuzioni",IF(J94="Aperto","OK",IF(AND(I94="Esecuzioni",S94="Coperto",ABS(X94-Y94)&gt;'Impostazioni'!$B$11),"Copertura residua",IF(NOT(ISNUMBER(AC94)),"Completa risultato / esito",IF(AND(Z94=0,AC94&lt;&gt;0),"Rischio nullo con P/L","OK")))))))))))))</x:f>
      </x:c>
      <x:c r="AR94" s="20" t="str">
        <x:f>IF(OR(A94="",J94&lt;&gt;"Aperto",AQ94&lt;&gt;"OK"),"",IF(I94="Esecuzioni",SUMIFS('Esecuzioni'!$P$8:$P$1007,'Esecuzioni'!$A$8:$A$1007,A94,'Esecuzioni'!$B$8:$B$1007,_xlfn.MAXIFS('Esecuzioni'!$B$8:$B$1007,'Esecuzioni'!$A$8:$A$1007,A94)),IF(LEFT(U94,8)="FREEBET:",0,Z94)))</x:f>
      </x:c>
      <x:c r="AS94" s="48" t="str">
        <x:f>IF(OR(A94="",E94=""),"",IF(COUNTIFS($E$8:E94,E94)=1,COUNT($AS$7:AS93)+1,""))</x:f>
      </x:c>
    </x:row>
    <x:row r="95" ht="22" customHeight="1">
      <x:c r="A95" s="7"/>
      <x:c r="B95" s="19"/>
      <x:c r="C95" s="19"/>
      <x:c r="D95" s="7"/>
      <x:c r="E95" s="7"/>
      <x:c r="F95" s="7"/>
      <x:c r="G95" s="7"/>
      <x:c r="H95" s="7"/>
      <x:c r="I95" s="7"/>
      <x:c r="J95" s="7"/>
      <x:c r="K95" s="10"/>
      <x:c r="L95" s="7"/>
      <x:c r="M95" s="10"/>
      <x:c r="N95" s="7"/>
      <x:c r="O95" s="8"/>
      <x:c r="P95" s="8"/>
      <x:c r="Q95" s="8"/>
      <x:c r="R95" s="9"/>
      <x:c r="S95" s="7"/>
      <x:c r="T95" s="7"/>
      <x:c r="U95" s="7"/>
      <x:c r="V95" s="7"/>
      <x:c r="W95" s="22" t="str">
        <x:f>IF(A95="","",COUNTIFS('Esecuzioni'!$A$8:$A$1007,A95,'Esecuzioni'!$Q$8:$Q$1007,"OK"))</x:f>
      </x:c>
      <x:c r="X95" s="20" t="str">
        <x:f>IF(OR(A95="",I95&lt;&gt;"Esecuzioni",W95=0),"",SUMIFS('Esecuzioni'!$L$8:$L$1007,'Esecuzioni'!$A$8:$A$1007,A95))</x:f>
      </x:c>
      <x:c r="Y95" s="20" t="str">
        <x:f>IF(OR(A95="",I95&lt;&gt;"Esecuzioni",W95=0),"",SUMIFS('Esecuzioni'!$M$8:$M$1007,'Esecuzioni'!$A$8:$A$1007,A95))</x:f>
      </x:c>
      <x:c r="Z95" s="20" t="str">
        <x:f>IF(A95="","",IF(J95="Annullato",0,IF(ISNUMBER(O95),O95,IF(AND(I95="Esecuzioni",W95&gt;0),_xlfn.MAXIFS('Esecuzioni'!$P$8:$P$1007,'Esecuzioni'!$A$8:$A$1007,A95),""))))</x:f>
      </x:c>
      <x:c r="AA95" s="20" t="str">
        <x:f>IF(OR(A95="",J95="Aperto"),"",IF(J95="Annullato",0,IF(I95="Lordo manuale",IF(ISNUMBER(P95),P95,""),IF(I95="Netto manuale",IF(AND(ISNUMBER(P95),ISNUMBER(Q95)),P95+Q95,""),IF(OR(W95=0,COUNTIFS('Esecuzioni'!$A$8:$A$1007,A95,'Esecuzioni'!$Q$8:$Q$1007,"&lt;&gt;OK")&gt;0),"",IF(S95="Vince",X95,IF(S95="Perde",Y95,IF(AND(S95="Coperto",ABS(X95-Y95)&lt;='Impostazioni'!$B$11),ROUND((X95+Y95)/2,2),""))))))))</x:f>
      </x:c>
      <x:c r="AB95" s="20" t="str">
        <x:f>IF(NOT(ISNUMBER(AA95)),"",IF(J95="Annullato",0,IF(ISNUMBER(Q95),Q95,ROUND(MAX(0,AA95)*IF(ISNUMBER(R95),R95,'Impostazioni'!$B$8),2))))</x:f>
      </x:c>
      <x:c r="AC95" s="20" t="str">
        <x:f>IF(AND(ISNUMBER(AA95),ISNUMBER(AB95)),ROUND(AA95-AB95,2),"")</x:f>
      </x:c>
      <x:c r="AD95" s="18" t="str">
        <x:f>IF(A95="","",IF(AQ95&lt;&gt;"OK","Incompleto",IF(J95="Aperto","Aperto",IF(J95="Annullato","Annullato",IF(AC95&gt;0,"Green",IF(AC95&lt;0,"Red","Flat"))))))</x:f>
      </x:c>
      <x:c r="AE95" s="21" t="str">
        <x:f>IF(AND(AH95=1,Z95&gt;0),AC95/Z95,"")</x:f>
      </x:c>
      <x:c r="AF95" s="22" t="str">
        <x:f>IF(AH95&lt;&gt;1,"",COUNTIFS($C$8:$C$507,"&lt;"&amp;C95,$AH$8:$AH$507,1)+COUNTIFS($C$8:$C$507,C95,$A$8:$A$507,"&lt;="&amp;A95,$AH$8:$AH$507,1))</x:f>
      </x:c>
      <x:c r="AG95" s="20" t="str">
        <x:f>IF(AH95&lt;&gt;1,"",SUMIFS($AC$8:$AC$507,$C$8:$C$507,"&lt;"&amp;C95,$AH$8:$AH$507,1)+SUMIFS($AC$8:$AC$507,$C$8:$C$507,C95,$A$8:$A$507,"&lt;="&amp;A95,$AH$8:$AH$507,1))</x:f>
      </x:c>
      <x:c r="AH95" s="22" t="str">
        <x:f>IF(A95="","",IF(AND(J95="Chiuso",AQ95="OK",ISNUMBER(AC95)),1,0))</x:f>
      </x:c>
      <x:c r="AI95" s="20" t="str">
        <x:f>IF(AH95&lt;&gt;1,"",MAX(0,_xlfn.MAXIFS($AG$8:$AG$507,$AF$8:$AF$507,"&lt;="&amp;AF95,$AH$8:$AH$507,1)))</x:f>
      </x:c>
      <x:c r="AJ95" s="20" t="str">
        <x:f>IF(AH95&lt;&gt;1,"",MAX(0,AI95-AG95))</x:f>
      </x:c>
      <x:c r="AK95" s="21" t="str">
        <x:f>IF(OR(AH95&lt;&gt;1,NOT(ISNUMBER('Impostazioni'!$B$6)),'Impostazioni'!$B$6+AI95&lt;=0),"",AJ95/('Impostazioni'!$B$6+AI95))</x:f>
      </x:c>
      <x:c r="AL95" s="22" t="str">
        <x:f>IF(AH95&lt;&gt;1,"",IF(AC95&gt;0,AF95-_xlfn.MAXIFS($AF$8:$AF$507,$AF$8:$AF$507,"&lt;="&amp;AF95,$AC$8:$AC$507,"&lt;=0",$AH$8:$AH$507,1),0))</x:f>
      </x:c>
      <x:c r="AM95" s="22" t="str">
        <x:f>IF(AH95&lt;&gt;1,"",IF(AC95&lt;0,AF95-_xlfn.MAXIFS($AF$8:$AF$507,$AF$8:$AF$507,"&lt;="&amp;AF95,$AC$8:$AC$507,"&gt;=0",$AH$8:$AH$507,1),0))</x:f>
      </x:c>
      <x:c r="AN95" s="20" t="str">
        <x:f>IF(OR(A95="",NOT(ISNUMBER(B95)),NOT(ISNUMBER('Impostazioni'!$B$6))),"",'Impostazioni'!$B$6+SUMIFS($AC$8:$AC$507,$C$8:$C$507,"&lt;"&amp;B95,$AH$8:$AH$507,1)+SUMIFS('Cassa'!$F$8:$F$307,'Cassa'!$A$8:$A$307,"&lt;="&amp;B95,'Cassa'!$G$8:$G$307,"OK"))</x:f>
      </x:c>
      <x:c r="AO95" s="21" t="str">
        <x:f>IF(AND(ISNUMBER(Z95),ISNUMBER(AN95),AN95&gt;0),Z95/AN95,"")</x:f>
      </x:c>
      <x:c r="AP95" s="18" t="str">
        <x:f>IF(NOT(ISNUMBER(AO95)),"",IF(AO95&gt;'Impostazioni'!$B$7,"Oltre soglia personale","Nella soglia personale"))</x:f>
      </x:c>
      <x:c r="AQ95" s="18" t="str">
        <x:f>IF(A95="",IF(COUNTA(B95:V95)=0,"","Inserisci ID"),IF(COUNTIFS($A$8:$A$507,A95)&lt;&gt;1,"ID duplicato",IF(OR(NOT(ISNUMBER(B95)),D95="",E95="",F95="",G95="",H95="",COUNTIFS('Impostazioni'!$J$6:$J$25,F95)&lt;&gt;1),"Completa dati / elenchi",IF(OR(AND(I95&lt;&gt;"Lordo manuale",I95&lt;&gt;"Netto manuale",I95&lt;&gt;"Esecuzioni"),AND(J95&lt;&gt;"Aperto",J95&lt;&gt;"Chiuso",J95&lt;&gt;"Annullato")),"Modalità / stato mancanti",IF(AND(J95&lt;&gt;"Aperto",OR(NOT(ISNUMBER(C95)),C95&lt;B95)),"Correggi data chiusura",IF(OR(AND(Q95&lt;&gt;"",OR(NOT(ISNUMBER(Q95)),Q95&lt;0)),AND(R95&lt;&gt;"",OR(NOT(ISNUMBER(R95)),R95&lt;0,R95&gt;1))),"Commissione non valida",IF(J95="Annullato","OK",IF(OR(NOT(ISNUMBER(Z95)),Z95&lt;0,AND(O95&lt;&gt;"",NOT(ISNUMBER(O95)))),"Inserisci rischio",IF(AND(I95="Esecuzioni",OR(W95=0,COUNTIFS('Esecuzioni'!$A$8:$A$1007,A95,'Esecuzioni'!$Q$8:$Q$1007,"&lt;&gt;OK")&gt;0)),"Correggi esecuzioni",IF(J95="Aperto","OK",IF(AND(I95="Esecuzioni",S95="Coperto",ABS(X95-Y95)&gt;'Impostazioni'!$B$11),"Copertura residua",IF(NOT(ISNUMBER(AC95)),"Completa risultato / esito",IF(AND(Z95=0,AC95&lt;&gt;0),"Rischio nullo con P/L","OK")))))))))))))</x:f>
      </x:c>
      <x:c r="AR95" s="20" t="str">
        <x:f>IF(OR(A95="",J95&lt;&gt;"Aperto",AQ95&lt;&gt;"OK"),"",IF(I95="Esecuzioni",SUMIFS('Esecuzioni'!$P$8:$P$1007,'Esecuzioni'!$A$8:$A$1007,A95,'Esecuzioni'!$B$8:$B$1007,_xlfn.MAXIFS('Esecuzioni'!$B$8:$B$1007,'Esecuzioni'!$A$8:$A$1007,A95)),IF(LEFT(U95,8)="FREEBET:",0,Z95)))</x:f>
      </x:c>
      <x:c r="AS95" s="48" t="str">
        <x:f>IF(OR(A95="",E95=""),"",IF(COUNTIFS($E$8:E95,E95)=1,COUNT($AS$7:AS94)+1,""))</x:f>
      </x:c>
    </x:row>
    <x:row r="96" ht="22" customHeight="1">
      <x:c r="A96" s="7"/>
      <x:c r="B96" s="19"/>
      <x:c r="C96" s="19"/>
      <x:c r="D96" s="7"/>
      <x:c r="E96" s="7"/>
      <x:c r="F96" s="7"/>
      <x:c r="G96" s="7"/>
      <x:c r="H96" s="7"/>
      <x:c r="I96" s="7"/>
      <x:c r="J96" s="7"/>
      <x:c r="K96" s="10"/>
      <x:c r="L96" s="7"/>
      <x:c r="M96" s="10"/>
      <x:c r="N96" s="7"/>
      <x:c r="O96" s="8"/>
      <x:c r="P96" s="8"/>
      <x:c r="Q96" s="8"/>
      <x:c r="R96" s="9"/>
      <x:c r="S96" s="7"/>
      <x:c r="T96" s="7"/>
      <x:c r="U96" s="7"/>
      <x:c r="V96" s="7"/>
      <x:c r="W96" s="22" t="str">
        <x:f>IF(A96="","",COUNTIFS('Esecuzioni'!$A$8:$A$1007,A96,'Esecuzioni'!$Q$8:$Q$1007,"OK"))</x:f>
      </x:c>
      <x:c r="X96" s="20" t="str">
        <x:f>IF(OR(A96="",I96&lt;&gt;"Esecuzioni",W96=0),"",SUMIFS('Esecuzioni'!$L$8:$L$1007,'Esecuzioni'!$A$8:$A$1007,A96))</x:f>
      </x:c>
      <x:c r="Y96" s="20" t="str">
        <x:f>IF(OR(A96="",I96&lt;&gt;"Esecuzioni",W96=0),"",SUMIFS('Esecuzioni'!$M$8:$M$1007,'Esecuzioni'!$A$8:$A$1007,A96))</x:f>
      </x:c>
      <x:c r="Z96" s="20" t="str">
        <x:f>IF(A96="","",IF(J96="Annullato",0,IF(ISNUMBER(O96),O96,IF(AND(I96="Esecuzioni",W96&gt;0),_xlfn.MAXIFS('Esecuzioni'!$P$8:$P$1007,'Esecuzioni'!$A$8:$A$1007,A96),""))))</x:f>
      </x:c>
      <x:c r="AA96" s="20" t="str">
        <x:f>IF(OR(A96="",J96="Aperto"),"",IF(J96="Annullato",0,IF(I96="Lordo manuale",IF(ISNUMBER(P96),P96,""),IF(I96="Netto manuale",IF(AND(ISNUMBER(P96),ISNUMBER(Q96)),P96+Q96,""),IF(OR(W96=0,COUNTIFS('Esecuzioni'!$A$8:$A$1007,A96,'Esecuzioni'!$Q$8:$Q$1007,"&lt;&gt;OK")&gt;0),"",IF(S96="Vince",X96,IF(S96="Perde",Y96,IF(AND(S96="Coperto",ABS(X96-Y96)&lt;='Impostazioni'!$B$11),ROUND((X96+Y96)/2,2),""))))))))</x:f>
      </x:c>
      <x:c r="AB96" s="20" t="str">
        <x:f>IF(NOT(ISNUMBER(AA96)),"",IF(J96="Annullato",0,IF(ISNUMBER(Q96),Q96,ROUND(MAX(0,AA96)*IF(ISNUMBER(R96),R96,'Impostazioni'!$B$8),2))))</x:f>
      </x:c>
      <x:c r="AC96" s="20" t="str">
        <x:f>IF(AND(ISNUMBER(AA96),ISNUMBER(AB96)),ROUND(AA96-AB96,2),"")</x:f>
      </x:c>
      <x:c r="AD96" s="18" t="str">
        <x:f>IF(A96="","",IF(AQ96&lt;&gt;"OK","Incompleto",IF(J96="Aperto","Aperto",IF(J96="Annullato","Annullato",IF(AC96&gt;0,"Green",IF(AC96&lt;0,"Red","Flat"))))))</x:f>
      </x:c>
      <x:c r="AE96" s="21" t="str">
        <x:f>IF(AND(AH96=1,Z96&gt;0),AC96/Z96,"")</x:f>
      </x:c>
      <x:c r="AF96" s="22" t="str">
        <x:f>IF(AH96&lt;&gt;1,"",COUNTIFS($C$8:$C$507,"&lt;"&amp;C96,$AH$8:$AH$507,1)+COUNTIFS($C$8:$C$507,C96,$A$8:$A$507,"&lt;="&amp;A96,$AH$8:$AH$507,1))</x:f>
      </x:c>
      <x:c r="AG96" s="20" t="str">
        <x:f>IF(AH96&lt;&gt;1,"",SUMIFS($AC$8:$AC$507,$C$8:$C$507,"&lt;"&amp;C96,$AH$8:$AH$507,1)+SUMIFS($AC$8:$AC$507,$C$8:$C$507,C96,$A$8:$A$507,"&lt;="&amp;A96,$AH$8:$AH$507,1))</x:f>
      </x:c>
      <x:c r="AH96" s="22" t="str">
        <x:f>IF(A96="","",IF(AND(J96="Chiuso",AQ96="OK",ISNUMBER(AC96)),1,0))</x:f>
      </x:c>
      <x:c r="AI96" s="20" t="str">
        <x:f>IF(AH96&lt;&gt;1,"",MAX(0,_xlfn.MAXIFS($AG$8:$AG$507,$AF$8:$AF$507,"&lt;="&amp;AF96,$AH$8:$AH$507,1)))</x:f>
      </x:c>
      <x:c r="AJ96" s="20" t="str">
        <x:f>IF(AH96&lt;&gt;1,"",MAX(0,AI96-AG96))</x:f>
      </x:c>
      <x:c r="AK96" s="21" t="str">
        <x:f>IF(OR(AH96&lt;&gt;1,NOT(ISNUMBER('Impostazioni'!$B$6)),'Impostazioni'!$B$6+AI96&lt;=0),"",AJ96/('Impostazioni'!$B$6+AI96))</x:f>
      </x:c>
      <x:c r="AL96" s="22" t="str">
        <x:f>IF(AH96&lt;&gt;1,"",IF(AC96&gt;0,AF96-_xlfn.MAXIFS($AF$8:$AF$507,$AF$8:$AF$507,"&lt;="&amp;AF96,$AC$8:$AC$507,"&lt;=0",$AH$8:$AH$507,1),0))</x:f>
      </x:c>
      <x:c r="AM96" s="22" t="str">
        <x:f>IF(AH96&lt;&gt;1,"",IF(AC96&lt;0,AF96-_xlfn.MAXIFS($AF$8:$AF$507,$AF$8:$AF$507,"&lt;="&amp;AF96,$AC$8:$AC$507,"&gt;=0",$AH$8:$AH$507,1),0))</x:f>
      </x:c>
      <x:c r="AN96" s="20" t="str">
        <x:f>IF(OR(A96="",NOT(ISNUMBER(B96)),NOT(ISNUMBER('Impostazioni'!$B$6))),"",'Impostazioni'!$B$6+SUMIFS($AC$8:$AC$507,$C$8:$C$507,"&lt;"&amp;B96,$AH$8:$AH$507,1)+SUMIFS('Cassa'!$F$8:$F$307,'Cassa'!$A$8:$A$307,"&lt;="&amp;B96,'Cassa'!$G$8:$G$307,"OK"))</x:f>
      </x:c>
      <x:c r="AO96" s="21" t="str">
        <x:f>IF(AND(ISNUMBER(Z96),ISNUMBER(AN96),AN96&gt;0),Z96/AN96,"")</x:f>
      </x:c>
      <x:c r="AP96" s="18" t="str">
        <x:f>IF(NOT(ISNUMBER(AO96)),"",IF(AO96&gt;'Impostazioni'!$B$7,"Oltre soglia personale","Nella soglia personale"))</x:f>
      </x:c>
      <x:c r="AQ96" s="18" t="str">
        <x:f>IF(A96="",IF(COUNTA(B96:V96)=0,"","Inserisci ID"),IF(COUNTIFS($A$8:$A$507,A96)&lt;&gt;1,"ID duplicato",IF(OR(NOT(ISNUMBER(B96)),D96="",E96="",F96="",G96="",H96="",COUNTIFS('Impostazioni'!$J$6:$J$25,F96)&lt;&gt;1),"Completa dati / elenchi",IF(OR(AND(I96&lt;&gt;"Lordo manuale",I96&lt;&gt;"Netto manuale",I96&lt;&gt;"Esecuzioni"),AND(J96&lt;&gt;"Aperto",J96&lt;&gt;"Chiuso",J96&lt;&gt;"Annullato")),"Modalità / stato mancanti",IF(AND(J96&lt;&gt;"Aperto",OR(NOT(ISNUMBER(C96)),C96&lt;B96)),"Correggi data chiusura",IF(OR(AND(Q96&lt;&gt;"",OR(NOT(ISNUMBER(Q96)),Q96&lt;0)),AND(R96&lt;&gt;"",OR(NOT(ISNUMBER(R96)),R96&lt;0,R96&gt;1))),"Commissione non valida",IF(J96="Annullato","OK",IF(OR(NOT(ISNUMBER(Z96)),Z96&lt;0,AND(O96&lt;&gt;"",NOT(ISNUMBER(O96)))),"Inserisci rischio",IF(AND(I96="Esecuzioni",OR(W96=0,COUNTIFS('Esecuzioni'!$A$8:$A$1007,A96,'Esecuzioni'!$Q$8:$Q$1007,"&lt;&gt;OK")&gt;0)),"Correggi esecuzioni",IF(J96="Aperto","OK",IF(AND(I96="Esecuzioni",S96="Coperto",ABS(X96-Y96)&gt;'Impostazioni'!$B$11),"Copertura residua",IF(NOT(ISNUMBER(AC96)),"Completa risultato / esito",IF(AND(Z96=0,AC96&lt;&gt;0),"Rischio nullo con P/L","OK")))))))))))))</x:f>
      </x:c>
      <x:c r="AR96" s="20" t="str">
        <x:f>IF(OR(A96="",J96&lt;&gt;"Aperto",AQ96&lt;&gt;"OK"),"",IF(I96="Esecuzioni",SUMIFS('Esecuzioni'!$P$8:$P$1007,'Esecuzioni'!$A$8:$A$1007,A96,'Esecuzioni'!$B$8:$B$1007,_xlfn.MAXIFS('Esecuzioni'!$B$8:$B$1007,'Esecuzioni'!$A$8:$A$1007,A96)),IF(LEFT(U96,8)="FREEBET:",0,Z96)))</x:f>
      </x:c>
      <x:c r="AS96" s="48" t="str">
        <x:f>IF(OR(A96="",E96=""),"",IF(COUNTIFS($E$8:E96,E96)=1,COUNT($AS$7:AS95)+1,""))</x:f>
      </x:c>
    </x:row>
    <x:row r="97" ht="22" customHeight="1">
      <x:c r="A97" s="7"/>
      <x:c r="B97" s="19"/>
      <x:c r="C97" s="19"/>
      <x:c r="D97" s="7"/>
      <x:c r="E97" s="7"/>
      <x:c r="F97" s="7"/>
      <x:c r="G97" s="7"/>
      <x:c r="H97" s="7"/>
      <x:c r="I97" s="7"/>
      <x:c r="J97" s="7"/>
      <x:c r="K97" s="10"/>
      <x:c r="L97" s="7"/>
      <x:c r="M97" s="10"/>
      <x:c r="N97" s="7"/>
      <x:c r="O97" s="8"/>
      <x:c r="P97" s="8"/>
      <x:c r="Q97" s="8"/>
      <x:c r="R97" s="9"/>
      <x:c r="S97" s="7"/>
      <x:c r="T97" s="7"/>
      <x:c r="U97" s="7"/>
      <x:c r="V97" s="7"/>
      <x:c r="W97" s="22" t="str">
        <x:f>IF(A97="","",COUNTIFS('Esecuzioni'!$A$8:$A$1007,A97,'Esecuzioni'!$Q$8:$Q$1007,"OK"))</x:f>
      </x:c>
      <x:c r="X97" s="20" t="str">
        <x:f>IF(OR(A97="",I97&lt;&gt;"Esecuzioni",W97=0),"",SUMIFS('Esecuzioni'!$L$8:$L$1007,'Esecuzioni'!$A$8:$A$1007,A97))</x:f>
      </x:c>
      <x:c r="Y97" s="20" t="str">
        <x:f>IF(OR(A97="",I97&lt;&gt;"Esecuzioni",W97=0),"",SUMIFS('Esecuzioni'!$M$8:$M$1007,'Esecuzioni'!$A$8:$A$1007,A97))</x:f>
      </x:c>
      <x:c r="Z97" s="20" t="str">
        <x:f>IF(A97="","",IF(J97="Annullato",0,IF(ISNUMBER(O97),O97,IF(AND(I97="Esecuzioni",W97&gt;0),_xlfn.MAXIFS('Esecuzioni'!$P$8:$P$1007,'Esecuzioni'!$A$8:$A$1007,A97),""))))</x:f>
      </x:c>
      <x:c r="AA97" s="20" t="str">
        <x:f>IF(OR(A97="",J97="Aperto"),"",IF(J97="Annullato",0,IF(I97="Lordo manuale",IF(ISNUMBER(P97),P97,""),IF(I97="Netto manuale",IF(AND(ISNUMBER(P97),ISNUMBER(Q97)),P97+Q97,""),IF(OR(W97=0,COUNTIFS('Esecuzioni'!$A$8:$A$1007,A97,'Esecuzioni'!$Q$8:$Q$1007,"&lt;&gt;OK")&gt;0),"",IF(S97="Vince",X97,IF(S97="Perde",Y97,IF(AND(S97="Coperto",ABS(X97-Y97)&lt;='Impostazioni'!$B$11),ROUND((X97+Y97)/2,2),""))))))))</x:f>
      </x:c>
      <x:c r="AB97" s="20" t="str">
        <x:f>IF(NOT(ISNUMBER(AA97)),"",IF(J97="Annullato",0,IF(ISNUMBER(Q97),Q97,ROUND(MAX(0,AA97)*IF(ISNUMBER(R97),R97,'Impostazioni'!$B$8),2))))</x:f>
      </x:c>
      <x:c r="AC97" s="20" t="str">
        <x:f>IF(AND(ISNUMBER(AA97),ISNUMBER(AB97)),ROUND(AA97-AB97,2),"")</x:f>
      </x:c>
      <x:c r="AD97" s="18" t="str">
        <x:f>IF(A97="","",IF(AQ97&lt;&gt;"OK","Incompleto",IF(J97="Aperto","Aperto",IF(J97="Annullato","Annullato",IF(AC97&gt;0,"Green",IF(AC97&lt;0,"Red","Flat"))))))</x:f>
      </x:c>
      <x:c r="AE97" s="21" t="str">
        <x:f>IF(AND(AH97=1,Z97&gt;0),AC97/Z97,"")</x:f>
      </x:c>
      <x:c r="AF97" s="22" t="str">
        <x:f>IF(AH97&lt;&gt;1,"",COUNTIFS($C$8:$C$507,"&lt;"&amp;C97,$AH$8:$AH$507,1)+COUNTIFS($C$8:$C$507,C97,$A$8:$A$507,"&lt;="&amp;A97,$AH$8:$AH$507,1))</x:f>
      </x:c>
      <x:c r="AG97" s="20" t="str">
        <x:f>IF(AH97&lt;&gt;1,"",SUMIFS($AC$8:$AC$507,$C$8:$C$507,"&lt;"&amp;C97,$AH$8:$AH$507,1)+SUMIFS($AC$8:$AC$507,$C$8:$C$507,C97,$A$8:$A$507,"&lt;="&amp;A97,$AH$8:$AH$507,1))</x:f>
      </x:c>
      <x:c r="AH97" s="22" t="str">
        <x:f>IF(A97="","",IF(AND(J97="Chiuso",AQ97="OK",ISNUMBER(AC97)),1,0))</x:f>
      </x:c>
      <x:c r="AI97" s="20" t="str">
        <x:f>IF(AH97&lt;&gt;1,"",MAX(0,_xlfn.MAXIFS($AG$8:$AG$507,$AF$8:$AF$507,"&lt;="&amp;AF97,$AH$8:$AH$507,1)))</x:f>
      </x:c>
      <x:c r="AJ97" s="20" t="str">
        <x:f>IF(AH97&lt;&gt;1,"",MAX(0,AI97-AG97))</x:f>
      </x:c>
      <x:c r="AK97" s="21" t="str">
        <x:f>IF(OR(AH97&lt;&gt;1,NOT(ISNUMBER('Impostazioni'!$B$6)),'Impostazioni'!$B$6+AI97&lt;=0),"",AJ97/('Impostazioni'!$B$6+AI97))</x:f>
      </x:c>
      <x:c r="AL97" s="22" t="str">
        <x:f>IF(AH97&lt;&gt;1,"",IF(AC97&gt;0,AF97-_xlfn.MAXIFS($AF$8:$AF$507,$AF$8:$AF$507,"&lt;="&amp;AF97,$AC$8:$AC$507,"&lt;=0",$AH$8:$AH$507,1),0))</x:f>
      </x:c>
      <x:c r="AM97" s="22" t="str">
        <x:f>IF(AH97&lt;&gt;1,"",IF(AC97&lt;0,AF97-_xlfn.MAXIFS($AF$8:$AF$507,$AF$8:$AF$507,"&lt;="&amp;AF97,$AC$8:$AC$507,"&gt;=0",$AH$8:$AH$507,1),0))</x:f>
      </x:c>
      <x:c r="AN97" s="20" t="str">
        <x:f>IF(OR(A97="",NOT(ISNUMBER(B97)),NOT(ISNUMBER('Impostazioni'!$B$6))),"",'Impostazioni'!$B$6+SUMIFS($AC$8:$AC$507,$C$8:$C$507,"&lt;"&amp;B97,$AH$8:$AH$507,1)+SUMIFS('Cassa'!$F$8:$F$307,'Cassa'!$A$8:$A$307,"&lt;="&amp;B97,'Cassa'!$G$8:$G$307,"OK"))</x:f>
      </x:c>
      <x:c r="AO97" s="21" t="str">
        <x:f>IF(AND(ISNUMBER(Z97),ISNUMBER(AN97),AN97&gt;0),Z97/AN97,"")</x:f>
      </x:c>
      <x:c r="AP97" s="18" t="str">
        <x:f>IF(NOT(ISNUMBER(AO97)),"",IF(AO97&gt;'Impostazioni'!$B$7,"Oltre soglia personale","Nella soglia personale"))</x:f>
      </x:c>
      <x:c r="AQ97" s="18" t="str">
        <x:f>IF(A97="",IF(COUNTA(B97:V97)=0,"","Inserisci ID"),IF(COUNTIFS($A$8:$A$507,A97)&lt;&gt;1,"ID duplicato",IF(OR(NOT(ISNUMBER(B97)),D97="",E97="",F97="",G97="",H97="",COUNTIFS('Impostazioni'!$J$6:$J$25,F97)&lt;&gt;1),"Completa dati / elenchi",IF(OR(AND(I97&lt;&gt;"Lordo manuale",I97&lt;&gt;"Netto manuale",I97&lt;&gt;"Esecuzioni"),AND(J97&lt;&gt;"Aperto",J97&lt;&gt;"Chiuso",J97&lt;&gt;"Annullato")),"Modalità / stato mancanti",IF(AND(J97&lt;&gt;"Aperto",OR(NOT(ISNUMBER(C97)),C97&lt;B97)),"Correggi data chiusura",IF(OR(AND(Q97&lt;&gt;"",OR(NOT(ISNUMBER(Q97)),Q97&lt;0)),AND(R97&lt;&gt;"",OR(NOT(ISNUMBER(R97)),R97&lt;0,R97&gt;1))),"Commissione non valida",IF(J97="Annullato","OK",IF(OR(NOT(ISNUMBER(Z97)),Z97&lt;0,AND(O97&lt;&gt;"",NOT(ISNUMBER(O97)))),"Inserisci rischio",IF(AND(I97="Esecuzioni",OR(W97=0,COUNTIFS('Esecuzioni'!$A$8:$A$1007,A97,'Esecuzioni'!$Q$8:$Q$1007,"&lt;&gt;OK")&gt;0)),"Correggi esecuzioni",IF(J97="Aperto","OK",IF(AND(I97="Esecuzioni",S97="Coperto",ABS(X97-Y97)&gt;'Impostazioni'!$B$11),"Copertura residua",IF(NOT(ISNUMBER(AC97)),"Completa risultato / esito",IF(AND(Z97=0,AC97&lt;&gt;0),"Rischio nullo con P/L","OK")))))))))))))</x:f>
      </x:c>
      <x:c r="AR97" s="20" t="str">
        <x:f>IF(OR(A97="",J97&lt;&gt;"Aperto",AQ97&lt;&gt;"OK"),"",IF(I97="Esecuzioni",SUMIFS('Esecuzioni'!$P$8:$P$1007,'Esecuzioni'!$A$8:$A$1007,A97,'Esecuzioni'!$B$8:$B$1007,_xlfn.MAXIFS('Esecuzioni'!$B$8:$B$1007,'Esecuzioni'!$A$8:$A$1007,A97)),IF(LEFT(U97,8)="FREEBET:",0,Z97)))</x:f>
      </x:c>
      <x:c r="AS97" s="48" t="str">
        <x:f>IF(OR(A97="",E97=""),"",IF(COUNTIFS($E$8:E97,E97)=1,COUNT($AS$7:AS96)+1,""))</x:f>
      </x:c>
    </x:row>
    <x:row r="98" ht="22" customHeight="1">
      <x:c r="A98" s="7"/>
      <x:c r="B98" s="19"/>
      <x:c r="C98" s="19"/>
      <x:c r="D98" s="7"/>
      <x:c r="E98" s="7"/>
      <x:c r="F98" s="7"/>
      <x:c r="G98" s="7"/>
      <x:c r="H98" s="7"/>
      <x:c r="I98" s="7"/>
      <x:c r="J98" s="7"/>
      <x:c r="K98" s="10"/>
      <x:c r="L98" s="7"/>
      <x:c r="M98" s="10"/>
      <x:c r="N98" s="7"/>
      <x:c r="O98" s="8"/>
      <x:c r="P98" s="8"/>
      <x:c r="Q98" s="8"/>
      <x:c r="R98" s="9"/>
      <x:c r="S98" s="7"/>
      <x:c r="T98" s="7"/>
      <x:c r="U98" s="7"/>
      <x:c r="V98" s="7"/>
      <x:c r="W98" s="22" t="str">
        <x:f>IF(A98="","",COUNTIFS('Esecuzioni'!$A$8:$A$1007,A98,'Esecuzioni'!$Q$8:$Q$1007,"OK"))</x:f>
      </x:c>
      <x:c r="X98" s="20" t="str">
        <x:f>IF(OR(A98="",I98&lt;&gt;"Esecuzioni",W98=0),"",SUMIFS('Esecuzioni'!$L$8:$L$1007,'Esecuzioni'!$A$8:$A$1007,A98))</x:f>
      </x:c>
      <x:c r="Y98" s="20" t="str">
        <x:f>IF(OR(A98="",I98&lt;&gt;"Esecuzioni",W98=0),"",SUMIFS('Esecuzioni'!$M$8:$M$1007,'Esecuzioni'!$A$8:$A$1007,A98))</x:f>
      </x:c>
      <x:c r="Z98" s="20" t="str">
        <x:f>IF(A98="","",IF(J98="Annullato",0,IF(ISNUMBER(O98),O98,IF(AND(I98="Esecuzioni",W98&gt;0),_xlfn.MAXIFS('Esecuzioni'!$P$8:$P$1007,'Esecuzioni'!$A$8:$A$1007,A98),""))))</x:f>
      </x:c>
      <x:c r="AA98" s="20" t="str">
        <x:f>IF(OR(A98="",J98="Aperto"),"",IF(J98="Annullato",0,IF(I98="Lordo manuale",IF(ISNUMBER(P98),P98,""),IF(I98="Netto manuale",IF(AND(ISNUMBER(P98),ISNUMBER(Q98)),P98+Q98,""),IF(OR(W98=0,COUNTIFS('Esecuzioni'!$A$8:$A$1007,A98,'Esecuzioni'!$Q$8:$Q$1007,"&lt;&gt;OK")&gt;0),"",IF(S98="Vince",X98,IF(S98="Perde",Y98,IF(AND(S98="Coperto",ABS(X98-Y98)&lt;='Impostazioni'!$B$11),ROUND((X98+Y98)/2,2),""))))))))</x:f>
      </x:c>
      <x:c r="AB98" s="20" t="str">
        <x:f>IF(NOT(ISNUMBER(AA98)),"",IF(J98="Annullato",0,IF(ISNUMBER(Q98),Q98,ROUND(MAX(0,AA98)*IF(ISNUMBER(R98),R98,'Impostazioni'!$B$8),2))))</x:f>
      </x:c>
      <x:c r="AC98" s="20" t="str">
        <x:f>IF(AND(ISNUMBER(AA98),ISNUMBER(AB98)),ROUND(AA98-AB98,2),"")</x:f>
      </x:c>
      <x:c r="AD98" s="18" t="str">
        <x:f>IF(A98="","",IF(AQ98&lt;&gt;"OK","Incompleto",IF(J98="Aperto","Aperto",IF(J98="Annullato","Annullato",IF(AC98&gt;0,"Green",IF(AC98&lt;0,"Red","Flat"))))))</x:f>
      </x:c>
      <x:c r="AE98" s="21" t="str">
        <x:f>IF(AND(AH98=1,Z98&gt;0),AC98/Z98,"")</x:f>
      </x:c>
      <x:c r="AF98" s="22" t="str">
        <x:f>IF(AH98&lt;&gt;1,"",COUNTIFS($C$8:$C$507,"&lt;"&amp;C98,$AH$8:$AH$507,1)+COUNTIFS($C$8:$C$507,C98,$A$8:$A$507,"&lt;="&amp;A98,$AH$8:$AH$507,1))</x:f>
      </x:c>
      <x:c r="AG98" s="20" t="str">
        <x:f>IF(AH98&lt;&gt;1,"",SUMIFS($AC$8:$AC$507,$C$8:$C$507,"&lt;"&amp;C98,$AH$8:$AH$507,1)+SUMIFS($AC$8:$AC$507,$C$8:$C$507,C98,$A$8:$A$507,"&lt;="&amp;A98,$AH$8:$AH$507,1))</x:f>
      </x:c>
      <x:c r="AH98" s="22" t="str">
        <x:f>IF(A98="","",IF(AND(J98="Chiuso",AQ98="OK",ISNUMBER(AC98)),1,0))</x:f>
      </x:c>
      <x:c r="AI98" s="20" t="str">
        <x:f>IF(AH98&lt;&gt;1,"",MAX(0,_xlfn.MAXIFS($AG$8:$AG$507,$AF$8:$AF$507,"&lt;="&amp;AF98,$AH$8:$AH$507,1)))</x:f>
      </x:c>
      <x:c r="AJ98" s="20" t="str">
        <x:f>IF(AH98&lt;&gt;1,"",MAX(0,AI98-AG98))</x:f>
      </x:c>
      <x:c r="AK98" s="21" t="str">
        <x:f>IF(OR(AH98&lt;&gt;1,NOT(ISNUMBER('Impostazioni'!$B$6)),'Impostazioni'!$B$6+AI98&lt;=0),"",AJ98/('Impostazioni'!$B$6+AI98))</x:f>
      </x:c>
      <x:c r="AL98" s="22" t="str">
        <x:f>IF(AH98&lt;&gt;1,"",IF(AC98&gt;0,AF98-_xlfn.MAXIFS($AF$8:$AF$507,$AF$8:$AF$507,"&lt;="&amp;AF98,$AC$8:$AC$507,"&lt;=0",$AH$8:$AH$507,1),0))</x:f>
      </x:c>
      <x:c r="AM98" s="22" t="str">
        <x:f>IF(AH98&lt;&gt;1,"",IF(AC98&lt;0,AF98-_xlfn.MAXIFS($AF$8:$AF$507,$AF$8:$AF$507,"&lt;="&amp;AF98,$AC$8:$AC$507,"&gt;=0",$AH$8:$AH$507,1),0))</x:f>
      </x:c>
      <x:c r="AN98" s="20" t="str">
        <x:f>IF(OR(A98="",NOT(ISNUMBER(B98)),NOT(ISNUMBER('Impostazioni'!$B$6))),"",'Impostazioni'!$B$6+SUMIFS($AC$8:$AC$507,$C$8:$C$507,"&lt;"&amp;B98,$AH$8:$AH$507,1)+SUMIFS('Cassa'!$F$8:$F$307,'Cassa'!$A$8:$A$307,"&lt;="&amp;B98,'Cassa'!$G$8:$G$307,"OK"))</x:f>
      </x:c>
      <x:c r="AO98" s="21" t="str">
        <x:f>IF(AND(ISNUMBER(Z98),ISNUMBER(AN98),AN98&gt;0),Z98/AN98,"")</x:f>
      </x:c>
      <x:c r="AP98" s="18" t="str">
        <x:f>IF(NOT(ISNUMBER(AO98)),"",IF(AO98&gt;'Impostazioni'!$B$7,"Oltre soglia personale","Nella soglia personale"))</x:f>
      </x:c>
      <x:c r="AQ98" s="18" t="str">
        <x:f>IF(A98="",IF(COUNTA(B98:V98)=0,"","Inserisci ID"),IF(COUNTIFS($A$8:$A$507,A98)&lt;&gt;1,"ID duplicato",IF(OR(NOT(ISNUMBER(B98)),D98="",E98="",F98="",G98="",H98="",COUNTIFS('Impostazioni'!$J$6:$J$25,F98)&lt;&gt;1),"Completa dati / elenchi",IF(OR(AND(I98&lt;&gt;"Lordo manuale",I98&lt;&gt;"Netto manuale",I98&lt;&gt;"Esecuzioni"),AND(J98&lt;&gt;"Aperto",J98&lt;&gt;"Chiuso",J98&lt;&gt;"Annullato")),"Modalità / stato mancanti",IF(AND(J98&lt;&gt;"Aperto",OR(NOT(ISNUMBER(C98)),C98&lt;B98)),"Correggi data chiusura",IF(OR(AND(Q98&lt;&gt;"",OR(NOT(ISNUMBER(Q98)),Q98&lt;0)),AND(R98&lt;&gt;"",OR(NOT(ISNUMBER(R98)),R98&lt;0,R98&gt;1))),"Commissione non valida",IF(J98="Annullato","OK",IF(OR(NOT(ISNUMBER(Z98)),Z98&lt;0,AND(O98&lt;&gt;"",NOT(ISNUMBER(O98)))),"Inserisci rischio",IF(AND(I98="Esecuzioni",OR(W98=0,COUNTIFS('Esecuzioni'!$A$8:$A$1007,A98,'Esecuzioni'!$Q$8:$Q$1007,"&lt;&gt;OK")&gt;0)),"Correggi esecuzioni",IF(J98="Aperto","OK",IF(AND(I98="Esecuzioni",S98="Coperto",ABS(X98-Y98)&gt;'Impostazioni'!$B$11),"Copertura residua",IF(NOT(ISNUMBER(AC98)),"Completa risultato / esito",IF(AND(Z98=0,AC98&lt;&gt;0),"Rischio nullo con P/L","OK")))))))))))))</x:f>
      </x:c>
      <x:c r="AR98" s="20" t="str">
        <x:f>IF(OR(A98="",J98&lt;&gt;"Aperto",AQ98&lt;&gt;"OK"),"",IF(I98="Esecuzioni",SUMIFS('Esecuzioni'!$P$8:$P$1007,'Esecuzioni'!$A$8:$A$1007,A98,'Esecuzioni'!$B$8:$B$1007,_xlfn.MAXIFS('Esecuzioni'!$B$8:$B$1007,'Esecuzioni'!$A$8:$A$1007,A98)),IF(LEFT(U98,8)="FREEBET:",0,Z98)))</x:f>
      </x:c>
      <x:c r="AS98" s="48" t="str">
        <x:f>IF(OR(A98="",E98=""),"",IF(COUNTIFS($E$8:E98,E98)=1,COUNT($AS$7:AS97)+1,""))</x:f>
      </x:c>
    </x:row>
    <x:row r="99" ht="22" customHeight="1">
      <x:c r="A99" s="7"/>
      <x:c r="B99" s="19"/>
      <x:c r="C99" s="19"/>
      <x:c r="D99" s="7"/>
      <x:c r="E99" s="7"/>
      <x:c r="F99" s="7"/>
      <x:c r="G99" s="7"/>
      <x:c r="H99" s="7"/>
      <x:c r="I99" s="7"/>
      <x:c r="J99" s="7"/>
      <x:c r="K99" s="10"/>
      <x:c r="L99" s="7"/>
      <x:c r="M99" s="10"/>
      <x:c r="N99" s="7"/>
      <x:c r="O99" s="8"/>
      <x:c r="P99" s="8"/>
      <x:c r="Q99" s="8"/>
      <x:c r="R99" s="9"/>
      <x:c r="S99" s="7"/>
      <x:c r="T99" s="7"/>
      <x:c r="U99" s="7"/>
      <x:c r="V99" s="7"/>
      <x:c r="W99" s="22" t="str">
        <x:f>IF(A99="","",COUNTIFS('Esecuzioni'!$A$8:$A$1007,A99,'Esecuzioni'!$Q$8:$Q$1007,"OK"))</x:f>
      </x:c>
      <x:c r="X99" s="20" t="str">
        <x:f>IF(OR(A99="",I99&lt;&gt;"Esecuzioni",W99=0),"",SUMIFS('Esecuzioni'!$L$8:$L$1007,'Esecuzioni'!$A$8:$A$1007,A99))</x:f>
      </x:c>
      <x:c r="Y99" s="20" t="str">
        <x:f>IF(OR(A99="",I99&lt;&gt;"Esecuzioni",W99=0),"",SUMIFS('Esecuzioni'!$M$8:$M$1007,'Esecuzioni'!$A$8:$A$1007,A99))</x:f>
      </x:c>
      <x:c r="Z99" s="20" t="str">
        <x:f>IF(A99="","",IF(J99="Annullato",0,IF(ISNUMBER(O99),O99,IF(AND(I99="Esecuzioni",W99&gt;0),_xlfn.MAXIFS('Esecuzioni'!$P$8:$P$1007,'Esecuzioni'!$A$8:$A$1007,A99),""))))</x:f>
      </x:c>
      <x:c r="AA99" s="20" t="str">
        <x:f>IF(OR(A99="",J99="Aperto"),"",IF(J99="Annullato",0,IF(I99="Lordo manuale",IF(ISNUMBER(P99),P99,""),IF(I99="Netto manuale",IF(AND(ISNUMBER(P99),ISNUMBER(Q99)),P99+Q99,""),IF(OR(W99=0,COUNTIFS('Esecuzioni'!$A$8:$A$1007,A99,'Esecuzioni'!$Q$8:$Q$1007,"&lt;&gt;OK")&gt;0),"",IF(S99="Vince",X99,IF(S99="Perde",Y99,IF(AND(S99="Coperto",ABS(X99-Y99)&lt;='Impostazioni'!$B$11),ROUND((X99+Y99)/2,2),""))))))))</x:f>
      </x:c>
      <x:c r="AB99" s="20" t="str">
        <x:f>IF(NOT(ISNUMBER(AA99)),"",IF(J99="Annullato",0,IF(ISNUMBER(Q99),Q99,ROUND(MAX(0,AA99)*IF(ISNUMBER(R99),R99,'Impostazioni'!$B$8),2))))</x:f>
      </x:c>
      <x:c r="AC99" s="20" t="str">
        <x:f>IF(AND(ISNUMBER(AA99),ISNUMBER(AB99)),ROUND(AA99-AB99,2),"")</x:f>
      </x:c>
      <x:c r="AD99" s="18" t="str">
        <x:f>IF(A99="","",IF(AQ99&lt;&gt;"OK","Incompleto",IF(J99="Aperto","Aperto",IF(J99="Annullato","Annullato",IF(AC99&gt;0,"Green",IF(AC99&lt;0,"Red","Flat"))))))</x:f>
      </x:c>
      <x:c r="AE99" s="21" t="str">
        <x:f>IF(AND(AH99=1,Z99&gt;0),AC99/Z99,"")</x:f>
      </x:c>
      <x:c r="AF99" s="22" t="str">
        <x:f>IF(AH99&lt;&gt;1,"",COUNTIFS($C$8:$C$507,"&lt;"&amp;C99,$AH$8:$AH$507,1)+COUNTIFS($C$8:$C$507,C99,$A$8:$A$507,"&lt;="&amp;A99,$AH$8:$AH$507,1))</x:f>
      </x:c>
      <x:c r="AG99" s="20" t="str">
        <x:f>IF(AH99&lt;&gt;1,"",SUMIFS($AC$8:$AC$507,$C$8:$C$507,"&lt;"&amp;C99,$AH$8:$AH$507,1)+SUMIFS($AC$8:$AC$507,$C$8:$C$507,C99,$A$8:$A$507,"&lt;="&amp;A99,$AH$8:$AH$507,1))</x:f>
      </x:c>
      <x:c r="AH99" s="22" t="str">
        <x:f>IF(A99="","",IF(AND(J99="Chiuso",AQ99="OK",ISNUMBER(AC99)),1,0))</x:f>
      </x:c>
      <x:c r="AI99" s="20" t="str">
        <x:f>IF(AH99&lt;&gt;1,"",MAX(0,_xlfn.MAXIFS($AG$8:$AG$507,$AF$8:$AF$507,"&lt;="&amp;AF99,$AH$8:$AH$507,1)))</x:f>
      </x:c>
      <x:c r="AJ99" s="20" t="str">
        <x:f>IF(AH99&lt;&gt;1,"",MAX(0,AI99-AG99))</x:f>
      </x:c>
      <x:c r="AK99" s="21" t="str">
        <x:f>IF(OR(AH99&lt;&gt;1,NOT(ISNUMBER('Impostazioni'!$B$6)),'Impostazioni'!$B$6+AI99&lt;=0),"",AJ99/('Impostazioni'!$B$6+AI99))</x:f>
      </x:c>
      <x:c r="AL99" s="22" t="str">
        <x:f>IF(AH99&lt;&gt;1,"",IF(AC99&gt;0,AF99-_xlfn.MAXIFS($AF$8:$AF$507,$AF$8:$AF$507,"&lt;="&amp;AF99,$AC$8:$AC$507,"&lt;=0",$AH$8:$AH$507,1),0))</x:f>
      </x:c>
      <x:c r="AM99" s="22" t="str">
        <x:f>IF(AH99&lt;&gt;1,"",IF(AC99&lt;0,AF99-_xlfn.MAXIFS($AF$8:$AF$507,$AF$8:$AF$507,"&lt;="&amp;AF99,$AC$8:$AC$507,"&gt;=0",$AH$8:$AH$507,1),0))</x:f>
      </x:c>
      <x:c r="AN99" s="20" t="str">
        <x:f>IF(OR(A99="",NOT(ISNUMBER(B99)),NOT(ISNUMBER('Impostazioni'!$B$6))),"",'Impostazioni'!$B$6+SUMIFS($AC$8:$AC$507,$C$8:$C$507,"&lt;"&amp;B99,$AH$8:$AH$507,1)+SUMIFS('Cassa'!$F$8:$F$307,'Cassa'!$A$8:$A$307,"&lt;="&amp;B99,'Cassa'!$G$8:$G$307,"OK"))</x:f>
      </x:c>
      <x:c r="AO99" s="21" t="str">
        <x:f>IF(AND(ISNUMBER(Z99),ISNUMBER(AN99),AN99&gt;0),Z99/AN99,"")</x:f>
      </x:c>
      <x:c r="AP99" s="18" t="str">
        <x:f>IF(NOT(ISNUMBER(AO99)),"",IF(AO99&gt;'Impostazioni'!$B$7,"Oltre soglia personale","Nella soglia personale"))</x:f>
      </x:c>
      <x:c r="AQ99" s="18" t="str">
        <x:f>IF(A99="",IF(COUNTA(B99:V99)=0,"","Inserisci ID"),IF(COUNTIFS($A$8:$A$507,A99)&lt;&gt;1,"ID duplicato",IF(OR(NOT(ISNUMBER(B99)),D99="",E99="",F99="",G99="",H99="",COUNTIFS('Impostazioni'!$J$6:$J$25,F99)&lt;&gt;1),"Completa dati / elenchi",IF(OR(AND(I99&lt;&gt;"Lordo manuale",I99&lt;&gt;"Netto manuale",I99&lt;&gt;"Esecuzioni"),AND(J99&lt;&gt;"Aperto",J99&lt;&gt;"Chiuso",J99&lt;&gt;"Annullato")),"Modalità / stato mancanti",IF(AND(J99&lt;&gt;"Aperto",OR(NOT(ISNUMBER(C99)),C99&lt;B99)),"Correggi data chiusura",IF(OR(AND(Q99&lt;&gt;"",OR(NOT(ISNUMBER(Q99)),Q99&lt;0)),AND(R99&lt;&gt;"",OR(NOT(ISNUMBER(R99)),R99&lt;0,R99&gt;1))),"Commissione non valida",IF(J99="Annullato","OK",IF(OR(NOT(ISNUMBER(Z99)),Z99&lt;0,AND(O99&lt;&gt;"",NOT(ISNUMBER(O99)))),"Inserisci rischio",IF(AND(I99="Esecuzioni",OR(W99=0,COUNTIFS('Esecuzioni'!$A$8:$A$1007,A99,'Esecuzioni'!$Q$8:$Q$1007,"&lt;&gt;OK")&gt;0)),"Correggi esecuzioni",IF(J99="Aperto","OK",IF(AND(I99="Esecuzioni",S99="Coperto",ABS(X99-Y99)&gt;'Impostazioni'!$B$11),"Copertura residua",IF(NOT(ISNUMBER(AC99)),"Completa risultato / esito",IF(AND(Z99=0,AC99&lt;&gt;0),"Rischio nullo con P/L","OK")))))))))))))</x:f>
      </x:c>
      <x:c r="AR99" s="20" t="str">
        <x:f>IF(OR(A99="",J99&lt;&gt;"Aperto",AQ99&lt;&gt;"OK"),"",IF(I99="Esecuzioni",SUMIFS('Esecuzioni'!$P$8:$P$1007,'Esecuzioni'!$A$8:$A$1007,A99,'Esecuzioni'!$B$8:$B$1007,_xlfn.MAXIFS('Esecuzioni'!$B$8:$B$1007,'Esecuzioni'!$A$8:$A$1007,A99)),IF(LEFT(U99,8)="FREEBET:",0,Z99)))</x:f>
      </x:c>
      <x:c r="AS99" s="48" t="str">
        <x:f>IF(OR(A99="",E99=""),"",IF(COUNTIFS($E$8:E99,E99)=1,COUNT($AS$7:AS98)+1,""))</x:f>
      </x:c>
    </x:row>
    <x:row r="100" ht="22" customHeight="1">
      <x:c r="A100" s="7"/>
      <x:c r="B100" s="19"/>
      <x:c r="C100" s="19"/>
      <x:c r="D100" s="7"/>
      <x:c r="E100" s="7"/>
      <x:c r="F100" s="7"/>
      <x:c r="G100" s="7"/>
      <x:c r="H100" s="7"/>
      <x:c r="I100" s="7"/>
      <x:c r="J100" s="7"/>
      <x:c r="K100" s="10"/>
      <x:c r="L100" s="7"/>
      <x:c r="M100" s="10"/>
      <x:c r="N100" s="7"/>
      <x:c r="O100" s="8"/>
      <x:c r="P100" s="8"/>
      <x:c r="Q100" s="8"/>
      <x:c r="R100" s="9"/>
      <x:c r="S100" s="7"/>
      <x:c r="T100" s="7"/>
      <x:c r="U100" s="7"/>
      <x:c r="V100" s="7"/>
      <x:c r="W100" s="22" t="str">
        <x:f>IF(A100="","",COUNTIFS('Esecuzioni'!$A$8:$A$1007,A100,'Esecuzioni'!$Q$8:$Q$1007,"OK"))</x:f>
      </x:c>
      <x:c r="X100" s="20" t="str">
        <x:f>IF(OR(A100="",I100&lt;&gt;"Esecuzioni",W100=0),"",SUMIFS('Esecuzioni'!$L$8:$L$1007,'Esecuzioni'!$A$8:$A$1007,A100))</x:f>
      </x:c>
      <x:c r="Y100" s="20" t="str">
        <x:f>IF(OR(A100="",I100&lt;&gt;"Esecuzioni",W100=0),"",SUMIFS('Esecuzioni'!$M$8:$M$1007,'Esecuzioni'!$A$8:$A$1007,A100))</x:f>
      </x:c>
      <x:c r="Z100" s="20" t="str">
        <x:f>IF(A100="","",IF(J100="Annullato",0,IF(ISNUMBER(O100),O100,IF(AND(I100="Esecuzioni",W100&gt;0),_xlfn.MAXIFS('Esecuzioni'!$P$8:$P$1007,'Esecuzioni'!$A$8:$A$1007,A100),""))))</x:f>
      </x:c>
      <x:c r="AA100" s="20" t="str">
        <x:f>IF(OR(A100="",J100="Aperto"),"",IF(J100="Annullato",0,IF(I100="Lordo manuale",IF(ISNUMBER(P100),P100,""),IF(I100="Netto manuale",IF(AND(ISNUMBER(P100),ISNUMBER(Q100)),P100+Q100,""),IF(OR(W100=0,COUNTIFS('Esecuzioni'!$A$8:$A$1007,A100,'Esecuzioni'!$Q$8:$Q$1007,"&lt;&gt;OK")&gt;0),"",IF(S100="Vince",X100,IF(S100="Perde",Y100,IF(AND(S100="Coperto",ABS(X100-Y100)&lt;='Impostazioni'!$B$11),ROUND((X100+Y100)/2,2),""))))))))</x:f>
      </x:c>
      <x:c r="AB100" s="20" t="str">
        <x:f>IF(NOT(ISNUMBER(AA100)),"",IF(J100="Annullato",0,IF(ISNUMBER(Q100),Q100,ROUND(MAX(0,AA100)*IF(ISNUMBER(R100),R100,'Impostazioni'!$B$8),2))))</x:f>
      </x:c>
      <x:c r="AC100" s="20" t="str">
        <x:f>IF(AND(ISNUMBER(AA100),ISNUMBER(AB100)),ROUND(AA100-AB100,2),"")</x:f>
      </x:c>
      <x:c r="AD100" s="18" t="str">
        <x:f>IF(A100="","",IF(AQ100&lt;&gt;"OK","Incompleto",IF(J100="Aperto","Aperto",IF(J100="Annullato","Annullato",IF(AC100&gt;0,"Green",IF(AC100&lt;0,"Red","Flat"))))))</x:f>
      </x:c>
      <x:c r="AE100" s="21" t="str">
        <x:f>IF(AND(AH100=1,Z100&gt;0),AC100/Z100,"")</x:f>
      </x:c>
      <x:c r="AF100" s="22" t="str">
        <x:f>IF(AH100&lt;&gt;1,"",COUNTIFS($C$8:$C$507,"&lt;"&amp;C100,$AH$8:$AH$507,1)+COUNTIFS($C$8:$C$507,C100,$A$8:$A$507,"&lt;="&amp;A100,$AH$8:$AH$507,1))</x:f>
      </x:c>
      <x:c r="AG100" s="20" t="str">
        <x:f>IF(AH100&lt;&gt;1,"",SUMIFS($AC$8:$AC$507,$C$8:$C$507,"&lt;"&amp;C100,$AH$8:$AH$507,1)+SUMIFS($AC$8:$AC$507,$C$8:$C$507,C100,$A$8:$A$507,"&lt;="&amp;A100,$AH$8:$AH$507,1))</x:f>
      </x:c>
      <x:c r="AH100" s="22" t="str">
        <x:f>IF(A100="","",IF(AND(J100="Chiuso",AQ100="OK",ISNUMBER(AC100)),1,0))</x:f>
      </x:c>
      <x:c r="AI100" s="20" t="str">
        <x:f>IF(AH100&lt;&gt;1,"",MAX(0,_xlfn.MAXIFS($AG$8:$AG$507,$AF$8:$AF$507,"&lt;="&amp;AF100,$AH$8:$AH$507,1)))</x:f>
      </x:c>
      <x:c r="AJ100" s="20" t="str">
        <x:f>IF(AH100&lt;&gt;1,"",MAX(0,AI100-AG100))</x:f>
      </x:c>
      <x:c r="AK100" s="21" t="str">
        <x:f>IF(OR(AH100&lt;&gt;1,NOT(ISNUMBER('Impostazioni'!$B$6)),'Impostazioni'!$B$6+AI100&lt;=0),"",AJ100/('Impostazioni'!$B$6+AI100))</x:f>
      </x:c>
      <x:c r="AL100" s="22" t="str">
        <x:f>IF(AH100&lt;&gt;1,"",IF(AC100&gt;0,AF100-_xlfn.MAXIFS($AF$8:$AF$507,$AF$8:$AF$507,"&lt;="&amp;AF100,$AC$8:$AC$507,"&lt;=0",$AH$8:$AH$507,1),0))</x:f>
      </x:c>
      <x:c r="AM100" s="22" t="str">
        <x:f>IF(AH100&lt;&gt;1,"",IF(AC100&lt;0,AF100-_xlfn.MAXIFS($AF$8:$AF$507,$AF$8:$AF$507,"&lt;="&amp;AF100,$AC$8:$AC$507,"&gt;=0",$AH$8:$AH$507,1),0))</x:f>
      </x:c>
      <x:c r="AN100" s="20" t="str">
        <x:f>IF(OR(A100="",NOT(ISNUMBER(B100)),NOT(ISNUMBER('Impostazioni'!$B$6))),"",'Impostazioni'!$B$6+SUMIFS($AC$8:$AC$507,$C$8:$C$507,"&lt;"&amp;B100,$AH$8:$AH$507,1)+SUMIFS('Cassa'!$F$8:$F$307,'Cassa'!$A$8:$A$307,"&lt;="&amp;B100,'Cassa'!$G$8:$G$307,"OK"))</x:f>
      </x:c>
      <x:c r="AO100" s="21" t="str">
        <x:f>IF(AND(ISNUMBER(Z100),ISNUMBER(AN100),AN100&gt;0),Z100/AN100,"")</x:f>
      </x:c>
      <x:c r="AP100" s="18" t="str">
        <x:f>IF(NOT(ISNUMBER(AO100)),"",IF(AO100&gt;'Impostazioni'!$B$7,"Oltre soglia personale","Nella soglia personale"))</x:f>
      </x:c>
      <x:c r="AQ100" s="18" t="str">
        <x:f>IF(A100="",IF(COUNTA(B100:V100)=0,"","Inserisci ID"),IF(COUNTIFS($A$8:$A$507,A100)&lt;&gt;1,"ID duplicato",IF(OR(NOT(ISNUMBER(B100)),D100="",E100="",F100="",G100="",H100="",COUNTIFS('Impostazioni'!$J$6:$J$25,F100)&lt;&gt;1),"Completa dati / elenchi",IF(OR(AND(I100&lt;&gt;"Lordo manuale",I100&lt;&gt;"Netto manuale",I100&lt;&gt;"Esecuzioni"),AND(J100&lt;&gt;"Aperto",J100&lt;&gt;"Chiuso",J100&lt;&gt;"Annullato")),"Modalità / stato mancanti",IF(AND(J100&lt;&gt;"Aperto",OR(NOT(ISNUMBER(C100)),C100&lt;B100)),"Correggi data chiusura",IF(OR(AND(Q100&lt;&gt;"",OR(NOT(ISNUMBER(Q100)),Q100&lt;0)),AND(R100&lt;&gt;"",OR(NOT(ISNUMBER(R100)),R100&lt;0,R100&gt;1))),"Commissione non valida",IF(J100="Annullato","OK",IF(OR(NOT(ISNUMBER(Z100)),Z100&lt;0,AND(O100&lt;&gt;"",NOT(ISNUMBER(O100)))),"Inserisci rischio",IF(AND(I100="Esecuzioni",OR(W100=0,COUNTIFS('Esecuzioni'!$A$8:$A$1007,A100,'Esecuzioni'!$Q$8:$Q$1007,"&lt;&gt;OK")&gt;0)),"Correggi esecuzioni",IF(J100="Aperto","OK",IF(AND(I100="Esecuzioni",S100="Coperto",ABS(X100-Y100)&gt;'Impostazioni'!$B$11),"Copertura residua",IF(NOT(ISNUMBER(AC100)),"Completa risultato / esito",IF(AND(Z100=0,AC100&lt;&gt;0),"Rischio nullo con P/L","OK")))))))))))))</x:f>
      </x:c>
      <x:c r="AR100" s="20" t="str">
        <x:f>IF(OR(A100="",J100&lt;&gt;"Aperto",AQ100&lt;&gt;"OK"),"",IF(I100="Esecuzioni",SUMIFS('Esecuzioni'!$P$8:$P$1007,'Esecuzioni'!$A$8:$A$1007,A100,'Esecuzioni'!$B$8:$B$1007,_xlfn.MAXIFS('Esecuzioni'!$B$8:$B$1007,'Esecuzioni'!$A$8:$A$1007,A100)),IF(LEFT(U100,8)="FREEBET:",0,Z100)))</x:f>
      </x:c>
      <x:c r="AS100" s="48" t="str">
        <x:f>IF(OR(A100="",E100=""),"",IF(COUNTIFS($E$8:E100,E100)=1,COUNT($AS$7:AS99)+1,""))</x:f>
      </x:c>
    </x:row>
    <x:row r="101" ht="22" customHeight="1">
      <x:c r="A101" s="7"/>
      <x:c r="B101" s="19"/>
      <x:c r="C101" s="19"/>
      <x:c r="D101" s="7"/>
      <x:c r="E101" s="7"/>
      <x:c r="F101" s="7"/>
      <x:c r="G101" s="7"/>
      <x:c r="H101" s="7"/>
      <x:c r="I101" s="7"/>
      <x:c r="J101" s="7"/>
      <x:c r="K101" s="10"/>
      <x:c r="L101" s="7"/>
      <x:c r="M101" s="10"/>
      <x:c r="N101" s="7"/>
      <x:c r="O101" s="8"/>
      <x:c r="P101" s="8"/>
      <x:c r="Q101" s="8"/>
      <x:c r="R101" s="9"/>
      <x:c r="S101" s="7"/>
      <x:c r="T101" s="7"/>
      <x:c r="U101" s="7"/>
      <x:c r="V101" s="7"/>
      <x:c r="W101" s="22" t="str">
        <x:f>IF(A101="","",COUNTIFS('Esecuzioni'!$A$8:$A$1007,A101,'Esecuzioni'!$Q$8:$Q$1007,"OK"))</x:f>
      </x:c>
      <x:c r="X101" s="20" t="str">
        <x:f>IF(OR(A101="",I101&lt;&gt;"Esecuzioni",W101=0),"",SUMIFS('Esecuzioni'!$L$8:$L$1007,'Esecuzioni'!$A$8:$A$1007,A101))</x:f>
      </x:c>
      <x:c r="Y101" s="20" t="str">
        <x:f>IF(OR(A101="",I101&lt;&gt;"Esecuzioni",W101=0),"",SUMIFS('Esecuzioni'!$M$8:$M$1007,'Esecuzioni'!$A$8:$A$1007,A101))</x:f>
      </x:c>
      <x:c r="Z101" s="20" t="str">
        <x:f>IF(A101="","",IF(J101="Annullato",0,IF(ISNUMBER(O101),O101,IF(AND(I101="Esecuzioni",W101&gt;0),_xlfn.MAXIFS('Esecuzioni'!$P$8:$P$1007,'Esecuzioni'!$A$8:$A$1007,A101),""))))</x:f>
      </x:c>
      <x:c r="AA101" s="20" t="str">
        <x:f>IF(OR(A101="",J101="Aperto"),"",IF(J101="Annullato",0,IF(I101="Lordo manuale",IF(ISNUMBER(P101),P101,""),IF(I101="Netto manuale",IF(AND(ISNUMBER(P101),ISNUMBER(Q101)),P101+Q101,""),IF(OR(W101=0,COUNTIFS('Esecuzioni'!$A$8:$A$1007,A101,'Esecuzioni'!$Q$8:$Q$1007,"&lt;&gt;OK")&gt;0),"",IF(S101="Vince",X101,IF(S101="Perde",Y101,IF(AND(S101="Coperto",ABS(X101-Y101)&lt;='Impostazioni'!$B$11),ROUND((X101+Y101)/2,2),""))))))))</x:f>
      </x:c>
      <x:c r="AB101" s="20" t="str">
        <x:f>IF(NOT(ISNUMBER(AA101)),"",IF(J101="Annullato",0,IF(ISNUMBER(Q101),Q101,ROUND(MAX(0,AA101)*IF(ISNUMBER(R101),R101,'Impostazioni'!$B$8),2))))</x:f>
      </x:c>
      <x:c r="AC101" s="20" t="str">
        <x:f>IF(AND(ISNUMBER(AA101),ISNUMBER(AB101)),ROUND(AA101-AB101,2),"")</x:f>
      </x:c>
      <x:c r="AD101" s="18" t="str">
        <x:f>IF(A101="","",IF(AQ101&lt;&gt;"OK","Incompleto",IF(J101="Aperto","Aperto",IF(J101="Annullato","Annullato",IF(AC101&gt;0,"Green",IF(AC101&lt;0,"Red","Flat"))))))</x:f>
      </x:c>
      <x:c r="AE101" s="21" t="str">
        <x:f>IF(AND(AH101=1,Z101&gt;0),AC101/Z101,"")</x:f>
      </x:c>
      <x:c r="AF101" s="22" t="str">
        <x:f>IF(AH101&lt;&gt;1,"",COUNTIFS($C$8:$C$507,"&lt;"&amp;C101,$AH$8:$AH$507,1)+COUNTIFS($C$8:$C$507,C101,$A$8:$A$507,"&lt;="&amp;A101,$AH$8:$AH$507,1))</x:f>
      </x:c>
      <x:c r="AG101" s="20" t="str">
        <x:f>IF(AH101&lt;&gt;1,"",SUMIFS($AC$8:$AC$507,$C$8:$C$507,"&lt;"&amp;C101,$AH$8:$AH$507,1)+SUMIFS($AC$8:$AC$507,$C$8:$C$507,C101,$A$8:$A$507,"&lt;="&amp;A101,$AH$8:$AH$507,1))</x:f>
      </x:c>
      <x:c r="AH101" s="22" t="str">
        <x:f>IF(A101="","",IF(AND(J101="Chiuso",AQ101="OK",ISNUMBER(AC101)),1,0))</x:f>
      </x:c>
      <x:c r="AI101" s="20" t="str">
        <x:f>IF(AH101&lt;&gt;1,"",MAX(0,_xlfn.MAXIFS($AG$8:$AG$507,$AF$8:$AF$507,"&lt;="&amp;AF101,$AH$8:$AH$507,1)))</x:f>
      </x:c>
      <x:c r="AJ101" s="20" t="str">
        <x:f>IF(AH101&lt;&gt;1,"",MAX(0,AI101-AG101))</x:f>
      </x:c>
      <x:c r="AK101" s="21" t="str">
        <x:f>IF(OR(AH101&lt;&gt;1,NOT(ISNUMBER('Impostazioni'!$B$6)),'Impostazioni'!$B$6+AI101&lt;=0),"",AJ101/('Impostazioni'!$B$6+AI101))</x:f>
      </x:c>
      <x:c r="AL101" s="22" t="str">
        <x:f>IF(AH101&lt;&gt;1,"",IF(AC101&gt;0,AF101-_xlfn.MAXIFS($AF$8:$AF$507,$AF$8:$AF$507,"&lt;="&amp;AF101,$AC$8:$AC$507,"&lt;=0",$AH$8:$AH$507,1),0))</x:f>
      </x:c>
      <x:c r="AM101" s="22" t="str">
        <x:f>IF(AH101&lt;&gt;1,"",IF(AC101&lt;0,AF101-_xlfn.MAXIFS($AF$8:$AF$507,$AF$8:$AF$507,"&lt;="&amp;AF101,$AC$8:$AC$507,"&gt;=0",$AH$8:$AH$507,1),0))</x:f>
      </x:c>
      <x:c r="AN101" s="20" t="str">
        <x:f>IF(OR(A101="",NOT(ISNUMBER(B101)),NOT(ISNUMBER('Impostazioni'!$B$6))),"",'Impostazioni'!$B$6+SUMIFS($AC$8:$AC$507,$C$8:$C$507,"&lt;"&amp;B101,$AH$8:$AH$507,1)+SUMIFS('Cassa'!$F$8:$F$307,'Cassa'!$A$8:$A$307,"&lt;="&amp;B101,'Cassa'!$G$8:$G$307,"OK"))</x:f>
      </x:c>
      <x:c r="AO101" s="21" t="str">
        <x:f>IF(AND(ISNUMBER(Z101),ISNUMBER(AN101),AN101&gt;0),Z101/AN101,"")</x:f>
      </x:c>
      <x:c r="AP101" s="18" t="str">
        <x:f>IF(NOT(ISNUMBER(AO101)),"",IF(AO101&gt;'Impostazioni'!$B$7,"Oltre soglia personale","Nella soglia personale"))</x:f>
      </x:c>
      <x:c r="AQ101" s="18" t="str">
        <x:f>IF(A101="",IF(COUNTA(B101:V101)=0,"","Inserisci ID"),IF(COUNTIFS($A$8:$A$507,A101)&lt;&gt;1,"ID duplicato",IF(OR(NOT(ISNUMBER(B101)),D101="",E101="",F101="",G101="",H101="",COUNTIFS('Impostazioni'!$J$6:$J$25,F101)&lt;&gt;1),"Completa dati / elenchi",IF(OR(AND(I101&lt;&gt;"Lordo manuale",I101&lt;&gt;"Netto manuale",I101&lt;&gt;"Esecuzioni"),AND(J101&lt;&gt;"Aperto",J101&lt;&gt;"Chiuso",J101&lt;&gt;"Annullato")),"Modalità / stato mancanti",IF(AND(J101&lt;&gt;"Aperto",OR(NOT(ISNUMBER(C101)),C101&lt;B101)),"Correggi data chiusura",IF(OR(AND(Q101&lt;&gt;"",OR(NOT(ISNUMBER(Q101)),Q101&lt;0)),AND(R101&lt;&gt;"",OR(NOT(ISNUMBER(R101)),R101&lt;0,R101&gt;1))),"Commissione non valida",IF(J101="Annullato","OK",IF(OR(NOT(ISNUMBER(Z101)),Z101&lt;0,AND(O101&lt;&gt;"",NOT(ISNUMBER(O101)))),"Inserisci rischio",IF(AND(I101="Esecuzioni",OR(W101=0,COUNTIFS('Esecuzioni'!$A$8:$A$1007,A101,'Esecuzioni'!$Q$8:$Q$1007,"&lt;&gt;OK")&gt;0)),"Correggi esecuzioni",IF(J101="Aperto","OK",IF(AND(I101="Esecuzioni",S101="Coperto",ABS(X101-Y101)&gt;'Impostazioni'!$B$11),"Copertura residua",IF(NOT(ISNUMBER(AC101)),"Completa risultato / esito",IF(AND(Z101=0,AC101&lt;&gt;0),"Rischio nullo con P/L","OK")))))))))))))</x:f>
      </x:c>
      <x:c r="AR101" s="20" t="str">
        <x:f>IF(OR(A101="",J101&lt;&gt;"Aperto",AQ101&lt;&gt;"OK"),"",IF(I101="Esecuzioni",SUMIFS('Esecuzioni'!$P$8:$P$1007,'Esecuzioni'!$A$8:$A$1007,A101,'Esecuzioni'!$B$8:$B$1007,_xlfn.MAXIFS('Esecuzioni'!$B$8:$B$1007,'Esecuzioni'!$A$8:$A$1007,A101)),IF(LEFT(U101,8)="FREEBET:",0,Z101)))</x:f>
      </x:c>
      <x:c r="AS101" s="48" t="str">
        <x:f>IF(OR(A101="",E101=""),"",IF(COUNTIFS($E$8:E101,E101)=1,COUNT($AS$7:AS100)+1,""))</x:f>
      </x:c>
    </x:row>
    <x:row r="102" ht="22" customHeight="1">
      <x:c r="A102" s="7"/>
      <x:c r="B102" s="19"/>
      <x:c r="C102" s="19"/>
      <x:c r="D102" s="7"/>
      <x:c r="E102" s="7"/>
      <x:c r="F102" s="7"/>
      <x:c r="G102" s="7"/>
      <x:c r="H102" s="7"/>
      <x:c r="I102" s="7"/>
      <x:c r="J102" s="7"/>
      <x:c r="K102" s="10"/>
      <x:c r="L102" s="7"/>
      <x:c r="M102" s="10"/>
      <x:c r="N102" s="7"/>
      <x:c r="O102" s="8"/>
      <x:c r="P102" s="8"/>
      <x:c r="Q102" s="8"/>
      <x:c r="R102" s="9"/>
      <x:c r="S102" s="7"/>
      <x:c r="T102" s="7"/>
      <x:c r="U102" s="7"/>
      <x:c r="V102" s="7"/>
      <x:c r="W102" s="22" t="str">
        <x:f>IF(A102="","",COUNTIFS('Esecuzioni'!$A$8:$A$1007,A102,'Esecuzioni'!$Q$8:$Q$1007,"OK"))</x:f>
      </x:c>
      <x:c r="X102" s="20" t="str">
        <x:f>IF(OR(A102="",I102&lt;&gt;"Esecuzioni",W102=0),"",SUMIFS('Esecuzioni'!$L$8:$L$1007,'Esecuzioni'!$A$8:$A$1007,A102))</x:f>
      </x:c>
      <x:c r="Y102" s="20" t="str">
        <x:f>IF(OR(A102="",I102&lt;&gt;"Esecuzioni",W102=0),"",SUMIFS('Esecuzioni'!$M$8:$M$1007,'Esecuzioni'!$A$8:$A$1007,A102))</x:f>
      </x:c>
      <x:c r="Z102" s="20" t="str">
        <x:f>IF(A102="","",IF(J102="Annullato",0,IF(ISNUMBER(O102),O102,IF(AND(I102="Esecuzioni",W102&gt;0),_xlfn.MAXIFS('Esecuzioni'!$P$8:$P$1007,'Esecuzioni'!$A$8:$A$1007,A102),""))))</x:f>
      </x:c>
      <x:c r="AA102" s="20" t="str">
        <x:f>IF(OR(A102="",J102="Aperto"),"",IF(J102="Annullato",0,IF(I102="Lordo manuale",IF(ISNUMBER(P102),P102,""),IF(I102="Netto manuale",IF(AND(ISNUMBER(P102),ISNUMBER(Q102)),P102+Q102,""),IF(OR(W102=0,COUNTIFS('Esecuzioni'!$A$8:$A$1007,A102,'Esecuzioni'!$Q$8:$Q$1007,"&lt;&gt;OK")&gt;0),"",IF(S102="Vince",X102,IF(S102="Perde",Y102,IF(AND(S102="Coperto",ABS(X102-Y102)&lt;='Impostazioni'!$B$11),ROUND((X102+Y102)/2,2),""))))))))</x:f>
      </x:c>
      <x:c r="AB102" s="20" t="str">
        <x:f>IF(NOT(ISNUMBER(AA102)),"",IF(J102="Annullato",0,IF(ISNUMBER(Q102),Q102,ROUND(MAX(0,AA102)*IF(ISNUMBER(R102),R102,'Impostazioni'!$B$8),2))))</x:f>
      </x:c>
      <x:c r="AC102" s="20" t="str">
        <x:f>IF(AND(ISNUMBER(AA102),ISNUMBER(AB102)),ROUND(AA102-AB102,2),"")</x:f>
      </x:c>
      <x:c r="AD102" s="18" t="str">
        <x:f>IF(A102="","",IF(AQ102&lt;&gt;"OK","Incompleto",IF(J102="Aperto","Aperto",IF(J102="Annullato","Annullato",IF(AC102&gt;0,"Green",IF(AC102&lt;0,"Red","Flat"))))))</x:f>
      </x:c>
      <x:c r="AE102" s="21" t="str">
        <x:f>IF(AND(AH102=1,Z102&gt;0),AC102/Z102,"")</x:f>
      </x:c>
      <x:c r="AF102" s="22" t="str">
        <x:f>IF(AH102&lt;&gt;1,"",COUNTIFS($C$8:$C$507,"&lt;"&amp;C102,$AH$8:$AH$507,1)+COUNTIFS($C$8:$C$507,C102,$A$8:$A$507,"&lt;="&amp;A102,$AH$8:$AH$507,1))</x:f>
      </x:c>
      <x:c r="AG102" s="20" t="str">
        <x:f>IF(AH102&lt;&gt;1,"",SUMIFS($AC$8:$AC$507,$C$8:$C$507,"&lt;"&amp;C102,$AH$8:$AH$507,1)+SUMIFS($AC$8:$AC$507,$C$8:$C$507,C102,$A$8:$A$507,"&lt;="&amp;A102,$AH$8:$AH$507,1))</x:f>
      </x:c>
      <x:c r="AH102" s="22" t="str">
        <x:f>IF(A102="","",IF(AND(J102="Chiuso",AQ102="OK",ISNUMBER(AC102)),1,0))</x:f>
      </x:c>
      <x:c r="AI102" s="20" t="str">
        <x:f>IF(AH102&lt;&gt;1,"",MAX(0,_xlfn.MAXIFS($AG$8:$AG$507,$AF$8:$AF$507,"&lt;="&amp;AF102,$AH$8:$AH$507,1)))</x:f>
      </x:c>
      <x:c r="AJ102" s="20" t="str">
        <x:f>IF(AH102&lt;&gt;1,"",MAX(0,AI102-AG102))</x:f>
      </x:c>
      <x:c r="AK102" s="21" t="str">
        <x:f>IF(OR(AH102&lt;&gt;1,NOT(ISNUMBER('Impostazioni'!$B$6)),'Impostazioni'!$B$6+AI102&lt;=0),"",AJ102/('Impostazioni'!$B$6+AI102))</x:f>
      </x:c>
      <x:c r="AL102" s="22" t="str">
        <x:f>IF(AH102&lt;&gt;1,"",IF(AC102&gt;0,AF102-_xlfn.MAXIFS($AF$8:$AF$507,$AF$8:$AF$507,"&lt;="&amp;AF102,$AC$8:$AC$507,"&lt;=0",$AH$8:$AH$507,1),0))</x:f>
      </x:c>
      <x:c r="AM102" s="22" t="str">
        <x:f>IF(AH102&lt;&gt;1,"",IF(AC102&lt;0,AF102-_xlfn.MAXIFS($AF$8:$AF$507,$AF$8:$AF$507,"&lt;="&amp;AF102,$AC$8:$AC$507,"&gt;=0",$AH$8:$AH$507,1),0))</x:f>
      </x:c>
      <x:c r="AN102" s="20" t="str">
        <x:f>IF(OR(A102="",NOT(ISNUMBER(B102)),NOT(ISNUMBER('Impostazioni'!$B$6))),"",'Impostazioni'!$B$6+SUMIFS($AC$8:$AC$507,$C$8:$C$507,"&lt;"&amp;B102,$AH$8:$AH$507,1)+SUMIFS('Cassa'!$F$8:$F$307,'Cassa'!$A$8:$A$307,"&lt;="&amp;B102,'Cassa'!$G$8:$G$307,"OK"))</x:f>
      </x:c>
      <x:c r="AO102" s="21" t="str">
        <x:f>IF(AND(ISNUMBER(Z102),ISNUMBER(AN102),AN102&gt;0),Z102/AN102,"")</x:f>
      </x:c>
      <x:c r="AP102" s="18" t="str">
        <x:f>IF(NOT(ISNUMBER(AO102)),"",IF(AO102&gt;'Impostazioni'!$B$7,"Oltre soglia personale","Nella soglia personale"))</x:f>
      </x:c>
      <x:c r="AQ102" s="18" t="str">
        <x:f>IF(A102="",IF(COUNTA(B102:V102)=0,"","Inserisci ID"),IF(COUNTIFS($A$8:$A$507,A102)&lt;&gt;1,"ID duplicato",IF(OR(NOT(ISNUMBER(B102)),D102="",E102="",F102="",G102="",H102="",COUNTIFS('Impostazioni'!$J$6:$J$25,F102)&lt;&gt;1),"Completa dati / elenchi",IF(OR(AND(I102&lt;&gt;"Lordo manuale",I102&lt;&gt;"Netto manuale",I102&lt;&gt;"Esecuzioni"),AND(J102&lt;&gt;"Aperto",J102&lt;&gt;"Chiuso",J102&lt;&gt;"Annullato")),"Modalità / stato mancanti",IF(AND(J102&lt;&gt;"Aperto",OR(NOT(ISNUMBER(C102)),C102&lt;B102)),"Correggi data chiusura",IF(OR(AND(Q102&lt;&gt;"",OR(NOT(ISNUMBER(Q102)),Q102&lt;0)),AND(R102&lt;&gt;"",OR(NOT(ISNUMBER(R102)),R102&lt;0,R102&gt;1))),"Commissione non valida",IF(J102="Annullato","OK",IF(OR(NOT(ISNUMBER(Z102)),Z102&lt;0,AND(O102&lt;&gt;"",NOT(ISNUMBER(O102)))),"Inserisci rischio",IF(AND(I102="Esecuzioni",OR(W102=0,COUNTIFS('Esecuzioni'!$A$8:$A$1007,A102,'Esecuzioni'!$Q$8:$Q$1007,"&lt;&gt;OK")&gt;0)),"Correggi esecuzioni",IF(J102="Aperto","OK",IF(AND(I102="Esecuzioni",S102="Coperto",ABS(X102-Y102)&gt;'Impostazioni'!$B$11),"Copertura residua",IF(NOT(ISNUMBER(AC102)),"Completa risultato / esito",IF(AND(Z102=0,AC102&lt;&gt;0),"Rischio nullo con P/L","OK")))))))))))))</x:f>
      </x:c>
      <x:c r="AR102" s="20" t="str">
        <x:f>IF(OR(A102="",J102&lt;&gt;"Aperto",AQ102&lt;&gt;"OK"),"",IF(I102="Esecuzioni",SUMIFS('Esecuzioni'!$P$8:$P$1007,'Esecuzioni'!$A$8:$A$1007,A102,'Esecuzioni'!$B$8:$B$1007,_xlfn.MAXIFS('Esecuzioni'!$B$8:$B$1007,'Esecuzioni'!$A$8:$A$1007,A102)),IF(LEFT(U102,8)="FREEBET:",0,Z102)))</x:f>
      </x:c>
      <x:c r="AS102" s="48" t="str">
        <x:f>IF(OR(A102="",E102=""),"",IF(COUNTIFS($E$8:E102,E102)=1,COUNT($AS$7:AS101)+1,""))</x:f>
      </x:c>
    </x:row>
    <x:row r="103" ht="22" customHeight="1">
      <x:c r="A103" s="7"/>
      <x:c r="B103" s="19"/>
      <x:c r="C103" s="19"/>
      <x:c r="D103" s="7"/>
      <x:c r="E103" s="7"/>
      <x:c r="F103" s="7"/>
      <x:c r="G103" s="7"/>
      <x:c r="H103" s="7"/>
      <x:c r="I103" s="7"/>
      <x:c r="J103" s="7"/>
      <x:c r="K103" s="10"/>
      <x:c r="L103" s="7"/>
      <x:c r="M103" s="10"/>
      <x:c r="N103" s="7"/>
      <x:c r="O103" s="8"/>
      <x:c r="P103" s="8"/>
      <x:c r="Q103" s="8"/>
      <x:c r="R103" s="9"/>
      <x:c r="S103" s="7"/>
      <x:c r="T103" s="7"/>
      <x:c r="U103" s="7"/>
      <x:c r="V103" s="7"/>
      <x:c r="W103" s="22" t="str">
        <x:f>IF(A103="","",COUNTIFS('Esecuzioni'!$A$8:$A$1007,A103,'Esecuzioni'!$Q$8:$Q$1007,"OK"))</x:f>
      </x:c>
      <x:c r="X103" s="20" t="str">
        <x:f>IF(OR(A103="",I103&lt;&gt;"Esecuzioni",W103=0),"",SUMIFS('Esecuzioni'!$L$8:$L$1007,'Esecuzioni'!$A$8:$A$1007,A103))</x:f>
      </x:c>
      <x:c r="Y103" s="20" t="str">
        <x:f>IF(OR(A103="",I103&lt;&gt;"Esecuzioni",W103=0),"",SUMIFS('Esecuzioni'!$M$8:$M$1007,'Esecuzioni'!$A$8:$A$1007,A103))</x:f>
      </x:c>
      <x:c r="Z103" s="20" t="str">
        <x:f>IF(A103="","",IF(J103="Annullato",0,IF(ISNUMBER(O103),O103,IF(AND(I103="Esecuzioni",W103&gt;0),_xlfn.MAXIFS('Esecuzioni'!$P$8:$P$1007,'Esecuzioni'!$A$8:$A$1007,A103),""))))</x:f>
      </x:c>
      <x:c r="AA103" s="20" t="str">
        <x:f>IF(OR(A103="",J103="Aperto"),"",IF(J103="Annullato",0,IF(I103="Lordo manuale",IF(ISNUMBER(P103),P103,""),IF(I103="Netto manuale",IF(AND(ISNUMBER(P103),ISNUMBER(Q103)),P103+Q103,""),IF(OR(W103=0,COUNTIFS('Esecuzioni'!$A$8:$A$1007,A103,'Esecuzioni'!$Q$8:$Q$1007,"&lt;&gt;OK")&gt;0),"",IF(S103="Vince",X103,IF(S103="Perde",Y103,IF(AND(S103="Coperto",ABS(X103-Y103)&lt;='Impostazioni'!$B$11),ROUND((X103+Y103)/2,2),""))))))))</x:f>
      </x:c>
      <x:c r="AB103" s="20" t="str">
        <x:f>IF(NOT(ISNUMBER(AA103)),"",IF(J103="Annullato",0,IF(ISNUMBER(Q103),Q103,ROUND(MAX(0,AA103)*IF(ISNUMBER(R103),R103,'Impostazioni'!$B$8),2))))</x:f>
      </x:c>
      <x:c r="AC103" s="20" t="str">
        <x:f>IF(AND(ISNUMBER(AA103),ISNUMBER(AB103)),ROUND(AA103-AB103,2),"")</x:f>
      </x:c>
      <x:c r="AD103" s="18" t="str">
        <x:f>IF(A103="","",IF(AQ103&lt;&gt;"OK","Incompleto",IF(J103="Aperto","Aperto",IF(J103="Annullato","Annullato",IF(AC103&gt;0,"Green",IF(AC103&lt;0,"Red","Flat"))))))</x:f>
      </x:c>
      <x:c r="AE103" s="21" t="str">
        <x:f>IF(AND(AH103=1,Z103&gt;0),AC103/Z103,"")</x:f>
      </x:c>
      <x:c r="AF103" s="22" t="str">
        <x:f>IF(AH103&lt;&gt;1,"",COUNTIFS($C$8:$C$507,"&lt;"&amp;C103,$AH$8:$AH$507,1)+COUNTIFS($C$8:$C$507,C103,$A$8:$A$507,"&lt;="&amp;A103,$AH$8:$AH$507,1))</x:f>
      </x:c>
      <x:c r="AG103" s="20" t="str">
        <x:f>IF(AH103&lt;&gt;1,"",SUMIFS($AC$8:$AC$507,$C$8:$C$507,"&lt;"&amp;C103,$AH$8:$AH$507,1)+SUMIFS($AC$8:$AC$507,$C$8:$C$507,C103,$A$8:$A$507,"&lt;="&amp;A103,$AH$8:$AH$507,1))</x:f>
      </x:c>
      <x:c r="AH103" s="22" t="str">
        <x:f>IF(A103="","",IF(AND(J103="Chiuso",AQ103="OK",ISNUMBER(AC103)),1,0))</x:f>
      </x:c>
      <x:c r="AI103" s="20" t="str">
        <x:f>IF(AH103&lt;&gt;1,"",MAX(0,_xlfn.MAXIFS($AG$8:$AG$507,$AF$8:$AF$507,"&lt;="&amp;AF103,$AH$8:$AH$507,1)))</x:f>
      </x:c>
      <x:c r="AJ103" s="20" t="str">
        <x:f>IF(AH103&lt;&gt;1,"",MAX(0,AI103-AG103))</x:f>
      </x:c>
      <x:c r="AK103" s="21" t="str">
        <x:f>IF(OR(AH103&lt;&gt;1,NOT(ISNUMBER('Impostazioni'!$B$6)),'Impostazioni'!$B$6+AI103&lt;=0),"",AJ103/('Impostazioni'!$B$6+AI103))</x:f>
      </x:c>
      <x:c r="AL103" s="22" t="str">
        <x:f>IF(AH103&lt;&gt;1,"",IF(AC103&gt;0,AF103-_xlfn.MAXIFS($AF$8:$AF$507,$AF$8:$AF$507,"&lt;="&amp;AF103,$AC$8:$AC$507,"&lt;=0",$AH$8:$AH$507,1),0))</x:f>
      </x:c>
      <x:c r="AM103" s="22" t="str">
        <x:f>IF(AH103&lt;&gt;1,"",IF(AC103&lt;0,AF103-_xlfn.MAXIFS($AF$8:$AF$507,$AF$8:$AF$507,"&lt;="&amp;AF103,$AC$8:$AC$507,"&gt;=0",$AH$8:$AH$507,1),0))</x:f>
      </x:c>
      <x:c r="AN103" s="20" t="str">
        <x:f>IF(OR(A103="",NOT(ISNUMBER(B103)),NOT(ISNUMBER('Impostazioni'!$B$6))),"",'Impostazioni'!$B$6+SUMIFS($AC$8:$AC$507,$C$8:$C$507,"&lt;"&amp;B103,$AH$8:$AH$507,1)+SUMIFS('Cassa'!$F$8:$F$307,'Cassa'!$A$8:$A$307,"&lt;="&amp;B103,'Cassa'!$G$8:$G$307,"OK"))</x:f>
      </x:c>
      <x:c r="AO103" s="21" t="str">
        <x:f>IF(AND(ISNUMBER(Z103),ISNUMBER(AN103),AN103&gt;0),Z103/AN103,"")</x:f>
      </x:c>
      <x:c r="AP103" s="18" t="str">
        <x:f>IF(NOT(ISNUMBER(AO103)),"",IF(AO103&gt;'Impostazioni'!$B$7,"Oltre soglia personale","Nella soglia personale"))</x:f>
      </x:c>
      <x:c r="AQ103" s="18" t="str">
        <x:f>IF(A103="",IF(COUNTA(B103:V103)=0,"","Inserisci ID"),IF(COUNTIFS($A$8:$A$507,A103)&lt;&gt;1,"ID duplicato",IF(OR(NOT(ISNUMBER(B103)),D103="",E103="",F103="",G103="",H103="",COUNTIFS('Impostazioni'!$J$6:$J$25,F103)&lt;&gt;1),"Completa dati / elenchi",IF(OR(AND(I103&lt;&gt;"Lordo manuale",I103&lt;&gt;"Netto manuale",I103&lt;&gt;"Esecuzioni"),AND(J103&lt;&gt;"Aperto",J103&lt;&gt;"Chiuso",J103&lt;&gt;"Annullato")),"Modalità / stato mancanti",IF(AND(J103&lt;&gt;"Aperto",OR(NOT(ISNUMBER(C103)),C103&lt;B103)),"Correggi data chiusura",IF(OR(AND(Q103&lt;&gt;"",OR(NOT(ISNUMBER(Q103)),Q103&lt;0)),AND(R103&lt;&gt;"",OR(NOT(ISNUMBER(R103)),R103&lt;0,R103&gt;1))),"Commissione non valida",IF(J103="Annullato","OK",IF(OR(NOT(ISNUMBER(Z103)),Z103&lt;0,AND(O103&lt;&gt;"",NOT(ISNUMBER(O103)))),"Inserisci rischio",IF(AND(I103="Esecuzioni",OR(W103=0,COUNTIFS('Esecuzioni'!$A$8:$A$1007,A103,'Esecuzioni'!$Q$8:$Q$1007,"&lt;&gt;OK")&gt;0)),"Correggi esecuzioni",IF(J103="Aperto","OK",IF(AND(I103="Esecuzioni",S103="Coperto",ABS(X103-Y103)&gt;'Impostazioni'!$B$11),"Copertura residua",IF(NOT(ISNUMBER(AC103)),"Completa risultato / esito",IF(AND(Z103=0,AC103&lt;&gt;0),"Rischio nullo con P/L","OK")))))))))))))</x:f>
      </x:c>
      <x:c r="AR103" s="20" t="str">
        <x:f>IF(OR(A103="",J103&lt;&gt;"Aperto",AQ103&lt;&gt;"OK"),"",IF(I103="Esecuzioni",SUMIFS('Esecuzioni'!$P$8:$P$1007,'Esecuzioni'!$A$8:$A$1007,A103,'Esecuzioni'!$B$8:$B$1007,_xlfn.MAXIFS('Esecuzioni'!$B$8:$B$1007,'Esecuzioni'!$A$8:$A$1007,A103)),IF(LEFT(U103,8)="FREEBET:",0,Z103)))</x:f>
      </x:c>
      <x:c r="AS103" s="48" t="str">
        <x:f>IF(OR(A103="",E103=""),"",IF(COUNTIFS($E$8:E103,E103)=1,COUNT($AS$7:AS102)+1,""))</x:f>
      </x:c>
    </x:row>
    <x:row r="104" ht="22" customHeight="1">
      <x:c r="A104" s="7"/>
      <x:c r="B104" s="19"/>
      <x:c r="C104" s="19"/>
      <x:c r="D104" s="7"/>
      <x:c r="E104" s="7"/>
      <x:c r="F104" s="7"/>
      <x:c r="G104" s="7"/>
      <x:c r="H104" s="7"/>
      <x:c r="I104" s="7"/>
      <x:c r="J104" s="7"/>
      <x:c r="K104" s="10"/>
      <x:c r="L104" s="7"/>
      <x:c r="M104" s="10"/>
      <x:c r="N104" s="7"/>
      <x:c r="O104" s="8"/>
      <x:c r="P104" s="8"/>
      <x:c r="Q104" s="8"/>
      <x:c r="R104" s="9"/>
      <x:c r="S104" s="7"/>
      <x:c r="T104" s="7"/>
      <x:c r="U104" s="7"/>
      <x:c r="V104" s="7"/>
      <x:c r="W104" s="22" t="str">
        <x:f>IF(A104="","",COUNTIFS('Esecuzioni'!$A$8:$A$1007,A104,'Esecuzioni'!$Q$8:$Q$1007,"OK"))</x:f>
      </x:c>
      <x:c r="X104" s="20" t="str">
        <x:f>IF(OR(A104="",I104&lt;&gt;"Esecuzioni",W104=0),"",SUMIFS('Esecuzioni'!$L$8:$L$1007,'Esecuzioni'!$A$8:$A$1007,A104))</x:f>
      </x:c>
      <x:c r="Y104" s="20" t="str">
        <x:f>IF(OR(A104="",I104&lt;&gt;"Esecuzioni",W104=0),"",SUMIFS('Esecuzioni'!$M$8:$M$1007,'Esecuzioni'!$A$8:$A$1007,A104))</x:f>
      </x:c>
      <x:c r="Z104" s="20" t="str">
        <x:f>IF(A104="","",IF(J104="Annullato",0,IF(ISNUMBER(O104),O104,IF(AND(I104="Esecuzioni",W104&gt;0),_xlfn.MAXIFS('Esecuzioni'!$P$8:$P$1007,'Esecuzioni'!$A$8:$A$1007,A104),""))))</x:f>
      </x:c>
      <x:c r="AA104" s="20" t="str">
        <x:f>IF(OR(A104="",J104="Aperto"),"",IF(J104="Annullato",0,IF(I104="Lordo manuale",IF(ISNUMBER(P104),P104,""),IF(I104="Netto manuale",IF(AND(ISNUMBER(P104),ISNUMBER(Q104)),P104+Q104,""),IF(OR(W104=0,COUNTIFS('Esecuzioni'!$A$8:$A$1007,A104,'Esecuzioni'!$Q$8:$Q$1007,"&lt;&gt;OK")&gt;0),"",IF(S104="Vince",X104,IF(S104="Perde",Y104,IF(AND(S104="Coperto",ABS(X104-Y104)&lt;='Impostazioni'!$B$11),ROUND((X104+Y104)/2,2),""))))))))</x:f>
      </x:c>
      <x:c r="AB104" s="20" t="str">
        <x:f>IF(NOT(ISNUMBER(AA104)),"",IF(J104="Annullato",0,IF(ISNUMBER(Q104),Q104,ROUND(MAX(0,AA104)*IF(ISNUMBER(R104),R104,'Impostazioni'!$B$8),2))))</x:f>
      </x:c>
      <x:c r="AC104" s="20" t="str">
        <x:f>IF(AND(ISNUMBER(AA104),ISNUMBER(AB104)),ROUND(AA104-AB104,2),"")</x:f>
      </x:c>
      <x:c r="AD104" s="18" t="str">
        <x:f>IF(A104="","",IF(AQ104&lt;&gt;"OK","Incompleto",IF(J104="Aperto","Aperto",IF(J104="Annullato","Annullato",IF(AC104&gt;0,"Green",IF(AC104&lt;0,"Red","Flat"))))))</x:f>
      </x:c>
      <x:c r="AE104" s="21" t="str">
        <x:f>IF(AND(AH104=1,Z104&gt;0),AC104/Z104,"")</x:f>
      </x:c>
      <x:c r="AF104" s="22" t="str">
        <x:f>IF(AH104&lt;&gt;1,"",COUNTIFS($C$8:$C$507,"&lt;"&amp;C104,$AH$8:$AH$507,1)+COUNTIFS($C$8:$C$507,C104,$A$8:$A$507,"&lt;="&amp;A104,$AH$8:$AH$507,1))</x:f>
      </x:c>
      <x:c r="AG104" s="20" t="str">
        <x:f>IF(AH104&lt;&gt;1,"",SUMIFS($AC$8:$AC$507,$C$8:$C$507,"&lt;"&amp;C104,$AH$8:$AH$507,1)+SUMIFS($AC$8:$AC$507,$C$8:$C$507,C104,$A$8:$A$507,"&lt;="&amp;A104,$AH$8:$AH$507,1))</x:f>
      </x:c>
      <x:c r="AH104" s="22" t="str">
        <x:f>IF(A104="","",IF(AND(J104="Chiuso",AQ104="OK",ISNUMBER(AC104)),1,0))</x:f>
      </x:c>
      <x:c r="AI104" s="20" t="str">
        <x:f>IF(AH104&lt;&gt;1,"",MAX(0,_xlfn.MAXIFS($AG$8:$AG$507,$AF$8:$AF$507,"&lt;="&amp;AF104,$AH$8:$AH$507,1)))</x:f>
      </x:c>
      <x:c r="AJ104" s="20" t="str">
        <x:f>IF(AH104&lt;&gt;1,"",MAX(0,AI104-AG104))</x:f>
      </x:c>
      <x:c r="AK104" s="21" t="str">
        <x:f>IF(OR(AH104&lt;&gt;1,NOT(ISNUMBER('Impostazioni'!$B$6)),'Impostazioni'!$B$6+AI104&lt;=0),"",AJ104/('Impostazioni'!$B$6+AI104))</x:f>
      </x:c>
      <x:c r="AL104" s="22" t="str">
        <x:f>IF(AH104&lt;&gt;1,"",IF(AC104&gt;0,AF104-_xlfn.MAXIFS($AF$8:$AF$507,$AF$8:$AF$507,"&lt;="&amp;AF104,$AC$8:$AC$507,"&lt;=0",$AH$8:$AH$507,1),0))</x:f>
      </x:c>
      <x:c r="AM104" s="22" t="str">
        <x:f>IF(AH104&lt;&gt;1,"",IF(AC104&lt;0,AF104-_xlfn.MAXIFS($AF$8:$AF$507,$AF$8:$AF$507,"&lt;="&amp;AF104,$AC$8:$AC$507,"&gt;=0",$AH$8:$AH$507,1),0))</x:f>
      </x:c>
      <x:c r="AN104" s="20" t="str">
        <x:f>IF(OR(A104="",NOT(ISNUMBER(B104)),NOT(ISNUMBER('Impostazioni'!$B$6))),"",'Impostazioni'!$B$6+SUMIFS($AC$8:$AC$507,$C$8:$C$507,"&lt;"&amp;B104,$AH$8:$AH$507,1)+SUMIFS('Cassa'!$F$8:$F$307,'Cassa'!$A$8:$A$307,"&lt;="&amp;B104,'Cassa'!$G$8:$G$307,"OK"))</x:f>
      </x:c>
      <x:c r="AO104" s="21" t="str">
        <x:f>IF(AND(ISNUMBER(Z104),ISNUMBER(AN104),AN104&gt;0),Z104/AN104,"")</x:f>
      </x:c>
      <x:c r="AP104" s="18" t="str">
        <x:f>IF(NOT(ISNUMBER(AO104)),"",IF(AO104&gt;'Impostazioni'!$B$7,"Oltre soglia personale","Nella soglia personale"))</x:f>
      </x:c>
      <x:c r="AQ104" s="18" t="str">
        <x:f>IF(A104="",IF(COUNTA(B104:V104)=0,"","Inserisci ID"),IF(COUNTIFS($A$8:$A$507,A104)&lt;&gt;1,"ID duplicato",IF(OR(NOT(ISNUMBER(B104)),D104="",E104="",F104="",G104="",H104="",COUNTIFS('Impostazioni'!$J$6:$J$25,F104)&lt;&gt;1),"Completa dati / elenchi",IF(OR(AND(I104&lt;&gt;"Lordo manuale",I104&lt;&gt;"Netto manuale",I104&lt;&gt;"Esecuzioni"),AND(J104&lt;&gt;"Aperto",J104&lt;&gt;"Chiuso",J104&lt;&gt;"Annullato")),"Modalità / stato mancanti",IF(AND(J104&lt;&gt;"Aperto",OR(NOT(ISNUMBER(C104)),C104&lt;B104)),"Correggi data chiusura",IF(OR(AND(Q104&lt;&gt;"",OR(NOT(ISNUMBER(Q104)),Q104&lt;0)),AND(R104&lt;&gt;"",OR(NOT(ISNUMBER(R104)),R104&lt;0,R104&gt;1))),"Commissione non valida",IF(J104="Annullato","OK",IF(OR(NOT(ISNUMBER(Z104)),Z104&lt;0,AND(O104&lt;&gt;"",NOT(ISNUMBER(O104)))),"Inserisci rischio",IF(AND(I104="Esecuzioni",OR(W104=0,COUNTIFS('Esecuzioni'!$A$8:$A$1007,A104,'Esecuzioni'!$Q$8:$Q$1007,"&lt;&gt;OK")&gt;0)),"Correggi esecuzioni",IF(J104="Aperto","OK",IF(AND(I104="Esecuzioni",S104="Coperto",ABS(X104-Y104)&gt;'Impostazioni'!$B$11),"Copertura residua",IF(NOT(ISNUMBER(AC104)),"Completa risultato / esito",IF(AND(Z104=0,AC104&lt;&gt;0),"Rischio nullo con P/L","OK")))))))))))))</x:f>
      </x:c>
      <x:c r="AR104" s="20" t="str">
        <x:f>IF(OR(A104="",J104&lt;&gt;"Aperto",AQ104&lt;&gt;"OK"),"",IF(I104="Esecuzioni",SUMIFS('Esecuzioni'!$P$8:$P$1007,'Esecuzioni'!$A$8:$A$1007,A104,'Esecuzioni'!$B$8:$B$1007,_xlfn.MAXIFS('Esecuzioni'!$B$8:$B$1007,'Esecuzioni'!$A$8:$A$1007,A104)),IF(LEFT(U104,8)="FREEBET:",0,Z104)))</x:f>
      </x:c>
      <x:c r="AS104" s="48" t="str">
        <x:f>IF(OR(A104="",E104=""),"",IF(COUNTIFS($E$8:E104,E104)=1,COUNT($AS$7:AS103)+1,""))</x:f>
      </x:c>
    </x:row>
    <x:row r="105" ht="22" customHeight="1">
      <x:c r="A105" s="7"/>
      <x:c r="B105" s="19"/>
      <x:c r="C105" s="19"/>
      <x:c r="D105" s="7"/>
      <x:c r="E105" s="7"/>
      <x:c r="F105" s="7"/>
      <x:c r="G105" s="7"/>
      <x:c r="H105" s="7"/>
      <x:c r="I105" s="7"/>
      <x:c r="J105" s="7"/>
      <x:c r="K105" s="10"/>
      <x:c r="L105" s="7"/>
      <x:c r="M105" s="10"/>
      <x:c r="N105" s="7"/>
      <x:c r="O105" s="8"/>
      <x:c r="P105" s="8"/>
      <x:c r="Q105" s="8"/>
      <x:c r="R105" s="9"/>
      <x:c r="S105" s="7"/>
      <x:c r="T105" s="7"/>
      <x:c r="U105" s="7"/>
      <x:c r="V105" s="7"/>
      <x:c r="W105" s="22" t="str">
        <x:f>IF(A105="","",COUNTIFS('Esecuzioni'!$A$8:$A$1007,A105,'Esecuzioni'!$Q$8:$Q$1007,"OK"))</x:f>
      </x:c>
      <x:c r="X105" s="20" t="str">
        <x:f>IF(OR(A105="",I105&lt;&gt;"Esecuzioni",W105=0),"",SUMIFS('Esecuzioni'!$L$8:$L$1007,'Esecuzioni'!$A$8:$A$1007,A105))</x:f>
      </x:c>
      <x:c r="Y105" s="20" t="str">
        <x:f>IF(OR(A105="",I105&lt;&gt;"Esecuzioni",W105=0),"",SUMIFS('Esecuzioni'!$M$8:$M$1007,'Esecuzioni'!$A$8:$A$1007,A105))</x:f>
      </x:c>
      <x:c r="Z105" s="20" t="str">
        <x:f>IF(A105="","",IF(J105="Annullato",0,IF(ISNUMBER(O105),O105,IF(AND(I105="Esecuzioni",W105&gt;0),_xlfn.MAXIFS('Esecuzioni'!$P$8:$P$1007,'Esecuzioni'!$A$8:$A$1007,A105),""))))</x:f>
      </x:c>
      <x:c r="AA105" s="20" t="str">
        <x:f>IF(OR(A105="",J105="Aperto"),"",IF(J105="Annullato",0,IF(I105="Lordo manuale",IF(ISNUMBER(P105),P105,""),IF(I105="Netto manuale",IF(AND(ISNUMBER(P105),ISNUMBER(Q105)),P105+Q105,""),IF(OR(W105=0,COUNTIFS('Esecuzioni'!$A$8:$A$1007,A105,'Esecuzioni'!$Q$8:$Q$1007,"&lt;&gt;OK")&gt;0),"",IF(S105="Vince",X105,IF(S105="Perde",Y105,IF(AND(S105="Coperto",ABS(X105-Y105)&lt;='Impostazioni'!$B$11),ROUND((X105+Y105)/2,2),""))))))))</x:f>
      </x:c>
      <x:c r="AB105" s="20" t="str">
        <x:f>IF(NOT(ISNUMBER(AA105)),"",IF(J105="Annullato",0,IF(ISNUMBER(Q105),Q105,ROUND(MAX(0,AA105)*IF(ISNUMBER(R105),R105,'Impostazioni'!$B$8),2))))</x:f>
      </x:c>
      <x:c r="AC105" s="20" t="str">
        <x:f>IF(AND(ISNUMBER(AA105),ISNUMBER(AB105)),ROUND(AA105-AB105,2),"")</x:f>
      </x:c>
      <x:c r="AD105" s="18" t="str">
        <x:f>IF(A105="","",IF(AQ105&lt;&gt;"OK","Incompleto",IF(J105="Aperto","Aperto",IF(J105="Annullato","Annullato",IF(AC105&gt;0,"Green",IF(AC105&lt;0,"Red","Flat"))))))</x:f>
      </x:c>
      <x:c r="AE105" s="21" t="str">
        <x:f>IF(AND(AH105=1,Z105&gt;0),AC105/Z105,"")</x:f>
      </x:c>
      <x:c r="AF105" s="22" t="str">
        <x:f>IF(AH105&lt;&gt;1,"",COUNTIFS($C$8:$C$507,"&lt;"&amp;C105,$AH$8:$AH$507,1)+COUNTIFS($C$8:$C$507,C105,$A$8:$A$507,"&lt;="&amp;A105,$AH$8:$AH$507,1))</x:f>
      </x:c>
      <x:c r="AG105" s="20" t="str">
        <x:f>IF(AH105&lt;&gt;1,"",SUMIFS($AC$8:$AC$507,$C$8:$C$507,"&lt;"&amp;C105,$AH$8:$AH$507,1)+SUMIFS($AC$8:$AC$507,$C$8:$C$507,C105,$A$8:$A$507,"&lt;="&amp;A105,$AH$8:$AH$507,1))</x:f>
      </x:c>
      <x:c r="AH105" s="22" t="str">
        <x:f>IF(A105="","",IF(AND(J105="Chiuso",AQ105="OK",ISNUMBER(AC105)),1,0))</x:f>
      </x:c>
      <x:c r="AI105" s="20" t="str">
        <x:f>IF(AH105&lt;&gt;1,"",MAX(0,_xlfn.MAXIFS($AG$8:$AG$507,$AF$8:$AF$507,"&lt;="&amp;AF105,$AH$8:$AH$507,1)))</x:f>
      </x:c>
      <x:c r="AJ105" s="20" t="str">
        <x:f>IF(AH105&lt;&gt;1,"",MAX(0,AI105-AG105))</x:f>
      </x:c>
      <x:c r="AK105" s="21" t="str">
        <x:f>IF(OR(AH105&lt;&gt;1,NOT(ISNUMBER('Impostazioni'!$B$6)),'Impostazioni'!$B$6+AI105&lt;=0),"",AJ105/('Impostazioni'!$B$6+AI105))</x:f>
      </x:c>
      <x:c r="AL105" s="22" t="str">
        <x:f>IF(AH105&lt;&gt;1,"",IF(AC105&gt;0,AF105-_xlfn.MAXIFS($AF$8:$AF$507,$AF$8:$AF$507,"&lt;="&amp;AF105,$AC$8:$AC$507,"&lt;=0",$AH$8:$AH$507,1),0))</x:f>
      </x:c>
      <x:c r="AM105" s="22" t="str">
        <x:f>IF(AH105&lt;&gt;1,"",IF(AC105&lt;0,AF105-_xlfn.MAXIFS($AF$8:$AF$507,$AF$8:$AF$507,"&lt;="&amp;AF105,$AC$8:$AC$507,"&gt;=0",$AH$8:$AH$507,1),0))</x:f>
      </x:c>
      <x:c r="AN105" s="20" t="str">
        <x:f>IF(OR(A105="",NOT(ISNUMBER(B105)),NOT(ISNUMBER('Impostazioni'!$B$6))),"",'Impostazioni'!$B$6+SUMIFS($AC$8:$AC$507,$C$8:$C$507,"&lt;"&amp;B105,$AH$8:$AH$507,1)+SUMIFS('Cassa'!$F$8:$F$307,'Cassa'!$A$8:$A$307,"&lt;="&amp;B105,'Cassa'!$G$8:$G$307,"OK"))</x:f>
      </x:c>
      <x:c r="AO105" s="21" t="str">
        <x:f>IF(AND(ISNUMBER(Z105),ISNUMBER(AN105),AN105&gt;0),Z105/AN105,"")</x:f>
      </x:c>
      <x:c r="AP105" s="18" t="str">
        <x:f>IF(NOT(ISNUMBER(AO105)),"",IF(AO105&gt;'Impostazioni'!$B$7,"Oltre soglia personale","Nella soglia personale"))</x:f>
      </x:c>
      <x:c r="AQ105" s="18" t="str">
        <x:f>IF(A105="",IF(COUNTA(B105:V105)=0,"","Inserisci ID"),IF(COUNTIFS($A$8:$A$507,A105)&lt;&gt;1,"ID duplicato",IF(OR(NOT(ISNUMBER(B105)),D105="",E105="",F105="",G105="",H105="",COUNTIFS('Impostazioni'!$J$6:$J$25,F105)&lt;&gt;1),"Completa dati / elenchi",IF(OR(AND(I105&lt;&gt;"Lordo manuale",I105&lt;&gt;"Netto manuale",I105&lt;&gt;"Esecuzioni"),AND(J105&lt;&gt;"Aperto",J105&lt;&gt;"Chiuso",J105&lt;&gt;"Annullato")),"Modalità / stato mancanti",IF(AND(J105&lt;&gt;"Aperto",OR(NOT(ISNUMBER(C105)),C105&lt;B105)),"Correggi data chiusura",IF(OR(AND(Q105&lt;&gt;"",OR(NOT(ISNUMBER(Q105)),Q105&lt;0)),AND(R105&lt;&gt;"",OR(NOT(ISNUMBER(R105)),R105&lt;0,R105&gt;1))),"Commissione non valida",IF(J105="Annullato","OK",IF(OR(NOT(ISNUMBER(Z105)),Z105&lt;0,AND(O105&lt;&gt;"",NOT(ISNUMBER(O105)))),"Inserisci rischio",IF(AND(I105="Esecuzioni",OR(W105=0,COUNTIFS('Esecuzioni'!$A$8:$A$1007,A105,'Esecuzioni'!$Q$8:$Q$1007,"&lt;&gt;OK")&gt;0)),"Correggi esecuzioni",IF(J105="Aperto","OK",IF(AND(I105="Esecuzioni",S105="Coperto",ABS(X105-Y105)&gt;'Impostazioni'!$B$11),"Copertura residua",IF(NOT(ISNUMBER(AC105)),"Completa risultato / esito",IF(AND(Z105=0,AC105&lt;&gt;0),"Rischio nullo con P/L","OK")))))))))))))</x:f>
      </x:c>
      <x:c r="AR105" s="20" t="str">
        <x:f>IF(OR(A105="",J105&lt;&gt;"Aperto",AQ105&lt;&gt;"OK"),"",IF(I105="Esecuzioni",SUMIFS('Esecuzioni'!$P$8:$P$1007,'Esecuzioni'!$A$8:$A$1007,A105,'Esecuzioni'!$B$8:$B$1007,_xlfn.MAXIFS('Esecuzioni'!$B$8:$B$1007,'Esecuzioni'!$A$8:$A$1007,A105)),IF(LEFT(U105,8)="FREEBET:",0,Z105)))</x:f>
      </x:c>
      <x:c r="AS105" s="48" t="str">
        <x:f>IF(OR(A105="",E105=""),"",IF(COUNTIFS($E$8:E105,E105)=1,COUNT($AS$7:AS104)+1,""))</x:f>
      </x:c>
    </x:row>
    <x:row r="106" ht="22" customHeight="1">
      <x:c r="A106" s="7"/>
      <x:c r="B106" s="19"/>
      <x:c r="C106" s="19"/>
      <x:c r="D106" s="7"/>
      <x:c r="E106" s="7"/>
      <x:c r="F106" s="7"/>
      <x:c r="G106" s="7"/>
      <x:c r="H106" s="7"/>
      <x:c r="I106" s="7"/>
      <x:c r="J106" s="7"/>
      <x:c r="K106" s="10"/>
      <x:c r="L106" s="7"/>
      <x:c r="M106" s="10"/>
      <x:c r="N106" s="7"/>
      <x:c r="O106" s="8"/>
      <x:c r="P106" s="8"/>
      <x:c r="Q106" s="8"/>
      <x:c r="R106" s="9"/>
      <x:c r="S106" s="7"/>
      <x:c r="T106" s="7"/>
      <x:c r="U106" s="7"/>
      <x:c r="V106" s="7"/>
      <x:c r="W106" s="22" t="str">
        <x:f>IF(A106="","",COUNTIFS('Esecuzioni'!$A$8:$A$1007,A106,'Esecuzioni'!$Q$8:$Q$1007,"OK"))</x:f>
      </x:c>
      <x:c r="X106" s="20" t="str">
        <x:f>IF(OR(A106="",I106&lt;&gt;"Esecuzioni",W106=0),"",SUMIFS('Esecuzioni'!$L$8:$L$1007,'Esecuzioni'!$A$8:$A$1007,A106))</x:f>
      </x:c>
      <x:c r="Y106" s="20" t="str">
        <x:f>IF(OR(A106="",I106&lt;&gt;"Esecuzioni",W106=0),"",SUMIFS('Esecuzioni'!$M$8:$M$1007,'Esecuzioni'!$A$8:$A$1007,A106))</x:f>
      </x:c>
      <x:c r="Z106" s="20" t="str">
        <x:f>IF(A106="","",IF(J106="Annullato",0,IF(ISNUMBER(O106),O106,IF(AND(I106="Esecuzioni",W106&gt;0),_xlfn.MAXIFS('Esecuzioni'!$P$8:$P$1007,'Esecuzioni'!$A$8:$A$1007,A106),""))))</x:f>
      </x:c>
      <x:c r="AA106" s="20" t="str">
        <x:f>IF(OR(A106="",J106="Aperto"),"",IF(J106="Annullato",0,IF(I106="Lordo manuale",IF(ISNUMBER(P106),P106,""),IF(I106="Netto manuale",IF(AND(ISNUMBER(P106),ISNUMBER(Q106)),P106+Q106,""),IF(OR(W106=0,COUNTIFS('Esecuzioni'!$A$8:$A$1007,A106,'Esecuzioni'!$Q$8:$Q$1007,"&lt;&gt;OK")&gt;0),"",IF(S106="Vince",X106,IF(S106="Perde",Y106,IF(AND(S106="Coperto",ABS(X106-Y106)&lt;='Impostazioni'!$B$11),ROUND((X106+Y106)/2,2),""))))))))</x:f>
      </x:c>
      <x:c r="AB106" s="20" t="str">
        <x:f>IF(NOT(ISNUMBER(AA106)),"",IF(J106="Annullato",0,IF(ISNUMBER(Q106),Q106,ROUND(MAX(0,AA106)*IF(ISNUMBER(R106),R106,'Impostazioni'!$B$8),2))))</x:f>
      </x:c>
      <x:c r="AC106" s="20" t="str">
        <x:f>IF(AND(ISNUMBER(AA106),ISNUMBER(AB106)),ROUND(AA106-AB106,2),"")</x:f>
      </x:c>
      <x:c r="AD106" s="18" t="str">
        <x:f>IF(A106="","",IF(AQ106&lt;&gt;"OK","Incompleto",IF(J106="Aperto","Aperto",IF(J106="Annullato","Annullato",IF(AC106&gt;0,"Green",IF(AC106&lt;0,"Red","Flat"))))))</x:f>
      </x:c>
      <x:c r="AE106" s="21" t="str">
        <x:f>IF(AND(AH106=1,Z106&gt;0),AC106/Z106,"")</x:f>
      </x:c>
      <x:c r="AF106" s="22" t="str">
        <x:f>IF(AH106&lt;&gt;1,"",COUNTIFS($C$8:$C$507,"&lt;"&amp;C106,$AH$8:$AH$507,1)+COUNTIFS($C$8:$C$507,C106,$A$8:$A$507,"&lt;="&amp;A106,$AH$8:$AH$507,1))</x:f>
      </x:c>
      <x:c r="AG106" s="20" t="str">
        <x:f>IF(AH106&lt;&gt;1,"",SUMIFS($AC$8:$AC$507,$C$8:$C$507,"&lt;"&amp;C106,$AH$8:$AH$507,1)+SUMIFS($AC$8:$AC$507,$C$8:$C$507,C106,$A$8:$A$507,"&lt;="&amp;A106,$AH$8:$AH$507,1))</x:f>
      </x:c>
      <x:c r="AH106" s="22" t="str">
        <x:f>IF(A106="","",IF(AND(J106="Chiuso",AQ106="OK",ISNUMBER(AC106)),1,0))</x:f>
      </x:c>
      <x:c r="AI106" s="20" t="str">
        <x:f>IF(AH106&lt;&gt;1,"",MAX(0,_xlfn.MAXIFS($AG$8:$AG$507,$AF$8:$AF$507,"&lt;="&amp;AF106,$AH$8:$AH$507,1)))</x:f>
      </x:c>
      <x:c r="AJ106" s="20" t="str">
        <x:f>IF(AH106&lt;&gt;1,"",MAX(0,AI106-AG106))</x:f>
      </x:c>
      <x:c r="AK106" s="21" t="str">
        <x:f>IF(OR(AH106&lt;&gt;1,NOT(ISNUMBER('Impostazioni'!$B$6)),'Impostazioni'!$B$6+AI106&lt;=0),"",AJ106/('Impostazioni'!$B$6+AI106))</x:f>
      </x:c>
      <x:c r="AL106" s="22" t="str">
        <x:f>IF(AH106&lt;&gt;1,"",IF(AC106&gt;0,AF106-_xlfn.MAXIFS($AF$8:$AF$507,$AF$8:$AF$507,"&lt;="&amp;AF106,$AC$8:$AC$507,"&lt;=0",$AH$8:$AH$507,1),0))</x:f>
      </x:c>
      <x:c r="AM106" s="22" t="str">
        <x:f>IF(AH106&lt;&gt;1,"",IF(AC106&lt;0,AF106-_xlfn.MAXIFS($AF$8:$AF$507,$AF$8:$AF$507,"&lt;="&amp;AF106,$AC$8:$AC$507,"&gt;=0",$AH$8:$AH$507,1),0))</x:f>
      </x:c>
      <x:c r="AN106" s="20" t="str">
        <x:f>IF(OR(A106="",NOT(ISNUMBER(B106)),NOT(ISNUMBER('Impostazioni'!$B$6))),"",'Impostazioni'!$B$6+SUMIFS($AC$8:$AC$507,$C$8:$C$507,"&lt;"&amp;B106,$AH$8:$AH$507,1)+SUMIFS('Cassa'!$F$8:$F$307,'Cassa'!$A$8:$A$307,"&lt;="&amp;B106,'Cassa'!$G$8:$G$307,"OK"))</x:f>
      </x:c>
      <x:c r="AO106" s="21" t="str">
        <x:f>IF(AND(ISNUMBER(Z106),ISNUMBER(AN106),AN106&gt;0),Z106/AN106,"")</x:f>
      </x:c>
      <x:c r="AP106" s="18" t="str">
        <x:f>IF(NOT(ISNUMBER(AO106)),"",IF(AO106&gt;'Impostazioni'!$B$7,"Oltre soglia personale","Nella soglia personale"))</x:f>
      </x:c>
      <x:c r="AQ106" s="18" t="str">
        <x:f>IF(A106="",IF(COUNTA(B106:V106)=0,"","Inserisci ID"),IF(COUNTIFS($A$8:$A$507,A106)&lt;&gt;1,"ID duplicato",IF(OR(NOT(ISNUMBER(B106)),D106="",E106="",F106="",G106="",H106="",COUNTIFS('Impostazioni'!$J$6:$J$25,F106)&lt;&gt;1),"Completa dati / elenchi",IF(OR(AND(I106&lt;&gt;"Lordo manuale",I106&lt;&gt;"Netto manuale",I106&lt;&gt;"Esecuzioni"),AND(J106&lt;&gt;"Aperto",J106&lt;&gt;"Chiuso",J106&lt;&gt;"Annullato")),"Modalità / stato mancanti",IF(AND(J106&lt;&gt;"Aperto",OR(NOT(ISNUMBER(C106)),C106&lt;B106)),"Correggi data chiusura",IF(OR(AND(Q106&lt;&gt;"",OR(NOT(ISNUMBER(Q106)),Q106&lt;0)),AND(R106&lt;&gt;"",OR(NOT(ISNUMBER(R106)),R106&lt;0,R106&gt;1))),"Commissione non valida",IF(J106="Annullato","OK",IF(OR(NOT(ISNUMBER(Z106)),Z106&lt;0,AND(O106&lt;&gt;"",NOT(ISNUMBER(O106)))),"Inserisci rischio",IF(AND(I106="Esecuzioni",OR(W106=0,COUNTIFS('Esecuzioni'!$A$8:$A$1007,A106,'Esecuzioni'!$Q$8:$Q$1007,"&lt;&gt;OK")&gt;0)),"Correggi esecuzioni",IF(J106="Aperto","OK",IF(AND(I106="Esecuzioni",S106="Coperto",ABS(X106-Y106)&gt;'Impostazioni'!$B$11),"Copertura residua",IF(NOT(ISNUMBER(AC106)),"Completa risultato / esito",IF(AND(Z106=0,AC106&lt;&gt;0),"Rischio nullo con P/L","OK")))))))))))))</x:f>
      </x:c>
      <x:c r="AR106" s="20" t="str">
        <x:f>IF(OR(A106="",J106&lt;&gt;"Aperto",AQ106&lt;&gt;"OK"),"",IF(I106="Esecuzioni",SUMIFS('Esecuzioni'!$P$8:$P$1007,'Esecuzioni'!$A$8:$A$1007,A106,'Esecuzioni'!$B$8:$B$1007,_xlfn.MAXIFS('Esecuzioni'!$B$8:$B$1007,'Esecuzioni'!$A$8:$A$1007,A106)),IF(LEFT(U106,8)="FREEBET:",0,Z106)))</x:f>
      </x:c>
      <x:c r="AS106" s="48" t="str">
        <x:f>IF(OR(A106="",E106=""),"",IF(COUNTIFS($E$8:E106,E106)=1,COUNT($AS$7:AS105)+1,""))</x:f>
      </x:c>
    </x:row>
    <x:row r="107" ht="22" customHeight="1">
      <x:c r="A107" s="7"/>
      <x:c r="B107" s="19"/>
      <x:c r="C107" s="19"/>
      <x:c r="D107" s="7"/>
      <x:c r="E107" s="7"/>
      <x:c r="F107" s="7"/>
      <x:c r="G107" s="7"/>
      <x:c r="H107" s="7"/>
      <x:c r="I107" s="7"/>
      <x:c r="J107" s="7"/>
      <x:c r="K107" s="10"/>
      <x:c r="L107" s="7"/>
      <x:c r="M107" s="10"/>
      <x:c r="N107" s="7"/>
      <x:c r="O107" s="8"/>
      <x:c r="P107" s="8"/>
      <x:c r="Q107" s="8"/>
      <x:c r="R107" s="9"/>
      <x:c r="S107" s="7"/>
      <x:c r="T107" s="7"/>
      <x:c r="U107" s="7"/>
      <x:c r="V107" s="7"/>
      <x:c r="W107" s="22" t="str">
        <x:f>IF(A107="","",COUNTIFS('Esecuzioni'!$A$8:$A$1007,A107,'Esecuzioni'!$Q$8:$Q$1007,"OK"))</x:f>
      </x:c>
      <x:c r="X107" s="20" t="str">
        <x:f>IF(OR(A107="",I107&lt;&gt;"Esecuzioni",W107=0),"",SUMIFS('Esecuzioni'!$L$8:$L$1007,'Esecuzioni'!$A$8:$A$1007,A107))</x:f>
      </x:c>
      <x:c r="Y107" s="20" t="str">
        <x:f>IF(OR(A107="",I107&lt;&gt;"Esecuzioni",W107=0),"",SUMIFS('Esecuzioni'!$M$8:$M$1007,'Esecuzioni'!$A$8:$A$1007,A107))</x:f>
      </x:c>
      <x:c r="Z107" s="20" t="str">
        <x:f>IF(A107="","",IF(J107="Annullato",0,IF(ISNUMBER(O107),O107,IF(AND(I107="Esecuzioni",W107&gt;0),_xlfn.MAXIFS('Esecuzioni'!$P$8:$P$1007,'Esecuzioni'!$A$8:$A$1007,A107),""))))</x:f>
      </x:c>
      <x:c r="AA107" s="20" t="str">
        <x:f>IF(OR(A107="",J107="Aperto"),"",IF(J107="Annullato",0,IF(I107="Lordo manuale",IF(ISNUMBER(P107),P107,""),IF(I107="Netto manuale",IF(AND(ISNUMBER(P107),ISNUMBER(Q107)),P107+Q107,""),IF(OR(W107=0,COUNTIFS('Esecuzioni'!$A$8:$A$1007,A107,'Esecuzioni'!$Q$8:$Q$1007,"&lt;&gt;OK")&gt;0),"",IF(S107="Vince",X107,IF(S107="Perde",Y107,IF(AND(S107="Coperto",ABS(X107-Y107)&lt;='Impostazioni'!$B$11),ROUND((X107+Y107)/2,2),""))))))))</x:f>
      </x:c>
      <x:c r="AB107" s="20" t="str">
        <x:f>IF(NOT(ISNUMBER(AA107)),"",IF(J107="Annullato",0,IF(ISNUMBER(Q107),Q107,ROUND(MAX(0,AA107)*IF(ISNUMBER(R107),R107,'Impostazioni'!$B$8),2))))</x:f>
      </x:c>
      <x:c r="AC107" s="20" t="str">
        <x:f>IF(AND(ISNUMBER(AA107),ISNUMBER(AB107)),ROUND(AA107-AB107,2),"")</x:f>
      </x:c>
      <x:c r="AD107" s="18" t="str">
        <x:f>IF(A107="","",IF(AQ107&lt;&gt;"OK","Incompleto",IF(J107="Aperto","Aperto",IF(J107="Annullato","Annullato",IF(AC107&gt;0,"Green",IF(AC107&lt;0,"Red","Flat"))))))</x:f>
      </x:c>
      <x:c r="AE107" s="21" t="str">
        <x:f>IF(AND(AH107=1,Z107&gt;0),AC107/Z107,"")</x:f>
      </x:c>
      <x:c r="AF107" s="22" t="str">
        <x:f>IF(AH107&lt;&gt;1,"",COUNTIFS($C$8:$C$507,"&lt;"&amp;C107,$AH$8:$AH$507,1)+COUNTIFS($C$8:$C$507,C107,$A$8:$A$507,"&lt;="&amp;A107,$AH$8:$AH$507,1))</x:f>
      </x:c>
      <x:c r="AG107" s="20" t="str">
        <x:f>IF(AH107&lt;&gt;1,"",SUMIFS($AC$8:$AC$507,$C$8:$C$507,"&lt;"&amp;C107,$AH$8:$AH$507,1)+SUMIFS($AC$8:$AC$507,$C$8:$C$507,C107,$A$8:$A$507,"&lt;="&amp;A107,$AH$8:$AH$507,1))</x:f>
      </x:c>
      <x:c r="AH107" s="22" t="str">
        <x:f>IF(A107="","",IF(AND(J107="Chiuso",AQ107="OK",ISNUMBER(AC107)),1,0))</x:f>
      </x:c>
      <x:c r="AI107" s="20" t="str">
        <x:f>IF(AH107&lt;&gt;1,"",MAX(0,_xlfn.MAXIFS($AG$8:$AG$507,$AF$8:$AF$507,"&lt;="&amp;AF107,$AH$8:$AH$507,1)))</x:f>
      </x:c>
      <x:c r="AJ107" s="20" t="str">
        <x:f>IF(AH107&lt;&gt;1,"",MAX(0,AI107-AG107))</x:f>
      </x:c>
      <x:c r="AK107" s="21" t="str">
        <x:f>IF(OR(AH107&lt;&gt;1,NOT(ISNUMBER('Impostazioni'!$B$6)),'Impostazioni'!$B$6+AI107&lt;=0),"",AJ107/('Impostazioni'!$B$6+AI107))</x:f>
      </x:c>
      <x:c r="AL107" s="22" t="str">
        <x:f>IF(AH107&lt;&gt;1,"",IF(AC107&gt;0,AF107-_xlfn.MAXIFS($AF$8:$AF$507,$AF$8:$AF$507,"&lt;="&amp;AF107,$AC$8:$AC$507,"&lt;=0",$AH$8:$AH$507,1),0))</x:f>
      </x:c>
      <x:c r="AM107" s="22" t="str">
        <x:f>IF(AH107&lt;&gt;1,"",IF(AC107&lt;0,AF107-_xlfn.MAXIFS($AF$8:$AF$507,$AF$8:$AF$507,"&lt;="&amp;AF107,$AC$8:$AC$507,"&gt;=0",$AH$8:$AH$507,1),0))</x:f>
      </x:c>
      <x:c r="AN107" s="20" t="str">
        <x:f>IF(OR(A107="",NOT(ISNUMBER(B107)),NOT(ISNUMBER('Impostazioni'!$B$6))),"",'Impostazioni'!$B$6+SUMIFS($AC$8:$AC$507,$C$8:$C$507,"&lt;"&amp;B107,$AH$8:$AH$507,1)+SUMIFS('Cassa'!$F$8:$F$307,'Cassa'!$A$8:$A$307,"&lt;="&amp;B107,'Cassa'!$G$8:$G$307,"OK"))</x:f>
      </x:c>
      <x:c r="AO107" s="21" t="str">
        <x:f>IF(AND(ISNUMBER(Z107),ISNUMBER(AN107),AN107&gt;0),Z107/AN107,"")</x:f>
      </x:c>
      <x:c r="AP107" s="18" t="str">
        <x:f>IF(NOT(ISNUMBER(AO107)),"",IF(AO107&gt;'Impostazioni'!$B$7,"Oltre soglia personale","Nella soglia personale"))</x:f>
      </x:c>
      <x:c r="AQ107" s="18" t="str">
        <x:f>IF(A107="",IF(COUNTA(B107:V107)=0,"","Inserisci ID"),IF(COUNTIFS($A$8:$A$507,A107)&lt;&gt;1,"ID duplicato",IF(OR(NOT(ISNUMBER(B107)),D107="",E107="",F107="",G107="",H107="",COUNTIFS('Impostazioni'!$J$6:$J$25,F107)&lt;&gt;1),"Completa dati / elenchi",IF(OR(AND(I107&lt;&gt;"Lordo manuale",I107&lt;&gt;"Netto manuale",I107&lt;&gt;"Esecuzioni"),AND(J107&lt;&gt;"Aperto",J107&lt;&gt;"Chiuso",J107&lt;&gt;"Annullato")),"Modalità / stato mancanti",IF(AND(J107&lt;&gt;"Aperto",OR(NOT(ISNUMBER(C107)),C107&lt;B107)),"Correggi data chiusura",IF(OR(AND(Q107&lt;&gt;"",OR(NOT(ISNUMBER(Q107)),Q107&lt;0)),AND(R107&lt;&gt;"",OR(NOT(ISNUMBER(R107)),R107&lt;0,R107&gt;1))),"Commissione non valida",IF(J107="Annullato","OK",IF(OR(NOT(ISNUMBER(Z107)),Z107&lt;0,AND(O107&lt;&gt;"",NOT(ISNUMBER(O107)))),"Inserisci rischio",IF(AND(I107="Esecuzioni",OR(W107=0,COUNTIFS('Esecuzioni'!$A$8:$A$1007,A107,'Esecuzioni'!$Q$8:$Q$1007,"&lt;&gt;OK")&gt;0)),"Correggi esecuzioni",IF(J107="Aperto","OK",IF(AND(I107="Esecuzioni",S107="Coperto",ABS(X107-Y107)&gt;'Impostazioni'!$B$11),"Copertura residua",IF(NOT(ISNUMBER(AC107)),"Completa risultato / esito",IF(AND(Z107=0,AC107&lt;&gt;0),"Rischio nullo con P/L","OK")))))))))))))</x:f>
      </x:c>
      <x:c r="AR107" s="20" t="str">
        <x:f>IF(OR(A107="",J107&lt;&gt;"Aperto",AQ107&lt;&gt;"OK"),"",IF(I107="Esecuzioni",SUMIFS('Esecuzioni'!$P$8:$P$1007,'Esecuzioni'!$A$8:$A$1007,A107,'Esecuzioni'!$B$8:$B$1007,_xlfn.MAXIFS('Esecuzioni'!$B$8:$B$1007,'Esecuzioni'!$A$8:$A$1007,A107)),IF(LEFT(U107,8)="FREEBET:",0,Z107)))</x:f>
      </x:c>
      <x:c r="AS107" s="48" t="str">
        <x:f>IF(OR(A107="",E107=""),"",IF(COUNTIFS($E$8:E107,E107)=1,COUNT($AS$7:AS106)+1,""))</x:f>
      </x:c>
    </x:row>
    <x:row r="108" ht="22" customHeight="1">
      <x:c r="A108" s="7"/>
      <x:c r="B108" s="19"/>
      <x:c r="C108" s="19"/>
      <x:c r="D108" s="7"/>
      <x:c r="E108" s="7"/>
      <x:c r="F108" s="7"/>
      <x:c r="G108" s="7"/>
      <x:c r="H108" s="7"/>
      <x:c r="I108" s="7"/>
      <x:c r="J108" s="7"/>
      <x:c r="K108" s="10"/>
      <x:c r="L108" s="7"/>
      <x:c r="M108" s="10"/>
      <x:c r="N108" s="7"/>
      <x:c r="O108" s="8"/>
      <x:c r="P108" s="8"/>
      <x:c r="Q108" s="8"/>
      <x:c r="R108" s="9"/>
      <x:c r="S108" s="7"/>
      <x:c r="T108" s="7"/>
      <x:c r="U108" s="7"/>
      <x:c r="V108" s="7"/>
      <x:c r="W108" s="22" t="str">
        <x:f>IF(A108="","",COUNTIFS('Esecuzioni'!$A$8:$A$1007,A108,'Esecuzioni'!$Q$8:$Q$1007,"OK"))</x:f>
      </x:c>
      <x:c r="X108" s="20" t="str">
        <x:f>IF(OR(A108="",I108&lt;&gt;"Esecuzioni",W108=0),"",SUMIFS('Esecuzioni'!$L$8:$L$1007,'Esecuzioni'!$A$8:$A$1007,A108))</x:f>
      </x:c>
      <x:c r="Y108" s="20" t="str">
        <x:f>IF(OR(A108="",I108&lt;&gt;"Esecuzioni",W108=0),"",SUMIFS('Esecuzioni'!$M$8:$M$1007,'Esecuzioni'!$A$8:$A$1007,A108))</x:f>
      </x:c>
      <x:c r="Z108" s="20" t="str">
        <x:f>IF(A108="","",IF(J108="Annullato",0,IF(ISNUMBER(O108),O108,IF(AND(I108="Esecuzioni",W108&gt;0),_xlfn.MAXIFS('Esecuzioni'!$P$8:$P$1007,'Esecuzioni'!$A$8:$A$1007,A108),""))))</x:f>
      </x:c>
      <x:c r="AA108" s="20" t="str">
        <x:f>IF(OR(A108="",J108="Aperto"),"",IF(J108="Annullato",0,IF(I108="Lordo manuale",IF(ISNUMBER(P108),P108,""),IF(I108="Netto manuale",IF(AND(ISNUMBER(P108),ISNUMBER(Q108)),P108+Q108,""),IF(OR(W108=0,COUNTIFS('Esecuzioni'!$A$8:$A$1007,A108,'Esecuzioni'!$Q$8:$Q$1007,"&lt;&gt;OK")&gt;0),"",IF(S108="Vince",X108,IF(S108="Perde",Y108,IF(AND(S108="Coperto",ABS(X108-Y108)&lt;='Impostazioni'!$B$11),ROUND((X108+Y108)/2,2),""))))))))</x:f>
      </x:c>
      <x:c r="AB108" s="20" t="str">
        <x:f>IF(NOT(ISNUMBER(AA108)),"",IF(J108="Annullato",0,IF(ISNUMBER(Q108),Q108,ROUND(MAX(0,AA108)*IF(ISNUMBER(R108),R108,'Impostazioni'!$B$8),2))))</x:f>
      </x:c>
      <x:c r="AC108" s="20" t="str">
        <x:f>IF(AND(ISNUMBER(AA108),ISNUMBER(AB108)),ROUND(AA108-AB108,2),"")</x:f>
      </x:c>
      <x:c r="AD108" s="18" t="str">
        <x:f>IF(A108="","",IF(AQ108&lt;&gt;"OK","Incompleto",IF(J108="Aperto","Aperto",IF(J108="Annullato","Annullato",IF(AC108&gt;0,"Green",IF(AC108&lt;0,"Red","Flat"))))))</x:f>
      </x:c>
      <x:c r="AE108" s="21" t="str">
        <x:f>IF(AND(AH108=1,Z108&gt;0),AC108/Z108,"")</x:f>
      </x:c>
      <x:c r="AF108" s="22" t="str">
        <x:f>IF(AH108&lt;&gt;1,"",COUNTIFS($C$8:$C$507,"&lt;"&amp;C108,$AH$8:$AH$507,1)+COUNTIFS($C$8:$C$507,C108,$A$8:$A$507,"&lt;="&amp;A108,$AH$8:$AH$507,1))</x:f>
      </x:c>
      <x:c r="AG108" s="20" t="str">
        <x:f>IF(AH108&lt;&gt;1,"",SUMIFS($AC$8:$AC$507,$C$8:$C$507,"&lt;"&amp;C108,$AH$8:$AH$507,1)+SUMIFS($AC$8:$AC$507,$C$8:$C$507,C108,$A$8:$A$507,"&lt;="&amp;A108,$AH$8:$AH$507,1))</x:f>
      </x:c>
      <x:c r="AH108" s="22" t="str">
        <x:f>IF(A108="","",IF(AND(J108="Chiuso",AQ108="OK",ISNUMBER(AC108)),1,0))</x:f>
      </x:c>
      <x:c r="AI108" s="20" t="str">
        <x:f>IF(AH108&lt;&gt;1,"",MAX(0,_xlfn.MAXIFS($AG$8:$AG$507,$AF$8:$AF$507,"&lt;="&amp;AF108,$AH$8:$AH$507,1)))</x:f>
      </x:c>
      <x:c r="AJ108" s="20" t="str">
        <x:f>IF(AH108&lt;&gt;1,"",MAX(0,AI108-AG108))</x:f>
      </x:c>
      <x:c r="AK108" s="21" t="str">
        <x:f>IF(OR(AH108&lt;&gt;1,NOT(ISNUMBER('Impostazioni'!$B$6)),'Impostazioni'!$B$6+AI108&lt;=0),"",AJ108/('Impostazioni'!$B$6+AI108))</x:f>
      </x:c>
      <x:c r="AL108" s="22" t="str">
        <x:f>IF(AH108&lt;&gt;1,"",IF(AC108&gt;0,AF108-_xlfn.MAXIFS($AF$8:$AF$507,$AF$8:$AF$507,"&lt;="&amp;AF108,$AC$8:$AC$507,"&lt;=0",$AH$8:$AH$507,1),0))</x:f>
      </x:c>
      <x:c r="AM108" s="22" t="str">
        <x:f>IF(AH108&lt;&gt;1,"",IF(AC108&lt;0,AF108-_xlfn.MAXIFS($AF$8:$AF$507,$AF$8:$AF$507,"&lt;="&amp;AF108,$AC$8:$AC$507,"&gt;=0",$AH$8:$AH$507,1),0))</x:f>
      </x:c>
      <x:c r="AN108" s="20" t="str">
        <x:f>IF(OR(A108="",NOT(ISNUMBER(B108)),NOT(ISNUMBER('Impostazioni'!$B$6))),"",'Impostazioni'!$B$6+SUMIFS($AC$8:$AC$507,$C$8:$C$507,"&lt;"&amp;B108,$AH$8:$AH$507,1)+SUMIFS('Cassa'!$F$8:$F$307,'Cassa'!$A$8:$A$307,"&lt;="&amp;B108,'Cassa'!$G$8:$G$307,"OK"))</x:f>
      </x:c>
      <x:c r="AO108" s="21" t="str">
        <x:f>IF(AND(ISNUMBER(Z108),ISNUMBER(AN108),AN108&gt;0),Z108/AN108,"")</x:f>
      </x:c>
      <x:c r="AP108" s="18" t="str">
        <x:f>IF(NOT(ISNUMBER(AO108)),"",IF(AO108&gt;'Impostazioni'!$B$7,"Oltre soglia personale","Nella soglia personale"))</x:f>
      </x:c>
      <x:c r="AQ108" s="18" t="str">
        <x:f>IF(A108="",IF(COUNTA(B108:V108)=0,"","Inserisci ID"),IF(COUNTIFS($A$8:$A$507,A108)&lt;&gt;1,"ID duplicato",IF(OR(NOT(ISNUMBER(B108)),D108="",E108="",F108="",G108="",H108="",COUNTIFS('Impostazioni'!$J$6:$J$25,F108)&lt;&gt;1),"Completa dati / elenchi",IF(OR(AND(I108&lt;&gt;"Lordo manuale",I108&lt;&gt;"Netto manuale",I108&lt;&gt;"Esecuzioni"),AND(J108&lt;&gt;"Aperto",J108&lt;&gt;"Chiuso",J108&lt;&gt;"Annullato")),"Modalità / stato mancanti",IF(AND(J108&lt;&gt;"Aperto",OR(NOT(ISNUMBER(C108)),C108&lt;B108)),"Correggi data chiusura",IF(OR(AND(Q108&lt;&gt;"",OR(NOT(ISNUMBER(Q108)),Q108&lt;0)),AND(R108&lt;&gt;"",OR(NOT(ISNUMBER(R108)),R108&lt;0,R108&gt;1))),"Commissione non valida",IF(J108="Annullato","OK",IF(OR(NOT(ISNUMBER(Z108)),Z108&lt;0,AND(O108&lt;&gt;"",NOT(ISNUMBER(O108)))),"Inserisci rischio",IF(AND(I108="Esecuzioni",OR(W108=0,COUNTIFS('Esecuzioni'!$A$8:$A$1007,A108,'Esecuzioni'!$Q$8:$Q$1007,"&lt;&gt;OK")&gt;0)),"Correggi esecuzioni",IF(J108="Aperto","OK",IF(AND(I108="Esecuzioni",S108="Coperto",ABS(X108-Y108)&gt;'Impostazioni'!$B$11),"Copertura residua",IF(NOT(ISNUMBER(AC108)),"Completa risultato / esito",IF(AND(Z108=0,AC108&lt;&gt;0),"Rischio nullo con P/L","OK")))))))))))))</x:f>
      </x:c>
      <x:c r="AR108" s="20" t="str">
        <x:f>IF(OR(A108="",J108&lt;&gt;"Aperto",AQ108&lt;&gt;"OK"),"",IF(I108="Esecuzioni",SUMIFS('Esecuzioni'!$P$8:$P$1007,'Esecuzioni'!$A$8:$A$1007,A108,'Esecuzioni'!$B$8:$B$1007,_xlfn.MAXIFS('Esecuzioni'!$B$8:$B$1007,'Esecuzioni'!$A$8:$A$1007,A108)),IF(LEFT(U108,8)="FREEBET:",0,Z108)))</x:f>
      </x:c>
      <x:c r="AS108" s="48" t="str">
        <x:f>IF(OR(A108="",E108=""),"",IF(COUNTIFS($E$8:E108,E108)=1,COUNT($AS$7:AS107)+1,""))</x:f>
      </x:c>
    </x:row>
    <x:row r="109" ht="22" customHeight="1">
      <x:c r="A109" s="7"/>
      <x:c r="B109" s="19"/>
      <x:c r="C109" s="19"/>
      <x:c r="D109" s="7"/>
      <x:c r="E109" s="7"/>
      <x:c r="F109" s="7"/>
      <x:c r="G109" s="7"/>
      <x:c r="H109" s="7"/>
      <x:c r="I109" s="7"/>
      <x:c r="J109" s="7"/>
      <x:c r="K109" s="10"/>
      <x:c r="L109" s="7"/>
      <x:c r="M109" s="10"/>
      <x:c r="N109" s="7"/>
      <x:c r="O109" s="8"/>
      <x:c r="P109" s="8"/>
      <x:c r="Q109" s="8"/>
      <x:c r="R109" s="9"/>
      <x:c r="S109" s="7"/>
      <x:c r="T109" s="7"/>
      <x:c r="U109" s="7"/>
      <x:c r="V109" s="7"/>
      <x:c r="W109" s="22" t="str">
        <x:f>IF(A109="","",COUNTIFS('Esecuzioni'!$A$8:$A$1007,A109,'Esecuzioni'!$Q$8:$Q$1007,"OK"))</x:f>
      </x:c>
      <x:c r="X109" s="20" t="str">
        <x:f>IF(OR(A109="",I109&lt;&gt;"Esecuzioni",W109=0),"",SUMIFS('Esecuzioni'!$L$8:$L$1007,'Esecuzioni'!$A$8:$A$1007,A109))</x:f>
      </x:c>
      <x:c r="Y109" s="20" t="str">
        <x:f>IF(OR(A109="",I109&lt;&gt;"Esecuzioni",W109=0),"",SUMIFS('Esecuzioni'!$M$8:$M$1007,'Esecuzioni'!$A$8:$A$1007,A109))</x:f>
      </x:c>
      <x:c r="Z109" s="20" t="str">
        <x:f>IF(A109="","",IF(J109="Annullato",0,IF(ISNUMBER(O109),O109,IF(AND(I109="Esecuzioni",W109&gt;0),_xlfn.MAXIFS('Esecuzioni'!$P$8:$P$1007,'Esecuzioni'!$A$8:$A$1007,A109),""))))</x:f>
      </x:c>
      <x:c r="AA109" s="20" t="str">
        <x:f>IF(OR(A109="",J109="Aperto"),"",IF(J109="Annullato",0,IF(I109="Lordo manuale",IF(ISNUMBER(P109),P109,""),IF(I109="Netto manuale",IF(AND(ISNUMBER(P109),ISNUMBER(Q109)),P109+Q109,""),IF(OR(W109=0,COUNTIFS('Esecuzioni'!$A$8:$A$1007,A109,'Esecuzioni'!$Q$8:$Q$1007,"&lt;&gt;OK")&gt;0),"",IF(S109="Vince",X109,IF(S109="Perde",Y109,IF(AND(S109="Coperto",ABS(X109-Y109)&lt;='Impostazioni'!$B$11),ROUND((X109+Y109)/2,2),""))))))))</x:f>
      </x:c>
      <x:c r="AB109" s="20" t="str">
        <x:f>IF(NOT(ISNUMBER(AA109)),"",IF(J109="Annullato",0,IF(ISNUMBER(Q109),Q109,ROUND(MAX(0,AA109)*IF(ISNUMBER(R109),R109,'Impostazioni'!$B$8),2))))</x:f>
      </x:c>
      <x:c r="AC109" s="20" t="str">
        <x:f>IF(AND(ISNUMBER(AA109),ISNUMBER(AB109)),ROUND(AA109-AB109,2),"")</x:f>
      </x:c>
      <x:c r="AD109" s="18" t="str">
        <x:f>IF(A109="","",IF(AQ109&lt;&gt;"OK","Incompleto",IF(J109="Aperto","Aperto",IF(J109="Annullato","Annullato",IF(AC109&gt;0,"Green",IF(AC109&lt;0,"Red","Flat"))))))</x:f>
      </x:c>
      <x:c r="AE109" s="21" t="str">
        <x:f>IF(AND(AH109=1,Z109&gt;0),AC109/Z109,"")</x:f>
      </x:c>
      <x:c r="AF109" s="22" t="str">
        <x:f>IF(AH109&lt;&gt;1,"",COUNTIFS($C$8:$C$507,"&lt;"&amp;C109,$AH$8:$AH$507,1)+COUNTIFS($C$8:$C$507,C109,$A$8:$A$507,"&lt;="&amp;A109,$AH$8:$AH$507,1))</x:f>
      </x:c>
      <x:c r="AG109" s="20" t="str">
        <x:f>IF(AH109&lt;&gt;1,"",SUMIFS($AC$8:$AC$507,$C$8:$C$507,"&lt;"&amp;C109,$AH$8:$AH$507,1)+SUMIFS($AC$8:$AC$507,$C$8:$C$507,C109,$A$8:$A$507,"&lt;="&amp;A109,$AH$8:$AH$507,1))</x:f>
      </x:c>
      <x:c r="AH109" s="22" t="str">
        <x:f>IF(A109="","",IF(AND(J109="Chiuso",AQ109="OK",ISNUMBER(AC109)),1,0))</x:f>
      </x:c>
      <x:c r="AI109" s="20" t="str">
        <x:f>IF(AH109&lt;&gt;1,"",MAX(0,_xlfn.MAXIFS($AG$8:$AG$507,$AF$8:$AF$507,"&lt;="&amp;AF109,$AH$8:$AH$507,1)))</x:f>
      </x:c>
      <x:c r="AJ109" s="20" t="str">
        <x:f>IF(AH109&lt;&gt;1,"",MAX(0,AI109-AG109))</x:f>
      </x:c>
      <x:c r="AK109" s="21" t="str">
        <x:f>IF(OR(AH109&lt;&gt;1,NOT(ISNUMBER('Impostazioni'!$B$6)),'Impostazioni'!$B$6+AI109&lt;=0),"",AJ109/('Impostazioni'!$B$6+AI109))</x:f>
      </x:c>
      <x:c r="AL109" s="22" t="str">
        <x:f>IF(AH109&lt;&gt;1,"",IF(AC109&gt;0,AF109-_xlfn.MAXIFS($AF$8:$AF$507,$AF$8:$AF$507,"&lt;="&amp;AF109,$AC$8:$AC$507,"&lt;=0",$AH$8:$AH$507,1),0))</x:f>
      </x:c>
      <x:c r="AM109" s="22" t="str">
        <x:f>IF(AH109&lt;&gt;1,"",IF(AC109&lt;0,AF109-_xlfn.MAXIFS($AF$8:$AF$507,$AF$8:$AF$507,"&lt;="&amp;AF109,$AC$8:$AC$507,"&gt;=0",$AH$8:$AH$507,1),0))</x:f>
      </x:c>
      <x:c r="AN109" s="20" t="str">
        <x:f>IF(OR(A109="",NOT(ISNUMBER(B109)),NOT(ISNUMBER('Impostazioni'!$B$6))),"",'Impostazioni'!$B$6+SUMIFS($AC$8:$AC$507,$C$8:$C$507,"&lt;"&amp;B109,$AH$8:$AH$507,1)+SUMIFS('Cassa'!$F$8:$F$307,'Cassa'!$A$8:$A$307,"&lt;="&amp;B109,'Cassa'!$G$8:$G$307,"OK"))</x:f>
      </x:c>
      <x:c r="AO109" s="21" t="str">
        <x:f>IF(AND(ISNUMBER(Z109),ISNUMBER(AN109),AN109&gt;0),Z109/AN109,"")</x:f>
      </x:c>
      <x:c r="AP109" s="18" t="str">
        <x:f>IF(NOT(ISNUMBER(AO109)),"",IF(AO109&gt;'Impostazioni'!$B$7,"Oltre soglia personale","Nella soglia personale"))</x:f>
      </x:c>
      <x:c r="AQ109" s="18" t="str">
        <x:f>IF(A109="",IF(COUNTA(B109:V109)=0,"","Inserisci ID"),IF(COUNTIFS($A$8:$A$507,A109)&lt;&gt;1,"ID duplicato",IF(OR(NOT(ISNUMBER(B109)),D109="",E109="",F109="",G109="",H109="",COUNTIFS('Impostazioni'!$J$6:$J$25,F109)&lt;&gt;1),"Completa dati / elenchi",IF(OR(AND(I109&lt;&gt;"Lordo manuale",I109&lt;&gt;"Netto manuale",I109&lt;&gt;"Esecuzioni"),AND(J109&lt;&gt;"Aperto",J109&lt;&gt;"Chiuso",J109&lt;&gt;"Annullato")),"Modalità / stato mancanti",IF(AND(J109&lt;&gt;"Aperto",OR(NOT(ISNUMBER(C109)),C109&lt;B109)),"Correggi data chiusura",IF(OR(AND(Q109&lt;&gt;"",OR(NOT(ISNUMBER(Q109)),Q109&lt;0)),AND(R109&lt;&gt;"",OR(NOT(ISNUMBER(R109)),R109&lt;0,R109&gt;1))),"Commissione non valida",IF(J109="Annullato","OK",IF(OR(NOT(ISNUMBER(Z109)),Z109&lt;0,AND(O109&lt;&gt;"",NOT(ISNUMBER(O109)))),"Inserisci rischio",IF(AND(I109="Esecuzioni",OR(W109=0,COUNTIFS('Esecuzioni'!$A$8:$A$1007,A109,'Esecuzioni'!$Q$8:$Q$1007,"&lt;&gt;OK")&gt;0)),"Correggi esecuzioni",IF(J109="Aperto","OK",IF(AND(I109="Esecuzioni",S109="Coperto",ABS(X109-Y109)&gt;'Impostazioni'!$B$11),"Copertura residua",IF(NOT(ISNUMBER(AC109)),"Completa risultato / esito",IF(AND(Z109=0,AC109&lt;&gt;0),"Rischio nullo con P/L","OK")))))))))))))</x:f>
      </x:c>
      <x:c r="AR109" s="20" t="str">
        <x:f>IF(OR(A109="",J109&lt;&gt;"Aperto",AQ109&lt;&gt;"OK"),"",IF(I109="Esecuzioni",SUMIFS('Esecuzioni'!$P$8:$P$1007,'Esecuzioni'!$A$8:$A$1007,A109,'Esecuzioni'!$B$8:$B$1007,_xlfn.MAXIFS('Esecuzioni'!$B$8:$B$1007,'Esecuzioni'!$A$8:$A$1007,A109)),IF(LEFT(U109,8)="FREEBET:",0,Z109)))</x:f>
      </x:c>
      <x:c r="AS109" s="48" t="str">
        <x:f>IF(OR(A109="",E109=""),"",IF(COUNTIFS($E$8:E109,E109)=1,COUNT($AS$7:AS108)+1,""))</x:f>
      </x:c>
    </x:row>
    <x:row r="110" ht="22" customHeight="1">
      <x:c r="A110" s="7"/>
      <x:c r="B110" s="19"/>
      <x:c r="C110" s="19"/>
      <x:c r="D110" s="7"/>
      <x:c r="E110" s="7"/>
      <x:c r="F110" s="7"/>
      <x:c r="G110" s="7"/>
      <x:c r="H110" s="7"/>
      <x:c r="I110" s="7"/>
      <x:c r="J110" s="7"/>
      <x:c r="K110" s="10"/>
      <x:c r="L110" s="7"/>
      <x:c r="M110" s="10"/>
      <x:c r="N110" s="7"/>
      <x:c r="O110" s="8"/>
      <x:c r="P110" s="8"/>
      <x:c r="Q110" s="8"/>
      <x:c r="R110" s="9"/>
      <x:c r="S110" s="7"/>
      <x:c r="T110" s="7"/>
      <x:c r="U110" s="7"/>
      <x:c r="V110" s="7"/>
      <x:c r="W110" s="22" t="str">
        <x:f>IF(A110="","",COUNTIFS('Esecuzioni'!$A$8:$A$1007,A110,'Esecuzioni'!$Q$8:$Q$1007,"OK"))</x:f>
      </x:c>
      <x:c r="X110" s="20" t="str">
        <x:f>IF(OR(A110="",I110&lt;&gt;"Esecuzioni",W110=0),"",SUMIFS('Esecuzioni'!$L$8:$L$1007,'Esecuzioni'!$A$8:$A$1007,A110))</x:f>
      </x:c>
      <x:c r="Y110" s="20" t="str">
        <x:f>IF(OR(A110="",I110&lt;&gt;"Esecuzioni",W110=0),"",SUMIFS('Esecuzioni'!$M$8:$M$1007,'Esecuzioni'!$A$8:$A$1007,A110))</x:f>
      </x:c>
      <x:c r="Z110" s="20" t="str">
        <x:f>IF(A110="","",IF(J110="Annullato",0,IF(ISNUMBER(O110),O110,IF(AND(I110="Esecuzioni",W110&gt;0),_xlfn.MAXIFS('Esecuzioni'!$P$8:$P$1007,'Esecuzioni'!$A$8:$A$1007,A110),""))))</x:f>
      </x:c>
      <x:c r="AA110" s="20" t="str">
        <x:f>IF(OR(A110="",J110="Aperto"),"",IF(J110="Annullato",0,IF(I110="Lordo manuale",IF(ISNUMBER(P110),P110,""),IF(I110="Netto manuale",IF(AND(ISNUMBER(P110),ISNUMBER(Q110)),P110+Q110,""),IF(OR(W110=0,COUNTIFS('Esecuzioni'!$A$8:$A$1007,A110,'Esecuzioni'!$Q$8:$Q$1007,"&lt;&gt;OK")&gt;0),"",IF(S110="Vince",X110,IF(S110="Perde",Y110,IF(AND(S110="Coperto",ABS(X110-Y110)&lt;='Impostazioni'!$B$11),ROUND((X110+Y110)/2,2),""))))))))</x:f>
      </x:c>
      <x:c r="AB110" s="20" t="str">
        <x:f>IF(NOT(ISNUMBER(AA110)),"",IF(J110="Annullato",0,IF(ISNUMBER(Q110),Q110,ROUND(MAX(0,AA110)*IF(ISNUMBER(R110),R110,'Impostazioni'!$B$8),2))))</x:f>
      </x:c>
      <x:c r="AC110" s="20" t="str">
        <x:f>IF(AND(ISNUMBER(AA110),ISNUMBER(AB110)),ROUND(AA110-AB110,2),"")</x:f>
      </x:c>
      <x:c r="AD110" s="18" t="str">
        <x:f>IF(A110="","",IF(AQ110&lt;&gt;"OK","Incompleto",IF(J110="Aperto","Aperto",IF(J110="Annullato","Annullato",IF(AC110&gt;0,"Green",IF(AC110&lt;0,"Red","Flat"))))))</x:f>
      </x:c>
      <x:c r="AE110" s="21" t="str">
        <x:f>IF(AND(AH110=1,Z110&gt;0),AC110/Z110,"")</x:f>
      </x:c>
      <x:c r="AF110" s="22" t="str">
        <x:f>IF(AH110&lt;&gt;1,"",COUNTIFS($C$8:$C$507,"&lt;"&amp;C110,$AH$8:$AH$507,1)+COUNTIFS($C$8:$C$507,C110,$A$8:$A$507,"&lt;="&amp;A110,$AH$8:$AH$507,1))</x:f>
      </x:c>
      <x:c r="AG110" s="20" t="str">
        <x:f>IF(AH110&lt;&gt;1,"",SUMIFS($AC$8:$AC$507,$C$8:$C$507,"&lt;"&amp;C110,$AH$8:$AH$507,1)+SUMIFS($AC$8:$AC$507,$C$8:$C$507,C110,$A$8:$A$507,"&lt;="&amp;A110,$AH$8:$AH$507,1))</x:f>
      </x:c>
      <x:c r="AH110" s="22" t="str">
        <x:f>IF(A110="","",IF(AND(J110="Chiuso",AQ110="OK",ISNUMBER(AC110)),1,0))</x:f>
      </x:c>
      <x:c r="AI110" s="20" t="str">
        <x:f>IF(AH110&lt;&gt;1,"",MAX(0,_xlfn.MAXIFS($AG$8:$AG$507,$AF$8:$AF$507,"&lt;="&amp;AF110,$AH$8:$AH$507,1)))</x:f>
      </x:c>
      <x:c r="AJ110" s="20" t="str">
        <x:f>IF(AH110&lt;&gt;1,"",MAX(0,AI110-AG110))</x:f>
      </x:c>
      <x:c r="AK110" s="21" t="str">
        <x:f>IF(OR(AH110&lt;&gt;1,NOT(ISNUMBER('Impostazioni'!$B$6)),'Impostazioni'!$B$6+AI110&lt;=0),"",AJ110/('Impostazioni'!$B$6+AI110))</x:f>
      </x:c>
      <x:c r="AL110" s="22" t="str">
        <x:f>IF(AH110&lt;&gt;1,"",IF(AC110&gt;0,AF110-_xlfn.MAXIFS($AF$8:$AF$507,$AF$8:$AF$507,"&lt;="&amp;AF110,$AC$8:$AC$507,"&lt;=0",$AH$8:$AH$507,1),0))</x:f>
      </x:c>
      <x:c r="AM110" s="22" t="str">
        <x:f>IF(AH110&lt;&gt;1,"",IF(AC110&lt;0,AF110-_xlfn.MAXIFS($AF$8:$AF$507,$AF$8:$AF$507,"&lt;="&amp;AF110,$AC$8:$AC$507,"&gt;=0",$AH$8:$AH$507,1),0))</x:f>
      </x:c>
      <x:c r="AN110" s="20" t="str">
        <x:f>IF(OR(A110="",NOT(ISNUMBER(B110)),NOT(ISNUMBER('Impostazioni'!$B$6))),"",'Impostazioni'!$B$6+SUMIFS($AC$8:$AC$507,$C$8:$C$507,"&lt;"&amp;B110,$AH$8:$AH$507,1)+SUMIFS('Cassa'!$F$8:$F$307,'Cassa'!$A$8:$A$307,"&lt;="&amp;B110,'Cassa'!$G$8:$G$307,"OK"))</x:f>
      </x:c>
      <x:c r="AO110" s="21" t="str">
        <x:f>IF(AND(ISNUMBER(Z110),ISNUMBER(AN110),AN110&gt;0),Z110/AN110,"")</x:f>
      </x:c>
      <x:c r="AP110" s="18" t="str">
        <x:f>IF(NOT(ISNUMBER(AO110)),"",IF(AO110&gt;'Impostazioni'!$B$7,"Oltre soglia personale","Nella soglia personale"))</x:f>
      </x:c>
      <x:c r="AQ110" s="18" t="str">
        <x:f>IF(A110="",IF(COUNTA(B110:V110)=0,"","Inserisci ID"),IF(COUNTIFS($A$8:$A$507,A110)&lt;&gt;1,"ID duplicato",IF(OR(NOT(ISNUMBER(B110)),D110="",E110="",F110="",G110="",H110="",COUNTIFS('Impostazioni'!$J$6:$J$25,F110)&lt;&gt;1),"Completa dati / elenchi",IF(OR(AND(I110&lt;&gt;"Lordo manuale",I110&lt;&gt;"Netto manuale",I110&lt;&gt;"Esecuzioni"),AND(J110&lt;&gt;"Aperto",J110&lt;&gt;"Chiuso",J110&lt;&gt;"Annullato")),"Modalità / stato mancanti",IF(AND(J110&lt;&gt;"Aperto",OR(NOT(ISNUMBER(C110)),C110&lt;B110)),"Correggi data chiusura",IF(OR(AND(Q110&lt;&gt;"",OR(NOT(ISNUMBER(Q110)),Q110&lt;0)),AND(R110&lt;&gt;"",OR(NOT(ISNUMBER(R110)),R110&lt;0,R110&gt;1))),"Commissione non valida",IF(J110="Annullato","OK",IF(OR(NOT(ISNUMBER(Z110)),Z110&lt;0,AND(O110&lt;&gt;"",NOT(ISNUMBER(O110)))),"Inserisci rischio",IF(AND(I110="Esecuzioni",OR(W110=0,COUNTIFS('Esecuzioni'!$A$8:$A$1007,A110,'Esecuzioni'!$Q$8:$Q$1007,"&lt;&gt;OK")&gt;0)),"Correggi esecuzioni",IF(J110="Aperto","OK",IF(AND(I110="Esecuzioni",S110="Coperto",ABS(X110-Y110)&gt;'Impostazioni'!$B$11),"Copertura residua",IF(NOT(ISNUMBER(AC110)),"Completa risultato / esito",IF(AND(Z110=0,AC110&lt;&gt;0),"Rischio nullo con P/L","OK")))))))))))))</x:f>
      </x:c>
      <x:c r="AR110" s="20" t="str">
        <x:f>IF(OR(A110="",J110&lt;&gt;"Aperto",AQ110&lt;&gt;"OK"),"",IF(I110="Esecuzioni",SUMIFS('Esecuzioni'!$P$8:$P$1007,'Esecuzioni'!$A$8:$A$1007,A110,'Esecuzioni'!$B$8:$B$1007,_xlfn.MAXIFS('Esecuzioni'!$B$8:$B$1007,'Esecuzioni'!$A$8:$A$1007,A110)),IF(LEFT(U110,8)="FREEBET:",0,Z110)))</x:f>
      </x:c>
      <x:c r="AS110" s="48" t="str">
        <x:f>IF(OR(A110="",E110=""),"",IF(COUNTIFS($E$8:E110,E110)=1,COUNT($AS$7:AS109)+1,""))</x:f>
      </x:c>
    </x:row>
    <x:row r="111" ht="22" customHeight="1">
      <x:c r="A111" s="7"/>
      <x:c r="B111" s="19"/>
      <x:c r="C111" s="19"/>
      <x:c r="D111" s="7"/>
      <x:c r="E111" s="7"/>
      <x:c r="F111" s="7"/>
      <x:c r="G111" s="7"/>
      <x:c r="H111" s="7"/>
      <x:c r="I111" s="7"/>
      <x:c r="J111" s="7"/>
      <x:c r="K111" s="10"/>
      <x:c r="L111" s="7"/>
      <x:c r="M111" s="10"/>
      <x:c r="N111" s="7"/>
      <x:c r="O111" s="8"/>
      <x:c r="P111" s="8"/>
      <x:c r="Q111" s="8"/>
      <x:c r="R111" s="9"/>
      <x:c r="S111" s="7"/>
      <x:c r="T111" s="7"/>
      <x:c r="U111" s="7"/>
      <x:c r="V111" s="7"/>
      <x:c r="W111" s="22" t="str">
        <x:f>IF(A111="","",COUNTIFS('Esecuzioni'!$A$8:$A$1007,A111,'Esecuzioni'!$Q$8:$Q$1007,"OK"))</x:f>
      </x:c>
      <x:c r="X111" s="20" t="str">
        <x:f>IF(OR(A111="",I111&lt;&gt;"Esecuzioni",W111=0),"",SUMIFS('Esecuzioni'!$L$8:$L$1007,'Esecuzioni'!$A$8:$A$1007,A111))</x:f>
      </x:c>
      <x:c r="Y111" s="20" t="str">
        <x:f>IF(OR(A111="",I111&lt;&gt;"Esecuzioni",W111=0),"",SUMIFS('Esecuzioni'!$M$8:$M$1007,'Esecuzioni'!$A$8:$A$1007,A111))</x:f>
      </x:c>
      <x:c r="Z111" s="20" t="str">
        <x:f>IF(A111="","",IF(J111="Annullato",0,IF(ISNUMBER(O111),O111,IF(AND(I111="Esecuzioni",W111&gt;0),_xlfn.MAXIFS('Esecuzioni'!$P$8:$P$1007,'Esecuzioni'!$A$8:$A$1007,A111),""))))</x:f>
      </x:c>
      <x:c r="AA111" s="20" t="str">
        <x:f>IF(OR(A111="",J111="Aperto"),"",IF(J111="Annullato",0,IF(I111="Lordo manuale",IF(ISNUMBER(P111),P111,""),IF(I111="Netto manuale",IF(AND(ISNUMBER(P111),ISNUMBER(Q111)),P111+Q111,""),IF(OR(W111=0,COUNTIFS('Esecuzioni'!$A$8:$A$1007,A111,'Esecuzioni'!$Q$8:$Q$1007,"&lt;&gt;OK")&gt;0),"",IF(S111="Vince",X111,IF(S111="Perde",Y111,IF(AND(S111="Coperto",ABS(X111-Y111)&lt;='Impostazioni'!$B$11),ROUND((X111+Y111)/2,2),""))))))))</x:f>
      </x:c>
      <x:c r="AB111" s="20" t="str">
        <x:f>IF(NOT(ISNUMBER(AA111)),"",IF(J111="Annullato",0,IF(ISNUMBER(Q111),Q111,ROUND(MAX(0,AA111)*IF(ISNUMBER(R111),R111,'Impostazioni'!$B$8),2))))</x:f>
      </x:c>
      <x:c r="AC111" s="20" t="str">
        <x:f>IF(AND(ISNUMBER(AA111),ISNUMBER(AB111)),ROUND(AA111-AB111,2),"")</x:f>
      </x:c>
      <x:c r="AD111" s="18" t="str">
        <x:f>IF(A111="","",IF(AQ111&lt;&gt;"OK","Incompleto",IF(J111="Aperto","Aperto",IF(J111="Annullato","Annullato",IF(AC111&gt;0,"Green",IF(AC111&lt;0,"Red","Flat"))))))</x:f>
      </x:c>
      <x:c r="AE111" s="21" t="str">
        <x:f>IF(AND(AH111=1,Z111&gt;0),AC111/Z111,"")</x:f>
      </x:c>
      <x:c r="AF111" s="22" t="str">
        <x:f>IF(AH111&lt;&gt;1,"",COUNTIFS($C$8:$C$507,"&lt;"&amp;C111,$AH$8:$AH$507,1)+COUNTIFS($C$8:$C$507,C111,$A$8:$A$507,"&lt;="&amp;A111,$AH$8:$AH$507,1))</x:f>
      </x:c>
      <x:c r="AG111" s="20" t="str">
        <x:f>IF(AH111&lt;&gt;1,"",SUMIFS($AC$8:$AC$507,$C$8:$C$507,"&lt;"&amp;C111,$AH$8:$AH$507,1)+SUMIFS($AC$8:$AC$507,$C$8:$C$507,C111,$A$8:$A$507,"&lt;="&amp;A111,$AH$8:$AH$507,1))</x:f>
      </x:c>
      <x:c r="AH111" s="22" t="str">
        <x:f>IF(A111="","",IF(AND(J111="Chiuso",AQ111="OK",ISNUMBER(AC111)),1,0))</x:f>
      </x:c>
      <x:c r="AI111" s="20" t="str">
        <x:f>IF(AH111&lt;&gt;1,"",MAX(0,_xlfn.MAXIFS($AG$8:$AG$507,$AF$8:$AF$507,"&lt;="&amp;AF111,$AH$8:$AH$507,1)))</x:f>
      </x:c>
      <x:c r="AJ111" s="20" t="str">
        <x:f>IF(AH111&lt;&gt;1,"",MAX(0,AI111-AG111))</x:f>
      </x:c>
      <x:c r="AK111" s="21" t="str">
        <x:f>IF(OR(AH111&lt;&gt;1,NOT(ISNUMBER('Impostazioni'!$B$6)),'Impostazioni'!$B$6+AI111&lt;=0),"",AJ111/('Impostazioni'!$B$6+AI111))</x:f>
      </x:c>
      <x:c r="AL111" s="22" t="str">
        <x:f>IF(AH111&lt;&gt;1,"",IF(AC111&gt;0,AF111-_xlfn.MAXIFS($AF$8:$AF$507,$AF$8:$AF$507,"&lt;="&amp;AF111,$AC$8:$AC$507,"&lt;=0",$AH$8:$AH$507,1),0))</x:f>
      </x:c>
      <x:c r="AM111" s="22" t="str">
        <x:f>IF(AH111&lt;&gt;1,"",IF(AC111&lt;0,AF111-_xlfn.MAXIFS($AF$8:$AF$507,$AF$8:$AF$507,"&lt;="&amp;AF111,$AC$8:$AC$507,"&gt;=0",$AH$8:$AH$507,1),0))</x:f>
      </x:c>
      <x:c r="AN111" s="20" t="str">
        <x:f>IF(OR(A111="",NOT(ISNUMBER(B111)),NOT(ISNUMBER('Impostazioni'!$B$6))),"",'Impostazioni'!$B$6+SUMIFS($AC$8:$AC$507,$C$8:$C$507,"&lt;"&amp;B111,$AH$8:$AH$507,1)+SUMIFS('Cassa'!$F$8:$F$307,'Cassa'!$A$8:$A$307,"&lt;="&amp;B111,'Cassa'!$G$8:$G$307,"OK"))</x:f>
      </x:c>
      <x:c r="AO111" s="21" t="str">
        <x:f>IF(AND(ISNUMBER(Z111),ISNUMBER(AN111),AN111&gt;0),Z111/AN111,"")</x:f>
      </x:c>
      <x:c r="AP111" s="18" t="str">
        <x:f>IF(NOT(ISNUMBER(AO111)),"",IF(AO111&gt;'Impostazioni'!$B$7,"Oltre soglia personale","Nella soglia personale"))</x:f>
      </x:c>
      <x:c r="AQ111" s="18" t="str">
        <x:f>IF(A111="",IF(COUNTA(B111:V111)=0,"","Inserisci ID"),IF(COUNTIFS($A$8:$A$507,A111)&lt;&gt;1,"ID duplicato",IF(OR(NOT(ISNUMBER(B111)),D111="",E111="",F111="",G111="",H111="",COUNTIFS('Impostazioni'!$J$6:$J$25,F111)&lt;&gt;1),"Completa dati / elenchi",IF(OR(AND(I111&lt;&gt;"Lordo manuale",I111&lt;&gt;"Netto manuale",I111&lt;&gt;"Esecuzioni"),AND(J111&lt;&gt;"Aperto",J111&lt;&gt;"Chiuso",J111&lt;&gt;"Annullato")),"Modalità / stato mancanti",IF(AND(J111&lt;&gt;"Aperto",OR(NOT(ISNUMBER(C111)),C111&lt;B111)),"Correggi data chiusura",IF(OR(AND(Q111&lt;&gt;"",OR(NOT(ISNUMBER(Q111)),Q111&lt;0)),AND(R111&lt;&gt;"",OR(NOT(ISNUMBER(R111)),R111&lt;0,R111&gt;1))),"Commissione non valida",IF(J111="Annullato","OK",IF(OR(NOT(ISNUMBER(Z111)),Z111&lt;0,AND(O111&lt;&gt;"",NOT(ISNUMBER(O111)))),"Inserisci rischio",IF(AND(I111="Esecuzioni",OR(W111=0,COUNTIFS('Esecuzioni'!$A$8:$A$1007,A111,'Esecuzioni'!$Q$8:$Q$1007,"&lt;&gt;OK")&gt;0)),"Correggi esecuzioni",IF(J111="Aperto","OK",IF(AND(I111="Esecuzioni",S111="Coperto",ABS(X111-Y111)&gt;'Impostazioni'!$B$11),"Copertura residua",IF(NOT(ISNUMBER(AC111)),"Completa risultato / esito",IF(AND(Z111=0,AC111&lt;&gt;0),"Rischio nullo con P/L","OK")))))))))))))</x:f>
      </x:c>
      <x:c r="AR111" s="20" t="str">
        <x:f>IF(OR(A111="",J111&lt;&gt;"Aperto",AQ111&lt;&gt;"OK"),"",IF(I111="Esecuzioni",SUMIFS('Esecuzioni'!$P$8:$P$1007,'Esecuzioni'!$A$8:$A$1007,A111,'Esecuzioni'!$B$8:$B$1007,_xlfn.MAXIFS('Esecuzioni'!$B$8:$B$1007,'Esecuzioni'!$A$8:$A$1007,A111)),IF(LEFT(U111,8)="FREEBET:",0,Z111)))</x:f>
      </x:c>
      <x:c r="AS111" s="48" t="str">
        <x:f>IF(OR(A111="",E111=""),"",IF(COUNTIFS($E$8:E111,E111)=1,COUNT($AS$7:AS110)+1,""))</x:f>
      </x:c>
    </x:row>
    <x:row r="112" ht="22" customHeight="1">
      <x:c r="A112" s="7"/>
      <x:c r="B112" s="19"/>
      <x:c r="C112" s="19"/>
      <x:c r="D112" s="7"/>
      <x:c r="E112" s="7"/>
      <x:c r="F112" s="7"/>
      <x:c r="G112" s="7"/>
      <x:c r="H112" s="7"/>
      <x:c r="I112" s="7"/>
      <x:c r="J112" s="7"/>
      <x:c r="K112" s="10"/>
      <x:c r="L112" s="7"/>
      <x:c r="M112" s="10"/>
      <x:c r="N112" s="7"/>
      <x:c r="O112" s="8"/>
      <x:c r="P112" s="8"/>
      <x:c r="Q112" s="8"/>
      <x:c r="R112" s="9"/>
      <x:c r="S112" s="7"/>
      <x:c r="T112" s="7"/>
      <x:c r="U112" s="7"/>
      <x:c r="V112" s="7"/>
      <x:c r="W112" s="22" t="str">
        <x:f>IF(A112="","",COUNTIFS('Esecuzioni'!$A$8:$A$1007,A112,'Esecuzioni'!$Q$8:$Q$1007,"OK"))</x:f>
      </x:c>
      <x:c r="X112" s="20" t="str">
        <x:f>IF(OR(A112="",I112&lt;&gt;"Esecuzioni",W112=0),"",SUMIFS('Esecuzioni'!$L$8:$L$1007,'Esecuzioni'!$A$8:$A$1007,A112))</x:f>
      </x:c>
      <x:c r="Y112" s="20" t="str">
        <x:f>IF(OR(A112="",I112&lt;&gt;"Esecuzioni",W112=0),"",SUMIFS('Esecuzioni'!$M$8:$M$1007,'Esecuzioni'!$A$8:$A$1007,A112))</x:f>
      </x:c>
      <x:c r="Z112" s="20" t="str">
        <x:f>IF(A112="","",IF(J112="Annullato",0,IF(ISNUMBER(O112),O112,IF(AND(I112="Esecuzioni",W112&gt;0),_xlfn.MAXIFS('Esecuzioni'!$P$8:$P$1007,'Esecuzioni'!$A$8:$A$1007,A112),""))))</x:f>
      </x:c>
      <x:c r="AA112" s="20" t="str">
        <x:f>IF(OR(A112="",J112="Aperto"),"",IF(J112="Annullato",0,IF(I112="Lordo manuale",IF(ISNUMBER(P112),P112,""),IF(I112="Netto manuale",IF(AND(ISNUMBER(P112),ISNUMBER(Q112)),P112+Q112,""),IF(OR(W112=0,COUNTIFS('Esecuzioni'!$A$8:$A$1007,A112,'Esecuzioni'!$Q$8:$Q$1007,"&lt;&gt;OK")&gt;0),"",IF(S112="Vince",X112,IF(S112="Perde",Y112,IF(AND(S112="Coperto",ABS(X112-Y112)&lt;='Impostazioni'!$B$11),ROUND((X112+Y112)/2,2),""))))))))</x:f>
      </x:c>
      <x:c r="AB112" s="20" t="str">
        <x:f>IF(NOT(ISNUMBER(AA112)),"",IF(J112="Annullato",0,IF(ISNUMBER(Q112),Q112,ROUND(MAX(0,AA112)*IF(ISNUMBER(R112),R112,'Impostazioni'!$B$8),2))))</x:f>
      </x:c>
      <x:c r="AC112" s="20" t="str">
        <x:f>IF(AND(ISNUMBER(AA112),ISNUMBER(AB112)),ROUND(AA112-AB112,2),"")</x:f>
      </x:c>
      <x:c r="AD112" s="18" t="str">
        <x:f>IF(A112="","",IF(AQ112&lt;&gt;"OK","Incompleto",IF(J112="Aperto","Aperto",IF(J112="Annullato","Annullato",IF(AC112&gt;0,"Green",IF(AC112&lt;0,"Red","Flat"))))))</x:f>
      </x:c>
      <x:c r="AE112" s="21" t="str">
        <x:f>IF(AND(AH112=1,Z112&gt;0),AC112/Z112,"")</x:f>
      </x:c>
      <x:c r="AF112" s="22" t="str">
        <x:f>IF(AH112&lt;&gt;1,"",COUNTIFS($C$8:$C$507,"&lt;"&amp;C112,$AH$8:$AH$507,1)+COUNTIFS($C$8:$C$507,C112,$A$8:$A$507,"&lt;="&amp;A112,$AH$8:$AH$507,1))</x:f>
      </x:c>
      <x:c r="AG112" s="20" t="str">
        <x:f>IF(AH112&lt;&gt;1,"",SUMIFS($AC$8:$AC$507,$C$8:$C$507,"&lt;"&amp;C112,$AH$8:$AH$507,1)+SUMIFS($AC$8:$AC$507,$C$8:$C$507,C112,$A$8:$A$507,"&lt;="&amp;A112,$AH$8:$AH$507,1))</x:f>
      </x:c>
      <x:c r="AH112" s="22" t="str">
        <x:f>IF(A112="","",IF(AND(J112="Chiuso",AQ112="OK",ISNUMBER(AC112)),1,0))</x:f>
      </x:c>
      <x:c r="AI112" s="20" t="str">
        <x:f>IF(AH112&lt;&gt;1,"",MAX(0,_xlfn.MAXIFS($AG$8:$AG$507,$AF$8:$AF$507,"&lt;="&amp;AF112,$AH$8:$AH$507,1)))</x:f>
      </x:c>
      <x:c r="AJ112" s="20" t="str">
        <x:f>IF(AH112&lt;&gt;1,"",MAX(0,AI112-AG112))</x:f>
      </x:c>
      <x:c r="AK112" s="21" t="str">
        <x:f>IF(OR(AH112&lt;&gt;1,NOT(ISNUMBER('Impostazioni'!$B$6)),'Impostazioni'!$B$6+AI112&lt;=0),"",AJ112/('Impostazioni'!$B$6+AI112))</x:f>
      </x:c>
      <x:c r="AL112" s="22" t="str">
        <x:f>IF(AH112&lt;&gt;1,"",IF(AC112&gt;0,AF112-_xlfn.MAXIFS($AF$8:$AF$507,$AF$8:$AF$507,"&lt;="&amp;AF112,$AC$8:$AC$507,"&lt;=0",$AH$8:$AH$507,1),0))</x:f>
      </x:c>
      <x:c r="AM112" s="22" t="str">
        <x:f>IF(AH112&lt;&gt;1,"",IF(AC112&lt;0,AF112-_xlfn.MAXIFS($AF$8:$AF$507,$AF$8:$AF$507,"&lt;="&amp;AF112,$AC$8:$AC$507,"&gt;=0",$AH$8:$AH$507,1),0))</x:f>
      </x:c>
      <x:c r="AN112" s="20" t="str">
        <x:f>IF(OR(A112="",NOT(ISNUMBER(B112)),NOT(ISNUMBER('Impostazioni'!$B$6))),"",'Impostazioni'!$B$6+SUMIFS($AC$8:$AC$507,$C$8:$C$507,"&lt;"&amp;B112,$AH$8:$AH$507,1)+SUMIFS('Cassa'!$F$8:$F$307,'Cassa'!$A$8:$A$307,"&lt;="&amp;B112,'Cassa'!$G$8:$G$307,"OK"))</x:f>
      </x:c>
      <x:c r="AO112" s="21" t="str">
        <x:f>IF(AND(ISNUMBER(Z112),ISNUMBER(AN112),AN112&gt;0),Z112/AN112,"")</x:f>
      </x:c>
      <x:c r="AP112" s="18" t="str">
        <x:f>IF(NOT(ISNUMBER(AO112)),"",IF(AO112&gt;'Impostazioni'!$B$7,"Oltre soglia personale","Nella soglia personale"))</x:f>
      </x:c>
      <x:c r="AQ112" s="18" t="str">
        <x:f>IF(A112="",IF(COUNTA(B112:V112)=0,"","Inserisci ID"),IF(COUNTIFS($A$8:$A$507,A112)&lt;&gt;1,"ID duplicato",IF(OR(NOT(ISNUMBER(B112)),D112="",E112="",F112="",G112="",H112="",COUNTIFS('Impostazioni'!$J$6:$J$25,F112)&lt;&gt;1),"Completa dati / elenchi",IF(OR(AND(I112&lt;&gt;"Lordo manuale",I112&lt;&gt;"Netto manuale",I112&lt;&gt;"Esecuzioni"),AND(J112&lt;&gt;"Aperto",J112&lt;&gt;"Chiuso",J112&lt;&gt;"Annullato")),"Modalità / stato mancanti",IF(AND(J112&lt;&gt;"Aperto",OR(NOT(ISNUMBER(C112)),C112&lt;B112)),"Correggi data chiusura",IF(OR(AND(Q112&lt;&gt;"",OR(NOT(ISNUMBER(Q112)),Q112&lt;0)),AND(R112&lt;&gt;"",OR(NOT(ISNUMBER(R112)),R112&lt;0,R112&gt;1))),"Commissione non valida",IF(J112="Annullato","OK",IF(OR(NOT(ISNUMBER(Z112)),Z112&lt;0,AND(O112&lt;&gt;"",NOT(ISNUMBER(O112)))),"Inserisci rischio",IF(AND(I112="Esecuzioni",OR(W112=0,COUNTIFS('Esecuzioni'!$A$8:$A$1007,A112,'Esecuzioni'!$Q$8:$Q$1007,"&lt;&gt;OK")&gt;0)),"Correggi esecuzioni",IF(J112="Aperto","OK",IF(AND(I112="Esecuzioni",S112="Coperto",ABS(X112-Y112)&gt;'Impostazioni'!$B$11),"Copertura residua",IF(NOT(ISNUMBER(AC112)),"Completa risultato / esito",IF(AND(Z112=0,AC112&lt;&gt;0),"Rischio nullo con P/L","OK")))))))))))))</x:f>
      </x:c>
      <x:c r="AR112" s="20" t="str">
        <x:f>IF(OR(A112="",J112&lt;&gt;"Aperto",AQ112&lt;&gt;"OK"),"",IF(I112="Esecuzioni",SUMIFS('Esecuzioni'!$P$8:$P$1007,'Esecuzioni'!$A$8:$A$1007,A112,'Esecuzioni'!$B$8:$B$1007,_xlfn.MAXIFS('Esecuzioni'!$B$8:$B$1007,'Esecuzioni'!$A$8:$A$1007,A112)),IF(LEFT(U112,8)="FREEBET:",0,Z112)))</x:f>
      </x:c>
      <x:c r="AS112" s="48" t="str">
        <x:f>IF(OR(A112="",E112=""),"",IF(COUNTIFS($E$8:E112,E112)=1,COUNT($AS$7:AS111)+1,""))</x:f>
      </x:c>
    </x:row>
    <x:row r="113" ht="22" customHeight="1">
      <x:c r="A113" s="7"/>
      <x:c r="B113" s="19"/>
      <x:c r="C113" s="19"/>
      <x:c r="D113" s="7"/>
      <x:c r="E113" s="7"/>
      <x:c r="F113" s="7"/>
      <x:c r="G113" s="7"/>
      <x:c r="H113" s="7"/>
      <x:c r="I113" s="7"/>
      <x:c r="J113" s="7"/>
      <x:c r="K113" s="10"/>
      <x:c r="L113" s="7"/>
      <x:c r="M113" s="10"/>
      <x:c r="N113" s="7"/>
      <x:c r="O113" s="8"/>
      <x:c r="P113" s="8"/>
      <x:c r="Q113" s="8"/>
      <x:c r="R113" s="9"/>
      <x:c r="S113" s="7"/>
      <x:c r="T113" s="7"/>
      <x:c r="U113" s="7"/>
      <x:c r="V113" s="7"/>
      <x:c r="W113" s="22" t="str">
        <x:f>IF(A113="","",COUNTIFS('Esecuzioni'!$A$8:$A$1007,A113,'Esecuzioni'!$Q$8:$Q$1007,"OK"))</x:f>
      </x:c>
      <x:c r="X113" s="20" t="str">
        <x:f>IF(OR(A113="",I113&lt;&gt;"Esecuzioni",W113=0),"",SUMIFS('Esecuzioni'!$L$8:$L$1007,'Esecuzioni'!$A$8:$A$1007,A113))</x:f>
      </x:c>
      <x:c r="Y113" s="20" t="str">
        <x:f>IF(OR(A113="",I113&lt;&gt;"Esecuzioni",W113=0),"",SUMIFS('Esecuzioni'!$M$8:$M$1007,'Esecuzioni'!$A$8:$A$1007,A113))</x:f>
      </x:c>
      <x:c r="Z113" s="20" t="str">
        <x:f>IF(A113="","",IF(J113="Annullato",0,IF(ISNUMBER(O113),O113,IF(AND(I113="Esecuzioni",W113&gt;0),_xlfn.MAXIFS('Esecuzioni'!$P$8:$P$1007,'Esecuzioni'!$A$8:$A$1007,A113),""))))</x:f>
      </x:c>
      <x:c r="AA113" s="20" t="str">
        <x:f>IF(OR(A113="",J113="Aperto"),"",IF(J113="Annullato",0,IF(I113="Lordo manuale",IF(ISNUMBER(P113),P113,""),IF(I113="Netto manuale",IF(AND(ISNUMBER(P113),ISNUMBER(Q113)),P113+Q113,""),IF(OR(W113=0,COUNTIFS('Esecuzioni'!$A$8:$A$1007,A113,'Esecuzioni'!$Q$8:$Q$1007,"&lt;&gt;OK")&gt;0),"",IF(S113="Vince",X113,IF(S113="Perde",Y113,IF(AND(S113="Coperto",ABS(X113-Y113)&lt;='Impostazioni'!$B$11),ROUND((X113+Y113)/2,2),""))))))))</x:f>
      </x:c>
      <x:c r="AB113" s="20" t="str">
        <x:f>IF(NOT(ISNUMBER(AA113)),"",IF(J113="Annullato",0,IF(ISNUMBER(Q113),Q113,ROUND(MAX(0,AA113)*IF(ISNUMBER(R113),R113,'Impostazioni'!$B$8),2))))</x:f>
      </x:c>
      <x:c r="AC113" s="20" t="str">
        <x:f>IF(AND(ISNUMBER(AA113),ISNUMBER(AB113)),ROUND(AA113-AB113,2),"")</x:f>
      </x:c>
      <x:c r="AD113" s="18" t="str">
        <x:f>IF(A113="","",IF(AQ113&lt;&gt;"OK","Incompleto",IF(J113="Aperto","Aperto",IF(J113="Annullato","Annullato",IF(AC113&gt;0,"Green",IF(AC113&lt;0,"Red","Flat"))))))</x:f>
      </x:c>
      <x:c r="AE113" s="21" t="str">
        <x:f>IF(AND(AH113=1,Z113&gt;0),AC113/Z113,"")</x:f>
      </x:c>
      <x:c r="AF113" s="22" t="str">
        <x:f>IF(AH113&lt;&gt;1,"",COUNTIFS($C$8:$C$507,"&lt;"&amp;C113,$AH$8:$AH$507,1)+COUNTIFS($C$8:$C$507,C113,$A$8:$A$507,"&lt;="&amp;A113,$AH$8:$AH$507,1))</x:f>
      </x:c>
      <x:c r="AG113" s="20" t="str">
        <x:f>IF(AH113&lt;&gt;1,"",SUMIFS($AC$8:$AC$507,$C$8:$C$507,"&lt;"&amp;C113,$AH$8:$AH$507,1)+SUMIFS($AC$8:$AC$507,$C$8:$C$507,C113,$A$8:$A$507,"&lt;="&amp;A113,$AH$8:$AH$507,1))</x:f>
      </x:c>
      <x:c r="AH113" s="22" t="str">
        <x:f>IF(A113="","",IF(AND(J113="Chiuso",AQ113="OK",ISNUMBER(AC113)),1,0))</x:f>
      </x:c>
      <x:c r="AI113" s="20" t="str">
        <x:f>IF(AH113&lt;&gt;1,"",MAX(0,_xlfn.MAXIFS($AG$8:$AG$507,$AF$8:$AF$507,"&lt;="&amp;AF113,$AH$8:$AH$507,1)))</x:f>
      </x:c>
      <x:c r="AJ113" s="20" t="str">
        <x:f>IF(AH113&lt;&gt;1,"",MAX(0,AI113-AG113))</x:f>
      </x:c>
      <x:c r="AK113" s="21" t="str">
        <x:f>IF(OR(AH113&lt;&gt;1,NOT(ISNUMBER('Impostazioni'!$B$6)),'Impostazioni'!$B$6+AI113&lt;=0),"",AJ113/('Impostazioni'!$B$6+AI113))</x:f>
      </x:c>
      <x:c r="AL113" s="22" t="str">
        <x:f>IF(AH113&lt;&gt;1,"",IF(AC113&gt;0,AF113-_xlfn.MAXIFS($AF$8:$AF$507,$AF$8:$AF$507,"&lt;="&amp;AF113,$AC$8:$AC$507,"&lt;=0",$AH$8:$AH$507,1),0))</x:f>
      </x:c>
      <x:c r="AM113" s="22" t="str">
        <x:f>IF(AH113&lt;&gt;1,"",IF(AC113&lt;0,AF113-_xlfn.MAXIFS($AF$8:$AF$507,$AF$8:$AF$507,"&lt;="&amp;AF113,$AC$8:$AC$507,"&gt;=0",$AH$8:$AH$507,1),0))</x:f>
      </x:c>
      <x:c r="AN113" s="20" t="str">
        <x:f>IF(OR(A113="",NOT(ISNUMBER(B113)),NOT(ISNUMBER('Impostazioni'!$B$6))),"",'Impostazioni'!$B$6+SUMIFS($AC$8:$AC$507,$C$8:$C$507,"&lt;"&amp;B113,$AH$8:$AH$507,1)+SUMIFS('Cassa'!$F$8:$F$307,'Cassa'!$A$8:$A$307,"&lt;="&amp;B113,'Cassa'!$G$8:$G$307,"OK"))</x:f>
      </x:c>
      <x:c r="AO113" s="21" t="str">
        <x:f>IF(AND(ISNUMBER(Z113),ISNUMBER(AN113),AN113&gt;0),Z113/AN113,"")</x:f>
      </x:c>
      <x:c r="AP113" s="18" t="str">
        <x:f>IF(NOT(ISNUMBER(AO113)),"",IF(AO113&gt;'Impostazioni'!$B$7,"Oltre soglia personale","Nella soglia personale"))</x:f>
      </x:c>
      <x:c r="AQ113" s="18" t="str">
        <x:f>IF(A113="",IF(COUNTA(B113:V113)=0,"","Inserisci ID"),IF(COUNTIFS($A$8:$A$507,A113)&lt;&gt;1,"ID duplicato",IF(OR(NOT(ISNUMBER(B113)),D113="",E113="",F113="",G113="",H113="",COUNTIFS('Impostazioni'!$J$6:$J$25,F113)&lt;&gt;1),"Completa dati / elenchi",IF(OR(AND(I113&lt;&gt;"Lordo manuale",I113&lt;&gt;"Netto manuale",I113&lt;&gt;"Esecuzioni"),AND(J113&lt;&gt;"Aperto",J113&lt;&gt;"Chiuso",J113&lt;&gt;"Annullato")),"Modalità / stato mancanti",IF(AND(J113&lt;&gt;"Aperto",OR(NOT(ISNUMBER(C113)),C113&lt;B113)),"Correggi data chiusura",IF(OR(AND(Q113&lt;&gt;"",OR(NOT(ISNUMBER(Q113)),Q113&lt;0)),AND(R113&lt;&gt;"",OR(NOT(ISNUMBER(R113)),R113&lt;0,R113&gt;1))),"Commissione non valida",IF(J113="Annullato","OK",IF(OR(NOT(ISNUMBER(Z113)),Z113&lt;0,AND(O113&lt;&gt;"",NOT(ISNUMBER(O113)))),"Inserisci rischio",IF(AND(I113="Esecuzioni",OR(W113=0,COUNTIFS('Esecuzioni'!$A$8:$A$1007,A113,'Esecuzioni'!$Q$8:$Q$1007,"&lt;&gt;OK")&gt;0)),"Correggi esecuzioni",IF(J113="Aperto","OK",IF(AND(I113="Esecuzioni",S113="Coperto",ABS(X113-Y113)&gt;'Impostazioni'!$B$11),"Copertura residua",IF(NOT(ISNUMBER(AC113)),"Completa risultato / esito",IF(AND(Z113=0,AC113&lt;&gt;0),"Rischio nullo con P/L","OK")))))))))))))</x:f>
      </x:c>
      <x:c r="AR113" s="20" t="str">
        <x:f>IF(OR(A113="",J113&lt;&gt;"Aperto",AQ113&lt;&gt;"OK"),"",IF(I113="Esecuzioni",SUMIFS('Esecuzioni'!$P$8:$P$1007,'Esecuzioni'!$A$8:$A$1007,A113,'Esecuzioni'!$B$8:$B$1007,_xlfn.MAXIFS('Esecuzioni'!$B$8:$B$1007,'Esecuzioni'!$A$8:$A$1007,A113)),IF(LEFT(U113,8)="FREEBET:",0,Z113)))</x:f>
      </x:c>
      <x:c r="AS113" s="48" t="str">
        <x:f>IF(OR(A113="",E113=""),"",IF(COUNTIFS($E$8:E113,E113)=1,COUNT($AS$7:AS112)+1,""))</x:f>
      </x:c>
    </x:row>
    <x:row r="114" ht="22" customHeight="1">
      <x:c r="A114" s="7"/>
      <x:c r="B114" s="19"/>
      <x:c r="C114" s="19"/>
      <x:c r="D114" s="7"/>
      <x:c r="E114" s="7"/>
      <x:c r="F114" s="7"/>
      <x:c r="G114" s="7"/>
      <x:c r="H114" s="7"/>
      <x:c r="I114" s="7"/>
      <x:c r="J114" s="7"/>
      <x:c r="K114" s="10"/>
      <x:c r="L114" s="7"/>
      <x:c r="M114" s="10"/>
      <x:c r="N114" s="7"/>
      <x:c r="O114" s="8"/>
      <x:c r="P114" s="8"/>
      <x:c r="Q114" s="8"/>
      <x:c r="R114" s="9"/>
      <x:c r="S114" s="7"/>
      <x:c r="T114" s="7"/>
      <x:c r="U114" s="7"/>
      <x:c r="V114" s="7"/>
      <x:c r="W114" s="22" t="str">
        <x:f>IF(A114="","",COUNTIFS('Esecuzioni'!$A$8:$A$1007,A114,'Esecuzioni'!$Q$8:$Q$1007,"OK"))</x:f>
      </x:c>
      <x:c r="X114" s="20" t="str">
        <x:f>IF(OR(A114="",I114&lt;&gt;"Esecuzioni",W114=0),"",SUMIFS('Esecuzioni'!$L$8:$L$1007,'Esecuzioni'!$A$8:$A$1007,A114))</x:f>
      </x:c>
      <x:c r="Y114" s="20" t="str">
        <x:f>IF(OR(A114="",I114&lt;&gt;"Esecuzioni",W114=0),"",SUMIFS('Esecuzioni'!$M$8:$M$1007,'Esecuzioni'!$A$8:$A$1007,A114))</x:f>
      </x:c>
      <x:c r="Z114" s="20" t="str">
        <x:f>IF(A114="","",IF(J114="Annullato",0,IF(ISNUMBER(O114),O114,IF(AND(I114="Esecuzioni",W114&gt;0),_xlfn.MAXIFS('Esecuzioni'!$P$8:$P$1007,'Esecuzioni'!$A$8:$A$1007,A114),""))))</x:f>
      </x:c>
      <x:c r="AA114" s="20" t="str">
        <x:f>IF(OR(A114="",J114="Aperto"),"",IF(J114="Annullato",0,IF(I114="Lordo manuale",IF(ISNUMBER(P114),P114,""),IF(I114="Netto manuale",IF(AND(ISNUMBER(P114),ISNUMBER(Q114)),P114+Q114,""),IF(OR(W114=0,COUNTIFS('Esecuzioni'!$A$8:$A$1007,A114,'Esecuzioni'!$Q$8:$Q$1007,"&lt;&gt;OK")&gt;0),"",IF(S114="Vince",X114,IF(S114="Perde",Y114,IF(AND(S114="Coperto",ABS(X114-Y114)&lt;='Impostazioni'!$B$11),ROUND((X114+Y114)/2,2),""))))))))</x:f>
      </x:c>
      <x:c r="AB114" s="20" t="str">
        <x:f>IF(NOT(ISNUMBER(AA114)),"",IF(J114="Annullato",0,IF(ISNUMBER(Q114),Q114,ROUND(MAX(0,AA114)*IF(ISNUMBER(R114),R114,'Impostazioni'!$B$8),2))))</x:f>
      </x:c>
      <x:c r="AC114" s="20" t="str">
        <x:f>IF(AND(ISNUMBER(AA114),ISNUMBER(AB114)),ROUND(AA114-AB114,2),"")</x:f>
      </x:c>
      <x:c r="AD114" s="18" t="str">
        <x:f>IF(A114="","",IF(AQ114&lt;&gt;"OK","Incompleto",IF(J114="Aperto","Aperto",IF(J114="Annullato","Annullato",IF(AC114&gt;0,"Green",IF(AC114&lt;0,"Red","Flat"))))))</x:f>
      </x:c>
      <x:c r="AE114" s="21" t="str">
        <x:f>IF(AND(AH114=1,Z114&gt;0),AC114/Z114,"")</x:f>
      </x:c>
      <x:c r="AF114" s="22" t="str">
        <x:f>IF(AH114&lt;&gt;1,"",COUNTIFS($C$8:$C$507,"&lt;"&amp;C114,$AH$8:$AH$507,1)+COUNTIFS($C$8:$C$507,C114,$A$8:$A$507,"&lt;="&amp;A114,$AH$8:$AH$507,1))</x:f>
      </x:c>
      <x:c r="AG114" s="20" t="str">
        <x:f>IF(AH114&lt;&gt;1,"",SUMIFS($AC$8:$AC$507,$C$8:$C$507,"&lt;"&amp;C114,$AH$8:$AH$507,1)+SUMIFS($AC$8:$AC$507,$C$8:$C$507,C114,$A$8:$A$507,"&lt;="&amp;A114,$AH$8:$AH$507,1))</x:f>
      </x:c>
      <x:c r="AH114" s="22" t="str">
        <x:f>IF(A114="","",IF(AND(J114="Chiuso",AQ114="OK",ISNUMBER(AC114)),1,0))</x:f>
      </x:c>
      <x:c r="AI114" s="20" t="str">
        <x:f>IF(AH114&lt;&gt;1,"",MAX(0,_xlfn.MAXIFS($AG$8:$AG$507,$AF$8:$AF$507,"&lt;="&amp;AF114,$AH$8:$AH$507,1)))</x:f>
      </x:c>
      <x:c r="AJ114" s="20" t="str">
        <x:f>IF(AH114&lt;&gt;1,"",MAX(0,AI114-AG114))</x:f>
      </x:c>
      <x:c r="AK114" s="21" t="str">
        <x:f>IF(OR(AH114&lt;&gt;1,NOT(ISNUMBER('Impostazioni'!$B$6)),'Impostazioni'!$B$6+AI114&lt;=0),"",AJ114/('Impostazioni'!$B$6+AI114))</x:f>
      </x:c>
      <x:c r="AL114" s="22" t="str">
        <x:f>IF(AH114&lt;&gt;1,"",IF(AC114&gt;0,AF114-_xlfn.MAXIFS($AF$8:$AF$507,$AF$8:$AF$507,"&lt;="&amp;AF114,$AC$8:$AC$507,"&lt;=0",$AH$8:$AH$507,1),0))</x:f>
      </x:c>
      <x:c r="AM114" s="22" t="str">
        <x:f>IF(AH114&lt;&gt;1,"",IF(AC114&lt;0,AF114-_xlfn.MAXIFS($AF$8:$AF$507,$AF$8:$AF$507,"&lt;="&amp;AF114,$AC$8:$AC$507,"&gt;=0",$AH$8:$AH$507,1),0))</x:f>
      </x:c>
      <x:c r="AN114" s="20" t="str">
        <x:f>IF(OR(A114="",NOT(ISNUMBER(B114)),NOT(ISNUMBER('Impostazioni'!$B$6))),"",'Impostazioni'!$B$6+SUMIFS($AC$8:$AC$507,$C$8:$C$507,"&lt;"&amp;B114,$AH$8:$AH$507,1)+SUMIFS('Cassa'!$F$8:$F$307,'Cassa'!$A$8:$A$307,"&lt;="&amp;B114,'Cassa'!$G$8:$G$307,"OK"))</x:f>
      </x:c>
      <x:c r="AO114" s="21" t="str">
        <x:f>IF(AND(ISNUMBER(Z114),ISNUMBER(AN114),AN114&gt;0),Z114/AN114,"")</x:f>
      </x:c>
      <x:c r="AP114" s="18" t="str">
        <x:f>IF(NOT(ISNUMBER(AO114)),"",IF(AO114&gt;'Impostazioni'!$B$7,"Oltre soglia personale","Nella soglia personale"))</x:f>
      </x:c>
      <x:c r="AQ114" s="18" t="str">
        <x:f>IF(A114="",IF(COUNTA(B114:V114)=0,"","Inserisci ID"),IF(COUNTIFS($A$8:$A$507,A114)&lt;&gt;1,"ID duplicato",IF(OR(NOT(ISNUMBER(B114)),D114="",E114="",F114="",G114="",H114="",COUNTIFS('Impostazioni'!$J$6:$J$25,F114)&lt;&gt;1),"Completa dati / elenchi",IF(OR(AND(I114&lt;&gt;"Lordo manuale",I114&lt;&gt;"Netto manuale",I114&lt;&gt;"Esecuzioni"),AND(J114&lt;&gt;"Aperto",J114&lt;&gt;"Chiuso",J114&lt;&gt;"Annullato")),"Modalità / stato mancanti",IF(AND(J114&lt;&gt;"Aperto",OR(NOT(ISNUMBER(C114)),C114&lt;B114)),"Correggi data chiusura",IF(OR(AND(Q114&lt;&gt;"",OR(NOT(ISNUMBER(Q114)),Q114&lt;0)),AND(R114&lt;&gt;"",OR(NOT(ISNUMBER(R114)),R114&lt;0,R114&gt;1))),"Commissione non valida",IF(J114="Annullato","OK",IF(OR(NOT(ISNUMBER(Z114)),Z114&lt;0,AND(O114&lt;&gt;"",NOT(ISNUMBER(O114)))),"Inserisci rischio",IF(AND(I114="Esecuzioni",OR(W114=0,COUNTIFS('Esecuzioni'!$A$8:$A$1007,A114,'Esecuzioni'!$Q$8:$Q$1007,"&lt;&gt;OK")&gt;0)),"Correggi esecuzioni",IF(J114="Aperto","OK",IF(AND(I114="Esecuzioni",S114="Coperto",ABS(X114-Y114)&gt;'Impostazioni'!$B$11),"Copertura residua",IF(NOT(ISNUMBER(AC114)),"Completa risultato / esito",IF(AND(Z114=0,AC114&lt;&gt;0),"Rischio nullo con P/L","OK")))))))))))))</x:f>
      </x:c>
      <x:c r="AR114" s="20" t="str">
        <x:f>IF(OR(A114="",J114&lt;&gt;"Aperto",AQ114&lt;&gt;"OK"),"",IF(I114="Esecuzioni",SUMIFS('Esecuzioni'!$P$8:$P$1007,'Esecuzioni'!$A$8:$A$1007,A114,'Esecuzioni'!$B$8:$B$1007,_xlfn.MAXIFS('Esecuzioni'!$B$8:$B$1007,'Esecuzioni'!$A$8:$A$1007,A114)),IF(LEFT(U114,8)="FREEBET:",0,Z114)))</x:f>
      </x:c>
      <x:c r="AS114" s="48" t="str">
        <x:f>IF(OR(A114="",E114=""),"",IF(COUNTIFS($E$8:E114,E114)=1,COUNT($AS$7:AS113)+1,""))</x:f>
      </x:c>
    </x:row>
    <x:row r="115" ht="22" customHeight="1">
      <x:c r="A115" s="7"/>
      <x:c r="B115" s="19"/>
      <x:c r="C115" s="19"/>
      <x:c r="D115" s="7"/>
      <x:c r="E115" s="7"/>
      <x:c r="F115" s="7"/>
      <x:c r="G115" s="7"/>
      <x:c r="H115" s="7"/>
      <x:c r="I115" s="7"/>
      <x:c r="J115" s="7"/>
      <x:c r="K115" s="10"/>
      <x:c r="L115" s="7"/>
      <x:c r="M115" s="10"/>
      <x:c r="N115" s="7"/>
      <x:c r="O115" s="8"/>
      <x:c r="P115" s="8"/>
      <x:c r="Q115" s="8"/>
      <x:c r="R115" s="9"/>
      <x:c r="S115" s="7"/>
      <x:c r="T115" s="7"/>
      <x:c r="U115" s="7"/>
      <x:c r="V115" s="7"/>
      <x:c r="W115" s="22" t="str">
        <x:f>IF(A115="","",COUNTIFS('Esecuzioni'!$A$8:$A$1007,A115,'Esecuzioni'!$Q$8:$Q$1007,"OK"))</x:f>
      </x:c>
      <x:c r="X115" s="20" t="str">
        <x:f>IF(OR(A115="",I115&lt;&gt;"Esecuzioni",W115=0),"",SUMIFS('Esecuzioni'!$L$8:$L$1007,'Esecuzioni'!$A$8:$A$1007,A115))</x:f>
      </x:c>
      <x:c r="Y115" s="20" t="str">
        <x:f>IF(OR(A115="",I115&lt;&gt;"Esecuzioni",W115=0),"",SUMIFS('Esecuzioni'!$M$8:$M$1007,'Esecuzioni'!$A$8:$A$1007,A115))</x:f>
      </x:c>
      <x:c r="Z115" s="20" t="str">
        <x:f>IF(A115="","",IF(J115="Annullato",0,IF(ISNUMBER(O115),O115,IF(AND(I115="Esecuzioni",W115&gt;0),_xlfn.MAXIFS('Esecuzioni'!$P$8:$P$1007,'Esecuzioni'!$A$8:$A$1007,A115),""))))</x:f>
      </x:c>
      <x:c r="AA115" s="20" t="str">
        <x:f>IF(OR(A115="",J115="Aperto"),"",IF(J115="Annullato",0,IF(I115="Lordo manuale",IF(ISNUMBER(P115),P115,""),IF(I115="Netto manuale",IF(AND(ISNUMBER(P115),ISNUMBER(Q115)),P115+Q115,""),IF(OR(W115=0,COUNTIFS('Esecuzioni'!$A$8:$A$1007,A115,'Esecuzioni'!$Q$8:$Q$1007,"&lt;&gt;OK")&gt;0),"",IF(S115="Vince",X115,IF(S115="Perde",Y115,IF(AND(S115="Coperto",ABS(X115-Y115)&lt;='Impostazioni'!$B$11),ROUND((X115+Y115)/2,2),""))))))))</x:f>
      </x:c>
      <x:c r="AB115" s="20" t="str">
        <x:f>IF(NOT(ISNUMBER(AA115)),"",IF(J115="Annullato",0,IF(ISNUMBER(Q115),Q115,ROUND(MAX(0,AA115)*IF(ISNUMBER(R115),R115,'Impostazioni'!$B$8),2))))</x:f>
      </x:c>
      <x:c r="AC115" s="20" t="str">
        <x:f>IF(AND(ISNUMBER(AA115),ISNUMBER(AB115)),ROUND(AA115-AB115,2),"")</x:f>
      </x:c>
      <x:c r="AD115" s="18" t="str">
        <x:f>IF(A115="","",IF(AQ115&lt;&gt;"OK","Incompleto",IF(J115="Aperto","Aperto",IF(J115="Annullato","Annullato",IF(AC115&gt;0,"Green",IF(AC115&lt;0,"Red","Flat"))))))</x:f>
      </x:c>
      <x:c r="AE115" s="21" t="str">
        <x:f>IF(AND(AH115=1,Z115&gt;0),AC115/Z115,"")</x:f>
      </x:c>
      <x:c r="AF115" s="22" t="str">
        <x:f>IF(AH115&lt;&gt;1,"",COUNTIFS($C$8:$C$507,"&lt;"&amp;C115,$AH$8:$AH$507,1)+COUNTIFS($C$8:$C$507,C115,$A$8:$A$507,"&lt;="&amp;A115,$AH$8:$AH$507,1))</x:f>
      </x:c>
      <x:c r="AG115" s="20" t="str">
        <x:f>IF(AH115&lt;&gt;1,"",SUMIFS($AC$8:$AC$507,$C$8:$C$507,"&lt;"&amp;C115,$AH$8:$AH$507,1)+SUMIFS($AC$8:$AC$507,$C$8:$C$507,C115,$A$8:$A$507,"&lt;="&amp;A115,$AH$8:$AH$507,1))</x:f>
      </x:c>
      <x:c r="AH115" s="22" t="str">
        <x:f>IF(A115="","",IF(AND(J115="Chiuso",AQ115="OK",ISNUMBER(AC115)),1,0))</x:f>
      </x:c>
      <x:c r="AI115" s="20" t="str">
        <x:f>IF(AH115&lt;&gt;1,"",MAX(0,_xlfn.MAXIFS($AG$8:$AG$507,$AF$8:$AF$507,"&lt;="&amp;AF115,$AH$8:$AH$507,1)))</x:f>
      </x:c>
      <x:c r="AJ115" s="20" t="str">
        <x:f>IF(AH115&lt;&gt;1,"",MAX(0,AI115-AG115))</x:f>
      </x:c>
      <x:c r="AK115" s="21" t="str">
        <x:f>IF(OR(AH115&lt;&gt;1,NOT(ISNUMBER('Impostazioni'!$B$6)),'Impostazioni'!$B$6+AI115&lt;=0),"",AJ115/('Impostazioni'!$B$6+AI115))</x:f>
      </x:c>
      <x:c r="AL115" s="22" t="str">
        <x:f>IF(AH115&lt;&gt;1,"",IF(AC115&gt;0,AF115-_xlfn.MAXIFS($AF$8:$AF$507,$AF$8:$AF$507,"&lt;="&amp;AF115,$AC$8:$AC$507,"&lt;=0",$AH$8:$AH$507,1),0))</x:f>
      </x:c>
      <x:c r="AM115" s="22" t="str">
        <x:f>IF(AH115&lt;&gt;1,"",IF(AC115&lt;0,AF115-_xlfn.MAXIFS($AF$8:$AF$507,$AF$8:$AF$507,"&lt;="&amp;AF115,$AC$8:$AC$507,"&gt;=0",$AH$8:$AH$507,1),0))</x:f>
      </x:c>
      <x:c r="AN115" s="20" t="str">
        <x:f>IF(OR(A115="",NOT(ISNUMBER(B115)),NOT(ISNUMBER('Impostazioni'!$B$6))),"",'Impostazioni'!$B$6+SUMIFS($AC$8:$AC$507,$C$8:$C$507,"&lt;"&amp;B115,$AH$8:$AH$507,1)+SUMIFS('Cassa'!$F$8:$F$307,'Cassa'!$A$8:$A$307,"&lt;="&amp;B115,'Cassa'!$G$8:$G$307,"OK"))</x:f>
      </x:c>
      <x:c r="AO115" s="21" t="str">
        <x:f>IF(AND(ISNUMBER(Z115),ISNUMBER(AN115),AN115&gt;0),Z115/AN115,"")</x:f>
      </x:c>
      <x:c r="AP115" s="18" t="str">
        <x:f>IF(NOT(ISNUMBER(AO115)),"",IF(AO115&gt;'Impostazioni'!$B$7,"Oltre soglia personale","Nella soglia personale"))</x:f>
      </x:c>
      <x:c r="AQ115" s="18" t="str">
        <x:f>IF(A115="",IF(COUNTA(B115:V115)=0,"","Inserisci ID"),IF(COUNTIFS($A$8:$A$507,A115)&lt;&gt;1,"ID duplicato",IF(OR(NOT(ISNUMBER(B115)),D115="",E115="",F115="",G115="",H115="",COUNTIFS('Impostazioni'!$J$6:$J$25,F115)&lt;&gt;1),"Completa dati / elenchi",IF(OR(AND(I115&lt;&gt;"Lordo manuale",I115&lt;&gt;"Netto manuale",I115&lt;&gt;"Esecuzioni"),AND(J115&lt;&gt;"Aperto",J115&lt;&gt;"Chiuso",J115&lt;&gt;"Annullato")),"Modalità / stato mancanti",IF(AND(J115&lt;&gt;"Aperto",OR(NOT(ISNUMBER(C115)),C115&lt;B115)),"Correggi data chiusura",IF(OR(AND(Q115&lt;&gt;"",OR(NOT(ISNUMBER(Q115)),Q115&lt;0)),AND(R115&lt;&gt;"",OR(NOT(ISNUMBER(R115)),R115&lt;0,R115&gt;1))),"Commissione non valida",IF(J115="Annullato","OK",IF(OR(NOT(ISNUMBER(Z115)),Z115&lt;0,AND(O115&lt;&gt;"",NOT(ISNUMBER(O115)))),"Inserisci rischio",IF(AND(I115="Esecuzioni",OR(W115=0,COUNTIFS('Esecuzioni'!$A$8:$A$1007,A115,'Esecuzioni'!$Q$8:$Q$1007,"&lt;&gt;OK")&gt;0)),"Correggi esecuzioni",IF(J115="Aperto","OK",IF(AND(I115="Esecuzioni",S115="Coperto",ABS(X115-Y115)&gt;'Impostazioni'!$B$11),"Copertura residua",IF(NOT(ISNUMBER(AC115)),"Completa risultato / esito",IF(AND(Z115=0,AC115&lt;&gt;0),"Rischio nullo con P/L","OK")))))))))))))</x:f>
      </x:c>
      <x:c r="AR115" s="20" t="str">
        <x:f>IF(OR(A115="",J115&lt;&gt;"Aperto",AQ115&lt;&gt;"OK"),"",IF(I115="Esecuzioni",SUMIFS('Esecuzioni'!$P$8:$P$1007,'Esecuzioni'!$A$8:$A$1007,A115,'Esecuzioni'!$B$8:$B$1007,_xlfn.MAXIFS('Esecuzioni'!$B$8:$B$1007,'Esecuzioni'!$A$8:$A$1007,A115)),IF(LEFT(U115,8)="FREEBET:",0,Z115)))</x:f>
      </x:c>
      <x:c r="AS115" s="48" t="str">
        <x:f>IF(OR(A115="",E115=""),"",IF(COUNTIFS($E$8:E115,E115)=1,COUNT($AS$7:AS114)+1,""))</x:f>
      </x:c>
    </x:row>
    <x:row r="116" ht="22" customHeight="1">
      <x:c r="A116" s="7"/>
      <x:c r="B116" s="19"/>
      <x:c r="C116" s="19"/>
      <x:c r="D116" s="7"/>
      <x:c r="E116" s="7"/>
      <x:c r="F116" s="7"/>
      <x:c r="G116" s="7"/>
      <x:c r="H116" s="7"/>
      <x:c r="I116" s="7"/>
      <x:c r="J116" s="7"/>
      <x:c r="K116" s="10"/>
      <x:c r="L116" s="7"/>
      <x:c r="M116" s="10"/>
      <x:c r="N116" s="7"/>
      <x:c r="O116" s="8"/>
      <x:c r="P116" s="8"/>
      <x:c r="Q116" s="8"/>
      <x:c r="R116" s="9"/>
      <x:c r="S116" s="7"/>
      <x:c r="T116" s="7"/>
      <x:c r="U116" s="7"/>
      <x:c r="V116" s="7"/>
      <x:c r="W116" s="22" t="str">
        <x:f>IF(A116="","",COUNTIFS('Esecuzioni'!$A$8:$A$1007,A116,'Esecuzioni'!$Q$8:$Q$1007,"OK"))</x:f>
      </x:c>
      <x:c r="X116" s="20" t="str">
        <x:f>IF(OR(A116="",I116&lt;&gt;"Esecuzioni",W116=0),"",SUMIFS('Esecuzioni'!$L$8:$L$1007,'Esecuzioni'!$A$8:$A$1007,A116))</x:f>
      </x:c>
      <x:c r="Y116" s="20" t="str">
        <x:f>IF(OR(A116="",I116&lt;&gt;"Esecuzioni",W116=0),"",SUMIFS('Esecuzioni'!$M$8:$M$1007,'Esecuzioni'!$A$8:$A$1007,A116))</x:f>
      </x:c>
      <x:c r="Z116" s="20" t="str">
        <x:f>IF(A116="","",IF(J116="Annullato",0,IF(ISNUMBER(O116),O116,IF(AND(I116="Esecuzioni",W116&gt;0),_xlfn.MAXIFS('Esecuzioni'!$P$8:$P$1007,'Esecuzioni'!$A$8:$A$1007,A116),""))))</x:f>
      </x:c>
      <x:c r="AA116" s="20" t="str">
        <x:f>IF(OR(A116="",J116="Aperto"),"",IF(J116="Annullato",0,IF(I116="Lordo manuale",IF(ISNUMBER(P116),P116,""),IF(I116="Netto manuale",IF(AND(ISNUMBER(P116),ISNUMBER(Q116)),P116+Q116,""),IF(OR(W116=0,COUNTIFS('Esecuzioni'!$A$8:$A$1007,A116,'Esecuzioni'!$Q$8:$Q$1007,"&lt;&gt;OK")&gt;0),"",IF(S116="Vince",X116,IF(S116="Perde",Y116,IF(AND(S116="Coperto",ABS(X116-Y116)&lt;='Impostazioni'!$B$11),ROUND((X116+Y116)/2,2),""))))))))</x:f>
      </x:c>
      <x:c r="AB116" s="20" t="str">
        <x:f>IF(NOT(ISNUMBER(AA116)),"",IF(J116="Annullato",0,IF(ISNUMBER(Q116),Q116,ROUND(MAX(0,AA116)*IF(ISNUMBER(R116),R116,'Impostazioni'!$B$8),2))))</x:f>
      </x:c>
      <x:c r="AC116" s="20" t="str">
        <x:f>IF(AND(ISNUMBER(AA116),ISNUMBER(AB116)),ROUND(AA116-AB116,2),"")</x:f>
      </x:c>
      <x:c r="AD116" s="18" t="str">
        <x:f>IF(A116="","",IF(AQ116&lt;&gt;"OK","Incompleto",IF(J116="Aperto","Aperto",IF(J116="Annullato","Annullato",IF(AC116&gt;0,"Green",IF(AC116&lt;0,"Red","Flat"))))))</x:f>
      </x:c>
      <x:c r="AE116" s="21" t="str">
        <x:f>IF(AND(AH116=1,Z116&gt;0),AC116/Z116,"")</x:f>
      </x:c>
      <x:c r="AF116" s="22" t="str">
        <x:f>IF(AH116&lt;&gt;1,"",COUNTIFS($C$8:$C$507,"&lt;"&amp;C116,$AH$8:$AH$507,1)+COUNTIFS($C$8:$C$507,C116,$A$8:$A$507,"&lt;="&amp;A116,$AH$8:$AH$507,1))</x:f>
      </x:c>
      <x:c r="AG116" s="20" t="str">
        <x:f>IF(AH116&lt;&gt;1,"",SUMIFS($AC$8:$AC$507,$C$8:$C$507,"&lt;"&amp;C116,$AH$8:$AH$507,1)+SUMIFS($AC$8:$AC$507,$C$8:$C$507,C116,$A$8:$A$507,"&lt;="&amp;A116,$AH$8:$AH$507,1))</x:f>
      </x:c>
      <x:c r="AH116" s="22" t="str">
        <x:f>IF(A116="","",IF(AND(J116="Chiuso",AQ116="OK",ISNUMBER(AC116)),1,0))</x:f>
      </x:c>
      <x:c r="AI116" s="20" t="str">
        <x:f>IF(AH116&lt;&gt;1,"",MAX(0,_xlfn.MAXIFS($AG$8:$AG$507,$AF$8:$AF$507,"&lt;="&amp;AF116,$AH$8:$AH$507,1)))</x:f>
      </x:c>
      <x:c r="AJ116" s="20" t="str">
        <x:f>IF(AH116&lt;&gt;1,"",MAX(0,AI116-AG116))</x:f>
      </x:c>
      <x:c r="AK116" s="21" t="str">
        <x:f>IF(OR(AH116&lt;&gt;1,NOT(ISNUMBER('Impostazioni'!$B$6)),'Impostazioni'!$B$6+AI116&lt;=0),"",AJ116/('Impostazioni'!$B$6+AI116))</x:f>
      </x:c>
      <x:c r="AL116" s="22" t="str">
        <x:f>IF(AH116&lt;&gt;1,"",IF(AC116&gt;0,AF116-_xlfn.MAXIFS($AF$8:$AF$507,$AF$8:$AF$507,"&lt;="&amp;AF116,$AC$8:$AC$507,"&lt;=0",$AH$8:$AH$507,1),0))</x:f>
      </x:c>
      <x:c r="AM116" s="22" t="str">
        <x:f>IF(AH116&lt;&gt;1,"",IF(AC116&lt;0,AF116-_xlfn.MAXIFS($AF$8:$AF$507,$AF$8:$AF$507,"&lt;="&amp;AF116,$AC$8:$AC$507,"&gt;=0",$AH$8:$AH$507,1),0))</x:f>
      </x:c>
      <x:c r="AN116" s="20" t="str">
        <x:f>IF(OR(A116="",NOT(ISNUMBER(B116)),NOT(ISNUMBER('Impostazioni'!$B$6))),"",'Impostazioni'!$B$6+SUMIFS($AC$8:$AC$507,$C$8:$C$507,"&lt;"&amp;B116,$AH$8:$AH$507,1)+SUMIFS('Cassa'!$F$8:$F$307,'Cassa'!$A$8:$A$307,"&lt;="&amp;B116,'Cassa'!$G$8:$G$307,"OK"))</x:f>
      </x:c>
      <x:c r="AO116" s="21" t="str">
        <x:f>IF(AND(ISNUMBER(Z116),ISNUMBER(AN116),AN116&gt;0),Z116/AN116,"")</x:f>
      </x:c>
      <x:c r="AP116" s="18" t="str">
        <x:f>IF(NOT(ISNUMBER(AO116)),"",IF(AO116&gt;'Impostazioni'!$B$7,"Oltre soglia personale","Nella soglia personale"))</x:f>
      </x:c>
      <x:c r="AQ116" s="18" t="str">
        <x:f>IF(A116="",IF(COUNTA(B116:V116)=0,"","Inserisci ID"),IF(COUNTIFS($A$8:$A$507,A116)&lt;&gt;1,"ID duplicato",IF(OR(NOT(ISNUMBER(B116)),D116="",E116="",F116="",G116="",H116="",COUNTIFS('Impostazioni'!$J$6:$J$25,F116)&lt;&gt;1),"Completa dati / elenchi",IF(OR(AND(I116&lt;&gt;"Lordo manuale",I116&lt;&gt;"Netto manuale",I116&lt;&gt;"Esecuzioni"),AND(J116&lt;&gt;"Aperto",J116&lt;&gt;"Chiuso",J116&lt;&gt;"Annullato")),"Modalità / stato mancanti",IF(AND(J116&lt;&gt;"Aperto",OR(NOT(ISNUMBER(C116)),C116&lt;B116)),"Correggi data chiusura",IF(OR(AND(Q116&lt;&gt;"",OR(NOT(ISNUMBER(Q116)),Q116&lt;0)),AND(R116&lt;&gt;"",OR(NOT(ISNUMBER(R116)),R116&lt;0,R116&gt;1))),"Commissione non valida",IF(J116="Annullato","OK",IF(OR(NOT(ISNUMBER(Z116)),Z116&lt;0,AND(O116&lt;&gt;"",NOT(ISNUMBER(O116)))),"Inserisci rischio",IF(AND(I116="Esecuzioni",OR(W116=0,COUNTIFS('Esecuzioni'!$A$8:$A$1007,A116,'Esecuzioni'!$Q$8:$Q$1007,"&lt;&gt;OK")&gt;0)),"Correggi esecuzioni",IF(J116="Aperto","OK",IF(AND(I116="Esecuzioni",S116="Coperto",ABS(X116-Y116)&gt;'Impostazioni'!$B$11),"Copertura residua",IF(NOT(ISNUMBER(AC116)),"Completa risultato / esito",IF(AND(Z116=0,AC116&lt;&gt;0),"Rischio nullo con P/L","OK")))))))))))))</x:f>
      </x:c>
      <x:c r="AR116" s="20" t="str">
        <x:f>IF(OR(A116="",J116&lt;&gt;"Aperto",AQ116&lt;&gt;"OK"),"",IF(I116="Esecuzioni",SUMIFS('Esecuzioni'!$P$8:$P$1007,'Esecuzioni'!$A$8:$A$1007,A116,'Esecuzioni'!$B$8:$B$1007,_xlfn.MAXIFS('Esecuzioni'!$B$8:$B$1007,'Esecuzioni'!$A$8:$A$1007,A116)),IF(LEFT(U116,8)="FREEBET:",0,Z116)))</x:f>
      </x:c>
      <x:c r="AS116" s="48" t="str">
        <x:f>IF(OR(A116="",E116=""),"",IF(COUNTIFS($E$8:E116,E116)=1,COUNT($AS$7:AS115)+1,""))</x:f>
      </x:c>
    </x:row>
    <x:row r="117" ht="22" customHeight="1">
      <x:c r="A117" s="7"/>
      <x:c r="B117" s="19"/>
      <x:c r="C117" s="19"/>
      <x:c r="D117" s="7"/>
      <x:c r="E117" s="7"/>
      <x:c r="F117" s="7"/>
      <x:c r="G117" s="7"/>
      <x:c r="H117" s="7"/>
      <x:c r="I117" s="7"/>
      <x:c r="J117" s="7"/>
      <x:c r="K117" s="10"/>
      <x:c r="L117" s="7"/>
      <x:c r="M117" s="10"/>
      <x:c r="N117" s="7"/>
      <x:c r="O117" s="8"/>
      <x:c r="P117" s="8"/>
      <x:c r="Q117" s="8"/>
      <x:c r="R117" s="9"/>
      <x:c r="S117" s="7"/>
      <x:c r="T117" s="7"/>
      <x:c r="U117" s="7"/>
      <x:c r="V117" s="7"/>
      <x:c r="W117" s="22" t="str">
        <x:f>IF(A117="","",COUNTIFS('Esecuzioni'!$A$8:$A$1007,A117,'Esecuzioni'!$Q$8:$Q$1007,"OK"))</x:f>
      </x:c>
      <x:c r="X117" s="20" t="str">
        <x:f>IF(OR(A117="",I117&lt;&gt;"Esecuzioni",W117=0),"",SUMIFS('Esecuzioni'!$L$8:$L$1007,'Esecuzioni'!$A$8:$A$1007,A117))</x:f>
      </x:c>
      <x:c r="Y117" s="20" t="str">
        <x:f>IF(OR(A117="",I117&lt;&gt;"Esecuzioni",W117=0),"",SUMIFS('Esecuzioni'!$M$8:$M$1007,'Esecuzioni'!$A$8:$A$1007,A117))</x:f>
      </x:c>
      <x:c r="Z117" s="20" t="str">
        <x:f>IF(A117="","",IF(J117="Annullato",0,IF(ISNUMBER(O117),O117,IF(AND(I117="Esecuzioni",W117&gt;0),_xlfn.MAXIFS('Esecuzioni'!$P$8:$P$1007,'Esecuzioni'!$A$8:$A$1007,A117),""))))</x:f>
      </x:c>
      <x:c r="AA117" s="20" t="str">
        <x:f>IF(OR(A117="",J117="Aperto"),"",IF(J117="Annullato",0,IF(I117="Lordo manuale",IF(ISNUMBER(P117),P117,""),IF(I117="Netto manuale",IF(AND(ISNUMBER(P117),ISNUMBER(Q117)),P117+Q117,""),IF(OR(W117=0,COUNTIFS('Esecuzioni'!$A$8:$A$1007,A117,'Esecuzioni'!$Q$8:$Q$1007,"&lt;&gt;OK")&gt;0),"",IF(S117="Vince",X117,IF(S117="Perde",Y117,IF(AND(S117="Coperto",ABS(X117-Y117)&lt;='Impostazioni'!$B$11),ROUND((X117+Y117)/2,2),""))))))))</x:f>
      </x:c>
      <x:c r="AB117" s="20" t="str">
        <x:f>IF(NOT(ISNUMBER(AA117)),"",IF(J117="Annullato",0,IF(ISNUMBER(Q117),Q117,ROUND(MAX(0,AA117)*IF(ISNUMBER(R117),R117,'Impostazioni'!$B$8),2))))</x:f>
      </x:c>
      <x:c r="AC117" s="20" t="str">
        <x:f>IF(AND(ISNUMBER(AA117),ISNUMBER(AB117)),ROUND(AA117-AB117,2),"")</x:f>
      </x:c>
      <x:c r="AD117" s="18" t="str">
        <x:f>IF(A117="","",IF(AQ117&lt;&gt;"OK","Incompleto",IF(J117="Aperto","Aperto",IF(J117="Annullato","Annullato",IF(AC117&gt;0,"Green",IF(AC117&lt;0,"Red","Flat"))))))</x:f>
      </x:c>
      <x:c r="AE117" s="21" t="str">
        <x:f>IF(AND(AH117=1,Z117&gt;0),AC117/Z117,"")</x:f>
      </x:c>
      <x:c r="AF117" s="22" t="str">
        <x:f>IF(AH117&lt;&gt;1,"",COUNTIFS($C$8:$C$507,"&lt;"&amp;C117,$AH$8:$AH$507,1)+COUNTIFS($C$8:$C$507,C117,$A$8:$A$507,"&lt;="&amp;A117,$AH$8:$AH$507,1))</x:f>
      </x:c>
      <x:c r="AG117" s="20" t="str">
        <x:f>IF(AH117&lt;&gt;1,"",SUMIFS($AC$8:$AC$507,$C$8:$C$507,"&lt;"&amp;C117,$AH$8:$AH$507,1)+SUMIFS($AC$8:$AC$507,$C$8:$C$507,C117,$A$8:$A$507,"&lt;="&amp;A117,$AH$8:$AH$507,1))</x:f>
      </x:c>
      <x:c r="AH117" s="22" t="str">
        <x:f>IF(A117="","",IF(AND(J117="Chiuso",AQ117="OK",ISNUMBER(AC117)),1,0))</x:f>
      </x:c>
      <x:c r="AI117" s="20" t="str">
        <x:f>IF(AH117&lt;&gt;1,"",MAX(0,_xlfn.MAXIFS($AG$8:$AG$507,$AF$8:$AF$507,"&lt;="&amp;AF117,$AH$8:$AH$507,1)))</x:f>
      </x:c>
      <x:c r="AJ117" s="20" t="str">
        <x:f>IF(AH117&lt;&gt;1,"",MAX(0,AI117-AG117))</x:f>
      </x:c>
      <x:c r="AK117" s="21" t="str">
        <x:f>IF(OR(AH117&lt;&gt;1,NOT(ISNUMBER('Impostazioni'!$B$6)),'Impostazioni'!$B$6+AI117&lt;=0),"",AJ117/('Impostazioni'!$B$6+AI117))</x:f>
      </x:c>
      <x:c r="AL117" s="22" t="str">
        <x:f>IF(AH117&lt;&gt;1,"",IF(AC117&gt;0,AF117-_xlfn.MAXIFS($AF$8:$AF$507,$AF$8:$AF$507,"&lt;="&amp;AF117,$AC$8:$AC$507,"&lt;=0",$AH$8:$AH$507,1),0))</x:f>
      </x:c>
      <x:c r="AM117" s="22" t="str">
        <x:f>IF(AH117&lt;&gt;1,"",IF(AC117&lt;0,AF117-_xlfn.MAXIFS($AF$8:$AF$507,$AF$8:$AF$507,"&lt;="&amp;AF117,$AC$8:$AC$507,"&gt;=0",$AH$8:$AH$507,1),0))</x:f>
      </x:c>
      <x:c r="AN117" s="20" t="str">
        <x:f>IF(OR(A117="",NOT(ISNUMBER(B117)),NOT(ISNUMBER('Impostazioni'!$B$6))),"",'Impostazioni'!$B$6+SUMIFS($AC$8:$AC$507,$C$8:$C$507,"&lt;"&amp;B117,$AH$8:$AH$507,1)+SUMIFS('Cassa'!$F$8:$F$307,'Cassa'!$A$8:$A$307,"&lt;="&amp;B117,'Cassa'!$G$8:$G$307,"OK"))</x:f>
      </x:c>
      <x:c r="AO117" s="21" t="str">
        <x:f>IF(AND(ISNUMBER(Z117),ISNUMBER(AN117),AN117&gt;0),Z117/AN117,"")</x:f>
      </x:c>
      <x:c r="AP117" s="18" t="str">
        <x:f>IF(NOT(ISNUMBER(AO117)),"",IF(AO117&gt;'Impostazioni'!$B$7,"Oltre soglia personale","Nella soglia personale"))</x:f>
      </x:c>
      <x:c r="AQ117" s="18" t="str">
        <x:f>IF(A117="",IF(COUNTA(B117:V117)=0,"","Inserisci ID"),IF(COUNTIFS($A$8:$A$507,A117)&lt;&gt;1,"ID duplicato",IF(OR(NOT(ISNUMBER(B117)),D117="",E117="",F117="",G117="",H117="",COUNTIFS('Impostazioni'!$J$6:$J$25,F117)&lt;&gt;1),"Completa dati / elenchi",IF(OR(AND(I117&lt;&gt;"Lordo manuale",I117&lt;&gt;"Netto manuale",I117&lt;&gt;"Esecuzioni"),AND(J117&lt;&gt;"Aperto",J117&lt;&gt;"Chiuso",J117&lt;&gt;"Annullato")),"Modalità / stato mancanti",IF(AND(J117&lt;&gt;"Aperto",OR(NOT(ISNUMBER(C117)),C117&lt;B117)),"Correggi data chiusura",IF(OR(AND(Q117&lt;&gt;"",OR(NOT(ISNUMBER(Q117)),Q117&lt;0)),AND(R117&lt;&gt;"",OR(NOT(ISNUMBER(R117)),R117&lt;0,R117&gt;1))),"Commissione non valida",IF(J117="Annullato","OK",IF(OR(NOT(ISNUMBER(Z117)),Z117&lt;0,AND(O117&lt;&gt;"",NOT(ISNUMBER(O117)))),"Inserisci rischio",IF(AND(I117="Esecuzioni",OR(W117=0,COUNTIFS('Esecuzioni'!$A$8:$A$1007,A117,'Esecuzioni'!$Q$8:$Q$1007,"&lt;&gt;OK")&gt;0)),"Correggi esecuzioni",IF(J117="Aperto","OK",IF(AND(I117="Esecuzioni",S117="Coperto",ABS(X117-Y117)&gt;'Impostazioni'!$B$11),"Copertura residua",IF(NOT(ISNUMBER(AC117)),"Completa risultato / esito",IF(AND(Z117=0,AC117&lt;&gt;0),"Rischio nullo con P/L","OK")))))))))))))</x:f>
      </x:c>
      <x:c r="AR117" s="20" t="str">
        <x:f>IF(OR(A117="",J117&lt;&gt;"Aperto",AQ117&lt;&gt;"OK"),"",IF(I117="Esecuzioni",SUMIFS('Esecuzioni'!$P$8:$P$1007,'Esecuzioni'!$A$8:$A$1007,A117,'Esecuzioni'!$B$8:$B$1007,_xlfn.MAXIFS('Esecuzioni'!$B$8:$B$1007,'Esecuzioni'!$A$8:$A$1007,A117)),IF(LEFT(U117,8)="FREEBET:",0,Z117)))</x:f>
      </x:c>
      <x:c r="AS117" s="48" t="str">
        <x:f>IF(OR(A117="",E117=""),"",IF(COUNTIFS($E$8:E117,E117)=1,COUNT($AS$7:AS116)+1,""))</x:f>
      </x:c>
    </x:row>
    <x:row r="118" ht="22" customHeight="1">
      <x:c r="A118" s="7"/>
      <x:c r="B118" s="19"/>
      <x:c r="C118" s="19"/>
      <x:c r="D118" s="7"/>
      <x:c r="E118" s="7"/>
      <x:c r="F118" s="7"/>
      <x:c r="G118" s="7"/>
      <x:c r="H118" s="7"/>
      <x:c r="I118" s="7"/>
      <x:c r="J118" s="7"/>
      <x:c r="K118" s="10"/>
      <x:c r="L118" s="7"/>
      <x:c r="M118" s="10"/>
      <x:c r="N118" s="7"/>
      <x:c r="O118" s="8"/>
      <x:c r="P118" s="8"/>
      <x:c r="Q118" s="8"/>
      <x:c r="R118" s="9"/>
      <x:c r="S118" s="7"/>
      <x:c r="T118" s="7"/>
      <x:c r="U118" s="7"/>
      <x:c r="V118" s="7"/>
      <x:c r="W118" s="22" t="str">
        <x:f>IF(A118="","",COUNTIFS('Esecuzioni'!$A$8:$A$1007,A118,'Esecuzioni'!$Q$8:$Q$1007,"OK"))</x:f>
      </x:c>
      <x:c r="X118" s="20" t="str">
        <x:f>IF(OR(A118="",I118&lt;&gt;"Esecuzioni",W118=0),"",SUMIFS('Esecuzioni'!$L$8:$L$1007,'Esecuzioni'!$A$8:$A$1007,A118))</x:f>
      </x:c>
      <x:c r="Y118" s="20" t="str">
        <x:f>IF(OR(A118="",I118&lt;&gt;"Esecuzioni",W118=0),"",SUMIFS('Esecuzioni'!$M$8:$M$1007,'Esecuzioni'!$A$8:$A$1007,A118))</x:f>
      </x:c>
      <x:c r="Z118" s="20" t="str">
        <x:f>IF(A118="","",IF(J118="Annullato",0,IF(ISNUMBER(O118),O118,IF(AND(I118="Esecuzioni",W118&gt;0),_xlfn.MAXIFS('Esecuzioni'!$P$8:$P$1007,'Esecuzioni'!$A$8:$A$1007,A118),""))))</x:f>
      </x:c>
      <x:c r="AA118" s="20" t="str">
        <x:f>IF(OR(A118="",J118="Aperto"),"",IF(J118="Annullato",0,IF(I118="Lordo manuale",IF(ISNUMBER(P118),P118,""),IF(I118="Netto manuale",IF(AND(ISNUMBER(P118),ISNUMBER(Q118)),P118+Q118,""),IF(OR(W118=0,COUNTIFS('Esecuzioni'!$A$8:$A$1007,A118,'Esecuzioni'!$Q$8:$Q$1007,"&lt;&gt;OK")&gt;0),"",IF(S118="Vince",X118,IF(S118="Perde",Y118,IF(AND(S118="Coperto",ABS(X118-Y118)&lt;='Impostazioni'!$B$11),ROUND((X118+Y118)/2,2),""))))))))</x:f>
      </x:c>
      <x:c r="AB118" s="20" t="str">
        <x:f>IF(NOT(ISNUMBER(AA118)),"",IF(J118="Annullato",0,IF(ISNUMBER(Q118),Q118,ROUND(MAX(0,AA118)*IF(ISNUMBER(R118),R118,'Impostazioni'!$B$8),2))))</x:f>
      </x:c>
      <x:c r="AC118" s="20" t="str">
        <x:f>IF(AND(ISNUMBER(AA118),ISNUMBER(AB118)),ROUND(AA118-AB118,2),"")</x:f>
      </x:c>
      <x:c r="AD118" s="18" t="str">
        <x:f>IF(A118="","",IF(AQ118&lt;&gt;"OK","Incompleto",IF(J118="Aperto","Aperto",IF(J118="Annullato","Annullato",IF(AC118&gt;0,"Green",IF(AC118&lt;0,"Red","Flat"))))))</x:f>
      </x:c>
      <x:c r="AE118" s="21" t="str">
        <x:f>IF(AND(AH118=1,Z118&gt;0),AC118/Z118,"")</x:f>
      </x:c>
      <x:c r="AF118" s="22" t="str">
        <x:f>IF(AH118&lt;&gt;1,"",COUNTIFS($C$8:$C$507,"&lt;"&amp;C118,$AH$8:$AH$507,1)+COUNTIFS($C$8:$C$507,C118,$A$8:$A$507,"&lt;="&amp;A118,$AH$8:$AH$507,1))</x:f>
      </x:c>
      <x:c r="AG118" s="20" t="str">
        <x:f>IF(AH118&lt;&gt;1,"",SUMIFS($AC$8:$AC$507,$C$8:$C$507,"&lt;"&amp;C118,$AH$8:$AH$507,1)+SUMIFS($AC$8:$AC$507,$C$8:$C$507,C118,$A$8:$A$507,"&lt;="&amp;A118,$AH$8:$AH$507,1))</x:f>
      </x:c>
      <x:c r="AH118" s="22" t="str">
        <x:f>IF(A118="","",IF(AND(J118="Chiuso",AQ118="OK",ISNUMBER(AC118)),1,0))</x:f>
      </x:c>
      <x:c r="AI118" s="20" t="str">
        <x:f>IF(AH118&lt;&gt;1,"",MAX(0,_xlfn.MAXIFS($AG$8:$AG$507,$AF$8:$AF$507,"&lt;="&amp;AF118,$AH$8:$AH$507,1)))</x:f>
      </x:c>
      <x:c r="AJ118" s="20" t="str">
        <x:f>IF(AH118&lt;&gt;1,"",MAX(0,AI118-AG118))</x:f>
      </x:c>
      <x:c r="AK118" s="21" t="str">
        <x:f>IF(OR(AH118&lt;&gt;1,NOT(ISNUMBER('Impostazioni'!$B$6)),'Impostazioni'!$B$6+AI118&lt;=0),"",AJ118/('Impostazioni'!$B$6+AI118))</x:f>
      </x:c>
      <x:c r="AL118" s="22" t="str">
        <x:f>IF(AH118&lt;&gt;1,"",IF(AC118&gt;0,AF118-_xlfn.MAXIFS($AF$8:$AF$507,$AF$8:$AF$507,"&lt;="&amp;AF118,$AC$8:$AC$507,"&lt;=0",$AH$8:$AH$507,1),0))</x:f>
      </x:c>
      <x:c r="AM118" s="22" t="str">
        <x:f>IF(AH118&lt;&gt;1,"",IF(AC118&lt;0,AF118-_xlfn.MAXIFS($AF$8:$AF$507,$AF$8:$AF$507,"&lt;="&amp;AF118,$AC$8:$AC$507,"&gt;=0",$AH$8:$AH$507,1),0))</x:f>
      </x:c>
      <x:c r="AN118" s="20" t="str">
        <x:f>IF(OR(A118="",NOT(ISNUMBER(B118)),NOT(ISNUMBER('Impostazioni'!$B$6))),"",'Impostazioni'!$B$6+SUMIFS($AC$8:$AC$507,$C$8:$C$507,"&lt;"&amp;B118,$AH$8:$AH$507,1)+SUMIFS('Cassa'!$F$8:$F$307,'Cassa'!$A$8:$A$307,"&lt;="&amp;B118,'Cassa'!$G$8:$G$307,"OK"))</x:f>
      </x:c>
      <x:c r="AO118" s="21" t="str">
        <x:f>IF(AND(ISNUMBER(Z118),ISNUMBER(AN118),AN118&gt;0),Z118/AN118,"")</x:f>
      </x:c>
      <x:c r="AP118" s="18" t="str">
        <x:f>IF(NOT(ISNUMBER(AO118)),"",IF(AO118&gt;'Impostazioni'!$B$7,"Oltre soglia personale","Nella soglia personale"))</x:f>
      </x:c>
      <x:c r="AQ118" s="18" t="str">
        <x:f>IF(A118="",IF(COUNTA(B118:V118)=0,"","Inserisci ID"),IF(COUNTIFS($A$8:$A$507,A118)&lt;&gt;1,"ID duplicato",IF(OR(NOT(ISNUMBER(B118)),D118="",E118="",F118="",G118="",H118="",COUNTIFS('Impostazioni'!$J$6:$J$25,F118)&lt;&gt;1),"Completa dati / elenchi",IF(OR(AND(I118&lt;&gt;"Lordo manuale",I118&lt;&gt;"Netto manuale",I118&lt;&gt;"Esecuzioni"),AND(J118&lt;&gt;"Aperto",J118&lt;&gt;"Chiuso",J118&lt;&gt;"Annullato")),"Modalità / stato mancanti",IF(AND(J118&lt;&gt;"Aperto",OR(NOT(ISNUMBER(C118)),C118&lt;B118)),"Correggi data chiusura",IF(OR(AND(Q118&lt;&gt;"",OR(NOT(ISNUMBER(Q118)),Q118&lt;0)),AND(R118&lt;&gt;"",OR(NOT(ISNUMBER(R118)),R118&lt;0,R118&gt;1))),"Commissione non valida",IF(J118="Annullato","OK",IF(OR(NOT(ISNUMBER(Z118)),Z118&lt;0,AND(O118&lt;&gt;"",NOT(ISNUMBER(O118)))),"Inserisci rischio",IF(AND(I118="Esecuzioni",OR(W118=0,COUNTIFS('Esecuzioni'!$A$8:$A$1007,A118,'Esecuzioni'!$Q$8:$Q$1007,"&lt;&gt;OK")&gt;0)),"Correggi esecuzioni",IF(J118="Aperto","OK",IF(AND(I118="Esecuzioni",S118="Coperto",ABS(X118-Y118)&gt;'Impostazioni'!$B$11),"Copertura residua",IF(NOT(ISNUMBER(AC118)),"Completa risultato / esito",IF(AND(Z118=0,AC118&lt;&gt;0),"Rischio nullo con P/L","OK")))))))))))))</x:f>
      </x:c>
      <x:c r="AR118" s="20" t="str">
        <x:f>IF(OR(A118="",J118&lt;&gt;"Aperto",AQ118&lt;&gt;"OK"),"",IF(I118="Esecuzioni",SUMIFS('Esecuzioni'!$P$8:$P$1007,'Esecuzioni'!$A$8:$A$1007,A118,'Esecuzioni'!$B$8:$B$1007,_xlfn.MAXIFS('Esecuzioni'!$B$8:$B$1007,'Esecuzioni'!$A$8:$A$1007,A118)),IF(LEFT(U118,8)="FREEBET:",0,Z118)))</x:f>
      </x:c>
      <x:c r="AS118" s="48" t="str">
        <x:f>IF(OR(A118="",E118=""),"",IF(COUNTIFS($E$8:E118,E118)=1,COUNT($AS$7:AS117)+1,""))</x:f>
      </x:c>
    </x:row>
    <x:row r="119" ht="22" customHeight="1">
      <x:c r="A119" s="7"/>
      <x:c r="B119" s="19"/>
      <x:c r="C119" s="19"/>
      <x:c r="D119" s="7"/>
      <x:c r="E119" s="7"/>
      <x:c r="F119" s="7"/>
      <x:c r="G119" s="7"/>
      <x:c r="H119" s="7"/>
      <x:c r="I119" s="7"/>
      <x:c r="J119" s="7"/>
      <x:c r="K119" s="10"/>
      <x:c r="L119" s="7"/>
      <x:c r="M119" s="10"/>
      <x:c r="N119" s="7"/>
      <x:c r="O119" s="8"/>
      <x:c r="P119" s="8"/>
      <x:c r="Q119" s="8"/>
      <x:c r="R119" s="9"/>
      <x:c r="S119" s="7"/>
      <x:c r="T119" s="7"/>
      <x:c r="U119" s="7"/>
      <x:c r="V119" s="7"/>
      <x:c r="W119" s="22" t="str">
        <x:f>IF(A119="","",COUNTIFS('Esecuzioni'!$A$8:$A$1007,A119,'Esecuzioni'!$Q$8:$Q$1007,"OK"))</x:f>
      </x:c>
      <x:c r="X119" s="20" t="str">
        <x:f>IF(OR(A119="",I119&lt;&gt;"Esecuzioni",W119=0),"",SUMIFS('Esecuzioni'!$L$8:$L$1007,'Esecuzioni'!$A$8:$A$1007,A119))</x:f>
      </x:c>
      <x:c r="Y119" s="20" t="str">
        <x:f>IF(OR(A119="",I119&lt;&gt;"Esecuzioni",W119=0),"",SUMIFS('Esecuzioni'!$M$8:$M$1007,'Esecuzioni'!$A$8:$A$1007,A119))</x:f>
      </x:c>
      <x:c r="Z119" s="20" t="str">
        <x:f>IF(A119="","",IF(J119="Annullato",0,IF(ISNUMBER(O119),O119,IF(AND(I119="Esecuzioni",W119&gt;0),_xlfn.MAXIFS('Esecuzioni'!$P$8:$P$1007,'Esecuzioni'!$A$8:$A$1007,A119),""))))</x:f>
      </x:c>
      <x:c r="AA119" s="20" t="str">
        <x:f>IF(OR(A119="",J119="Aperto"),"",IF(J119="Annullato",0,IF(I119="Lordo manuale",IF(ISNUMBER(P119),P119,""),IF(I119="Netto manuale",IF(AND(ISNUMBER(P119),ISNUMBER(Q119)),P119+Q119,""),IF(OR(W119=0,COUNTIFS('Esecuzioni'!$A$8:$A$1007,A119,'Esecuzioni'!$Q$8:$Q$1007,"&lt;&gt;OK")&gt;0),"",IF(S119="Vince",X119,IF(S119="Perde",Y119,IF(AND(S119="Coperto",ABS(X119-Y119)&lt;='Impostazioni'!$B$11),ROUND((X119+Y119)/2,2),""))))))))</x:f>
      </x:c>
      <x:c r="AB119" s="20" t="str">
        <x:f>IF(NOT(ISNUMBER(AA119)),"",IF(J119="Annullato",0,IF(ISNUMBER(Q119),Q119,ROUND(MAX(0,AA119)*IF(ISNUMBER(R119),R119,'Impostazioni'!$B$8),2))))</x:f>
      </x:c>
      <x:c r="AC119" s="20" t="str">
        <x:f>IF(AND(ISNUMBER(AA119),ISNUMBER(AB119)),ROUND(AA119-AB119,2),"")</x:f>
      </x:c>
      <x:c r="AD119" s="18" t="str">
        <x:f>IF(A119="","",IF(AQ119&lt;&gt;"OK","Incompleto",IF(J119="Aperto","Aperto",IF(J119="Annullato","Annullato",IF(AC119&gt;0,"Green",IF(AC119&lt;0,"Red","Flat"))))))</x:f>
      </x:c>
      <x:c r="AE119" s="21" t="str">
        <x:f>IF(AND(AH119=1,Z119&gt;0),AC119/Z119,"")</x:f>
      </x:c>
      <x:c r="AF119" s="22" t="str">
        <x:f>IF(AH119&lt;&gt;1,"",COUNTIFS($C$8:$C$507,"&lt;"&amp;C119,$AH$8:$AH$507,1)+COUNTIFS($C$8:$C$507,C119,$A$8:$A$507,"&lt;="&amp;A119,$AH$8:$AH$507,1))</x:f>
      </x:c>
      <x:c r="AG119" s="20" t="str">
        <x:f>IF(AH119&lt;&gt;1,"",SUMIFS($AC$8:$AC$507,$C$8:$C$507,"&lt;"&amp;C119,$AH$8:$AH$507,1)+SUMIFS($AC$8:$AC$507,$C$8:$C$507,C119,$A$8:$A$507,"&lt;="&amp;A119,$AH$8:$AH$507,1))</x:f>
      </x:c>
      <x:c r="AH119" s="22" t="str">
        <x:f>IF(A119="","",IF(AND(J119="Chiuso",AQ119="OK",ISNUMBER(AC119)),1,0))</x:f>
      </x:c>
      <x:c r="AI119" s="20" t="str">
        <x:f>IF(AH119&lt;&gt;1,"",MAX(0,_xlfn.MAXIFS($AG$8:$AG$507,$AF$8:$AF$507,"&lt;="&amp;AF119,$AH$8:$AH$507,1)))</x:f>
      </x:c>
      <x:c r="AJ119" s="20" t="str">
        <x:f>IF(AH119&lt;&gt;1,"",MAX(0,AI119-AG119))</x:f>
      </x:c>
      <x:c r="AK119" s="21" t="str">
        <x:f>IF(OR(AH119&lt;&gt;1,NOT(ISNUMBER('Impostazioni'!$B$6)),'Impostazioni'!$B$6+AI119&lt;=0),"",AJ119/('Impostazioni'!$B$6+AI119))</x:f>
      </x:c>
      <x:c r="AL119" s="22" t="str">
        <x:f>IF(AH119&lt;&gt;1,"",IF(AC119&gt;0,AF119-_xlfn.MAXIFS($AF$8:$AF$507,$AF$8:$AF$507,"&lt;="&amp;AF119,$AC$8:$AC$507,"&lt;=0",$AH$8:$AH$507,1),0))</x:f>
      </x:c>
      <x:c r="AM119" s="22" t="str">
        <x:f>IF(AH119&lt;&gt;1,"",IF(AC119&lt;0,AF119-_xlfn.MAXIFS($AF$8:$AF$507,$AF$8:$AF$507,"&lt;="&amp;AF119,$AC$8:$AC$507,"&gt;=0",$AH$8:$AH$507,1),0))</x:f>
      </x:c>
      <x:c r="AN119" s="20" t="str">
        <x:f>IF(OR(A119="",NOT(ISNUMBER(B119)),NOT(ISNUMBER('Impostazioni'!$B$6))),"",'Impostazioni'!$B$6+SUMIFS($AC$8:$AC$507,$C$8:$C$507,"&lt;"&amp;B119,$AH$8:$AH$507,1)+SUMIFS('Cassa'!$F$8:$F$307,'Cassa'!$A$8:$A$307,"&lt;="&amp;B119,'Cassa'!$G$8:$G$307,"OK"))</x:f>
      </x:c>
      <x:c r="AO119" s="21" t="str">
        <x:f>IF(AND(ISNUMBER(Z119),ISNUMBER(AN119),AN119&gt;0),Z119/AN119,"")</x:f>
      </x:c>
      <x:c r="AP119" s="18" t="str">
        <x:f>IF(NOT(ISNUMBER(AO119)),"",IF(AO119&gt;'Impostazioni'!$B$7,"Oltre soglia personale","Nella soglia personale"))</x:f>
      </x:c>
      <x:c r="AQ119" s="18" t="str">
        <x:f>IF(A119="",IF(COUNTA(B119:V119)=0,"","Inserisci ID"),IF(COUNTIFS($A$8:$A$507,A119)&lt;&gt;1,"ID duplicato",IF(OR(NOT(ISNUMBER(B119)),D119="",E119="",F119="",G119="",H119="",COUNTIFS('Impostazioni'!$J$6:$J$25,F119)&lt;&gt;1),"Completa dati / elenchi",IF(OR(AND(I119&lt;&gt;"Lordo manuale",I119&lt;&gt;"Netto manuale",I119&lt;&gt;"Esecuzioni"),AND(J119&lt;&gt;"Aperto",J119&lt;&gt;"Chiuso",J119&lt;&gt;"Annullato")),"Modalità / stato mancanti",IF(AND(J119&lt;&gt;"Aperto",OR(NOT(ISNUMBER(C119)),C119&lt;B119)),"Correggi data chiusura",IF(OR(AND(Q119&lt;&gt;"",OR(NOT(ISNUMBER(Q119)),Q119&lt;0)),AND(R119&lt;&gt;"",OR(NOT(ISNUMBER(R119)),R119&lt;0,R119&gt;1))),"Commissione non valida",IF(J119="Annullato","OK",IF(OR(NOT(ISNUMBER(Z119)),Z119&lt;0,AND(O119&lt;&gt;"",NOT(ISNUMBER(O119)))),"Inserisci rischio",IF(AND(I119="Esecuzioni",OR(W119=0,COUNTIFS('Esecuzioni'!$A$8:$A$1007,A119,'Esecuzioni'!$Q$8:$Q$1007,"&lt;&gt;OK")&gt;0)),"Correggi esecuzioni",IF(J119="Aperto","OK",IF(AND(I119="Esecuzioni",S119="Coperto",ABS(X119-Y119)&gt;'Impostazioni'!$B$11),"Copertura residua",IF(NOT(ISNUMBER(AC119)),"Completa risultato / esito",IF(AND(Z119=0,AC119&lt;&gt;0),"Rischio nullo con P/L","OK")))))))))))))</x:f>
      </x:c>
      <x:c r="AR119" s="20" t="str">
        <x:f>IF(OR(A119="",J119&lt;&gt;"Aperto",AQ119&lt;&gt;"OK"),"",IF(I119="Esecuzioni",SUMIFS('Esecuzioni'!$P$8:$P$1007,'Esecuzioni'!$A$8:$A$1007,A119,'Esecuzioni'!$B$8:$B$1007,_xlfn.MAXIFS('Esecuzioni'!$B$8:$B$1007,'Esecuzioni'!$A$8:$A$1007,A119)),IF(LEFT(U119,8)="FREEBET:",0,Z119)))</x:f>
      </x:c>
      <x:c r="AS119" s="48" t="str">
        <x:f>IF(OR(A119="",E119=""),"",IF(COUNTIFS($E$8:E119,E119)=1,COUNT($AS$7:AS118)+1,""))</x:f>
      </x:c>
    </x:row>
    <x:row r="120" ht="22" customHeight="1">
      <x:c r="A120" s="7"/>
      <x:c r="B120" s="19"/>
      <x:c r="C120" s="19"/>
      <x:c r="D120" s="7"/>
      <x:c r="E120" s="7"/>
      <x:c r="F120" s="7"/>
      <x:c r="G120" s="7"/>
      <x:c r="H120" s="7"/>
      <x:c r="I120" s="7"/>
      <x:c r="J120" s="7"/>
      <x:c r="K120" s="10"/>
      <x:c r="L120" s="7"/>
      <x:c r="M120" s="10"/>
      <x:c r="N120" s="7"/>
      <x:c r="O120" s="8"/>
      <x:c r="P120" s="8"/>
      <x:c r="Q120" s="8"/>
      <x:c r="R120" s="9"/>
      <x:c r="S120" s="7"/>
      <x:c r="T120" s="7"/>
      <x:c r="U120" s="7"/>
      <x:c r="V120" s="7"/>
      <x:c r="W120" s="22" t="str">
        <x:f>IF(A120="","",COUNTIFS('Esecuzioni'!$A$8:$A$1007,A120,'Esecuzioni'!$Q$8:$Q$1007,"OK"))</x:f>
      </x:c>
      <x:c r="X120" s="20" t="str">
        <x:f>IF(OR(A120="",I120&lt;&gt;"Esecuzioni",W120=0),"",SUMIFS('Esecuzioni'!$L$8:$L$1007,'Esecuzioni'!$A$8:$A$1007,A120))</x:f>
      </x:c>
      <x:c r="Y120" s="20" t="str">
        <x:f>IF(OR(A120="",I120&lt;&gt;"Esecuzioni",W120=0),"",SUMIFS('Esecuzioni'!$M$8:$M$1007,'Esecuzioni'!$A$8:$A$1007,A120))</x:f>
      </x:c>
      <x:c r="Z120" s="20" t="str">
        <x:f>IF(A120="","",IF(J120="Annullato",0,IF(ISNUMBER(O120),O120,IF(AND(I120="Esecuzioni",W120&gt;0),_xlfn.MAXIFS('Esecuzioni'!$P$8:$P$1007,'Esecuzioni'!$A$8:$A$1007,A120),""))))</x:f>
      </x:c>
      <x:c r="AA120" s="20" t="str">
        <x:f>IF(OR(A120="",J120="Aperto"),"",IF(J120="Annullato",0,IF(I120="Lordo manuale",IF(ISNUMBER(P120),P120,""),IF(I120="Netto manuale",IF(AND(ISNUMBER(P120),ISNUMBER(Q120)),P120+Q120,""),IF(OR(W120=0,COUNTIFS('Esecuzioni'!$A$8:$A$1007,A120,'Esecuzioni'!$Q$8:$Q$1007,"&lt;&gt;OK")&gt;0),"",IF(S120="Vince",X120,IF(S120="Perde",Y120,IF(AND(S120="Coperto",ABS(X120-Y120)&lt;='Impostazioni'!$B$11),ROUND((X120+Y120)/2,2),""))))))))</x:f>
      </x:c>
      <x:c r="AB120" s="20" t="str">
        <x:f>IF(NOT(ISNUMBER(AA120)),"",IF(J120="Annullato",0,IF(ISNUMBER(Q120),Q120,ROUND(MAX(0,AA120)*IF(ISNUMBER(R120),R120,'Impostazioni'!$B$8),2))))</x:f>
      </x:c>
      <x:c r="AC120" s="20" t="str">
        <x:f>IF(AND(ISNUMBER(AA120),ISNUMBER(AB120)),ROUND(AA120-AB120,2),"")</x:f>
      </x:c>
      <x:c r="AD120" s="18" t="str">
        <x:f>IF(A120="","",IF(AQ120&lt;&gt;"OK","Incompleto",IF(J120="Aperto","Aperto",IF(J120="Annullato","Annullato",IF(AC120&gt;0,"Green",IF(AC120&lt;0,"Red","Flat"))))))</x:f>
      </x:c>
      <x:c r="AE120" s="21" t="str">
        <x:f>IF(AND(AH120=1,Z120&gt;0),AC120/Z120,"")</x:f>
      </x:c>
      <x:c r="AF120" s="22" t="str">
        <x:f>IF(AH120&lt;&gt;1,"",COUNTIFS($C$8:$C$507,"&lt;"&amp;C120,$AH$8:$AH$507,1)+COUNTIFS($C$8:$C$507,C120,$A$8:$A$507,"&lt;="&amp;A120,$AH$8:$AH$507,1))</x:f>
      </x:c>
      <x:c r="AG120" s="20" t="str">
        <x:f>IF(AH120&lt;&gt;1,"",SUMIFS($AC$8:$AC$507,$C$8:$C$507,"&lt;"&amp;C120,$AH$8:$AH$507,1)+SUMIFS($AC$8:$AC$507,$C$8:$C$507,C120,$A$8:$A$507,"&lt;="&amp;A120,$AH$8:$AH$507,1))</x:f>
      </x:c>
      <x:c r="AH120" s="22" t="str">
        <x:f>IF(A120="","",IF(AND(J120="Chiuso",AQ120="OK",ISNUMBER(AC120)),1,0))</x:f>
      </x:c>
      <x:c r="AI120" s="20" t="str">
        <x:f>IF(AH120&lt;&gt;1,"",MAX(0,_xlfn.MAXIFS($AG$8:$AG$507,$AF$8:$AF$507,"&lt;="&amp;AF120,$AH$8:$AH$507,1)))</x:f>
      </x:c>
      <x:c r="AJ120" s="20" t="str">
        <x:f>IF(AH120&lt;&gt;1,"",MAX(0,AI120-AG120))</x:f>
      </x:c>
      <x:c r="AK120" s="21" t="str">
        <x:f>IF(OR(AH120&lt;&gt;1,NOT(ISNUMBER('Impostazioni'!$B$6)),'Impostazioni'!$B$6+AI120&lt;=0),"",AJ120/('Impostazioni'!$B$6+AI120))</x:f>
      </x:c>
      <x:c r="AL120" s="22" t="str">
        <x:f>IF(AH120&lt;&gt;1,"",IF(AC120&gt;0,AF120-_xlfn.MAXIFS($AF$8:$AF$507,$AF$8:$AF$507,"&lt;="&amp;AF120,$AC$8:$AC$507,"&lt;=0",$AH$8:$AH$507,1),0))</x:f>
      </x:c>
      <x:c r="AM120" s="22" t="str">
        <x:f>IF(AH120&lt;&gt;1,"",IF(AC120&lt;0,AF120-_xlfn.MAXIFS($AF$8:$AF$507,$AF$8:$AF$507,"&lt;="&amp;AF120,$AC$8:$AC$507,"&gt;=0",$AH$8:$AH$507,1),0))</x:f>
      </x:c>
      <x:c r="AN120" s="20" t="str">
        <x:f>IF(OR(A120="",NOT(ISNUMBER(B120)),NOT(ISNUMBER('Impostazioni'!$B$6))),"",'Impostazioni'!$B$6+SUMIFS($AC$8:$AC$507,$C$8:$C$507,"&lt;"&amp;B120,$AH$8:$AH$507,1)+SUMIFS('Cassa'!$F$8:$F$307,'Cassa'!$A$8:$A$307,"&lt;="&amp;B120,'Cassa'!$G$8:$G$307,"OK"))</x:f>
      </x:c>
      <x:c r="AO120" s="21" t="str">
        <x:f>IF(AND(ISNUMBER(Z120),ISNUMBER(AN120),AN120&gt;0),Z120/AN120,"")</x:f>
      </x:c>
      <x:c r="AP120" s="18" t="str">
        <x:f>IF(NOT(ISNUMBER(AO120)),"",IF(AO120&gt;'Impostazioni'!$B$7,"Oltre soglia personale","Nella soglia personale"))</x:f>
      </x:c>
      <x:c r="AQ120" s="18" t="str">
        <x:f>IF(A120="",IF(COUNTA(B120:V120)=0,"","Inserisci ID"),IF(COUNTIFS($A$8:$A$507,A120)&lt;&gt;1,"ID duplicato",IF(OR(NOT(ISNUMBER(B120)),D120="",E120="",F120="",G120="",H120="",COUNTIFS('Impostazioni'!$J$6:$J$25,F120)&lt;&gt;1),"Completa dati / elenchi",IF(OR(AND(I120&lt;&gt;"Lordo manuale",I120&lt;&gt;"Netto manuale",I120&lt;&gt;"Esecuzioni"),AND(J120&lt;&gt;"Aperto",J120&lt;&gt;"Chiuso",J120&lt;&gt;"Annullato")),"Modalità / stato mancanti",IF(AND(J120&lt;&gt;"Aperto",OR(NOT(ISNUMBER(C120)),C120&lt;B120)),"Correggi data chiusura",IF(OR(AND(Q120&lt;&gt;"",OR(NOT(ISNUMBER(Q120)),Q120&lt;0)),AND(R120&lt;&gt;"",OR(NOT(ISNUMBER(R120)),R120&lt;0,R120&gt;1))),"Commissione non valida",IF(J120="Annullato","OK",IF(OR(NOT(ISNUMBER(Z120)),Z120&lt;0,AND(O120&lt;&gt;"",NOT(ISNUMBER(O120)))),"Inserisci rischio",IF(AND(I120="Esecuzioni",OR(W120=0,COUNTIFS('Esecuzioni'!$A$8:$A$1007,A120,'Esecuzioni'!$Q$8:$Q$1007,"&lt;&gt;OK")&gt;0)),"Correggi esecuzioni",IF(J120="Aperto","OK",IF(AND(I120="Esecuzioni",S120="Coperto",ABS(X120-Y120)&gt;'Impostazioni'!$B$11),"Copertura residua",IF(NOT(ISNUMBER(AC120)),"Completa risultato / esito",IF(AND(Z120=0,AC120&lt;&gt;0),"Rischio nullo con P/L","OK")))))))))))))</x:f>
      </x:c>
      <x:c r="AR120" s="20" t="str">
        <x:f>IF(OR(A120="",J120&lt;&gt;"Aperto",AQ120&lt;&gt;"OK"),"",IF(I120="Esecuzioni",SUMIFS('Esecuzioni'!$P$8:$P$1007,'Esecuzioni'!$A$8:$A$1007,A120,'Esecuzioni'!$B$8:$B$1007,_xlfn.MAXIFS('Esecuzioni'!$B$8:$B$1007,'Esecuzioni'!$A$8:$A$1007,A120)),IF(LEFT(U120,8)="FREEBET:",0,Z120)))</x:f>
      </x:c>
      <x:c r="AS120" s="48" t="str">
        <x:f>IF(OR(A120="",E120=""),"",IF(COUNTIFS($E$8:E120,E120)=1,COUNT($AS$7:AS119)+1,""))</x:f>
      </x:c>
    </x:row>
    <x:row r="121" ht="22" customHeight="1">
      <x:c r="A121" s="7"/>
      <x:c r="B121" s="19"/>
      <x:c r="C121" s="19"/>
      <x:c r="D121" s="7"/>
      <x:c r="E121" s="7"/>
      <x:c r="F121" s="7"/>
      <x:c r="G121" s="7"/>
      <x:c r="H121" s="7"/>
      <x:c r="I121" s="7"/>
      <x:c r="J121" s="7"/>
      <x:c r="K121" s="10"/>
      <x:c r="L121" s="7"/>
      <x:c r="M121" s="10"/>
      <x:c r="N121" s="7"/>
      <x:c r="O121" s="8"/>
      <x:c r="P121" s="8"/>
      <x:c r="Q121" s="8"/>
      <x:c r="R121" s="9"/>
      <x:c r="S121" s="7"/>
      <x:c r="T121" s="7"/>
      <x:c r="U121" s="7"/>
      <x:c r="V121" s="7"/>
      <x:c r="W121" s="22" t="str">
        <x:f>IF(A121="","",COUNTIFS('Esecuzioni'!$A$8:$A$1007,A121,'Esecuzioni'!$Q$8:$Q$1007,"OK"))</x:f>
      </x:c>
      <x:c r="X121" s="20" t="str">
        <x:f>IF(OR(A121="",I121&lt;&gt;"Esecuzioni",W121=0),"",SUMIFS('Esecuzioni'!$L$8:$L$1007,'Esecuzioni'!$A$8:$A$1007,A121))</x:f>
      </x:c>
      <x:c r="Y121" s="20" t="str">
        <x:f>IF(OR(A121="",I121&lt;&gt;"Esecuzioni",W121=0),"",SUMIFS('Esecuzioni'!$M$8:$M$1007,'Esecuzioni'!$A$8:$A$1007,A121))</x:f>
      </x:c>
      <x:c r="Z121" s="20" t="str">
        <x:f>IF(A121="","",IF(J121="Annullato",0,IF(ISNUMBER(O121),O121,IF(AND(I121="Esecuzioni",W121&gt;0),_xlfn.MAXIFS('Esecuzioni'!$P$8:$P$1007,'Esecuzioni'!$A$8:$A$1007,A121),""))))</x:f>
      </x:c>
      <x:c r="AA121" s="20" t="str">
        <x:f>IF(OR(A121="",J121="Aperto"),"",IF(J121="Annullato",0,IF(I121="Lordo manuale",IF(ISNUMBER(P121),P121,""),IF(I121="Netto manuale",IF(AND(ISNUMBER(P121),ISNUMBER(Q121)),P121+Q121,""),IF(OR(W121=0,COUNTIFS('Esecuzioni'!$A$8:$A$1007,A121,'Esecuzioni'!$Q$8:$Q$1007,"&lt;&gt;OK")&gt;0),"",IF(S121="Vince",X121,IF(S121="Perde",Y121,IF(AND(S121="Coperto",ABS(X121-Y121)&lt;='Impostazioni'!$B$11),ROUND((X121+Y121)/2,2),""))))))))</x:f>
      </x:c>
      <x:c r="AB121" s="20" t="str">
        <x:f>IF(NOT(ISNUMBER(AA121)),"",IF(J121="Annullato",0,IF(ISNUMBER(Q121),Q121,ROUND(MAX(0,AA121)*IF(ISNUMBER(R121),R121,'Impostazioni'!$B$8),2))))</x:f>
      </x:c>
      <x:c r="AC121" s="20" t="str">
        <x:f>IF(AND(ISNUMBER(AA121),ISNUMBER(AB121)),ROUND(AA121-AB121,2),"")</x:f>
      </x:c>
      <x:c r="AD121" s="18" t="str">
        <x:f>IF(A121="","",IF(AQ121&lt;&gt;"OK","Incompleto",IF(J121="Aperto","Aperto",IF(J121="Annullato","Annullato",IF(AC121&gt;0,"Green",IF(AC121&lt;0,"Red","Flat"))))))</x:f>
      </x:c>
      <x:c r="AE121" s="21" t="str">
        <x:f>IF(AND(AH121=1,Z121&gt;0),AC121/Z121,"")</x:f>
      </x:c>
      <x:c r="AF121" s="22" t="str">
        <x:f>IF(AH121&lt;&gt;1,"",COUNTIFS($C$8:$C$507,"&lt;"&amp;C121,$AH$8:$AH$507,1)+COUNTIFS($C$8:$C$507,C121,$A$8:$A$507,"&lt;="&amp;A121,$AH$8:$AH$507,1))</x:f>
      </x:c>
      <x:c r="AG121" s="20" t="str">
        <x:f>IF(AH121&lt;&gt;1,"",SUMIFS($AC$8:$AC$507,$C$8:$C$507,"&lt;"&amp;C121,$AH$8:$AH$507,1)+SUMIFS($AC$8:$AC$507,$C$8:$C$507,C121,$A$8:$A$507,"&lt;="&amp;A121,$AH$8:$AH$507,1))</x:f>
      </x:c>
      <x:c r="AH121" s="22" t="str">
        <x:f>IF(A121="","",IF(AND(J121="Chiuso",AQ121="OK",ISNUMBER(AC121)),1,0))</x:f>
      </x:c>
      <x:c r="AI121" s="20" t="str">
        <x:f>IF(AH121&lt;&gt;1,"",MAX(0,_xlfn.MAXIFS($AG$8:$AG$507,$AF$8:$AF$507,"&lt;="&amp;AF121,$AH$8:$AH$507,1)))</x:f>
      </x:c>
      <x:c r="AJ121" s="20" t="str">
        <x:f>IF(AH121&lt;&gt;1,"",MAX(0,AI121-AG121))</x:f>
      </x:c>
      <x:c r="AK121" s="21" t="str">
        <x:f>IF(OR(AH121&lt;&gt;1,NOT(ISNUMBER('Impostazioni'!$B$6)),'Impostazioni'!$B$6+AI121&lt;=0),"",AJ121/('Impostazioni'!$B$6+AI121))</x:f>
      </x:c>
      <x:c r="AL121" s="22" t="str">
        <x:f>IF(AH121&lt;&gt;1,"",IF(AC121&gt;0,AF121-_xlfn.MAXIFS($AF$8:$AF$507,$AF$8:$AF$507,"&lt;="&amp;AF121,$AC$8:$AC$507,"&lt;=0",$AH$8:$AH$507,1),0))</x:f>
      </x:c>
      <x:c r="AM121" s="22" t="str">
        <x:f>IF(AH121&lt;&gt;1,"",IF(AC121&lt;0,AF121-_xlfn.MAXIFS($AF$8:$AF$507,$AF$8:$AF$507,"&lt;="&amp;AF121,$AC$8:$AC$507,"&gt;=0",$AH$8:$AH$507,1),0))</x:f>
      </x:c>
      <x:c r="AN121" s="20" t="str">
        <x:f>IF(OR(A121="",NOT(ISNUMBER(B121)),NOT(ISNUMBER('Impostazioni'!$B$6))),"",'Impostazioni'!$B$6+SUMIFS($AC$8:$AC$507,$C$8:$C$507,"&lt;"&amp;B121,$AH$8:$AH$507,1)+SUMIFS('Cassa'!$F$8:$F$307,'Cassa'!$A$8:$A$307,"&lt;="&amp;B121,'Cassa'!$G$8:$G$307,"OK"))</x:f>
      </x:c>
      <x:c r="AO121" s="21" t="str">
        <x:f>IF(AND(ISNUMBER(Z121),ISNUMBER(AN121),AN121&gt;0),Z121/AN121,"")</x:f>
      </x:c>
      <x:c r="AP121" s="18" t="str">
        <x:f>IF(NOT(ISNUMBER(AO121)),"",IF(AO121&gt;'Impostazioni'!$B$7,"Oltre soglia personale","Nella soglia personale"))</x:f>
      </x:c>
      <x:c r="AQ121" s="18" t="str">
        <x:f>IF(A121="",IF(COUNTA(B121:V121)=0,"","Inserisci ID"),IF(COUNTIFS($A$8:$A$507,A121)&lt;&gt;1,"ID duplicato",IF(OR(NOT(ISNUMBER(B121)),D121="",E121="",F121="",G121="",H121="",COUNTIFS('Impostazioni'!$J$6:$J$25,F121)&lt;&gt;1),"Completa dati / elenchi",IF(OR(AND(I121&lt;&gt;"Lordo manuale",I121&lt;&gt;"Netto manuale",I121&lt;&gt;"Esecuzioni"),AND(J121&lt;&gt;"Aperto",J121&lt;&gt;"Chiuso",J121&lt;&gt;"Annullato")),"Modalità / stato mancanti",IF(AND(J121&lt;&gt;"Aperto",OR(NOT(ISNUMBER(C121)),C121&lt;B121)),"Correggi data chiusura",IF(OR(AND(Q121&lt;&gt;"",OR(NOT(ISNUMBER(Q121)),Q121&lt;0)),AND(R121&lt;&gt;"",OR(NOT(ISNUMBER(R121)),R121&lt;0,R121&gt;1))),"Commissione non valida",IF(J121="Annullato","OK",IF(OR(NOT(ISNUMBER(Z121)),Z121&lt;0,AND(O121&lt;&gt;"",NOT(ISNUMBER(O121)))),"Inserisci rischio",IF(AND(I121="Esecuzioni",OR(W121=0,COUNTIFS('Esecuzioni'!$A$8:$A$1007,A121,'Esecuzioni'!$Q$8:$Q$1007,"&lt;&gt;OK")&gt;0)),"Correggi esecuzioni",IF(J121="Aperto","OK",IF(AND(I121="Esecuzioni",S121="Coperto",ABS(X121-Y121)&gt;'Impostazioni'!$B$11),"Copertura residua",IF(NOT(ISNUMBER(AC121)),"Completa risultato / esito",IF(AND(Z121=0,AC121&lt;&gt;0),"Rischio nullo con P/L","OK")))))))))))))</x:f>
      </x:c>
      <x:c r="AR121" s="20" t="str">
        <x:f>IF(OR(A121="",J121&lt;&gt;"Aperto",AQ121&lt;&gt;"OK"),"",IF(I121="Esecuzioni",SUMIFS('Esecuzioni'!$P$8:$P$1007,'Esecuzioni'!$A$8:$A$1007,A121,'Esecuzioni'!$B$8:$B$1007,_xlfn.MAXIFS('Esecuzioni'!$B$8:$B$1007,'Esecuzioni'!$A$8:$A$1007,A121)),IF(LEFT(U121,8)="FREEBET:",0,Z121)))</x:f>
      </x:c>
      <x:c r="AS121" s="48" t="str">
        <x:f>IF(OR(A121="",E121=""),"",IF(COUNTIFS($E$8:E121,E121)=1,COUNT($AS$7:AS120)+1,""))</x:f>
      </x:c>
    </x:row>
    <x:row r="122" ht="22" customHeight="1">
      <x:c r="A122" s="7"/>
      <x:c r="B122" s="19"/>
      <x:c r="C122" s="19"/>
      <x:c r="D122" s="7"/>
      <x:c r="E122" s="7"/>
      <x:c r="F122" s="7"/>
      <x:c r="G122" s="7"/>
      <x:c r="H122" s="7"/>
      <x:c r="I122" s="7"/>
      <x:c r="J122" s="7"/>
      <x:c r="K122" s="10"/>
      <x:c r="L122" s="7"/>
      <x:c r="M122" s="10"/>
      <x:c r="N122" s="7"/>
      <x:c r="O122" s="8"/>
      <x:c r="P122" s="8"/>
      <x:c r="Q122" s="8"/>
      <x:c r="R122" s="9"/>
      <x:c r="S122" s="7"/>
      <x:c r="T122" s="7"/>
      <x:c r="U122" s="7"/>
      <x:c r="V122" s="7"/>
      <x:c r="W122" s="22" t="str">
        <x:f>IF(A122="","",COUNTIFS('Esecuzioni'!$A$8:$A$1007,A122,'Esecuzioni'!$Q$8:$Q$1007,"OK"))</x:f>
      </x:c>
      <x:c r="X122" s="20" t="str">
        <x:f>IF(OR(A122="",I122&lt;&gt;"Esecuzioni",W122=0),"",SUMIFS('Esecuzioni'!$L$8:$L$1007,'Esecuzioni'!$A$8:$A$1007,A122))</x:f>
      </x:c>
      <x:c r="Y122" s="20" t="str">
        <x:f>IF(OR(A122="",I122&lt;&gt;"Esecuzioni",W122=0),"",SUMIFS('Esecuzioni'!$M$8:$M$1007,'Esecuzioni'!$A$8:$A$1007,A122))</x:f>
      </x:c>
      <x:c r="Z122" s="20" t="str">
        <x:f>IF(A122="","",IF(J122="Annullato",0,IF(ISNUMBER(O122),O122,IF(AND(I122="Esecuzioni",W122&gt;0),_xlfn.MAXIFS('Esecuzioni'!$P$8:$P$1007,'Esecuzioni'!$A$8:$A$1007,A122),""))))</x:f>
      </x:c>
      <x:c r="AA122" s="20" t="str">
        <x:f>IF(OR(A122="",J122="Aperto"),"",IF(J122="Annullato",0,IF(I122="Lordo manuale",IF(ISNUMBER(P122),P122,""),IF(I122="Netto manuale",IF(AND(ISNUMBER(P122),ISNUMBER(Q122)),P122+Q122,""),IF(OR(W122=0,COUNTIFS('Esecuzioni'!$A$8:$A$1007,A122,'Esecuzioni'!$Q$8:$Q$1007,"&lt;&gt;OK")&gt;0),"",IF(S122="Vince",X122,IF(S122="Perde",Y122,IF(AND(S122="Coperto",ABS(X122-Y122)&lt;='Impostazioni'!$B$11),ROUND((X122+Y122)/2,2),""))))))))</x:f>
      </x:c>
      <x:c r="AB122" s="20" t="str">
        <x:f>IF(NOT(ISNUMBER(AA122)),"",IF(J122="Annullato",0,IF(ISNUMBER(Q122),Q122,ROUND(MAX(0,AA122)*IF(ISNUMBER(R122),R122,'Impostazioni'!$B$8),2))))</x:f>
      </x:c>
      <x:c r="AC122" s="20" t="str">
        <x:f>IF(AND(ISNUMBER(AA122),ISNUMBER(AB122)),ROUND(AA122-AB122,2),"")</x:f>
      </x:c>
      <x:c r="AD122" s="18" t="str">
        <x:f>IF(A122="","",IF(AQ122&lt;&gt;"OK","Incompleto",IF(J122="Aperto","Aperto",IF(J122="Annullato","Annullato",IF(AC122&gt;0,"Green",IF(AC122&lt;0,"Red","Flat"))))))</x:f>
      </x:c>
      <x:c r="AE122" s="21" t="str">
        <x:f>IF(AND(AH122=1,Z122&gt;0),AC122/Z122,"")</x:f>
      </x:c>
      <x:c r="AF122" s="22" t="str">
        <x:f>IF(AH122&lt;&gt;1,"",COUNTIFS($C$8:$C$507,"&lt;"&amp;C122,$AH$8:$AH$507,1)+COUNTIFS($C$8:$C$507,C122,$A$8:$A$507,"&lt;="&amp;A122,$AH$8:$AH$507,1))</x:f>
      </x:c>
      <x:c r="AG122" s="20" t="str">
        <x:f>IF(AH122&lt;&gt;1,"",SUMIFS($AC$8:$AC$507,$C$8:$C$507,"&lt;"&amp;C122,$AH$8:$AH$507,1)+SUMIFS($AC$8:$AC$507,$C$8:$C$507,C122,$A$8:$A$507,"&lt;="&amp;A122,$AH$8:$AH$507,1))</x:f>
      </x:c>
      <x:c r="AH122" s="22" t="str">
        <x:f>IF(A122="","",IF(AND(J122="Chiuso",AQ122="OK",ISNUMBER(AC122)),1,0))</x:f>
      </x:c>
      <x:c r="AI122" s="20" t="str">
        <x:f>IF(AH122&lt;&gt;1,"",MAX(0,_xlfn.MAXIFS($AG$8:$AG$507,$AF$8:$AF$507,"&lt;="&amp;AF122,$AH$8:$AH$507,1)))</x:f>
      </x:c>
      <x:c r="AJ122" s="20" t="str">
        <x:f>IF(AH122&lt;&gt;1,"",MAX(0,AI122-AG122))</x:f>
      </x:c>
      <x:c r="AK122" s="21" t="str">
        <x:f>IF(OR(AH122&lt;&gt;1,NOT(ISNUMBER('Impostazioni'!$B$6)),'Impostazioni'!$B$6+AI122&lt;=0),"",AJ122/('Impostazioni'!$B$6+AI122))</x:f>
      </x:c>
      <x:c r="AL122" s="22" t="str">
        <x:f>IF(AH122&lt;&gt;1,"",IF(AC122&gt;0,AF122-_xlfn.MAXIFS($AF$8:$AF$507,$AF$8:$AF$507,"&lt;="&amp;AF122,$AC$8:$AC$507,"&lt;=0",$AH$8:$AH$507,1),0))</x:f>
      </x:c>
      <x:c r="AM122" s="22" t="str">
        <x:f>IF(AH122&lt;&gt;1,"",IF(AC122&lt;0,AF122-_xlfn.MAXIFS($AF$8:$AF$507,$AF$8:$AF$507,"&lt;="&amp;AF122,$AC$8:$AC$507,"&gt;=0",$AH$8:$AH$507,1),0))</x:f>
      </x:c>
      <x:c r="AN122" s="20" t="str">
        <x:f>IF(OR(A122="",NOT(ISNUMBER(B122)),NOT(ISNUMBER('Impostazioni'!$B$6))),"",'Impostazioni'!$B$6+SUMIFS($AC$8:$AC$507,$C$8:$C$507,"&lt;"&amp;B122,$AH$8:$AH$507,1)+SUMIFS('Cassa'!$F$8:$F$307,'Cassa'!$A$8:$A$307,"&lt;="&amp;B122,'Cassa'!$G$8:$G$307,"OK"))</x:f>
      </x:c>
      <x:c r="AO122" s="21" t="str">
        <x:f>IF(AND(ISNUMBER(Z122),ISNUMBER(AN122),AN122&gt;0),Z122/AN122,"")</x:f>
      </x:c>
      <x:c r="AP122" s="18" t="str">
        <x:f>IF(NOT(ISNUMBER(AO122)),"",IF(AO122&gt;'Impostazioni'!$B$7,"Oltre soglia personale","Nella soglia personale"))</x:f>
      </x:c>
      <x:c r="AQ122" s="18" t="str">
        <x:f>IF(A122="",IF(COUNTA(B122:V122)=0,"","Inserisci ID"),IF(COUNTIFS($A$8:$A$507,A122)&lt;&gt;1,"ID duplicato",IF(OR(NOT(ISNUMBER(B122)),D122="",E122="",F122="",G122="",H122="",COUNTIFS('Impostazioni'!$J$6:$J$25,F122)&lt;&gt;1),"Completa dati / elenchi",IF(OR(AND(I122&lt;&gt;"Lordo manuale",I122&lt;&gt;"Netto manuale",I122&lt;&gt;"Esecuzioni"),AND(J122&lt;&gt;"Aperto",J122&lt;&gt;"Chiuso",J122&lt;&gt;"Annullato")),"Modalità / stato mancanti",IF(AND(J122&lt;&gt;"Aperto",OR(NOT(ISNUMBER(C122)),C122&lt;B122)),"Correggi data chiusura",IF(OR(AND(Q122&lt;&gt;"",OR(NOT(ISNUMBER(Q122)),Q122&lt;0)),AND(R122&lt;&gt;"",OR(NOT(ISNUMBER(R122)),R122&lt;0,R122&gt;1))),"Commissione non valida",IF(J122="Annullato","OK",IF(OR(NOT(ISNUMBER(Z122)),Z122&lt;0,AND(O122&lt;&gt;"",NOT(ISNUMBER(O122)))),"Inserisci rischio",IF(AND(I122="Esecuzioni",OR(W122=0,COUNTIFS('Esecuzioni'!$A$8:$A$1007,A122,'Esecuzioni'!$Q$8:$Q$1007,"&lt;&gt;OK")&gt;0)),"Correggi esecuzioni",IF(J122="Aperto","OK",IF(AND(I122="Esecuzioni",S122="Coperto",ABS(X122-Y122)&gt;'Impostazioni'!$B$11),"Copertura residua",IF(NOT(ISNUMBER(AC122)),"Completa risultato / esito",IF(AND(Z122=0,AC122&lt;&gt;0),"Rischio nullo con P/L","OK")))))))))))))</x:f>
      </x:c>
      <x:c r="AR122" s="20" t="str">
        <x:f>IF(OR(A122="",J122&lt;&gt;"Aperto",AQ122&lt;&gt;"OK"),"",IF(I122="Esecuzioni",SUMIFS('Esecuzioni'!$P$8:$P$1007,'Esecuzioni'!$A$8:$A$1007,A122,'Esecuzioni'!$B$8:$B$1007,_xlfn.MAXIFS('Esecuzioni'!$B$8:$B$1007,'Esecuzioni'!$A$8:$A$1007,A122)),IF(LEFT(U122,8)="FREEBET:",0,Z122)))</x:f>
      </x:c>
      <x:c r="AS122" s="48" t="str">
        <x:f>IF(OR(A122="",E122=""),"",IF(COUNTIFS($E$8:E122,E122)=1,COUNT($AS$7:AS121)+1,""))</x:f>
      </x:c>
    </x:row>
    <x:row r="123" ht="22" customHeight="1">
      <x:c r="A123" s="7"/>
      <x:c r="B123" s="19"/>
      <x:c r="C123" s="19"/>
      <x:c r="D123" s="7"/>
      <x:c r="E123" s="7"/>
      <x:c r="F123" s="7"/>
      <x:c r="G123" s="7"/>
      <x:c r="H123" s="7"/>
      <x:c r="I123" s="7"/>
      <x:c r="J123" s="7"/>
      <x:c r="K123" s="10"/>
      <x:c r="L123" s="7"/>
      <x:c r="M123" s="10"/>
      <x:c r="N123" s="7"/>
      <x:c r="O123" s="8"/>
      <x:c r="P123" s="8"/>
      <x:c r="Q123" s="8"/>
      <x:c r="R123" s="9"/>
      <x:c r="S123" s="7"/>
      <x:c r="T123" s="7"/>
      <x:c r="U123" s="7"/>
      <x:c r="V123" s="7"/>
      <x:c r="W123" s="22" t="str">
        <x:f>IF(A123="","",COUNTIFS('Esecuzioni'!$A$8:$A$1007,A123,'Esecuzioni'!$Q$8:$Q$1007,"OK"))</x:f>
      </x:c>
      <x:c r="X123" s="20" t="str">
        <x:f>IF(OR(A123="",I123&lt;&gt;"Esecuzioni",W123=0),"",SUMIFS('Esecuzioni'!$L$8:$L$1007,'Esecuzioni'!$A$8:$A$1007,A123))</x:f>
      </x:c>
      <x:c r="Y123" s="20" t="str">
        <x:f>IF(OR(A123="",I123&lt;&gt;"Esecuzioni",W123=0),"",SUMIFS('Esecuzioni'!$M$8:$M$1007,'Esecuzioni'!$A$8:$A$1007,A123))</x:f>
      </x:c>
      <x:c r="Z123" s="20" t="str">
        <x:f>IF(A123="","",IF(J123="Annullato",0,IF(ISNUMBER(O123),O123,IF(AND(I123="Esecuzioni",W123&gt;0),_xlfn.MAXIFS('Esecuzioni'!$P$8:$P$1007,'Esecuzioni'!$A$8:$A$1007,A123),""))))</x:f>
      </x:c>
      <x:c r="AA123" s="20" t="str">
        <x:f>IF(OR(A123="",J123="Aperto"),"",IF(J123="Annullato",0,IF(I123="Lordo manuale",IF(ISNUMBER(P123),P123,""),IF(I123="Netto manuale",IF(AND(ISNUMBER(P123),ISNUMBER(Q123)),P123+Q123,""),IF(OR(W123=0,COUNTIFS('Esecuzioni'!$A$8:$A$1007,A123,'Esecuzioni'!$Q$8:$Q$1007,"&lt;&gt;OK")&gt;0),"",IF(S123="Vince",X123,IF(S123="Perde",Y123,IF(AND(S123="Coperto",ABS(X123-Y123)&lt;='Impostazioni'!$B$11),ROUND((X123+Y123)/2,2),""))))))))</x:f>
      </x:c>
      <x:c r="AB123" s="20" t="str">
        <x:f>IF(NOT(ISNUMBER(AA123)),"",IF(J123="Annullato",0,IF(ISNUMBER(Q123),Q123,ROUND(MAX(0,AA123)*IF(ISNUMBER(R123),R123,'Impostazioni'!$B$8),2))))</x:f>
      </x:c>
      <x:c r="AC123" s="20" t="str">
        <x:f>IF(AND(ISNUMBER(AA123),ISNUMBER(AB123)),ROUND(AA123-AB123,2),"")</x:f>
      </x:c>
      <x:c r="AD123" s="18" t="str">
        <x:f>IF(A123="","",IF(AQ123&lt;&gt;"OK","Incompleto",IF(J123="Aperto","Aperto",IF(J123="Annullato","Annullato",IF(AC123&gt;0,"Green",IF(AC123&lt;0,"Red","Flat"))))))</x:f>
      </x:c>
      <x:c r="AE123" s="21" t="str">
        <x:f>IF(AND(AH123=1,Z123&gt;0),AC123/Z123,"")</x:f>
      </x:c>
      <x:c r="AF123" s="22" t="str">
        <x:f>IF(AH123&lt;&gt;1,"",COUNTIFS($C$8:$C$507,"&lt;"&amp;C123,$AH$8:$AH$507,1)+COUNTIFS($C$8:$C$507,C123,$A$8:$A$507,"&lt;="&amp;A123,$AH$8:$AH$507,1))</x:f>
      </x:c>
      <x:c r="AG123" s="20" t="str">
        <x:f>IF(AH123&lt;&gt;1,"",SUMIFS($AC$8:$AC$507,$C$8:$C$507,"&lt;"&amp;C123,$AH$8:$AH$507,1)+SUMIFS($AC$8:$AC$507,$C$8:$C$507,C123,$A$8:$A$507,"&lt;="&amp;A123,$AH$8:$AH$507,1))</x:f>
      </x:c>
      <x:c r="AH123" s="22" t="str">
        <x:f>IF(A123="","",IF(AND(J123="Chiuso",AQ123="OK",ISNUMBER(AC123)),1,0))</x:f>
      </x:c>
      <x:c r="AI123" s="20" t="str">
        <x:f>IF(AH123&lt;&gt;1,"",MAX(0,_xlfn.MAXIFS($AG$8:$AG$507,$AF$8:$AF$507,"&lt;="&amp;AF123,$AH$8:$AH$507,1)))</x:f>
      </x:c>
      <x:c r="AJ123" s="20" t="str">
        <x:f>IF(AH123&lt;&gt;1,"",MAX(0,AI123-AG123))</x:f>
      </x:c>
      <x:c r="AK123" s="21" t="str">
        <x:f>IF(OR(AH123&lt;&gt;1,NOT(ISNUMBER('Impostazioni'!$B$6)),'Impostazioni'!$B$6+AI123&lt;=0),"",AJ123/('Impostazioni'!$B$6+AI123))</x:f>
      </x:c>
      <x:c r="AL123" s="22" t="str">
        <x:f>IF(AH123&lt;&gt;1,"",IF(AC123&gt;0,AF123-_xlfn.MAXIFS($AF$8:$AF$507,$AF$8:$AF$507,"&lt;="&amp;AF123,$AC$8:$AC$507,"&lt;=0",$AH$8:$AH$507,1),0))</x:f>
      </x:c>
      <x:c r="AM123" s="22" t="str">
        <x:f>IF(AH123&lt;&gt;1,"",IF(AC123&lt;0,AF123-_xlfn.MAXIFS($AF$8:$AF$507,$AF$8:$AF$507,"&lt;="&amp;AF123,$AC$8:$AC$507,"&gt;=0",$AH$8:$AH$507,1),0))</x:f>
      </x:c>
      <x:c r="AN123" s="20" t="str">
        <x:f>IF(OR(A123="",NOT(ISNUMBER(B123)),NOT(ISNUMBER('Impostazioni'!$B$6))),"",'Impostazioni'!$B$6+SUMIFS($AC$8:$AC$507,$C$8:$C$507,"&lt;"&amp;B123,$AH$8:$AH$507,1)+SUMIFS('Cassa'!$F$8:$F$307,'Cassa'!$A$8:$A$307,"&lt;="&amp;B123,'Cassa'!$G$8:$G$307,"OK"))</x:f>
      </x:c>
      <x:c r="AO123" s="21" t="str">
        <x:f>IF(AND(ISNUMBER(Z123),ISNUMBER(AN123),AN123&gt;0),Z123/AN123,"")</x:f>
      </x:c>
      <x:c r="AP123" s="18" t="str">
        <x:f>IF(NOT(ISNUMBER(AO123)),"",IF(AO123&gt;'Impostazioni'!$B$7,"Oltre soglia personale","Nella soglia personale"))</x:f>
      </x:c>
      <x:c r="AQ123" s="18" t="str">
        <x:f>IF(A123="",IF(COUNTA(B123:V123)=0,"","Inserisci ID"),IF(COUNTIFS($A$8:$A$507,A123)&lt;&gt;1,"ID duplicato",IF(OR(NOT(ISNUMBER(B123)),D123="",E123="",F123="",G123="",H123="",COUNTIFS('Impostazioni'!$J$6:$J$25,F123)&lt;&gt;1),"Completa dati / elenchi",IF(OR(AND(I123&lt;&gt;"Lordo manuale",I123&lt;&gt;"Netto manuale",I123&lt;&gt;"Esecuzioni"),AND(J123&lt;&gt;"Aperto",J123&lt;&gt;"Chiuso",J123&lt;&gt;"Annullato")),"Modalità / stato mancanti",IF(AND(J123&lt;&gt;"Aperto",OR(NOT(ISNUMBER(C123)),C123&lt;B123)),"Correggi data chiusura",IF(OR(AND(Q123&lt;&gt;"",OR(NOT(ISNUMBER(Q123)),Q123&lt;0)),AND(R123&lt;&gt;"",OR(NOT(ISNUMBER(R123)),R123&lt;0,R123&gt;1))),"Commissione non valida",IF(J123="Annullato","OK",IF(OR(NOT(ISNUMBER(Z123)),Z123&lt;0,AND(O123&lt;&gt;"",NOT(ISNUMBER(O123)))),"Inserisci rischio",IF(AND(I123="Esecuzioni",OR(W123=0,COUNTIFS('Esecuzioni'!$A$8:$A$1007,A123,'Esecuzioni'!$Q$8:$Q$1007,"&lt;&gt;OK")&gt;0)),"Correggi esecuzioni",IF(J123="Aperto","OK",IF(AND(I123="Esecuzioni",S123="Coperto",ABS(X123-Y123)&gt;'Impostazioni'!$B$11),"Copertura residua",IF(NOT(ISNUMBER(AC123)),"Completa risultato / esito",IF(AND(Z123=0,AC123&lt;&gt;0),"Rischio nullo con P/L","OK")))))))))))))</x:f>
      </x:c>
      <x:c r="AR123" s="20" t="str">
        <x:f>IF(OR(A123="",J123&lt;&gt;"Aperto",AQ123&lt;&gt;"OK"),"",IF(I123="Esecuzioni",SUMIFS('Esecuzioni'!$P$8:$P$1007,'Esecuzioni'!$A$8:$A$1007,A123,'Esecuzioni'!$B$8:$B$1007,_xlfn.MAXIFS('Esecuzioni'!$B$8:$B$1007,'Esecuzioni'!$A$8:$A$1007,A123)),IF(LEFT(U123,8)="FREEBET:",0,Z123)))</x:f>
      </x:c>
      <x:c r="AS123" s="48" t="str">
        <x:f>IF(OR(A123="",E123=""),"",IF(COUNTIFS($E$8:E123,E123)=1,COUNT($AS$7:AS122)+1,""))</x:f>
      </x:c>
    </x:row>
    <x:row r="124" ht="22" customHeight="1">
      <x:c r="A124" s="7"/>
      <x:c r="B124" s="19"/>
      <x:c r="C124" s="19"/>
      <x:c r="D124" s="7"/>
      <x:c r="E124" s="7"/>
      <x:c r="F124" s="7"/>
      <x:c r="G124" s="7"/>
      <x:c r="H124" s="7"/>
      <x:c r="I124" s="7"/>
      <x:c r="J124" s="7"/>
      <x:c r="K124" s="10"/>
      <x:c r="L124" s="7"/>
      <x:c r="M124" s="10"/>
      <x:c r="N124" s="7"/>
      <x:c r="O124" s="8"/>
      <x:c r="P124" s="8"/>
      <x:c r="Q124" s="8"/>
      <x:c r="R124" s="9"/>
      <x:c r="S124" s="7"/>
      <x:c r="T124" s="7"/>
      <x:c r="U124" s="7"/>
      <x:c r="V124" s="7"/>
      <x:c r="W124" s="22" t="str">
        <x:f>IF(A124="","",COUNTIFS('Esecuzioni'!$A$8:$A$1007,A124,'Esecuzioni'!$Q$8:$Q$1007,"OK"))</x:f>
      </x:c>
      <x:c r="X124" s="20" t="str">
        <x:f>IF(OR(A124="",I124&lt;&gt;"Esecuzioni",W124=0),"",SUMIFS('Esecuzioni'!$L$8:$L$1007,'Esecuzioni'!$A$8:$A$1007,A124))</x:f>
      </x:c>
      <x:c r="Y124" s="20" t="str">
        <x:f>IF(OR(A124="",I124&lt;&gt;"Esecuzioni",W124=0),"",SUMIFS('Esecuzioni'!$M$8:$M$1007,'Esecuzioni'!$A$8:$A$1007,A124))</x:f>
      </x:c>
      <x:c r="Z124" s="20" t="str">
        <x:f>IF(A124="","",IF(J124="Annullato",0,IF(ISNUMBER(O124),O124,IF(AND(I124="Esecuzioni",W124&gt;0),_xlfn.MAXIFS('Esecuzioni'!$P$8:$P$1007,'Esecuzioni'!$A$8:$A$1007,A124),""))))</x:f>
      </x:c>
      <x:c r="AA124" s="20" t="str">
        <x:f>IF(OR(A124="",J124="Aperto"),"",IF(J124="Annullato",0,IF(I124="Lordo manuale",IF(ISNUMBER(P124),P124,""),IF(I124="Netto manuale",IF(AND(ISNUMBER(P124),ISNUMBER(Q124)),P124+Q124,""),IF(OR(W124=0,COUNTIFS('Esecuzioni'!$A$8:$A$1007,A124,'Esecuzioni'!$Q$8:$Q$1007,"&lt;&gt;OK")&gt;0),"",IF(S124="Vince",X124,IF(S124="Perde",Y124,IF(AND(S124="Coperto",ABS(X124-Y124)&lt;='Impostazioni'!$B$11),ROUND((X124+Y124)/2,2),""))))))))</x:f>
      </x:c>
      <x:c r="AB124" s="20" t="str">
        <x:f>IF(NOT(ISNUMBER(AA124)),"",IF(J124="Annullato",0,IF(ISNUMBER(Q124),Q124,ROUND(MAX(0,AA124)*IF(ISNUMBER(R124),R124,'Impostazioni'!$B$8),2))))</x:f>
      </x:c>
      <x:c r="AC124" s="20" t="str">
        <x:f>IF(AND(ISNUMBER(AA124),ISNUMBER(AB124)),ROUND(AA124-AB124,2),"")</x:f>
      </x:c>
      <x:c r="AD124" s="18" t="str">
        <x:f>IF(A124="","",IF(AQ124&lt;&gt;"OK","Incompleto",IF(J124="Aperto","Aperto",IF(J124="Annullato","Annullato",IF(AC124&gt;0,"Green",IF(AC124&lt;0,"Red","Flat"))))))</x:f>
      </x:c>
      <x:c r="AE124" s="21" t="str">
        <x:f>IF(AND(AH124=1,Z124&gt;0),AC124/Z124,"")</x:f>
      </x:c>
      <x:c r="AF124" s="22" t="str">
        <x:f>IF(AH124&lt;&gt;1,"",COUNTIFS($C$8:$C$507,"&lt;"&amp;C124,$AH$8:$AH$507,1)+COUNTIFS($C$8:$C$507,C124,$A$8:$A$507,"&lt;="&amp;A124,$AH$8:$AH$507,1))</x:f>
      </x:c>
      <x:c r="AG124" s="20" t="str">
        <x:f>IF(AH124&lt;&gt;1,"",SUMIFS($AC$8:$AC$507,$C$8:$C$507,"&lt;"&amp;C124,$AH$8:$AH$507,1)+SUMIFS($AC$8:$AC$507,$C$8:$C$507,C124,$A$8:$A$507,"&lt;="&amp;A124,$AH$8:$AH$507,1))</x:f>
      </x:c>
      <x:c r="AH124" s="22" t="str">
        <x:f>IF(A124="","",IF(AND(J124="Chiuso",AQ124="OK",ISNUMBER(AC124)),1,0))</x:f>
      </x:c>
      <x:c r="AI124" s="20" t="str">
        <x:f>IF(AH124&lt;&gt;1,"",MAX(0,_xlfn.MAXIFS($AG$8:$AG$507,$AF$8:$AF$507,"&lt;="&amp;AF124,$AH$8:$AH$507,1)))</x:f>
      </x:c>
      <x:c r="AJ124" s="20" t="str">
        <x:f>IF(AH124&lt;&gt;1,"",MAX(0,AI124-AG124))</x:f>
      </x:c>
      <x:c r="AK124" s="21" t="str">
        <x:f>IF(OR(AH124&lt;&gt;1,NOT(ISNUMBER('Impostazioni'!$B$6)),'Impostazioni'!$B$6+AI124&lt;=0),"",AJ124/('Impostazioni'!$B$6+AI124))</x:f>
      </x:c>
      <x:c r="AL124" s="22" t="str">
        <x:f>IF(AH124&lt;&gt;1,"",IF(AC124&gt;0,AF124-_xlfn.MAXIFS($AF$8:$AF$507,$AF$8:$AF$507,"&lt;="&amp;AF124,$AC$8:$AC$507,"&lt;=0",$AH$8:$AH$507,1),0))</x:f>
      </x:c>
      <x:c r="AM124" s="22" t="str">
        <x:f>IF(AH124&lt;&gt;1,"",IF(AC124&lt;0,AF124-_xlfn.MAXIFS($AF$8:$AF$507,$AF$8:$AF$507,"&lt;="&amp;AF124,$AC$8:$AC$507,"&gt;=0",$AH$8:$AH$507,1),0))</x:f>
      </x:c>
      <x:c r="AN124" s="20" t="str">
        <x:f>IF(OR(A124="",NOT(ISNUMBER(B124)),NOT(ISNUMBER('Impostazioni'!$B$6))),"",'Impostazioni'!$B$6+SUMIFS($AC$8:$AC$507,$C$8:$C$507,"&lt;"&amp;B124,$AH$8:$AH$507,1)+SUMIFS('Cassa'!$F$8:$F$307,'Cassa'!$A$8:$A$307,"&lt;="&amp;B124,'Cassa'!$G$8:$G$307,"OK"))</x:f>
      </x:c>
      <x:c r="AO124" s="21" t="str">
        <x:f>IF(AND(ISNUMBER(Z124),ISNUMBER(AN124),AN124&gt;0),Z124/AN124,"")</x:f>
      </x:c>
      <x:c r="AP124" s="18" t="str">
        <x:f>IF(NOT(ISNUMBER(AO124)),"",IF(AO124&gt;'Impostazioni'!$B$7,"Oltre soglia personale","Nella soglia personale"))</x:f>
      </x:c>
      <x:c r="AQ124" s="18" t="str">
        <x:f>IF(A124="",IF(COUNTA(B124:V124)=0,"","Inserisci ID"),IF(COUNTIFS($A$8:$A$507,A124)&lt;&gt;1,"ID duplicato",IF(OR(NOT(ISNUMBER(B124)),D124="",E124="",F124="",G124="",H124="",COUNTIFS('Impostazioni'!$J$6:$J$25,F124)&lt;&gt;1),"Completa dati / elenchi",IF(OR(AND(I124&lt;&gt;"Lordo manuale",I124&lt;&gt;"Netto manuale",I124&lt;&gt;"Esecuzioni"),AND(J124&lt;&gt;"Aperto",J124&lt;&gt;"Chiuso",J124&lt;&gt;"Annullato")),"Modalità / stato mancanti",IF(AND(J124&lt;&gt;"Aperto",OR(NOT(ISNUMBER(C124)),C124&lt;B124)),"Correggi data chiusura",IF(OR(AND(Q124&lt;&gt;"",OR(NOT(ISNUMBER(Q124)),Q124&lt;0)),AND(R124&lt;&gt;"",OR(NOT(ISNUMBER(R124)),R124&lt;0,R124&gt;1))),"Commissione non valida",IF(J124="Annullato","OK",IF(OR(NOT(ISNUMBER(Z124)),Z124&lt;0,AND(O124&lt;&gt;"",NOT(ISNUMBER(O124)))),"Inserisci rischio",IF(AND(I124="Esecuzioni",OR(W124=0,COUNTIFS('Esecuzioni'!$A$8:$A$1007,A124,'Esecuzioni'!$Q$8:$Q$1007,"&lt;&gt;OK")&gt;0)),"Correggi esecuzioni",IF(J124="Aperto","OK",IF(AND(I124="Esecuzioni",S124="Coperto",ABS(X124-Y124)&gt;'Impostazioni'!$B$11),"Copertura residua",IF(NOT(ISNUMBER(AC124)),"Completa risultato / esito",IF(AND(Z124=0,AC124&lt;&gt;0),"Rischio nullo con P/L","OK")))))))))))))</x:f>
      </x:c>
      <x:c r="AR124" s="20" t="str">
        <x:f>IF(OR(A124="",J124&lt;&gt;"Aperto",AQ124&lt;&gt;"OK"),"",IF(I124="Esecuzioni",SUMIFS('Esecuzioni'!$P$8:$P$1007,'Esecuzioni'!$A$8:$A$1007,A124,'Esecuzioni'!$B$8:$B$1007,_xlfn.MAXIFS('Esecuzioni'!$B$8:$B$1007,'Esecuzioni'!$A$8:$A$1007,A124)),IF(LEFT(U124,8)="FREEBET:",0,Z124)))</x:f>
      </x:c>
      <x:c r="AS124" s="48" t="str">
        <x:f>IF(OR(A124="",E124=""),"",IF(COUNTIFS($E$8:E124,E124)=1,COUNT($AS$7:AS123)+1,""))</x:f>
      </x:c>
    </x:row>
    <x:row r="125" ht="22" customHeight="1">
      <x:c r="A125" s="7"/>
      <x:c r="B125" s="19"/>
      <x:c r="C125" s="19"/>
      <x:c r="D125" s="7"/>
      <x:c r="E125" s="7"/>
      <x:c r="F125" s="7"/>
      <x:c r="G125" s="7"/>
      <x:c r="H125" s="7"/>
      <x:c r="I125" s="7"/>
      <x:c r="J125" s="7"/>
      <x:c r="K125" s="10"/>
      <x:c r="L125" s="7"/>
      <x:c r="M125" s="10"/>
      <x:c r="N125" s="7"/>
      <x:c r="O125" s="8"/>
      <x:c r="P125" s="8"/>
      <x:c r="Q125" s="8"/>
      <x:c r="R125" s="9"/>
      <x:c r="S125" s="7"/>
      <x:c r="T125" s="7"/>
      <x:c r="U125" s="7"/>
      <x:c r="V125" s="7"/>
      <x:c r="W125" s="22" t="str">
        <x:f>IF(A125="","",COUNTIFS('Esecuzioni'!$A$8:$A$1007,A125,'Esecuzioni'!$Q$8:$Q$1007,"OK"))</x:f>
      </x:c>
      <x:c r="X125" s="20" t="str">
        <x:f>IF(OR(A125="",I125&lt;&gt;"Esecuzioni",W125=0),"",SUMIFS('Esecuzioni'!$L$8:$L$1007,'Esecuzioni'!$A$8:$A$1007,A125))</x:f>
      </x:c>
      <x:c r="Y125" s="20" t="str">
        <x:f>IF(OR(A125="",I125&lt;&gt;"Esecuzioni",W125=0),"",SUMIFS('Esecuzioni'!$M$8:$M$1007,'Esecuzioni'!$A$8:$A$1007,A125))</x:f>
      </x:c>
      <x:c r="Z125" s="20" t="str">
        <x:f>IF(A125="","",IF(J125="Annullato",0,IF(ISNUMBER(O125),O125,IF(AND(I125="Esecuzioni",W125&gt;0),_xlfn.MAXIFS('Esecuzioni'!$P$8:$P$1007,'Esecuzioni'!$A$8:$A$1007,A125),""))))</x:f>
      </x:c>
      <x:c r="AA125" s="20" t="str">
        <x:f>IF(OR(A125="",J125="Aperto"),"",IF(J125="Annullato",0,IF(I125="Lordo manuale",IF(ISNUMBER(P125),P125,""),IF(I125="Netto manuale",IF(AND(ISNUMBER(P125),ISNUMBER(Q125)),P125+Q125,""),IF(OR(W125=0,COUNTIFS('Esecuzioni'!$A$8:$A$1007,A125,'Esecuzioni'!$Q$8:$Q$1007,"&lt;&gt;OK")&gt;0),"",IF(S125="Vince",X125,IF(S125="Perde",Y125,IF(AND(S125="Coperto",ABS(X125-Y125)&lt;='Impostazioni'!$B$11),ROUND((X125+Y125)/2,2),""))))))))</x:f>
      </x:c>
      <x:c r="AB125" s="20" t="str">
        <x:f>IF(NOT(ISNUMBER(AA125)),"",IF(J125="Annullato",0,IF(ISNUMBER(Q125),Q125,ROUND(MAX(0,AA125)*IF(ISNUMBER(R125),R125,'Impostazioni'!$B$8),2))))</x:f>
      </x:c>
      <x:c r="AC125" s="20" t="str">
        <x:f>IF(AND(ISNUMBER(AA125),ISNUMBER(AB125)),ROUND(AA125-AB125,2),"")</x:f>
      </x:c>
      <x:c r="AD125" s="18" t="str">
        <x:f>IF(A125="","",IF(AQ125&lt;&gt;"OK","Incompleto",IF(J125="Aperto","Aperto",IF(J125="Annullato","Annullato",IF(AC125&gt;0,"Green",IF(AC125&lt;0,"Red","Flat"))))))</x:f>
      </x:c>
      <x:c r="AE125" s="21" t="str">
        <x:f>IF(AND(AH125=1,Z125&gt;0),AC125/Z125,"")</x:f>
      </x:c>
      <x:c r="AF125" s="22" t="str">
        <x:f>IF(AH125&lt;&gt;1,"",COUNTIFS($C$8:$C$507,"&lt;"&amp;C125,$AH$8:$AH$507,1)+COUNTIFS($C$8:$C$507,C125,$A$8:$A$507,"&lt;="&amp;A125,$AH$8:$AH$507,1))</x:f>
      </x:c>
      <x:c r="AG125" s="20" t="str">
        <x:f>IF(AH125&lt;&gt;1,"",SUMIFS($AC$8:$AC$507,$C$8:$C$507,"&lt;"&amp;C125,$AH$8:$AH$507,1)+SUMIFS($AC$8:$AC$507,$C$8:$C$507,C125,$A$8:$A$507,"&lt;="&amp;A125,$AH$8:$AH$507,1))</x:f>
      </x:c>
      <x:c r="AH125" s="22" t="str">
        <x:f>IF(A125="","",IF(AND(J125="Chiuso",AQ125="OK",ISNUMBER(AC125)),1,0))</x:f>
      </x:c>
      <x:c r="AI125" s="20" t="str">
        <x:f>IF(AH125&lt;&gt;1,"",MAX(0,_xlfn.MAXIFS($AG$8:$AG$507,$AF$8:$AF$507,"&lt;="&amp;AF125,$AH$8:$AH$507,1)))</x:f>
      </x:c>
      <x:c r="AJ125" s="20" t="str">
        <x:f>IF(AH125&lt;&gt;1,"",MAX(0,AI125-AG125))</x:f>
      </x:c>
      <x:c r="AK125" s="21" t="str">
        <x:f>IF(OR(AH125&lt;&gt;1,NOT(ISNUMBER('Impostazioni'!$B$6)),'Impostazioni'!$B$6+AI125&lt;=0),"",AJ125/('Impostazioni'!$B$6+AI125))</x:f>
      </x:c>
      <x:c r="AL125" s="22" t="str">
        <x:f>IF(AH125&lt;&gt;1,"",IF(AC125&gt;0,AF125-_xlfn.MAXIFS($AF$8:$AF$507,$AF$8:$AF$507,"&lt;="&amp;AF125,$AC$8:$AC$507,"&lt;=0",$AH$8:$AH$507,1),0))</x:f>
      </x:c>
      <x:c r="AM125" s="22" t="str">
        <x:f>IF(AH125&lt;&gt;1,"",IF(AC125&lt;0,AF125-_xlfn.MAXIFS($AF$8:$AF$507,$AF$8:$AF$507,"&lt;="&amp;AF125,$AC$8:$AC$507,"&gt;=0",$AH$8:$AH$507,1),0))</x:f>
      </x:c>
      <x:c r="AN125" s="20" t="str">
        <x:f>IF(OR(A125="",NOT(ISNUMBER(B125)),NOT(ISNUMBER('Impostazioni'!$B$6))),"",'Impostazioni'!$B$6+SUMIFS($AC$8:$AC$507,$C$8:$C$507,"&lt;"&amp;B125,$AH$8:$AH$507,1)+SUMIFS('Cassa'!$F$8:$F$307,'Cassa'!$A$8:$A$307,"&lt;="&amp;B125,'Cassa'!$G$8:$G$307,"OK"))</x:f>
      </x:c>
      <x:c r="AO125" s="21" t="str">
        <x:f>IF(AND(ISNUMBER(Z125),ISNUMBER(AN125),AN125&gt;0),Z125/AN125,"")</x:f>
      </x:c>
      <x:c r="AP125" s="18" t="str">
        <x:f>IF(NOT(ISNUMBER(AO125)),"",IF(AO125&gt;'Impostazioni'!$B$7,"Oltre soglia personale","Nella soglia personale"))</x:f>
      </x:c>
      <x:c r="AQ125" s="18" t="str">
        <x:f>IF(A125="",IF(COUNTA(B125:V125)=0,"","Inserisci ID"),IF(COUNTIFS($A$8:$A$507,A125)&lt;&gt;1,"ID duplicato",IF(OR(NOT(ISNUMBER(B125)),D125="",E125="",F125="",G125="",H125="",COUNTIFS('Impostazioni'!$J$6:$J$25,F125)&lt;&gt;1),"Completa dati / elenchi",IF(OR(AND(I125&lt;&gt;"Lordo manuale",I125&lt;&gt;"Netto manuale",I125&lt;&gt;"Esecuzioni"),AND(J125&lt;&gt;"Aperto",J125&lt;&gt;"Chiuso",J125&lt;&gt;"Annullato")),"Modalità / stato mancanti",IF(AND(J125&lt;&gt;"Aperto",OR(NOT(ISNUMBER(C125)),C125&lt;B125)),"Correggi data chiusura",IF(OR(AND(Q125&lt;&gt;"",OR(NOT(ISNUMBER(Q125)),Q125&lt;0)),AND(R125&lt;&gt;"",OR(NOT(ISNUMBER(R125)),R125&lt;0,R125&gt;1))),"Commissione non valida",IF(J125="Annullato","OK",IF(OR(NOT(ISNUMBER(Z125)),Z125&lt;0,AND(O125&lt;&gt;"",NOT(ISNUMBER(O125)))),"Inserisci rischio",IF(AND(I125="Esecuzioni",OR(W125=0,COUNTIFS('Esecuzioni'!$A$8:$A$1007,A125,'Esecuzioni'!$Q$8:$Q$1007,"&lt;&gt;OK")&gt;0)),"Correggi esecuzioni",IF(J125="Aperto","OK",IF(AND(I125="Esecuzioni",S125="Coperto",ABS(X125-Y125)&gt;'Impostazioni'!$B$11),"Copertura residua",IF(NOT(ISNUMBER(AC125)),"Completa risultato / esito",IF(AND(Z125=0,AC125&lt;&gt;0),"Rischio nullo con P/L","OK")))))))))))))</x:f>
      </x:c>
      <x:c r="AR125" s="20" t="str">
        <x:f>IF(OR(A125="",J125&lt;&gt;"Aperto",AQ125&lt;&gt;"OK"),"",IF(I125="Esecuzioni",SUMIFS('Esecuzioni'!$P$8:$P$1007,'Esecuzioni'!$A$8:$A$1007,A125,'Esecuzioni'!$B$8:$B$1007,_xlfn.MAXIFS('Esecuzioni'!$B$8:$B$1007,'Esecuzioni'!$A$8:$A$1007,A125)),IF(LEFT(U125,8)="FREEBET:",0,Z125)))</x:f>
      </x:c>
      <x:c r="AS125" s="48" t="str">
        <x:f>IF(OR(A125="",E125=""),"",IF(COUNTIFS($E$8:E125,E125)=1,COUNT($AS$7:AS124)+1,""))</x:f>
      </x:c>
    </x:row>
    <x:row r="126" ht="22" customHeight="1">
      <x:c r="A126" s="7"/>
      <x:c r="B126" s="19"/>
      <x:c r="C126" s="19"/>
      <x:c r="D126" s="7"/>
      <x:c r="E126" s="7"/>
      <x:c r="F126" s="7"/>
      <x:c r="G126" s="7"/>
      <x:c r="H126" s="7"/>
      <x:c r="I126" s="7"/>
      <x:c r="J126" s="7"/>
      <x:c r="K126" s="10"/>
      <x:c r="L126" s="7"/>
      <x:c r="M126" s="10"/>
      <x:c r="N126" s="7"/>
      <x:c r="O126" s="8"/>
      <x:c r="P126" s="8"/>
      <x:c r="Q126" s="8"/>
      <x:c r="R126" s="9"/>
      <x:c r="S126" s="7"/>
      <x:c r="T126" s="7"/>
      <x:c r="U126" s="7"/>
      <x:c r="V126" s="7"/>
      <x:c r="W126" s="22" t="str">
        <x:f>IF(A126="","",COUNTIFS('Esecuzioni'!$A$8:$A$1007,A126,'Esecuzioni'!$Q$8:$Q$1007,"OK"))</x:f>
      </x:c>
      <x:c r="X126" s="20" t="str">
        <x:f>IF(OR(A126="",I126&lt;&gt;"Esecuzioni",W126=0),"",SUMIFS('Esecuzioni'!$L$8:$L$1007,'Esecuzioni'!$A$8:$A$1007,A126))</x:f>
      </x:c>
      <x:c r="Y126" s="20" t="str">
        <x:f>IF(OR(A126="",I126&lt;&gt;"Esecuzioni",W126=0),"",SUMIFS('Esecuzioni'!$M$8:$M$1007,'Esecuzioni'!$A$8:$A$1007,A126))</x:f>
      </x:c>
      <x:c r="Z126" s="20" t="str">
        <x:f>IF(A126="","",IF(J126="Annullato",0,IF(ISNUMBER(O126),O126,IF(AND(I126="Esecuzioni",W126&gt;0),_xlfn.MAXIFS('Esecuzioni'!$P$8:$P$1007,'Esecuzioni'!$A$8:$A$1007,A126),""))))</x:f>
      </x:c>
      <x:c r="AA126" s="20" t="str">
        <x:f>IF(OR(A126="",J126="Aperto"),"",IF(J126="Annullato",0,IF(I126="Lordo manuale",IF(ISNUMBER(P126),P126,""),IF(I126="Netto manuale",IF(AND(ISNUMBER(P126),ISNUMBER(Q126)),P126+Q126,""),IF(OR(W126=0,COUNTIFS('Esecuzioni'!$A$8:$A$1007,A126,'Esecuzioni'!$Q$8:$Q$1007,"&lt;&gt;OK")&gt;0),"",IF(S126="Vince",X126,IF(S126="Perde",Y126,IF(AND(S126="Coperto",ABS(X126-Y126)&lt;='Impostazioni'!$B$11),ROUND((X126+Y126)/2,2),""))))))))</x:f>
      </x:c>
      <x:c r="AB126" s="20" t="str">
        <x:f>IF(NOT(ISNUMBER(AA126)),"",IF(J126="Annullato",0,IF(ISNUMBER(Q126),Q126,ROUND(MAX(0,AA126)*IF(ISNUMBER(R126),R126,'Impostazioni'!$B$8),2))))</x:f>
      </x:c>
      <x:c r="AC126" s="20" t="str">
        <x:f>IF(AND(ISNUMBER(AA126),ISNUMBER(AB126)),ROUND(AA126-AB126,2),"")</x:f>
      </x:c>
      <x:c r="AD126" s="18" t="str">
        <x:f>IF(A126="","",IF(AQ126&lt;&gt;"OK","Incompleto",IF(J126="Aperto","Aperto",IF(J126="Annullato","Annullato",IF(AC126&gt;0,"Green",IF(AC126&lt;0,"Red","Flat"))))))</x:f>
      </x:c>
      <x:c r="AE126" s="21" t="str">
        <x:f>IF(AND(AH126=1,Z126&gt;0),AC126/Z126,"")</x:f>
      </x:c>
      <x:c r="AF126" s="22" t="str">
        <x:f>IF(AH126&lt;&gt;1,"",COUNTIFS($C$8:$C$507,"&lt;"&amp;C126,$AH$8:$AH$507,1)+COUNTIFS($C$8:$C$507,C126,$A$8:$A$507,"&lt;="&amp;A126,$AH$8:$AH$507,1))</x:f>
      </x:c>
      <x:c r="AG126" s="20" t="str">
        <x:f>IF(AH126&lt;&gt;1,"",SUMIFS($AC$8:$AC$507,$C$8:$C$507,"&lt;"&amp;C126,$AH$8:$AH$507,1)+SUMIFS($AC$8:$AC$507,$C$8:$C$507,C126,$A$8:$A$507,"&lt;="&amp;A126,$AH$8:$AH$507,1))</x:f>
      </x:c>
      <x:c r="AH126" s="22" t="str">
        <x:f>IF(A126="","",IF(AND(J126="Chiuso",AQ126="OK",ISNUMBER(AC126)),1,0))</x:f>
      </x:c>
      <x:c r="AI126" s="20" t="str">
        <x:f>IF(AH126&lt;&gt;1,"",MAX(0,_xlfn.MAXIFS($AG$8:$AG$507,$AF$8:$AF$507,"&lt;="&amp;AF126,$AH$8:$AH$507,1)))</x:f>
      </x:c>
      <x:c r="AJ126" s="20" t="str">
        <x:f>IF(AH126&lt;&gt;1,"",MAX(0,AI126-AG126))</x:f>
      </x:c>
      <x:c r="AK126" s="21" t="str">
        <x:f>IF(OR(AH126&lt;&gt;1,NOT(ISNUMBER('Impostazioni'!$B$6)),'Impostazioni'!$B$6+AI126&lt;=0),"",AJ126/('Impostazioni'!$B$6+AI126))</x:f>
      </x:c>
      <x:c r="AL126" s="22" t="str">
        <x:f>IF(AH126&lt;&gt;1,"",IF(AC126&gt;0,AF126-_xlfn.MAXIFS($AF$8:$AF$507,$AF$8:$AF$507,"&lt;="&amp;AF126,$AC$8:$AC$507,"&lt;=0",$AH$8:$AH$507,1),0))</x:f>
      </x:c>
      <x:c r="AM126" s="22" t="str">
        <x:f>IF(AH126&lt;&gt;1,"",IF(AC126&lt;0,AF126-_xlfn.MAXIFS($AF$8:$AF$507,$AF$8:$AF$507,"&lt;="&amp;AF126,$AC$8:$AC$507,"&gt;=0",$AH$8:$AH$507,1),0))</x:f>
      </x:c>
      <x:c r="AN126" s="20" t="str">
        <x:f>IF(OR(A126="",NOT(ISNUMBER(B126)),NOT(ISNUMBER('Impostazioni'!$B$6))),"",'Impostazioni'!$B$6+SUMIFS($AC$8:$AC$507,$C$8:$C$507,"&lt;"&amp;B126,$AH$8:$AH$507,1)+SUMIFS('Cassa'!$F$8:$F$307,'Cassa'!$A$8:$A$307,"&lt;="&amp;B126,'Cassa'!$G$8:$G$307,"OK"))</x:f>
      </x:c>
      <x:c r="AO126" s="21" t="str">
        <x:f>IF(AND(ISNUMBER(Z126),ISNUMBER(AN126),AN126&gt;0),Z126/AN126,"")</x:f>
      </x:c>
      <x:c r="AP126" s="18" t="str">
        <x:f>IF(NOT(ISNUMBER(AO126)),"",IF(AO126&gt;'Impostazioni'!$B$7,"Oltre soglia personale","Nella soglia personale"))</x:f>
      </x:c>
      <x:c r="AQ126" s="18" t="str">
        <x:f>IF(A126="",IF(COUNTA(B126:V126)=0,"","Inserisci ID"),IF(COUNTIFS($A$8:$A$507,A126)&lt;&gt;1,"ID duplicato",IF(OR(NOT(ISNUMBER(B126)),D126="",E126="",F126="",G126="",H126="",COUNTIFS('Impostazioni'!$J$6:$J$25,F126)&lt;&gt;1),"Completa dati / elenchi",IF(OR(AND(I126&lt;&gt;"Lordo manuale",I126&lt;&gt;"Netto manuale",I126&lt;&gt;"Esecuzioni"),AND(J126&lt;&gt;"Aperto",J126&lt;&gt;"Chiuso",J126&lt;&gt;"Annullato")),"Modalità / stato mancanti",IF(AND(J126&lt;&gt;"Aperto",OR(NOT(ISNUMBER(C126)),C126&lt;B126)),"Correggi data chiusura",IF(OR(AND(Q126&lt;&gt;"",OR(NOT(ISNUMBER(Q126)),Q126&lt;0)),AND(R126&lt;&gt;"",OR(NOT(ISNUMBER(R126)),R126&lt;0,R126&gt;1))),"Commissione non valida",IF(J126="Annullato","OK",IF(OR(NOT(ISNUMBER(Z126)),Z126&lt;0,AND(O126&lt;&gt;"",NOT(ISNUMBER(O126)))),"Inserisci rischio",IF(AND(I126="Esecuzioni",OR(W126=0,COUNTIFS('Esecuzioni'!$A$8:$A$1007,A126,'Esecuzioni'!$Q$8:$Q$1007,"&lt;&gt;OK")&gt;0)),"Correggi esecuzioni",IF(J126="Aperto","OK",IF(AND(I126="Esecuzioni",S126="Coperto",ABS(X126-Y126)&gt;'Impostazioni'!$B$11),"Copertura residua",IF(NOT(ISNUMBER(AC126)),"Completa risultato / esito",IF(AND(Z126=0,AC126&lt;&gt;0),"Rischio nullo con P/L","OK")))))))))))))</x:f>
      </x:c>
      <x:c r="AR126" s="20" t="str">
        <x:f>IF(OR(A126="",J126&lt;&gt;"Aperto",AQ126&lt;&gt;"OK"),"",IF(I126="Esecuzioni",SUMIFS('Esecuzioni'!$P$8:$P$1007,'Esecuzioni'!$A$8:$A$1007,A126,'Esecuzioni'!$B$8:$B$1007,_xlfn.MAXIFS('Esecuzioni'!$B$8:$B$1007,'Esecuzioni'!$A$8:$A$1007,A126)),IF(LEFT(U126,8)="FREEBET:",0,Z126)))</x:f>
      </x:c>
      <x:c r="AS126" s="48" t="str">
        <x:f>IF(OR(A126="",E126=""),"",IF(COUNTIFS($E$8:E126,E126)=1,COUNT($AS$7:AS125)+1,""))</x:f>
      </x:c>
    </x:row>
    <x:row r="127" ht="22" customHeight="1">
      <x:c r="A127" s="7"/>
      <x:c r="B127" s="19"/>
      <x:c r="C127" s="19"/>
      <x:c r="D127" s="7"/>
      <x:c r="E127" s="7"/>
      <x:c r="F127" s="7"/>
      <x:c r="G127" s="7"/>
      <x:c r="H127" s="7"/>
      <x:c r="I127" s="7"/>
      <x:c r="J127" s="7"/>
      <x:c r="K127" s="10"/>
      <x:c r="L127" s="7"/>
      <x:c r="M127" s="10"/>
      <x:c r="N127" s="7"/>
      <x:c r="O127" s="8"/>
      <x:c r="P127" s="8"/>
      <x:c r="Q127" s="8"/>
      <x:c r="R127" s="9"/>
      <x:c r="S127" s="7"/>
      <x:c r="T127" s="7"/>
      <x:c r="U127" s="7"/>
      <x:c r="V127" s="7"/>
      <x:c r="W127" s="22" t="str">
        <x:f>IF(A127="","",COUNTIFS('Esecuzioni'!$A$8:$A$1007,A127,'Esecuzioni'!$Q$8:$Q$1007,"OK"))</x:f>
      </x:c>
      <x:c r="X127" s="20" t="str">
        <x:f>IF(OR(A127="",I127&lt;&gt;"Esecuzioni",W127=0),"",SUMIFS('Esecuzioni'!$L$8:$L$1007,'Esecuzioni'!$A$8:$A$1007,A127))</x:f>
      </x:c>
      <x:c r="Y127" s="20" t="str">
        <x:f>IF(OR(A127="",I127&lt;&gt;"Esecuzioni",W127=0),"",SUMIFS('Esecuzioni'!$M$8:$M$1007,'Esecuzioni'!$A$8:$A$1007,A127))</x:f>
      </x:c>
      <x:c r="Z127" s="20" t="str">
        <x:f>IF(A127="","",IF(J127="Annullato",0,IF(ISNUMBER(O127),O127,IF(AND(I127="Esecuzioni",W127&gt;0),_xlfn.MAXIFS('Esecuzioni'!$P$8:$P$1007,'Esecuzioni'!$A$8:$A$1007,A127),""))))</x:f>
      </x:c>
      <x:c r="AA127" s="20" t="str">
        <x:f>IF(OR(A127="",J127="Aperto"),"",IF(J127="Annullato",0,IF(I127="Lordo manuale",IF(ISNUMBER(P127),P127,""),IF(I127="Netto manuale",IF(AND(ISNUMBER(P127),ISNUMBER(Q127)),P127+Q127,""),IF(OR(W127=0,COUNTIFS('Esecuzioni'!$A$8:$A$1007,A127,'Esecuzioni'!$Q$8:$Q$1007,"&lt;&gt;OK")&gt;0),"",IF(S127="Vince",X127,IF(S127="Perde",Y127,IF(AND(S127="Coperto",ABS(X127-Y127)&lt;='Impostazioni'!$B$11),ROUND((X127+Y127)/2,2),""))))))))</x:f>
      </x:c>
      <x:c r="AB127" s="20" t="str">
        <x:f>IF(NOT(ISNUMBER(AA127)),"",IF(J127="Annullato",0,IF(ISNUMBER(Q127),Q127,ROUND(MAX(0,AA127)*IF(ISNUMBER(R127),R127,'Impostazioni'!$B$8),2))))</x:f>
      </x:c>
      <x:c r="AC127" s="20" t="str">
        <x:f>IF(AND(ISNUMBER(AA127),ISNUMBER(AB127)),ROUND(AA127-AB127,2),"")</x:f>
      </x:c>
      <x:c r="AD127" s="18" t="str">
        <x:f>IF(A127="","",IF(AQ127&lt;&gt;"OK","Incompleto",IF(J127="Aperto","Aperto",IF(J127="Annullato","Annullato",IF(AC127&gt;0,"Green",IF(AC127&lt;0,"Red","Flat"))))))</x:f>
      </x:c>
      <x:c r="AE127" s="21" t="str">
        <x:f>IF(AND(AH127=1,Z127&gt;0),AC127/Z127,"")</x:f>
      </x:c>
      <x:c r="AF127" s="22" t="str">
        <x:f>IF(AH127&lt;&gt;1,"",COUNTIFS($C$8:$C$507,"&lt;"&amp;C127,$AH$8:$AH$507,1)+COUNTIFS($C$8:$C$507,C127,$A$8:$A$507,"&lt;="&amp;A127,$AH$8:$AH$507,1))</x:f>
      </x:c>
      <x:c r="AG127" s="20" t="str">
        <x:f>IF(AH127&lt;&gt;1,"",SUMIFS($AC$8:$AC$507,$C$8:$C$507,"&lt;"&amp;C127,$AH$8:$AH$507,1)+SUMIFS($AC$8:$AC$507,$C$8:$C$507,C127,$A$8:$A$507,"&lt;="&amp;A127,$AH$8:$AH$507,1))</x:f>
      </x:c>
      <x:c r="AH127" s="22" t="str">
        <x:f>IF(A127="","",IF(AND(J127="Chiuso",AQ127="OK",ISNUMBER(AC127)),1,0))</x:f>
      </x:c>
      <x:c r="AI127" s="20" t="str">
        <x:f>IF(AH127&lt;&gt;1,"",MAX(0,_xlfn.MAXIFS($AG$8:$AG$507,$AF$8:$AF$507,"&lt;="&amp;AF127,$AH$8:$AH$507,1)))</x:f>
      </x:c>
      <x:c r="AJ127" s="20" t="str">
        <x:f>IF(AH127&lt;&gt;1,"",MAX(0,AI127-AG127))</x:f>
      </x:c>
      <x:c r="AK127" s="21" t="str">
        <x:f>IF(OR(AH127&lt;&gt;1,NOT(ISNUMBER('Impostazioni'!$B$6)),'Impostazioni'!$B$6+AI127&lt;=0),"",AJ127/('Impostazioni'!$B$6+AI127))</x:f>
      </x:c>
      <x:c r="AL127" s="22" t="str">
        <x:f>IF(AH127&lt;&gt;1,"",IF(AC127&gt;0,AF127-_xlfn.MAXIFS($AF$8:$AF$507,$AF$8:$AF$507,"&lt;="&amp;AF127,$AC$8:$AC$507,"&lt;=0",$AH$8:$AH$507,1),0))</x:f>
      </x:c>
      <x:c r="AM127" s="22" t="str">
        <x:f>IF(AH127&lt;&gt;1,"",IF(AC127&lt;0,AF127-_xlfn.MAXIFS($AF$8:$AF$507,$AF$8:$AF$507,"&lt;="&amp;AF127,$AC$8:$AC$507,"&gt;=0",$AH$8:$AH$507,1),0))</x:f>
      </x:c>
      <x:c r="AN127" s="20" t="str">
        <x:f>IF(OR(A127="",NOT(ISNUMBER(B127)),NOT(ISNUMBER('Impostazioni'!$B$6))),"",'Impostazioni'!$B$6+SUMIFS($AC$8:$AC$507,$C$8:$C$507,"&lt;"&amp;B127,$AH$8:$AH$507,1)+SUMIFS('Cassa'!$F$8:$F$307,'Cassa'!$A$8:$A$307,"&lt;="&amp;B127,'Cassa'!$G$8:$G$307,"OK"))</x:f>
      </x:c>
      <x:c r="AO127" s="21" t="str">
        <x:f>IF(AND(ISNUMBER(Z127),ISNUMBER(AN127),AN127&gt;0),Z127/AN127,"")</x:f>
      </x:c>
      <x:c r="AP127" s="18" t="str">
        <x:f>IF(NOT(ISNUMBER(AO127)),"",IF(AO127&gt;'Impostazioni'!$B$7,"Oltre soglia personale","Nella soglia personale"))</x:f>
      </x:c>
      <x:c r="AQ127" s="18" t="str">
        <x:f>IF(A127="",IF(COUNTA(B127:V127)=0,"","Inserisci ID"),IF(COUNTIFS($A$8:$A$507,A127)&lt;&gt;1,"ID duplicato",IF(OR(NOT(ISNUMBER(B127)),D127="",E127="",F127="",G127="",H127="",COUNTIFS('Impostazioni'!$J$6:$J$25,F127)&lt;&gt;1),"Completa dati / elenchi",IF(OR(AND(I127&lt;&gt;"Lordo manuale",I127&lt;&gt;"Netto manuale",I127&lt;&gt;"Esecuzioni"),AND(J127&lt;&gt;"Aperto",J127&lt;&gt;"Chiuso",J127&lt;&gt;"Annullato")),"Modalità / stato mancanti",IF(AND(J127&lt;&gt;"Aperto",OR(NOT(ISNUMBER(C127)),C127&lt;B127)),"Correggi data chiusura",IF(OR(AND(Q127&lt;&gt;"",OR(NOT(ISNUMBER(Q127)),Q127&lt;0)),AND(R127&lt;&gt;"",OR(NOT(ISNUMBER(R127)),R127&lt;0,R127&gt;1))),"Commissione non valida",IF(J127="Annullato","OK",IF(OR(NOT(ISNUMBER(Z127)),Z127&lt;0,AND(O127&lt;&gt;"",NOT(ISNUMBER(O127)))),"Inserisci rischio",IF(AND(I127="Esecuzioni",OR(W127=0,COUNTIFS('Esecuzioni'!$A$8:$A$1007,A127,'Esecuzioni'!$Q$8:$Q$1007,"&lt;&gt;OK")&gt;0)),"Correggi esecuzioni",IF(J127="Aperto","OK",IF(AND(I127="Esecuzioni",S127="Coperto",ABS(X127-Y127)&gt;'Impostazioni'!$B$11),"Copertura residua",IF(NOT(ISNUMBER(AC127)),"Completa risultato / esito",IF(AND(Z127=0,AC127&lt;&gt;0),"Rischio nullo con P/L","OK")))))))))))))</x:f>
      </x:c>
      <x:c r="AR127" s="20" t="str">
        <x:f>IF(OR(A127="",J127&lt;&gt;"Aperto",AQ127&lt;&gt;"OK"),"",IF(I127="Esecuzioni",SUMIFS('Esecuzioni'!$P$8:$P$1007,'Esecuzioni'!$A$8:$A$1007,A127,'Esecuzioni'!$B$8:$B$1007,_xlfn.MAXIFS('Esecuzioni'!$B$8:$B$1007,'Esecuzioni'!$A$8:$A$1007,A127)),IF(LEFT(U127,8)="FREEBET:",0,Z127)))</x:f>
      </x:c>
      <x:c r="AS127" s="48" t="str">
        <x:f>IF(OR(A127="",E127=""),"",IF(COUNTIFS($E$8:E127,E127)=1,COUNT($AS$7:AS126)+1,""))</x:f>
      </x:c>
    </x:row>
    <x:row r="128" ht="22" customHeight="1">
      <x:c r="A128" s="7"/>
      <x:c r="B128" s="19"/>
      <x:c r="C128" s="19"/>
      <x:c r="D128" s="7"/>
      <x:c r="E128" s="7"/>
      <x:c r="F128" s="7"/>
      <x:c r="G128" s="7"/>
      <x:c r="H128" s="7"/>
      <x:c r="I128" s="7"/>
      <x:c r="J128" s="7"/>
      <x:c r="K128" s="10"/>
      <x:c r="L128" s="7"/>
      <x:c r="M128" s="10"/>
      <x:c r="N128" s="7"/>
      <x:c r="O128" s="8"/>
      <x:c r="P128" s="8"/>
      <x:c r="Q128" s="8"/>
      <x:c r="R128" s="9"/>
      <x:c r="S128" s="7"/>
      <x:c r="T128" s="7"/>
      <x:c r="U128" s="7"/>
      <x:c r="V128" s="7"/>
      <x:c r="W128" s="22" t="str">
        <x:f>IF(A128="","",COUNTIFS('Esecuzioni'!$A$8:$A$1007,A128,'Esecuzioni'!$Q$8:$Q$1007,"OK"))</x:f>
      </x:c>
      <x:c r="X128" s="20" t="str">
        <x:f>IF(OR(A128="",I128&lt;&gt;"Esecuzioni",W128=0),"",SUMIFS('Esecuzioni'!$L$8:$L$1007,'Esecuzioni'!$A$8:$A$1007,A128))</x:f>
      </x:c>
      <x:c r="Y128" s="20" t="str">
        <x:f>IF(OR(A128="",I128&lt;&gt;"Esecuzioni",W128=0),"",SUMIFS('Esecuzioni'!$M$8:$M$1007,'Esecuzioni'!$A$8:$A$1007,A128))</x:f>
      </x:c>
      <x:c r="Z128" s="20" t="str">
        <x:f>IF(A128="","",IF(J128="Annullato",0,IF(ISNUMBER(O128),O128,IF(AND(I128="Esecuzioni",W128&gt;0),_xlfn.MAXIFS('Esecuzioni'!$P$8:$P$1007,'Esecuzioni'!$A$8:$A$1007,A128),""))))</x:f>
      </x:c>
      <x:c r="AA128" s="20" t="str">
        <x:f>IF(OR(A128="",J128="Aperto"),"",IF(J128="Annullato",0,IF(I128="Lordo manuale",IF(ISNUMBER(P128),P128,""),IF(I128="Netto manuale",IF(AND(ISNUMBER(P128),ISNUMBER(Q128)),P128+Q128,""),IF(OR(W128=0,COUNTIFS('Esecuzioni'!$A$8:$A$1007,A128,'Esecuzioni'!$Q$8:$Q$1007,"&lt;&gt;OK")&gt;0),"",IF(S128="Vince",X128,IF(S128="Perde",Y128,IF(AND(S128="Coperto",ABS(X128-Y128)&lt;='Impostazioni'!$B$11),ROUND((X128+Y128)/2,2),""))))))))</x:f>
      </x:c>
      <x:c r="AB128" s="20" t="str">
        <x:f>IF(NOT(ISNUMBER(AA128)),"",IF(J128="Annullato",0,IF(ISNUMBER(Q128),Q128,ROUND(MAX(0,AA128)*IF(ISNUMBER(R128),R128,'Impostazioni'!$B$8),2))))</x:f>
      </x:c>
      <x:c r="AC128" s="20" t="str">
        <x:f>IF(AND(ISNUMBER(AA128),ISNUMBER(AB128)),ROUND(AA128-AB128,2),"")</x:f>
      </x:c>
      <x:c r="AD128" s="18" t="str">
        <x:f>IF(A128="","",IF(AQ128&lt;&gt;"OK","Incompleto",IF(J128="Aperto","Aperto",IF(J128="Annullato","Annullato",IF(AC128&gt;0,"Green",IF(AC128&lt;0,"Red","Flat"))))))</x:f>
      </x:c>
      <x:c r="AE128" s="21" t="str">
        <x:f>IF(AND(AH128=1,Z128&gt;0),AC128/Z128,"")</x:f>
      </x:c>
      <x:c r="AF128" s="22" t="str">
        <x:f>IF(AH128&lt;&gt;1,"",COUNTIFS($C$8:$C$507,"&lt;"&amp;C128,$AH$8:$AH$507,1)+COUNTIFS($C$8:$C$507,C128,$A$8:$A$507,"&lt;="&amp;A128,$AH$8:$AH$507,1))</x:f>
      </x:c>
      <x:c r="AG128" s="20" t="str">
        <x:f>IF(AH128&lt;&gt;1,"",SUMIFS($AC$8:$AC$507,$C$8:$C$507,"&lt;"&amp;C128,$AH$8:$AH$507,1)+SUMIFS($AC$8:$AC$507,$C$8:$C$507,C128,$A$8:$A$507,"&lt;="&amp;A128,$AH$8:$AH$507,1))</x:f>
      </x:c>
      <x:c r="AH128" s="22" t="str">
        <x:f>IF(A128="","",IF(AND(J128="Chiuso",AQ128="OK",ISNUMBER(AC128)),1,0))</x:f>
      </x:c>
      <x:c r="AI128" s="20" t="str">
        <x:f>IF(AH128&lt;&gt;1,"",MAX(0,_xlfn.MAXIFS($AG$8:$AG$507,$AF$8:$AF$507,"&lt;="&amp;AF128,$AH$8:$AH$507,1)))</x:f>
      </x:c>
      <x:c r="AJ128" s="20" t="str">
        <x:f>IF(AH128&lt;&gt;1,"",MAX(0,AI128-AG128))</x:f>
      </x:c>
      <x:c r="AK128" s="21" t="str">
        <x:f>IF(OR(AH128&lt;&gt;1,NOT(ISNUMBER('Impostazioni'!$B$6)),'Impostazioni'!$B$6+AI128&lt;=0),"",AJ128/('Impostazioni'!$B$6+AI128))</x:f>
      </x:c>
      <x:c r="AL128" s="22" t="str">
        <x:f>IF(AH128&lt;&gt;1,"",IF(AC128&gt;0,AF128-_xlfn.MAXIFS($AF$8:$AF$507,$AF$8:$AF$507,"&lt;="&amp;AF128,$AC$8:$AC$507,"&lt;=0",$AH$8:$AH$507,1),0))</x:f>
      </x:c>
      <x:c r="AM128" s="22" t="str">
        <x:f>IF(AH128&lt;&gt;1,"",IF(AC128&lt;0,AF128-_xlfn.MAXIFS($AF$8:$AF$507,$AF$8:$AF$507,"&lt;="&amp;AF128,$AC$8:$AC$507,"&gt;=0",$AH$8:$AH$507,1),0))</x:f>
      </x:c>
      <x:c r="AN128" s="20" t="str">
        <x:f>IF(OR(A128="",NOT(ISNUMBER(B128)),NOT(ISNUMBER('Impostazioni'!$B$6))),"",'Impostazioni'!$B$6+SUMIFS($AC$8:$AC$507,$C$8:$C$507,"&lt;"&amp;B128,$AH$8:$AH$507,1)+SUMIFS('Cassa'!$F$8:$F$307,'Cassa'!$A$8:$A$307,"&lt;="&amp;B128,'Cassa'!$G$8:$G$307,"OK"))</x:f>
      </x:c>
      <x:c r="AO128" s="21" t="str">
        <x:f>IF(AND(ISNUMBER(Z128),ISNUMBER(AN128),AN128&gt;0),Z128/AN128,"")</x:f>
      </x:c>
      <x:c r="AP128" s="18" t="str">
        <x:f>IF(NOT(ISNUMBER(AO128)),"",IF(AO128&gt;'Impostazioni'!$B$7,"Oltre soglia personale","Nella soglia personale"))</x:f>
      </x:c>
      <x:c r="AQ128" s="18" t="str">
        <x:f>IF(A128="",IF(COUNTA(B128:V128)=0,"","Inserisci ID"),IF(COUNTIFS($A$8:$A$507,A128)&lt;&gt;1,"ID duplicato",IF(OR(NOT(ISNUMBER(B128)),D128="",E128="",F128="",G128="",H128="",COUNTIFS('Impostazioni'!$J$6:$J$25,F128)&lt;&gt;1),"Completa dati / elenchi",IF(OR(AND(I128&lt;&gt;"Lordo manuale",I128&lt;&gt;"Netto manuale",I128&lt;&gt;"Esecuzioni"),AND(J128&lt;&gt;"Aperto",J128&lt;&gt;"Chiuso",J128&lt;&gt;"Annullato")),"Modalità / stato mancanti",IF(AND(J128&lt;&gt;"Aperto",OR(NOT(ISNUMBER(C128)),C128&lt;B128)),"Correggi data chiusura",IF(OR(AND(Q128&lt;&gt;"",OR(NOT(ISNUMBER(Q128)),Q128&lt;0)),AND(R128&lt;&gt;"",OR(NOT(ISNUMBER(R128)),R128&lt;0,R128&gt;1))),"Commissione non valida",IF(J128="Annullato","OK",IF(OR(NOT(ISNUMBER(Z128)),Z128&lt;0,AND(O128&lt;&gt;"",NOT(ISNUMBER(O128)))),"Inserisci rischio",IF(AND(I128="Esecuzioni",OR(W128=0,COUNTIFS('Esecuzioni'!$A$8:$A$1007,A128,'Esecuzioni'!$Q$8:$Q$1007,"&lt;&gt;OK")&gt;0)),"Correggi esecuzioni",IF(J128="Aperto","OK",IF(AND(I128="Esecuzioni",S128="Coperto",ABS(X128-Y128)&gt;'Impostazioni'!$B$11),"Copertura residua",IF(NOT(ISNUMBER(AC128)),"Completa risultato / esito",IF(AND(Z128=0,AC128&lt;&gt;0),"Rischio nullo con P/L","OK")))))))))))))</x:f>
      </x:c>
      <x:c r="AR128" s="20" t="str">
        <x:f>IF(OR(A128="",J128&lt;&gt;"Aperto",AQ128&lt;&gt;"OK"),"",IF(I128="Esecuzioni",SUMIFS('Esecuzioni'!$P$8:$P$1007,'Esecuzioni'!$A$8:$A$1007,A128,'Esecuzioni'!$B$8:$B$1007,_xlfn.MAXIFS('Esecuzioni'!$B$8:$B$1007,'Esecuzioni'!$A$8:$A$1007,A128)),IF(LEFT(U128,8)="FREEBET:",0,Z128)))</x:f>
      </x:c>
      <x:c r="AS128" s="48" t="str">
        <x:f>IF(OR(A128="",E128=""),"",IF(COUNTIFS($E$8:E128,E128)=1,COUNT($AS$7:AS127)+1,""))</x:f>
      </x:c>
    </x:row>
    <x:row r="129" ht="22" customHeight="1">
      <x:c r="A129" s="7"/>
      <x:c r="B129" s="19"/>
      <x:c r="C129" s="19"/>
      <x:c r="D129" s="7"/>
      <x:c r="E129" s="7"/>
      <x:c r="F129" s="7"/>
      <x:c r="G129" s="7"/>
      <x:c r="H129" s="7"/>
      <x:c r="I129" s="7"/>
      <x:c r="J129" s="7"/>
      <x:c r="K129" s="10"/>
      <x:c r="L129" s="7"/>
      <x:c r="M129" s="10"/>
      <x:c r="N129" s="7"/>
      <x:c r="O129" s="8"/>
      <x:c r="P129" s="8"/>
      <x:c r="Q129" s="8"/>
      <x:c r="R129" s="9"/>
      <x:c r="S129" s="7"/>
      <x:c r="T129" s="7"/>
      <x:c r="U129" s="7"/>
      <x:c r="V129" s="7"/>
      <x:c r="W129" s="22" t="str">
        <x:f>IF(A129="","",COUNTIFS('Esecuzioni'!$A$8:$A$1007,A129,'Esecuzioni'!$Q$8:$Q$1007,"OK"))</x:f>
      </x:c>
      <x:c r="X129" s="20" t="str">
        <x:f>IF(OR(A129="",I129&lt;&gt;"Esecuzioni",W129=0),"",SUMIFS('Esecuzioni'!$L$8:$L$1007,'Esecuzioni'!$A$8:$A$1007,A129))</x:f>
      </x:c>
      <x:c r="Y129" s="20" t="str">
        <x:f>IF(OR(A129="",I129&lt;&gt;"Esecuzioni",W129=0),"",SUMIFS('Esecuzioni'!$M$8:$M$1007,'Esecuzioni'!$A$8:$A$1007,A129))</x:f>
      </x:c>
      <x:c r="Z129" s="20" t="str">
        <x:f>IF(A129="","",IF(J129="Annullato",0,IF(ISNUMBER(O129),O129,IF(AND(I129="Esecuzioni",W129&gt;0),_xlfn.MAXIFS('Esecuzioni'!$P$8:$P$1007,'Esecuzioni'!$A$8:$A$1007,A129),""))))</x:f>
      </x:c>
      <x:c r="AA129" s="20" t="str">
        <x:f>IF(OR(A129="",J129="Aperto"),"",IF(J129="Annullato",0,IF(I129="Lordo manuale",IF(ISNUMBER(P129),P129,""),IF(I129="Netto manuale",IF(AND(ISNUMBER(P129),ISNUMBER(Q129)),P129+Q129,""),IF(OR(W129=0,COUNTIFS('Esecuzioni'!$A$8:$A$1007,A129,'Esecuzioni'!$Q$8:$Q$1007,"&lt;&gt;OK")&gt;0),"",IF(S129="Vince",X129,IF(S129="Perde",Y129,IF(AND(S129="Coperto",ABS(X129-Y129)&lt;='Impostazioni'!$B$11),ROUND((X129+Y129)/2,2),""))))))))</x:f>
      </x:c>
      <x:c r="AB129" s="20" t="str">
        <x:f>IF(NOT(ISNUMBER(AA129)),"",IF(J129="Annullato",0,IF(ISNUMBER(Q129),Q129,ROUND(MAX(0,AA129)*IF(ISNUMBER(R129),R129,'Impostazioni'!$B$8),2))))</x:f>
      </x:c>
      <x:c r="AC129" s="20" t="str">
        <x:f>IF(AND(ISNUMBER(AA129),ISNUMBER(AB129)),ROUND(AA129-AB129,2),"")</x:f>
      </x:c>
      <x:c r="AD129" s="18" t="str">
        <x:f>IF(A129="","",IF(AQ129&lt;&gt;"OK","Incompleto",IF(J129="Aperto","Aperto",IF(J129="Annullato","Annullato",IF(AC129&gt;0,"Green",IF(AC129&lt;0,"Red","Flat"))))))</x:f>
      </x:c>
      <x:c r="AE129" s="21" t="str">
        <x:f>IF(AND(AH129=1,Z129&gt;0),AC129/Z129,"")</x:f>
      </x:c>
      <x:c r="AF129" s="22" t="str">
        <x:f>IF(AH129&lt;&gt;1,"",COUNTIFS($C$8:$C$507,"&lt;"&amp;C129,$AH$8:$AH$507,1)+COUNTIFS($C$8:$C$507,C129,$A$8:$A$507,"&lt;="&amp;A129,$AH$8:$AH$507,1))</x:f>
      </x:c>
      <x:c r="AG129" s="20" t="str">
        <x:f>IF(AH129&lt;&gt;1,"",SUMIFS($AC$8:$AC$507,$C$8:$C$507,"&lt;"&amp;C129,$AH$8:$AH$507,1)+SUMIFS($AC$8:$AC$507,$C$8:$C$507,C129,$A$8:$A$507,"&lt;="&amp;A129,$AH$8:$AH$507,1))</x:f>
      </x:c>
      <x:c r="AH129" s="22" t="str">
        <x:f>IF(A129="","",IF(AND(J129="Chiuso",AQ129="OK",ISNUMBER(AC129)),1,0))</x:f>
      </x:c>
      <x:c r="AI129" s="20" t="str">
        <x:f>IF(AH129&lt;&gt;1,"",MAX(0,_xlfn.MAXIFS($AG$8:$AG$507,$AF$8:$AF$507,"&lt;="&amp;AF129,$AH$8:$AH$507,1)))</x:f>
      </x:c>
      <x:c r="AJ129" s="20" t="str">
        <x:f>IF(AH129&lt;&gt;1,"",MAX(0,AI129-AG129))</x:f>
      </x:c>
      <x:c r="AK129" s="21" t="str">
        <x:f>IF(OR(AH129&lt;&gt;1,NOT(ISNUMBER('Impostazioni'!$B$6)),'Impostazioni'!$B$6+AI129&lt;=0),"",AJ129/('Impostazioni'!$B$6+AI129))</x:f>
      </x:c>
      <x:c r="AL129" s="22" t="str">
        <x:f>IF(AH129&lt;&gt;1,"",IF(AC129&gt;0,AF129-_xlfn.MAXIFS($AF$8:$AF$507,$AF$8:$AF$507,"&lt;="&amp;AF129,$AC$8:$AC$507,"&lt;=0",$AH$8:$AH$507,1),0))</x:f>
      </x:c>
      <x:c r="AM129" s="22" t="str">
        <x:f>IF(AH129&lt;&gt;1,"",IF(AC129&lt;0,AF129-_xlfn.MAXIFS($AF$8:$AF$507,$AF$8:$AF$507,"&lt;="&amp;AF129,$AC$8:$AC$507,"&gt;=0",$AH$8:$AH$507,1),0))</x:f>
      </x:c>
      <x:c r="AN129" s="20" t="str">
        <x:f>IF(OR(A129="",NOT(ISNUMBER(B129)),NOT(ISNUMBER('Impostazioni'!$B$6))),"",'Impostazioni'!$B$6+SUMIFS($AC$8:$AC$507,$C$8:$C$507,"&lt;"&amp;B129,$AH$8:$AH$507,1)+SUMIFS('Cassa'!$F$8:$F$307,'Cassa'!$A$8:$A$307,"&lt;="&amp;B129,'Cassa'!$G$8:$G$307,"OK"))</x:f>
      </x:c>
      <x:c r="AO129" s="21" t="str">
        <x:f>IF(AND(ISNUMBER(Z129),ISNUMBER(AN129),AN129&gt;0),Z129/AN129,"")</x:f>
      </x:c>
      <x:c r="AP129" s="18" t="str">
        <x:f>IF(NOT(ISNUMBER(AO129)),"",IF(AO129&gt;'Impostazioni'!$B$7,"Oltre soglia personale","Nella soglia personale"))</x:f>
      </x:c>
      <x:c r="AQ129" s="18" t="str">
        <x:f>IF(A129="",IF(COUNTA(B129:V129)=0,"","Inserisci ID"),IF(COUNTIFS($A$8:$A$507,A129)&lt;&gt;1,"ID duplicato",IF(OR(NOT(ISNUMBER(B129)),D129="",E129="",F129="",G129="",H129="",COUNTIFS('Impostazioni'!$J$6:$J$25,F129)&lt;&gt;1),"Completa dati / elenchi",IF(OR(AND(I129&lt;&gt;"Lordo manuale",I129&lt;&gt;"Netto manuale",I129&lt;&gt;"Esecuzioni"),AND(J129&lt;&gt;"Aperto",J129&lt;&gt;"Chiuso",J129&lt;&gt;"Annullato")),"Modalità / stato mancanti",IF(AND(J129&lt;&gt;"Aperto",OR(NOT(ISNUMBER(C129)),C129&lt;B129)),"Correggi data chiusura",IF(OR(AND(Q129&lt;&gt;"",OR(NOT(ISNUMBER(Q129)),Q129&lt;0)),AND(R129&lt;&gt;"",OR(NOT(ISNUMBER(R129)),R129&lt;0,R129&gt;1))),"Commissione non valida",IF(J129="Annullato","OK",IF(OR(NOT(ISNUMBER(Z129)),Z129&lt;0,AND(O129&lt;&gt;"",NOT(ISNUMBER(O129)))),"Inserisci rischio",IF(AND(I129="Esecuzioni",OR(W129=0,COUNTIFS('Esecuzioni'!$A$8:$A$1007,A129,'Esecuzioni'!$Q$8:$Q$1007,"&lt;&gt;OK")&gt;0)),"Correggi esecuzioni",IF(J129="Aperto","OK",IF(AND(I129="Esecuzioni",S129="Coperto",ABS(X129-Y129)&gt;'Impostazioni'!$B$11),"Copertura residua",IF(NOT(ISNUMBER(AC129)),"Completa risultato / esito",IF(AND(Z129=0,AC129&lt;&gt;0),"Rischio nullo con P/L","OK")))))))))))))</x:f>
      </x:c>
      <x:c r="AR129" s="20" t="str">
        <x:f>IF(OR(A129="",J129&lt;&gt;"Aperto",AQ129&lt;&gt;"OK"),"",IF(I129="Esecuzioni",SUMIFS('Esecuzioni'!$P$8:$P$1007,'Esecuzioni'!$A$8:$A$1007,A129,'Esecuzioni'!$B$8:$B$1007,_xlfn.MAXIFS('Esecuzioni'!$B$8:$B$1007,'Esecuzioni'!$A$8:$A$1007,A129)),IF(LEFT(U129,8)="FREEBET:",0,Z129)))</x:f>
      </x:c>
      <x:c r="AS129" s="48" t="str">
        <x:f>IF(OR(A129="",E129=""),"",IF(COUNTIFS($E$8:E129,E129)=1,COUNT($AS$7:AS128)+1,""))</x:f>
      </x:c>
    </x:row>
    <x:row r="130" ht="22" customHeight="1">
      <x:c r="A130" s="7"/>
      <x:c r="B130" s="19"/>
      <x:c r="C130" s="19"/>
      <x:c r="D130" s="7"/>
      <x:c r="E130" s="7"/>
      <x:c r="F130" s="7"/>
      <x:c r="G130" s="7"/>
      <x:c r="H130" s="7"/>
      <x:c r="I130" s="7"/>
      <x:c r="J130" s="7"/>
      <x:c r="K130" s="10"/>
      <x:c r="L130" s="7"/>
      <x:c r="M130" s="10"/>
      <x:c r="N130" s="7"/>
      <x:c r="O130" s="8"/>
      <x:c r="P130" s="8"/>
      <x:c r="Q130" s="8"/>
      <x:c r="R130" s="9"/>
      <x:c r="S130" s="7"/>
      <x:c r="T130" s="7"/>
      <x:c r="U130" s="7"/>
      <x:c r="V130" s="7"/>
      <x:c r="W130" s="22" t="str">
        <x:f>IF(A130="","",COUNTIFS('Esecuzioni'!$A$8:$A$1007,A130,'Esecuzioni'!$Q$8:$Q$1007,"OK"))</x:f>
      </x:c>
      <x:c r="X130" s="20" t="str">
        <x:f>IF(OR(A130="",I130&lt;&gt;"Esecuzioni",W130=0),"",SUMIFS('Esecuzioni'!$L$8:$L$1007,'Esecuzioni'!$A$8:$A$1007,A130))</x:f>
      </x:c>
      <x:c r="Y130" s="20" t="str">
        <x:f>IF(OR(A130="",I130&lt;&gt;"Esecuzioni",W130=0),"",SUMIFS('Esecuzioni'!$M$8:$M$1007,'Esecuzioni'!$A$8:$A$1007,A130))</x:f>
      </x:c>
      <x:c r="Z130" s="20" t="str">
        <x:f>IF(A130="","",IF(J130="Annullato",0,IF(ISNUMBER(O130),O130,IF(AND(I130="Esecuzioni",W130&gt;0),_xlfn.MAXIFS('Esecuzioni'!$P$8:$P$1007,'Esecuzioni'!$A$8:$A$1007,A130),""))))</x:f>
      </x:c>
      <x:c r="AA130" s="20" t="str">
        <x:f>IF(OR(A130="",J130="Aperto"),"",IF(J130="Annullato",0,IF(I130="Lordo manuale",IF(ISNUMBER(P130),P130,""),IF(I130="Netto manuale",IF(AND(ISNUMBER(P130),ISNUMBER(Q130)),P130+Q130,""),IF(OR(W130=0,COUNTIFS('Esecuzioni'!$A$8:$A$1007,A130,'Esecuzioni'!$Q$8:$Q$1007,"&lt;&gt;OK")&gt;0),"",IF(S130="Vince",X130,IF(S130="Perde",Y130,IF(AND(S130="Coperto",ABS(X130-Y130)&lt;='Impostazioni'!$B$11),ROUND((X130+Y130)/2,2),""))))))))</x:f>
      </x:c>
      <x:c r="AB130" s="20" t="str">
        <x:f>IF(NOT(ISNUMBER(AA130)),"",IF(J130="Annullato",0,IF(ISNUMBER(Q130),Q130,ROUND(MAX(0,AA130)*IF(ISNUMBER(R130),R130,'Impostazioni'!$B$8),2))))</x:f>
      </x:c>
      <x:c r="AC130" s="20" t="str">
        <x:f>IF(AND(ISNUMBER(AA130),ISNUMBER(AB130)),ROUND(AA130-AB130,2),"")</x:f>
      </x:c>
      <x:c r="AD130" s="18" t="str">
        <x:f>IF(A130="","",IF(AQ130&lt;&gt;"OK","Incompleto",IF(J130="Aperto","Aperto",IF(J130="Annullato","Annullato",IF(AC130&gt;0,"Green",IF(AC130&lt;0,"Red","Flat"))))))</x:f>
      </x:c>
      <x:c r="AE130" s="21" t="str">
        <x:f>IF(AND(AH130=1,Z130&gt;0),AC130/Z130,"")</x:f>
      </x:c>
      <x:c r="AF130" s="22" t="str">
        <x:f>IF(AH130&lt;&gt;1,"",COUNTIFS($C$8:$C$507,"&lt;"&amp;C130,$AH$8:$AH$507,1)+COUNTIFS($C$8:$C$507,C130,$A$8:$A$507,"&lt;="&amp;A130,$AH$8:$AH$507,1))</x:f>
      </x:c>
      <x:c r="AG130" s="20" t="str">
        <x:f>IF(AH130&lt;&gt;1,"",SUMIFS($AC$8:$AC$507,$C$8:$C$507,"&lt;"&amp;C130,$AH$8:$AH$507,1)+SUMIFS($AC$8:$AC$507,$C$8:$C$507,C130,$A$8:$A$507,"&lt;="&amp;A130,$AH$8:$AH$507,1))</x:f>
      </x:c>
      <x:c r="AH130" s="22" t="str">
        <x:f>IF(A130="","",IF(AND(J130="Chiuso",AQ130="OK",ISNUMBER(AC130)),1,0))</x:f>
      </x:c>
      <x:c r="AI130" s="20" t="str">
        <x:f>IF(AH130&lt;&gt;1,"",MAX(0,_xlfn.MAXIFS($AG$8:$AG$507,$AF$8:$AF$507,"&lt;="&amp;AF130,$AH$8:$AH$507,1)))</x:f>
      </x:c>
      <x:c r="AJ130" s="20" t="str">
        <x:f>IF(AH130&lt;&gt;1,"",MAX(0,AI130-AG130))</x:f>
      </x:c>
      <x:c r="AK130" s="21" t="str">
        <x:f>IF(OR(AH130&lt;&gt;1,NOT(ISNUMBER('Impostazioni'!$B$6)),'Impostazioni'!$B$6+AI130&lt;=0),"",AJ130/('Impostazioni'!$B$6+AI130))</x:f>
      </x:c>
      <x:c r="AL130" s="22" t="str">
        <x:f>IF(AH130&lt;&gt;1,"",IF(AC130&gt;0,AF130-_xlfn.MAXIFS($AF$8:$AF$507,$AF$8:$AF$507,"&lt;="&amp;AF130,$AC$8:$AC$507,"&lt;=0",$AH$8:$AH$507,1),0))</x:f>
      </x:c>
      <x:c r="AM130" s="22" t="str">
        <x:f>IF(AH130&lt;&gt;1,"",IF(AC130&lt;0,AF130-_xlfn.MAXIFS($AF$8:$AF$507,$AF$8:$AF$507,"&lt;="&amp;AF130,$AC$8:$AC$507,"&gt;=0",$AH$8:$AH$507,1),0))</x:f>
      </x:c>
      <x:c r="AN130" s="20" t="str">
        <x:f>IF(OR(A130="",NOT(ISNUMBER(B130)),NOT(ISNUMBER('Impostazioni'!$B$6))),"",'Impostazioni'!$B$6+SUMIFS($AC$8:$AC$507,$C$8:$C$507,"&lt;"&amp;B130,$AH$8:$AH$507,1)+SUMIFS('Cassa'!$F$8:$F$307,'Cassa'!$A$8:$A$307,"&lt;="&amp;B130,'Cassa'!$G$8:$G$307,"OK"))</x:f>
      </x:c>
      <x:c r="AO130" s="21" t="str">
        <x:f>IF(AND(ISNUMBER(Z130),ISNUMBER(AN130),AN130&gt;0),Z130/AN130,"")</x:f>
      </x:c>
      <x:c r="AP130" s="18" t="str">
        <x:f>IF(NOT(ISNUMBER(AO130)),"",IF(AO130&gt;'Impostazioni'!$B$7,"Oltre soglia personale","Nella soglia personale"))</x:f>
      </x:c>
      <x:c r="AQ130" s="18" t="str">
        <x:f>IF(A130="",IF(COUNTA(B130:V130)=0,"","Inserisci ID"),IF(COUNTIFS($A$8:$A$507,A130)&lt;&gt;1,"ID duplicato",IF(OR(NOT(ISNUMBER(B130)),D130="",E130="",F130="",G130="",H130="",COUNTIFS('Impostazioni'!$J$6:$J$25,F130)&lt;&gt;1),"Completa dati / elenchi",IF(OR(AND(I130&lt;&gt;"Lordo manuale",I130&lt;&gt;"Netto manuale",I130&lt;&gt;"Esecuzioni"),AND(J130&lt;&gt;"Aperto",J130&lt;&gt;"Chiuso",J130&lt;&gt;"Annullato")),"Modalità / stato mancanti",IF(AND(J130&lt;&gt;"Aperto",OR(NOT(ISNUMBER(C130)),C130&lt;B130)),"Correggi data chiusura",IF(OR(AND(Q130&lt;&gt;"",OR(NOT(ISNUMBER(Q130)),Q130&lt;0)),AND(R130&lt;&gt;"",OR(NOT(ISNUMBER(R130)),R130&lt;0,R130&gt;1))),"Commissione non valida",IF(J130="Annullato","OK",IF(OR(NOT(ISNUMBER(Z130)),Z130&lt;0,AND(O130&lt;&gt;"",NOT(ISNUMBER(O130)))),"Inserisci rischio",IF(AND(I130="Esecuzioni",OR(W130=0,COUNTIFS('Esecuzioni'!$A$8:$A$1007,A130,'Esecuzioni'!$Q$8:$Q$1007,"&lt;&gt;OK")&gt;0)),"Correggi esecuzioni",IF(J130="Aperto","OK",IF(AND(I130="Esecuzioni",S130="Coperto",ABS(X130-Y130)&gt;'Impostazioni'!$B$11),"Copertura residua",IF(NOT(ISNUMBER(AC130)),"Completa risultato / esito",IF(AND(Z130=0,AC130&lt;&gt;0),"Rischio nullo con P/L","OK")))))))))))))</x:f>
      </x:c>
      <x:c r="AR130" s="20" t="str">
        <x:f>IF(OR(A130="",J130&lt;&gt;"Aperto",AQ130&lt;&gt;"OK"),"",IF(I130="Esecuzioni",SUMIFS('Esecuzioni'!$P$8:$P$1007,'Esecuzioni'!$A$8:$A$1007,A130,'Esecuzioni'!$B$8:$B$1007,_xlfn.MAXIFS('Esecuzioni'!$B$8:$B$1007,'Esecuzioni'!$A$8:$A$1007,A130)),IF(LEFT(U130,8)="FREEBET:",0,Z130)))</x:f>
      </x:c>
      <x:c r="AS130" s="48" t="str">
        <x:f>IF(OR(A130="",E130=""),"",IF(COUNTIFS($E$8:E130,E130)=1,COUNT($AS$7:AS129)+1,""))</x:f>
      </x:c>
    </x:row>
    <x:row r="131" ht="22" customHeight="1">
      <x:c r="A131" s="7"/>
      <x:c r="B131" s="19"/>
      <x:c r="C131" s="19"/>
      <x:c r="D131" s="7"/>
      <x:c r="E131" s="7"/>
      <x:c r="F131" s="7"/>
      <x:c r="G131" s="7"/>
      <x:c r="H131" s="7"/>
      <x:c r="I131" s="7"/>
      <x:c r="J131" s="7"/>
      <x:c r="K131" s="10"/>
      <x:c r="L131" s="7"/>
      <x:c r="M131" s="10"/>
      <x:c r="N131" s="7"/>
      <x:c r="O131" s="8"/>
      <x:c r="P131" s="8"/>
      <x:c r="Q131" s="8"/>
      <x:c r="R131" s="9"/>
      <x:c r="S131" s="7"/>
      <x:c r="T131" s="7"/>
      <x:c r="U131" s="7"/>
      <x:c r="V131" s="7"/>
      <x:c r="W131" s="22" t="str">
        <x:f>IF(A131="","",COUNTIFS('Esecuzioni'!$A$8:$A$1007,A131,'Esecuzioni'!$Q$8:$Q$1007,"OK"))</x:f>
      </x:c>
      <x:c r="X131" s="20" t="str">
        <x:f>IF(OR(A131="",I131&lt;&gt;"Esecuzioni",W131=0),"",SUMIFS('Esecuzioni'!$L$8:$L$1007,'Esecuzioni'!$A$8:$A$1007,A131))</x:f>
      </x:c>
      <x:c r="Y131" s="20" t="str">
        <x:f>IF(OR(A131="",I131&lt;&gt;"Esecuzioni",W131=0),"",SUMIFS('Esecuzioni'!$M$8:$M$1007,'Esecuzioni'!$A$8:$A$1007,A131))</x:f>
      </x:c>
      <x:c r="Z131" s="20" t="str">
        <x:f>IF(A131="","",IF(J131="Annullato",0,IF(ISNUMBER(O131),O131,IF(AND(I131="Esecuzioni",W131&gt;0),_xlfn.MAXIFS('Esecuzioni'!$P$8:$P$1007,'Esecuzioni'!$A$8:$A$1007,A131),""))))</x:f>
      </x:c>
      <x:c r="AA131" s="20" t="str">
        <x:f>IF(OR(A131="",J131="Aperto"),"",IF(J131="Annullato",0,IF(I131="Lordo manuale",IF(ISNUMBER(P131),P131,""),IF(I131="Netto manuale",IF(AND(ISNUMBER(P131),ISNUMBER(Q131)),P131+Q131,""),IF(OR(W131=0,COUNTIFS('Esecuzioni'!$A$8:$A$1007,A131,'Esecuzioni'!$Q$8:$Q$1007,"&lt;&gt;OK")&gt;0),"",IF(S131="Vince",X131,IF(S131="Perde",Y131,IF(AND(S131="Coperto",ABS(X131-Y131)&lt;='Impostazioni'!$B$11),ROUND((X131+Y131)/2,2),""))))))))</x:f>
      </x:c>
      <x:c r="AB131" s="20" t="str">
        <x:f>IF(NOT(ISNUMBER(AA131)),"",IF(J131="Annullato",0,IF(ISNUMBER(Q131),Q131,ROUND(MAX(0,AA131)*IF(ISNUMBER(R131),R131,'Impostazioni'!$B$8),2))))</x:f>
      </x:c>
      <x:c r="AC131" s="20" t="str">
        <x:f>IF(AND(ISNUMBER(AA131),ISNUMBER(AB131)),ROUND(AA131-AB131,2),"")</x:f>
      </x:c>
      <x:c r="AD131" s="18" t="str">
        <x:f>IF(A131="","",IF(AQ131&lt;&gt;"OK","Incompleto",IF(J131="Aperto","Aperto",IF(J131="Annullato","Annullato",IF(AC131&gt;0,"Green",IF(AC131&lt;0,"Red","Flat"))))))</x:f>
      </x:c>
      <x:c r="AE131" s="21" t="str">
        <x:f>IF(AND(AH131=1,Z131&gt;0),AC131/Z131,"")</x:f>
      </x:c>
      <x:c r="AF131" s="22" t="str">
        <x:f>IF(AH131&lt;&gt;1,"",COUNTIFS($C$8:$C$507,"&lt;"&amp;C131,$AH$8:$AH$507,1)+COUNTIFS($C$8:$C$507,C131,$A$8:$A$507,"&lt;="&amp;A131,$AH$8:$AH$507,1))</x:f>
      </x:c>
      <x:c r="AG131" s="20" t="str">
        <x:f>IF(AH131&lt;&gt;1,"",SUMIFS($AC$8:$AC$507,$C$8:$C$507,"&lt;"&amp;C131,$AH$8:$AH$507,1)+SUMIFS($AC$8:$AC$507,$C$8:$C$507,C131,$A$8:$A$507,"&lt;="&amp;A131,$AH$8:$AH$507,1))</x:f>
      </x:c>
      <x:c r="AH131" s="22" t="str">
        <x:f>IF(A131="","",IF(AND(J131="Chiuso",AQ131="OK",ISNUMBER(AC131)),1,0))</x:f>
      </x:c>
      <x:c r="AI131" s="20" t="str">
        <x:f>IF(AH131&lt;&gt;1,"",MAX(0,_xlfn.MAXIFS($AG$8:$AG$507,$AF$8:$AF$507,"&lt;="&amp;AF131,$AH$8:$AH$507,1)))</x:f>
      </x:c>
      <x:c r="AJ131" s="20" t="str">
        <x:f>IF(AH131&lt;&gt;1,"",MAX(0,AI131-AG131))</x:f>
      </x:c>
      <x:c r="AK131" s="21" t="str">
        <x:f>IF(OR(AH131&lt;&gt;1,NOT(ISNUMBER('Impostazioni'!$B$6)),'Impostazioni'!$B$6+AI131&lt;=0),"",AJ131/('Impostazioni'!$B$6+AI131))</x:f>
      </x:c>
      <x:c r="AL131" s="22" t="str">
        <x:f>IF(AH131&lt;&gt;1,"",IF(AC131&gt;0,AF131-_xlfn.MAXIFS($AF$8:$AF$507,$AF$8:$AF$507,"&lt;="&amp;AF131,$AC$8:$AC$507,"&lt;=0",$AH$8:$AH$507,1),0))</x:f>
      </x:c>
      <x:c r="AM131" s="22" t="str">
        <x:f>IF(AH131&lt;&gt;1,"",IF(AC131&lt;0,AF131-_xlfn.MAXIFS($AF$8:$AF$507,$AF$8:$AF$507,"&lt;="&amp;AF131,$AC$8:$AC$507,"&gt;=0",$AH$8:$AH$507,1),0))</x:f>
      </x:c>
      <x:c r="AN131" s="20" t="str">
        <x:f>IF(OR(A131="",NOT(ISNUMBER(B131)),NOT(ISNUMBER('Impostazioni'!$B$6))),"",'Impostazioni'!$B$6+SUMIFS($AC$8:$AC$507,$C$8:$C$507,"&lt;"&amp;B131,$AH$8:$AH$507,1)+SUMIFS('Cassa'!$F$8:$F$307,'Cassa'!$A$8:$A$307,"&lt;="&amp;B131,'Cassa'!$G$8:$G$307,"OK"))</x:f>
      </x:c>
      <x:c r="AO131" s="21" t="str">
        <x:f>IF(AND(ISNUMBER(Z131),ISNUMBER(AN131),AN131&gt;0),Z131/AN131,"")</x:f>
      </x:c>
      <x:c r="AP131" s="18" t="str">
        <x:f>IF(NOT(ISNUMBER(AO131)),"",IF(AO131&gt;'Impostazioni'!$B$7,"Oltre soglia personale","Nella soglia personale"))</x:f>
      </x:c>
      <x:c r="AQ131" s="18" t="str">
        <x:f>IF(A131="",IF(COUNTA(B131:V131)=0,"","Inserisci ID"),IF(COUNTIFS($A$8:$A$507,A131)&lt;&gt;1,"ID duplicato",IF(OR(NOT(ISNUMBER(B131)),D131="",E131="",F131="",G131="",H131="",COUNTIFS('Impostazioni'!$J$6:$J$25,F131)&lt;&gt;1),"Completa dati / elenchi",IF(OR(AND(I131&lt;&gt;"Lordo manuale",I131&lt;&gt;"Netto manuale",I131&lt;&gt;"Esecuzioni"),AND(J131&lt;&gt;"Aperto",J131&lt;&gt;"Chiuso",J131&lt;&gt;"Annullato")),"Modalità / stato mancanti",IF(AND(J131&lt;&gt;"Aperto",OR(NOT(ISNUMBER(C131)),C131&lt;B131)),"Correggi data chiusura",IF(OR(AND(Q131&lt;&gt;"",OR(NOT(ISNUMBER(Q131)),Q131&lt;0)),AND(R131&lt;&gt;"",OR(NOT(ISNUMBER(R131)),R131&lt;0,R131&gt;1))),"Commissione non valida",IF(J131="Annullato","OK",IF(OR(NOT(ISNUMBER(Z131)),Z131&lt;0,AND(O131&lt;&gt;"",NOT(ISNUMBER(O131)))),"Inserisci rischio",IF(AND(I131="Esecuzioni",OR(W131=0,COUNTIFS('Esecuzioni'!$A$8:$A$1007,A131,'Esecuzioni'!$Q$8:$Q$1007,"&lt;&gt;OK")&gt;0)),"Correggi esecuzioni",IF(J131="Aperto","OK",IF(AND(I131="Esecuzioni",S131="Coperto",ABS(X131-Y131)&gt;'Impostazioni'!$B$11),"Copertura residua",IF(NOT(ISNUMBER(AC131)),"Completa risultato / esito",IF(AND(Z131=0,AC131&lt;&gt;0),"Rischio nullo con P/L","OK")))))))))))))</x:f>
      </x:c>
      <x:c r="AR131" s="20" t="str">
        <x:f>IF(OR(A131="",J131&lt;&gt;"Aperto",AQ131&lt;&gt;"OK"),"",IF(I131="Esecuzioni",SUMIFS('Esecuzioni'!$P$8:$P$1007,'Esecuzioni'!$A$8:$A$1007,A131,'Esecuzioni'!$B$8:$B$1007,_xlfn.MAXIFS('Esecuzioni'!$B$8:$B$1007,'Esecuzioni'!$A$8:$A$1007,A131)),IF(LEFT(U131,8)="FREEBET:",0,Z131)))</x:f>
      </x:c>
      <x:c r="AS131" s="48" t="str">
        <x:f>IF(OR(A131="",E131=""),"",IF(COUNTIFS($E$8:E131,E131)=1,COUNT($AS$7:AS130)+1,""))</x:f>
      </x:c>
    </x:row>
    <x:row r="132" ht="22" customHeight="1">
      <x:c r="A132" s="7"/>
      <x:c r="B132" s="19"/>
      <x:c r="C132" s="19"/>
      <x:c r="D132" s="7"/>
      <x:c r="E132" s="7"/>
      <x:c r="F132" s="7"/>
      <x:c r="G132" s="7"/>
      <x:c r="H132" s="7"/>
      <x:c r="I132" s="7"/>
      <x:c r="J132" s="7"/>
      <x:c r="K132" s="10"/>
      <x:c r="L132" s="7"/>
      <x:c r="M132" s="10"/>
      <x:c r="N132" s="7"/>
      <x:c r="O132" s="8"/>
      <x:c r="P132" s="8"/>
      <x:c r="Q132" s="8"/>
      <x:c r="R132" s="9"/>
      <x:c r="S132" s="7"/>
      <x:c r="T132" s="7"/>
      <x:c r="U132" s="7"/>
      <x:c r="V132" s="7"/>
      <x:c r="W132" s="22" t="str">
        <x:f>IF(A132="","",COUNTIFS('Esecuzioni'!$A$8:$A$1007,A132,'Esecuzioni'!$Q$8:$Q$1007,"OK"))</x:f>
      </x:c>
      <x:c r="X132" s="20" t="str">
        <x:f>IF(OR(A132="",I132&lt;&gt;"Esecuzioni",W132=0),"",SUMIFS('Esecuzioni'!$L$8:$L$1007,'Esecuzioni'!$A$8:$A$1007,A132))</x:f>
      </x:c>
      <x:c r="Y132" s="20" t="str">
        <x:f>IF(OR(A132="",I132&lt;&gt;"Esecuzioni",W132=0),"",SUMIFS('Esecuzioni'!$M$8:$M$1007,'Esecuzioni'!$A$8:$A$1007,A132))</x:f>
      </x:c>
      <x:c r="Z132" s="20" t="str">
        <x:f>IF(A132="","",IF(J132="Annullato",0,IF(ISNUMBER(O132),O132,IF(AND(I132="Esecuzioni",W132&gt;0),_xlfn.MAXIFS('Esecuzioni'!$P$8:$P$1007,'Esecuzioni'!$A$8:$A$1007,A132),""))))</x:f>
      </x:c>
      <x:c r="AA132" s="20" t="str">
        <x:f>IF(OR(A132="",J132="Aperto"),"",IF(J132="Annullato",0,IF(I132="Lordo manuale",IF(ISNUMBER(P132),P132,""),IF(I132="Netto manuale",IF(AND(ISNUMBER(P132),ISNUMBER(Q132)),P132+Q132,""),IF(OR(W132=0,COUNTIFS('Esecuzioni'!$A$8:$A$1007,A132,'Esecuzioni'!$Q$8:$Q$1007,"&lt;&gt;OK")&gt;0),"",IF(S132="Vince",X132,IF(S132="Perde",Y132,IF(AND(S132="Coperto",ABS(X132-Y132)&lt;='Impostazioni'!$B$11),ROUND((X132+Y132)/2,2),""))))))))</x:f>
      </x:c>
      <x:c r="AB132" s="20" t="str">
        <x:f>IF(NOT(ISNUMBER(AA132)),"",IF(J132="Annullato",0,IF(ISNUMBER(Q132),Q132,ROUND(MAX(0,AA132)*IF(ISNUMBER(R132),R132,'Impostazioni'!$B$8),2))))</x:f>
      </x:c>
      <x:c r="AC132" s="20" t="str">
        <x:f>IF(AND(ISNUMBER(AA132),ISNUMBER(AB132)),ROUND(AA132-AB132,2),"")</x:f>
      </x:c>
      <x:c r="AD132" s="18" t="str">
        <x:f>IF(A132="","",IF(AQ132&lt;&gt;"OK","Incompleto",IF(J132="Aperto","Aperto",IF(J132="Annullato","Annullato",IF(AC132&gt;0,"Green",IF(AC132&lt;0,"Red","Flat"))))))</x:f>
      </x:c>
      <x:c r="AE132" s="21" t="str">
        <x:f>IF(AND(AH132=1,Z132&gt;0),AC132/Z132,"")</x:f>
      </x:c>
      <x:c r="AF132" s="22" t="str">
        <x:f>IF(AH132&lt;&gt;1,"",COUNTIFS($C$8:$C$507,"&lt;"&amp;C132,$AH$8:$AH$507,1)+COUNTIFS($C$8:$C$507,C132,$A$8:$A$507,"&lt;="&amp;A132,$AH$8:$AH$507,1))</x:f>
      </x:c>
      <x:c r="AG132" s="20" t="str">
        <x:f>IF(AH132&lt;&gt;1,"",SUMIFS($AC$8:$AC$507,$C$8:$C$507,"&lt;"&amp;C132,$AH$8:$AH$507,1)+SUMIFS($AC$8:$AC$507,$C$8:$C$507,C132,$A$8:$A$507,"&lt;="&amp;A132,$AH$8:$AH$507,1))</x:f>
      </x:c>
      <x:c r="AH132" s="22" t="str">
        <x:f>IF(A132="","",IF(AND(J132="Chiuso",AQ132="OK",ISNUMBER(AC132)),1,0))</x:f>
      </x:c>
      <x:c r="AI132" s="20" t="str">
        <x:f>IF(AH132&lt;&gt;1,"",MAX(0,_xlfn.MAXIFS($AG$8:$AG$507,$AF$8:$AF$507,"&lt;="&amp;AF132,$AH$8:$AH$507,1)))</x:f>
      </x:c>
      <x:c r="AJ132" s="20" t="str">
        <x:f>IF(AH132&lt;&gt;1,"",MAX(0,AI132-AG132))</x:f>
      </x:c>
      <x:c r="AK132" s="21" t="str">
        <x:f>IF(OR(AH132&lt;&gt;1,NOT(ISNUMBER('Impostazioni'!$B$6)),'Impostazioni'!$B$6+AI132&lt;=0),"",AJ132/('Impostazioni'!$B$6+AI132))</x:f>
      </x:c>
      <x:c r="AL132" s="22" t="str">
        <x:f>IF(AH132&lt;&gt;1,"",IF(AC132&gt;0,AF132-_xlfn.MAXIFS($AF$8:$AF$507,$AF$8:$AF$507,"&lt;="&amp;AF132,$AC$8:$AC$507,"&lt;=0",$AH$8:$AH$507,1),0))</x:f>
      </x:c>
      <x:c r="AM132" s="22" t="str">
        <x:f>IF(AH132&lt;&gt;1,"",IF(AC132&lt;0,AF132-_xlfn.MAXIFS($AF$8:$AF$507,$AF$8:$AF$507,"&lt;="&amp;AF132,$AC$8:$AC$507,"&gt;=0",$AH$8:$AH$507,1),0))</x:f>
      </x:c>
      <x:c r="AN132" s="20" t="str">
        <x:f>IF(OR(A132="",NOT(ISNUMBER(B132)),NOT(ISNUMBER('Impostazioni'!$B$6))),"",'Impostazioni'!$B$6+SUMIFS($AC$8:$AC$507,$C$8:$C$507,"&lt;"&amp;B132,$AH$8:$AH$507,1)+SUMIFS('Cassa'!$F$8:$F$307,'Cassa'!$A$8:$A$307,"&lt;="&amp;B132,'Cassa'!$G$8:$G$307,"OK"))</x:f>
      </x:c>
      <x:c r="AO132" s="21" t="str">
        <x:f>IF(AND(ISNUMBER(Z132),ISNUMBER(AN132),AN132&gt;0),Z132/AN132,"")</x:f>
      </x:c>
      <x:c r="AP132" s="18" t="str">
        <x:f>IF(NOT(ISNUMBER(AO132)),"",IF(AO132&gt;'Impostazioni'!$B$7,"Oltre soglia personale","Nella soglia personale"))</x:f>
      </x:c>
      <x:c r="AQ132" s="18" t="str">
        <x:f>IF(A132="",IF(COUNTA(B132:V132)=0,"","Inserisci ID"),IF(COUNTIFS($A$8:$A$507,A132)&lt;&gt;1,"ID duplicato",IF(OR(NOT(ISNUMBER(B132)),D132="",E132="",F132="",G132="",H132="",COUNTIFS('Impostazioni'!$J$6:$J$25,F132)&lt;&gt;1),"Completa dati / elenchi",IF(OR(AND(I132&lt;&gt;"Lordo manuale",I132&lt;&gt;"Netto manuale",I132&lt;&gt;"Esecuzioni"),AND(J132&lt;&gt;"Aperto",J132&lt;&gt;"Chiuso",J132&lt;&gt;"Annullato")),"Modalità / stato mancanti",IF(AND(J132&lt;&gt;"Aperto",OR(NOT(ISNUMBER(C132)),C132&lt;B132)),"Correggi data chiusura",IF(OR(AND(Q132&lt;&gt;"",OR(NOT(ISNUMBER(Q132)),Q132&lt;0)),AND(R132&lt;&gt;"",OR(NOT(ISNUMBER(R132)),R132&lt;0,R132&gt;1))),"Commissione non valida",IF(J132="Annullato","OK",IF(OR(NOT(ISNUMBER(Z132)),Z132&lt;0,AND(O132&lt;&gt;"",NOT(ISNUMBER(O132)))),"Inserisci rischio",IF(AND(I132="Esecuzioni",OR(W132=0,COUNTIFS('Esecuzioni'!$A$8:$A$1007,A132,'Esecuzioni'!$Q$8:$Q$1007,"&lt;&gt;OK")&gt;0)),"Correggi esecuzioni",IF(J132="Aperto","OK",IF(AND(I132="Esecuzioni",S132="Coperto",ABS(X132-Y132)&gt;'Impostazioni'!$B$11),"Copertura residua",IF(NOT(ISNUMBER(AC132)),"Completa risultato / esito",IF(AND(Z132=0,AC132&lt;&gt;0),"Rischio nullo con P/L","OK")))))))))))))</x:f>
      </x:c>
      <x:c r="AR132" s="20" t="str">
        <x:f>IF(OR(A132="",J132&lt;&gt;"Aperto",AQ132&lt;&gt;"OK"),"",IF(I132="Esecuzioni",SUMIFS('Esecuzioni'!$P$8:$P$1007,'Esecuzioni'!$A$8:$A$1007,A132,'Esecuzioni'!$B$8:$B$1007,_xlfn.MAXIFS('Esecuzioni'!$B$8:$B$1007,'Esecuzioni'!$A$8:$A$1007,A132)),IF(LEFT(U132,8)="FREEBET:",0,Z132)))</x:f>
      </x:c>
      <x:c r="AS132" s="48" t="str">
        <x:f>IF(OR(A132="",E132=""),"",IF(COUNTIFS($E$8:E132,E132)=1,COUNT($AS$7:AS131)+1,""))</x:f>
      </x:c>
    </x:row>
    <x:row r="133" ht="22" customHeight="1">
      <x:c r="A133" s="7"/>
      <x:c r="B133" s="19"/>
      <x:c r="C133" s="19"/>
      <x:c r="D133" s="7"/>
      <x:c r="E133" s="7"/>
      <x:c r="F133" s="7"/>
      <x:c r="G133" s="7"/>
      <x:c r="H133" s="7"/>
      <x:c r="I133" s="7"/>
      <x:c r="J133" s="7"/>
      <x:c r="K133" s="10"/>
      <x:c r="L133" s="7"/>
      <x:c r="M133" s="10"/>
      <x:c r="N133" s="7"/>
      <x:c r="O133" s="8"/>
      <x:c r="P133" s="8"/>
      <x:c r="Q133" s="8"/>
      <x:c r="R133" s="9"/>
      <x:c r="S133" s="7"/>
      <x:c r="T133" s="7"/>
      <x:c r="U133" s="7"/>
      <x:c r="V133" s="7"/>
      <x:c r="W133" s="22" t="str">
        <x:f>IF(A133="","",COUNTIFS('Esecuzioni'!$A$8:$A$1007,A133,'Esecuzioni'!$Q$8:$Q$1007,"OK"))</x:f>
      </x:c>
      <x:c r="X133" s="20" t="str">
        <x:f>IF(OR(A133="",I133&lt;&gt;"Esecuzioni",W133=0),"",SUMIFS('Esecuzioni'!$L$8:$L$1007,'Esecuzioni'!$A$8:$A$1007,A133))</x:f>
      </x:c>
      <x:c r="Y133" s="20" t="str">
        <x:f>IF(OR(A133="",I133&lt;&gt;"Esecuzioni",W133=0),"",SUMIFS('Esecuzioni'!$M$8:$M$1007,'Esecuzioni'!$A$8:$A$1007,A133))</x:f>
      </x:c>
      <x:c r="Z133" s="20" t="str">
        <x:f>IF(A133="","",IF(J133="Annullato",0,IF(ISNUMBER(O133),O133,IF(AND(I133="Esecuzioni",W133&gt;0),_xlfn.MAXIFS('Esecuzioni'!$P$8:$P$1007,'Esecuzioni'!$A$8:$A$1007,A133),""))))</x:f>
      </x:c>
      <x:c r="AA133" s="20" t="str">
        <x:f>IF(OR(A133="",J133="Aperto"),"",IF(J133="Annullato",0,IF(I133="Lordo manuale",IF(ISNUMBER(P133),P133,""),IF(I133="Netto manuale",IF(AND(ISNUMBER(P133),ISNUMBER(Q133)),P133+Q133,""),IF(OR(W133=0,COUNTIFS('Esecuzioni'!$A$8:$A$1007,A133,'Esecuzioni'!$Q$8:$Q$1007,"&lt;&gt;OK")&gt;0),"",IF(S133="Vince",X133,IF(S133="Perde",Y133,IF(AND(S133="Coperto",ABS(X133-Y133)&lt;='Impostazioni'!$B$11),ROUND((X133+Y133)/2,2),""))))))))</x:f>
      </x:c>
      <x:c r="AB133" s="20" t="str">
        <x:f>IF(NOT(ISNUMBER(AA133)),"",IF(J133="Annullato",0,IF(ISNUMBER(Q133),Q133,ROUND(MAX(0,AA133)*IF(ISNUMBER(R133),R133,'Impostazioni'!$B$8),2))))</x:f>
      </x:c>
      <x:c r="AC133" s="20" t="str">
        <x:f>IF(AND(ISNUMBER(AA133),ISNUMBER(AB133)),ROUND(AA133-AB133,2),"")</x:f>
      </x:c>
      <x:c r="AD133" s="18" t="str">
        <x:f>IF(A133="","",IF(AQ133&lt;&gt;"OK","Incompleto",IF(J133="Aperto","Aperto",IF(J133="Annullato","Annullato",IF(AC133&gt;0,"Green",IF(AC133&lt;0,"Red","Flat"))))))</x:f>
      </x:c>
      <x:c r="AE133" s="21" t="str">
        <x:f>IF(AND(AH133=1,Z133&gt;0),AC133/Z133,"")</x:f>
      </x:c>
      <x:c r="AF133" s="22" t="str">
        <x:f>IF(AH133&lt;&gt;1,"",COUNTIFS($C$8:$C$507,"&lt;"&amp;C133,$AH$8:$AH$507,1)+COUNTIFS($C$8:$C$507,C133,$A$8:$A$507,"&lt;="&amp;A133,$AH$8:$AH$507,1))</x:f>
      </x:c>
      <x:c r="AG133" s="20" t="str">
        <x:f>IF(AH133&lt;&gt;1,"",SUMIFS($AC$8:$AC$507,$C$8:$C$507,"&lt;"&amp;C133,$AH$8:$AH$507,1)+SUMIFS($AC$8:$AC$507,$C$8:$C$507,C133,$A$8:$A$507,"&lt;="&amp;A133,$AH$8:$AH$507,1))</x:f>
      </x:c>
      <x:c r="AH133" s="22" t="str">
        <x:f>IF(A133="","",IF(AND(J133="Chiuso",AQ133="OK",ISNUMBER(AC133)),1,0))</x:f>
      </x:c>
      <x:c r="AI133" s="20" t="str">
        <x:f>IF(AH133&lt;&gt;1,"",MAX(0,_xlfn.MAXIFS($AG$8:$AG$507,$AF$8:$AF$507,"&lt;="&amp;AF133,$AH$8:$AH$507,1)))</x:f>
      </x:c>
      <x:c r="AJ133" s="20" t="str">
        <x:f>IF(AH133&lt;&gt;1,"",MAX(0,AI133-AG133))</x:f>
      </x:c>
      <x:c r="AK133" s="21" t="str">
        <x:f>IF(OR(AH133&lt;&gt;1,NOT(ISNUMBER('Impostazioni'!$B$6)),'Impostazioni'!$B$6+AI133&lt;=0),"",AJ133/('Impostazioni'!$B$6+AI133))</x:f>
      </x:c>
      <x:c r="AL133" s="22" t="str">
        <x:f>IF(AH133&lt;&gt;1,"",IF(AC133&gt;0,AF133-_xlfn.MAXIFS($AF$8:$AF$507,$AF$8:$AF$507,"&lt;="&amp;AF133,$AC$8:$AC$507,"&lt;=0",$AH$8:$AH$507,1),0))</x:f>
      </x:c>
      <x:c r="AM133" s="22" t="str">
        <x:f>IF(AH133&lt;&gt;1,"",IF(AC133&lt;0,AF133-_xlfn.MAXIFS($AF$8:$AF$507,$AF$8:$AF$507,"&lt;="&amp;AF133,$AC$8:$AC$507,"&gt;=0",$AH$8:$AH$507,1),0))</x:f>
      </x:c>
      <x:c r="AN133" s="20" t="str">
        <x:f>IF(OR(A133="",NOT(ISNUMBER(B133)),NOT(ISNUMBER('Impostazioni'!$B$6))),"",'Impostazioni'!$B$6+SUMIFS($AC$8:$AC$507,$C$8:$C$507,"&lt;"&amp;B133,$AH$8:$AH$507,1)+SUMIFS('Cassa'!$F$8:$F$307,'Cassa'!$A$8:$A$307,"&lt;="&amp;B133,'Cassa'!$G$8:$G$307,"OK"))</x:f>
      </x:c>
      <x:c r="AO133" s="21" t="str">
        <x:f>IF(AND(ISNUMBER(Z133),ISNUMBER(AN133),AN133&gt;0),Z133/AN133,"")</x:f>
      </x:c>
      <x:c r="AP133" s="18" t="str">
        <x:f>IF(NOT(ISNUMBER(AO133)),"",IF(AO133&gt;'Impostazioni'!$B$7,"Oltre soglia personale","Nella soglia personale"))</x:f>
      </x:c>
      <x:c r="AQ133" s="18" t="str">
        <x:f>IF(A133="",IF(COUNTA(B133:V133)=0,"","Inserisci ID"),IF(COUNTIFS($A$8:$A$507,A133)&lt;&gt;1,"ID duplicato",IF(OR(NOT(ISNUMBER(B133)),D133="",E133="",F133="",G133="",H133="",COUNTIFS('Impostazioni'!$J$6:$J$25,F133)&lt;&gt;1),"Completa dati / elenchi",IF(OR(AND(I133&lt;&gt;"Lordo manuale",I133&lt;&gt;"Netto manuale",I133&lt;&gt;"Esecuzioni"),AND(J133&lt;&gt;"Aperto",J133&lt;&gt;"Chiuso",J133&lt;&gt;"Annullato")),"Modalità / stato mancanti",IF(AND(J133&lt;&gt;"Aperto",OR(NOT(ISNUMBER(C133)),C133&lt;B133)),"Correggi data chiusura",IF(OR(AND(Q133&lt;&gt;"",OR(NOT(ISNUMBER(Q133)),Q133&lt;0)),AND(R133&lt;&gt;"",OR(NOT(ISNUMBER(R133)),R133&lt;0,R133&gt;1))),"Commissione non valida",IF(J133="Annullato","OK",IF(OR(NOT(ISNUMBER(Z133)),Z133&lt;0,AND(O133&lt;&gt;"",NOT(ISNUMBER(O133)))),"Inserisci rischio",IF(AND(I133="Esecuzioni",OR(W133=0,COUNTIFS('Esecuzioni'!$A$8:$A$1007,A133,'Esecuzioni'!$Q$8:$Q$1007,"&lt;&gt;OK")&gt;0)),"Correggi esecuzioni",IF(J133="Aperto","OK",IF(AND(I133="Esecuzioni",S133="Coperto",ABS(X133-Y133)&gt;'Impostazioni'!$B$11),"Copertura residua",IF(NOT(ISNUMBER(AC133)),"Completa risultato / esito",IF(AND(Z133=0,AC133&lt;&gt;0),"Rischio nullo con P/L","OK")))))))))))))</x:f>
      </x:c>
      <x:c r="AR133" s="20" t="str">
        <x:f>IF(OR(A133="",J133&lt;&gt;"Aperto",AQ133&lt;&gt;"OK"),"",IF(I133="Esecuzioni",SUMIFS('Esecuzioni'!$P$8:$P$1007,'Esecuzioni'!$A$8:$A$1007,A133,'Esecuzioni'!$B$8:$B$1007,_xlfn.MAXIFS('Esecuzioni'!$B$8:$B$1007,'Esecuzioni'!$A$8:$A$1007,A133)),IF(LEFT(U133,8)="FREEBET:",0,Z133)))</x:f>
      </x:c>
      <x:c r="AS133" s="48" t="str">
        <x:f>IF(OR(A133="",E133=""),"",IF(COUNTIFS($E$8:E133,E133)=1,COUNT($AS$7:AS132)+1,""))</x:f>
      </x:c>
    </x:row>
    <x:row r="134" ht="22" customHeight="1">
      <x:c r="A134" s="7"/>
      <x:c r="B134" s="19"/>
      <x:c r="C134" s="19"/>
      <x:c r="D134" s="7"/>
      <x:c r="E134" s="7"/>
      <x:c r="F134" s="7"/>
      <x:c r="G134" s="7"/>
      <x:c r="H134" s="7"/>
      <x:c r="I134" s="7"/>
      <x:c r="J134" s="7"/>
      <x:c r="K134" s="10"/>
      <x:c r="L134" s="7"/>
      <x:c r="M134" s="10"/>
      <x:c r="N134" s="7"/>
      <x:c r="O134" s="8"/>
      <x:c r="P134" s="8"/>
      <x:c r="Q134" s="8"/>
      <x:c r="R134" s="9"/>
      <x:c r="S134" s="7"/>
      <x:c r="T134" s="7"/>
      <x:c r="U134" s="7"/>
      <x:c r="V134" s="7"/>
      <x:c r="W134" s="22" t="str">
        <x:f>IF(A134="","",COUNTIFS('Esecuzioni'!$A$8:$A$1007,A134,'Esecuzioni'!$Q$8:$Q$1007,"OK"))</x:f>
      </x:c>
      <x:c r="X134" s="20" t="str">
        <x:f>IF(OR(A134="",I134&lt;&gt;"Esecuzioni",W134=0),"",SUMIFS('Esecuzioni'!$L$8:$L$1007,'Esecuzioni'!$A$8:$A$1007,A134))</x:f>
      </x:c>
      <x:c r="Y134" s="20" t="str">
        <x:f>IF(OR(A134="",I134&lt;&gt;"Esecuzioni",W134=0),"",SUMIFS('Esecuzioni'!$M$8:$M$1007,'Esecuzioni'!$A$8:$A$1007,A134))</x:f>
      </x:c>
      <x:c r="Z134" s="20" t="str">
        <x:f>IF(A134="","",IF(J134="Annullato",0,IF(ISNUMBER(O134),O134,IF(AND(I134="Esecuzioni",W134&gt;0),_xlfn.MAXIFS('Esecuzioni'!$P$8:$P$1007,'Esecuzioni'!$A$8:$A$1007,A134),""))))</x:f>
      </x:c>
      <x:c r="AA134" s="20" t="str">
        <x:f>IF(OR(A134="",J134="Aperto"),"",IF(J134="Annullato",0,IF(I134="Lordo manuale",IF(ISNUMBER(P134),P134,""),IF(I134="Netto manuale",IF(AND(ISNUMBER(P134),ISNUMBER(Q134)),P134+Q134,""),IF(OR(W134=0,COUNTIFS('Esecuzioni'!$A$8:$A$1007,A134,'Esecuzioni'!$Q$8:$Q$1007,"&lt;&gt;OK")&gt;0),"",IF(S134="Vince",X134,IF(S134="Perde",Y134,IF(AND(S134="Coperto",ABS(X134-Y134)&lt;='Impostazioni'!$B$11),ROUND((X134+Y134)/2,2),""))))))))</x:f>
      </x:c>
      <x:c r="AB134" s="20" t="str">
        <x:f>IF(NOT(ISNUMBER(AA134)),"",IF(J134="Annullato",0,IF(ISNUMBER(Q134),Q134,ROUND(MAX(0,AA134)*IF(ISNUMBER(R134),R134,'Impostazioni'!$B$8),2))))</x:f>
      </x:c>
      <x:c r="AC134" s="20" t="str">
        <x:f>IF(AND(ISNUMBER(AA134),ISNUMBER(AB134)),ROUND(AA134-AB134,2),"")</x:f>
      </x:c>
      <x:c r="AD134" s="18" t="str">
        <x:f>IF(A134="","",IF(AQ134&lt;&gt;"OK","Incompleto",IF(J134="Aperto","Aperto",IF(J134="Annullato","Annullato",IF(AC134&gt;0,"Green",IF(AC134&lt;0,"Red","Flat"))))))</x:f>
      </x:c>
      <x:c r="AE134" s="21" t="str">
        <x:f>IF(AND(AH134=1,Z134&gt;0),AC134/Z134,"")</x:f>
      </x:c>
      <x:c r="AF134" s="22" t="str">
        <x:f>IF(AH134&lt;&gt;1,"",COUNTIFS($C$8:$C$507,"&lt;"&amp;C134,$AH$8:$AH$507,1)+COUNTIFS($C$8:$C$507,C134,$A$8:$A$507,"&lt;="&amp;A134,$AH$8:$AH$507,1))</x:f>
      </x:c>
      <x:c r="AG134" s="20" t="str">
        <x:f>IF(AH134&lt;&gt;1,"",SUMIFS($AC$8:$AC$507,$C$8:$C$507,"&lt;"&amp;C134,$AH$8:$AH$507,1)+SUMIFS($AC$8:$AC$507,$C$8:$C$507,C134,$A$8:$A$507,"&lt;="&amp;A134,$AH$8:$AH$507,1))</x:f>
      </x:c>
      <x:c r="AH134" s="22" t="str">
        <x:f>IF(A134="","",IF(AND(J134="Chiuso",AQ134="OK",ISNUMBER(AC134)),1,0))</x:f>
      </x:c>
      <x:c r="AI134" s="20" t="str">
        <x:f>IF(AH134&lt;&gt;1,"",MAX(0,_xlfn.MAXIFS($AG$8:$AG$507,$AF$8:$AF$507,"&lt;="&amp;AF134,$AH$8:$AH$507,1)))</x:f>
      </x:c>
      <x:c r="AJ134" s="20" t="str">
        <x:f>IF(AH134&lt;&gt;1,"",MAX(0,AI134-AG134))</x:f>
      </x:c>
      <x:c r="AK134" s="21" t="str">
        <x:f>IF(OR(AH134&lt;&gt;1,NOT(ISNUMBER('Impostazioni'!$B$6)),'Impostazioni'!$B$6+AI134&lt;=0),"",AJ134/('Impostazioni'!$B$6+AI134))</x:f>
      </x:c>
      <x:c r="AL134" s="22" t="str">
        <x:f>IF(AH134&lt;&gt;1,"",IF(AC134&gt;0,AF134-_xlfn.MAXIFS($AF$8:$AF$507,$AF$8:$AF$507,"&lt;="&amp;AF134,$AC$8:$AC$507,"&lt;=0",$AH$8:$AH$507,1),0))</x:f>
      </x:c>
      <x:c r="AM134" s="22" t="str">
        <x:f>IF(AH134&lt;&gt;1,"",IF(AC134&lt;0,AF134-_xlfn.MAXIFS($AF$8:$AF$507,$AF$8:$AF$507,"&lt;="&amp;AF134,$AC$8:$AC$507,"&gt;=0",$AH$8:$AH$507,1),0))</x:f>
      </x:c>
      <x:c r="AN134" s="20" t="str">
        <x:f>IF(OR(A134="",NOT(ISNUMBER(B134)),NOT(ISNUMBER('Impostazioni'!$B$6))),"",'Impostazioni'!$B$6+SUMIFS($AC$8:$AC$507,$C$8:$C$507,"&lt;"&amp;B134,$AH$8:$AH$507,1)+SUMIFS('Cassa'!$F$8:$F$307,'Cassa'!$A$8:$A$307,"&lt;="&amp;B134,'Cassa'!$G$8:$G$307,"OK"))</x:f>
      </x:c>
      <x:c r="AO134" s="21" t="str">
        <x:f>IF(AND(ISNUMBER(Z134),ISNUMBER(AN134),AN134&gt;0),Z134/AN134,"")</x:f>
      </x:c>
      <x:c r="AP134" s="18" t="str">
        <x:f>IF(NOT(ISNUMBER(AO134)),"",IF(AO134&gt;'Impostazioni'!$B$7,"Oltre soglia personale","Nella soglia personale"))</x:f>
      </x:c>
      <x:c r="AQ134" s="18" t="str">
        <x:f>IF(A134="",IF(COUNTA(B134:V134)=0,"","Inserisci ID"),IF(COUNTIFS($A$8:$A$507,A134)&lt;&gt;1,"ID duplicato",IF(OR(NOT(ISNUMBER(B134)),D134="",E134="",F134="",G134="",H134="",COUNTIFS('Impostazioni'!$J$6:$J$25,F134)&lt;&gt;1),"Completa dati / elenchi",IF(OR(AND(I134&lt;&gt;"Lordo manuale",I134&lt;&gt;"Netto manuale",I134&lt;&gt;"Esecuzioni"),AND(J134&lt;&gt;"Aperto",J134&lt;&gt;"Chiuso",J134&lt;&gt;"Annullato")),"Modalità / stato mancanti",IF(AND(J134&lt;&gt;"Aperto",OR(NOT(ISNUMBER(C134)),C134&lt;B134)),"Correggi data chiusura",IF(OR(AND(Q134&lt;&gt;"",OR(NOT(ISNUMBER(Q134)),Q134&lt;0)),AND(R134&lt;&gt;"",OR(NOT(ISNUMBER(R134)),R134&lt;0,R134&gt;1))),"Commissione non valida",IF(J134="Annullato","OK",IF(OR(NOT(ISNUMBER(Z134)),Z134&lt;0,AND(O134&lt;&gt;"",NOT(ISNUMBER(O134)))),"Inserisci rischio",IF(AND(I134="Esecuzioni",OR(W134=0,COUNTIFS('Esecuzioni'!$A$8:$A$1007,A134,'Esecuzioni'!$Q$8:$Q$1007,"&lt;&gt;OK")&gt;0)),"Correggi esecuzioni",IF(J134="Aperto","OK",IF(AND(I134="Esecuzioni",S134="Coperto",ABS(X134-Y134)&gt;'Impostazioni'!$B$11),"Copertura residua",IF(NOT(ISNUMBER(AC134)),"Completa risultato / esito",IF(AND(Z134=0,AC134&lt;&gt;0),"Rischio nullo con P/L","OK")))))))))))))</x:f>
      </x:c>
      <x:c r="AR134" s="20" t="str">
        <x:f>IF(OR(A134="",J134&lt;&gt;"Aperto",AQ134&lt;&gt;"OK"),"",IF(I134="Esecuzioni",SUMIFS('Esecuzioni'!$P$8:$P$1007,'Esecuzioni'!$A$8:$A$1007,A134,'Esecuzioni'!$B$8:$B$1007,_xlfn.MAXIFS('Esecuzioni'!$B$8:$B$1007,'Esecuzioni'!$A$8:$A$1007,A134)),IF(LEFT(U134,8)="FREEBET:",0,Z134)))</x:f>
      </x:c>
      <x:c r="AS134" s="48" t="str">
        <x:f>IF(OR(A134="",E134=""),"",IF(COUNTIFS($E$8:E134,E134)=1,COUNT($AS$7:AS133)+1,""))</x:f>
      </x:c>
    </x:row>
    <x:row r="135" ht="22" customHeight="1">
      <x:c r="A135" s="7"/>
      <x:c r="B135" s="19"/>
      <x:c r="C135" s="19"/>
      <x:c r="D135" s="7"/>
      <x:c r="E135" s="7"/>
      <x:c r="F135" s="7"/>
      <x:c r="G135" s="7"/>
      <x:c r="H135" s="7"/>
      <x:c r="I135" s="7"/>
      <x:c r="J135" s="7"/>
      <x:c r="K135" s="10"/>
      <x:c r="L135" s="7"/>
      <x:c r="M135" s="10"/>
      <x:c r="N135" s="7"/>
      <x:c r="O135" s="8"/>
      <x:c r="P135" s="8"/>
      <x:c r="Q135" s="8"/>
      <x:c r="R135" s="9"/>
      <x:c r="S135" s="7"/>
      <x:c r="T135" s="7"/>
      <x:c r="U135" s="7"/>
      <x:c r="V135" s="7"/>
      <x:c r="W135" s="22" t="str">
        <x:f>IF(A135="","",COUNTIFS('Esecuzioni'!$A$8:$A$1007,A135,'Esecuzioni'!$Q$8:$Q$1007,"OK"))</x:f>
      </x:c>
      <x:c r="X135" s="20" t="str">
        <x:f>IF(OR(A135="",I135&lt;&gt;"Esecuzioni",W135=0),"",SUMIFS('Esecuzioni'!$L$8:$L$1007,'Esecuzioni'!$A$8:$A$1007,A135))</x:f>
      </x:c>
      <x:c r="Y135" s="20" t="str">
        <x:f>IF(OR(A135="",I135&lt;&gt;"Esecuzioni",W135=0),"",SUMIFS('Esecuzioni'!$M$8:$M$1007,'Esecuzioni'!$A$8:$A$1007,A135))</x:f>
      </x:c>
      <x:c r="Z135" s="20" t="str">
        <x:f>IF(A135="","",IF(J135="Annullato",0,IF(ISNUMBER(O135),O135,IF(AND(I135="Esecuzioni",W135&gt;0),_xlfn.MAXIFS('Esecuzioni'!$P$8:$P$1007,'Esecuzioni'!$A$8:$A$1007,A135),""))))</x:f>
      </x:c>
      <x:c r="AA135" s="20" t="str">
        <x:f>IF(OR(A135="",J135="Aperto"),"",IF(J135="Annullato",0,IF(I135="Lordo manuale",IF(ISNUMBER(P135),P135,""),IF(I135="Netto manuale",IF(AND(ISNUMBER(P135),ISNUMBER(Q135)),P135+Q135,""),IF(OR(W135=0,COUNTIFS('Esecuzioni'!$A$8:$A$1007,A135,'Esecuzioni'!$Q$8:$Q$1007,"&lt;&gt;OK")&gt;0),"",IF(S135="Vince",X135,IF(S135="Perde",Y135,IF(AND(S135="Coperto",ABS(X135-Y135)&lt;='Impostazioni'!$B$11),ROUND((X135+Y135)/2,2),""))))))))</x:f>
      </x:c>
      <x:c r="AB135" s="20" t="str">
        <x:f>IF(NOT(ISNUMBER(AA135)),"",IF(J135="Annullato",0,IF(ISNUMBER(Q135),Q135,ROUND(MAX(0,AA135)*IF(ISNUMBER(R135),R135,'Impostazioni'!$B$8),2))))</x:f>
      </x:c>
      <x:c r="AC135" s="20" t="str">
        <x:f>IF(AND(ISNUMBER(AA135),ISNUMBER(AB135)),ROUND(AA135-AB135,2),"")</x:f>
      </x:c>
      <x:c r="AD135" s="18" t="str">
        <x:f>IF(A135="","",IF(AQ135&lt;&gt;"OK","Incompleto",IF(J135="Aperto","Aperto",IF(J135="Annullato","Annullato",IF(AC135&gt;0,"Green",IF(AC135&lt;0,"Red","Flat"))))))</x:f>
      </x:c>
      <x:c r="AE135" s="21" t="str">
        <x:f>IF(AND(AH135=1,Z135&gt;0),AC135/Z135,"")</x:f>
      </x:c>
      <x:c r="AF135" s="22" t="str">
        <x:f>IF(AH135&lt;&gt;1,"",COUNTIFS($C$8:$C$507,"&lt;"&amp;C135,$AH$8:$AH$507,1)+COUNTIFS($C$8:$C$507,C135,$A$8:$A$507,"&lt;="&amp;A135,$AH$8:$AH$507,1))</x:f>
      </x:c>
      <x:c r="AG135" s="20" t="str">
        <x:f>IF(AH135&lt;&gt;1,"",SUMIFS($AC$8:$AC$507,$C$8:$C$507,"&lt;"&amp;C135,$AH$8:$AH$507,1)+SUMIFS($AC$8:$AC$507,$C$8:$C$507,C135,$A$8:$A$507,"&lt;="&amp;A135,$AH$8:$AH$507,1))</x:f>
      </x:c>
      <x:c r="AH135" s="22" t="str">
        <x:f>IF(A135="","",IF(AND(J135="Chiuso",AQ135="OK",ISNUMBER(AC135)),1,0))</x:f>
      </x:c>
      <x:c r="AI135" s="20" t="str">
        <x:f>IF(AH135&lt;&gt;1,"",MAX(0,_xlfn.MAXIFS($AG$8:$AG$507,$AF$8:$AF$507,"&lt;="&amp;AF135,$AH$8:$AH$507,1)))</x:f>
      </x:c>
      <x:c r="AJ135" s="20" t="str">
        <x:f>IF(AH135&lt;&gt;1,"",MAX(0,AI135-AG135))</x:f>
      </x:c>
      <x:c r="AK135" s="21" t="str">
        <x:f>IF(OR(AH135&lt;&gt;1,NOT(ISNUMBER('Impostazioni'!$B$6)),'Impostazioni'!$B$6+AI135&lt;=0),"",AJ135/('Impostazioni'!$B$6+AI135))</x:f>
      </x:c>
      <x:c r="AL135" s="22" t="str">
        <x:f>IF(AH135&lt;&gt;1,"",IF(AC135&gt;0,AF135-_xlfn.MAXIFS($AF$8:$AF$507,$AF$8:$AF$507,"&lt;="&amp;AF135,$AC$8:$AC$507,"&lt;=0",$AH$8:$AH$507,1),0))</x:f>
      </x:c>
      <x:c r="AM135" s="22" t="str">
        <x:f>IF(AH135&lt;&gt;1,"",IF(AC135&lt;0,AF135-_xlfn.MAXIFS($AF$8:$AF$507,$AF$8:$AF$507,"&lt;="&amp;AF135,$AC$8:$AC$507,"&gt;=0",$AH$8:$AH$507,1),0))</x:f>
      </x:c>
      <x:c r="AN135" s="20" t="str">
        <x:f>IF(OR(A135="",NOT(ISNUMBER(B135)),NOT(ISNUMBER('Impostazioni'!$B$6))),"",'Impostazioni'!$B$6+SUMIFS($AC$8:$AC$507,$C$8:$C$507,"&lt;"&amp;B135,$AH$8:$AH$507,1)+SUMIFS('Cassa'!$F$8:$F$307,'Cassa'!$A$8:$A$307,"&lt;="&amp;B135,'Cassa'!$G$8:$G$307,"OK"))</x:f>
      </x:c>
      <x:c r="AO135" s="21" t="str">
        <x:f>IF(AND(ISNUMBER(Z135),ISNUMBER(AN135),AN135&gt;0),Z135/AN135,"")</x:f>
      </x:c>
      <x:c r="AP135" s="18" t="str">
        <x:f>IF(NOT(ISNUMBER(AO135)),"",IF(AO135&gt;'Impostazioni'!$B$7,"Oltre soglia personale","Nella soglia personale"))</x:f>
      </x:c>
      <x:c r="AQ135" s="18" t="str">
        <x:f>IF(A135="",IF(COUNTA(B135:V135)=0,"","Inserisci ID"),IF(COUNTIFS($A$8:$A$507,A135)&lt;&gt;1,"ID duplicato",IF(OR(NOT(ISNUMBER(B135)),D135="",E135="",F135="",G135="",H135="",COUNTIFS('Impostazioni'!$J$6:$J$25,F135)&lt;&gt;1),"Completa dati / elenchi",IF(OR(AND(I135&lt;&gt;"Lordo manuale",I135&lt;&gt;"Netto manuale",I135&lt;&gt;"Esecuzioni"),AND(J135&lt;&gt;"Aperto",J135&lt;&gt;"Chiuso",J135&lt;&gt;"Annullato")),"Modalità / stato mancanti",IF(AND(J135&lt;&gt;"Aperto",OR(NOT(ISNUMBER(C135)),C135&lt;B135)),"Correggi data chiusura",IF(OR(AND(Q135&lt;&gt;"",OR(NOT(ISNUMBER(Q135)),Q135&lt;0)),AND(R135&lt;&gt;"",OR(NOT(ISNUMBER(R135)),R135&lt;0,R135&gt;1))),"Commissione non valida",IF(J135="Annullato","OK",IF(OR(NOT(ISNUMBER(Z135)),Z135&lt;0,AND(O135&lt;&gt;"",NOT(ISNUMBER(O135)))),"Inserisci rischio",IF(AND(I135="Esecuzioni",OR(W135=0,COUNTIFS('Esecuzioni'!$A$8:$A$1007,A135,'Esecuzioni'!$Q$8:$Q$1007,"&lt;&gt;OK")&gt;0)),"Correggi esecuzioni",IF(J135="Aperto","OK",IF(AND(I135="Esecuzioni",S135="Coperto",ABS(X135-Y135)&gt;'Impostazioni'!$B$11),"Copertura residua",IF(NOT(ISNUMBER(AC135)),"Completa risultato / esito",IF(AND(Z135=0,AC135&lt;&gt;0),"Rischio nullo con P/L","OK")))))))))))))</x:f>
      </x:c>
      <x:c r="AR135" s="20" t="str">
        <x:f>IF(OR(A135="",J135&lt;&gt;"Aperto",AQ135&lt;&gt;"OK"),"",IF(I135="Esecuzioni",SUMIFS('Esecuzioni'!$P$8:$P$1007,'Esecuzioni'!$A$8:$A$1007,A135,'Esecuzioni'!$B$8:$B$1007,_xlfn.MAXIFS('Esecuzioni'!$B$8:$B$1007,'Esecuzioni'!$A$8:$A$1007,A135)),IF(LEFT(U135,8)="FREEBET:",0,Z135)))</x:f>
      </x:c>
      <x:c r="AS135" s="48" t="str">
        <x:f>IF(OR(A135="",E135=""),"",IF(COUNTIFS($E$8:E135,E135)=1,COUNT($AS$7:AS134)+1,""))</x:f>
      </x:c>
    </x:row>
    <x:row r="136" ht="22" customHeight="1">
      <x:c r="A136" s="7"/>
      <x:c r="B136" s="19"/>
      <x:c r="C136" s="19"/>
      <x:c r="D136" s="7"/>
      <x:c r="E136" s="7"/>
      <x:c r="F136" s="7"/>
      <x:c r="G136" s="7"/>
      <x:c r="H136" s="7"/>
      <x:c r="I136" s="7"/>
      <x:c r="J136" s="7"/>
      <x:c r="K136" s="10"/>
      <x:c r="L136" s="7"/>
      <x:c r="M136" s="10"/>
      <x:c r="N136" s="7"/>
      <x:c r="O136" s="8"/>
      <x:c r="P136" s="8"/>
      <x:c r="Q136" s="8"/>
      <x:c r="R136" s="9"/>
      <x:c r="S136" s="7"/>
      <x:c r="T136" s="7"/>
      <x:c r="U136" s="7"/>
      <x:c r="V136" s="7"/>
      <x:c r="W136" s="22" t="str">
        <x:f>IF(A136="","",COUNTIFS('Esecuzioni'!$A$8:$A$1007,A136,'Esecuzioni'!$Q$8:$Q$1007,"OK"))</x:f>
      </x:c>
      <x:c r="X136" s="20" t="str">
        <x:f>IF(OR(A136="",I136&lt;&gt;"Esecuzioni",W136=0),"",SUMIFS('Esecuzioni'!$L$8:$L$1007,'Esecuzioni'!$A$8:$A$1007,A136))</x:f>
      </x:c>
      <x:c r="Y136" s="20" t="str">
        <x:f>IF(OR(A136="",I136&lt;&gt;"Esecuzioni",W136=0),"",SUMIFS('Esecuzioni'!$M$8:$M$1007,'Esecuzioni'!$A$8:$A$1007,A136))</x:f>
      </x:c>
      <x:c r="Z136" s="20" t="str">
        <x:f>IF(A136="","",IF(J136="Annullato",0,IF(ISNUMBER(O136),O136,IF(AND(I136="Esecuzioni",W136&gt;0),_xlfn.MAXIFS('Esecuzioni'!$P$8:$P$1007,'Esecuzioni'!$A$8:$A$1007,A136),""))))</x:f>
      </x:c>
      <x:c r="AA136" s="20" t="str">
        <x:f>IF(OR(A136="",J136="Aperto"),"",IF(J136="Annullato",0,IF(I136="Lordo manuale",IF(ISNUMBER(P136),P136,""),IF(I136="Netto manuale",IF(AND(ISNUMBER(P136),ISNUMBER(Q136)),P136+Q136,""),IF(OR(W136=0,COUNTIFS('Esecuzioni'!$A$8:$A$1007,A136,'Esecuzioni'!$Q$8:$Q$1007,"&lt;&gt;OK")&gt;0),"",IF(S136="Vince",X136,IF(S136="Perde",Y136,IF(AND(S136="Coperto",ABS(X136-Y136)&lt;='Impostazioni'!$B$11),ROUND((X136+Y136)/2,2),""))))))))</x:f>
      </x:c>
      <x:c r="AB136" s="20" t="str">
        <x:f>IF(NOT(ISNUMBER(AA136)),"",IF(J136="Annullato",0,IF(ISNUMBER(Q136),Q136,ROUND(MAX(0,AA136)*IF(ISNUMBER(R136),R136,'Impostazioni'!$B$8),2))))</x:f>
      </x:c>
      <x:c r="AC136" s="20" t="str">
        <x:f>IF(AND(ISNUMBER(AA136),ISNUMBER(AB136)),ROUND(AA136-AB136,2),"")</x:f>
      </x:c>
      <x:c r="AD136" s="18" t="str">
        <x:f>IF(A136="","",IF(AQ136&lt;&gt;"OK","Incompleto",IF(J136="Aperto","Aperto",IF(J136="Annullato","Annullato",IF(AC136&gt;0,"Green",IF(AC136&lt;0,"Red","Flat"))))))</x:f>
      </x:c>
      <x:c r="AE136" s="21" t="str">
        <x:f>IF(AND(AH136=1,Z136&gt;0),AC136/Z136,"")</x:f>
      </x:c>
      <x:c r="AF136" s="22" t="str">
        <x:f>IF(AH136&lt;&gt;1,"",COUNTIFS($C$8:$C$507,"&lt;"&amp;C136,$AH$8:$AH$507,1)+COUNTIFS($C$8:$C$507,C136,$A$8:$A$507,"&lt;="&amp;A136,$AH$8:$AH$507,1))</x:f>
      </x:c>
      <x:c r="AG136" s="20" t="str">
        <x:f>IF(AH136&lt;&gt;1,"",SUMIFS($AC$8:$AC$507,$C$8:$C$507,"&lt;"&amp;C136,$AH$8:$AH$507,1)+SUMIFS($AC$8:$AC$507,$C$8:$C$507,C136,$A$8:$A$507,"&lt;="&amp;A136,$AH$8:$AH$507,1))</x:f>
      </x:c>
      <x:c r="AH136" s="22" t="str">
        <x:f>IF(A136="","",IF(AND(J136="Chiuso",AQ136="OK",ISNUMBER(AC136)),1,0))</x:f>
      </x:c>
      <x:c r="AI136" s="20" t="str">
        <x:f>IF(AH136&lt;&gt;1,"",MAX(0,_xlfn.MAXIFS($AG$8:$AG$507,$AF$8:$AF$507,"&lt;="&amp;AF136,$AH$8:$AH$507,1)))</x:f>
      </x:c>
      <x:c r="AJ136" s="20" t="str">
        <x:f>IF(AH136&lt;&gt;1,"",MAX(0,AI136-AG136))</x:f>
      </x:c>
      <x:c r="AK136" s="21" t="str">
        <x:f>IF(OR(AH136&lt;&gt;1,NOT(ISNUMBER('Impostazioni'!$B$6)),'Impostazioni'!$B$6+AI136&lt;=0),"",AJ136/('Impostazioni'!$B$6+AI136))</x:f>
      </x:c>
      <x:c r="AL136" s="22" t="str">
        <x:f>IF(AH136&lt;&gt;1,"",IF(AC136&gt;0,AF136-_xlfn.MAXIFS($AF$8:$AF$507,$AF$8:$AF$507,"&lt;="&amp;AF136,$AC$8:$AC$507,"&lt;=0",$AH$8:$AH$507,1),0))</x:f>
      </x:c>
      <x:c r="AM136" s="22" t="str">
        <x:f>IF(AH136&lt;&gt;1,"",IF(AC136&lt;0,AF136-_xlfn.MAXIFS($AF$8:$AF$507,$AF$8:$AF$507,"&lt;="&amp;AF136,$AC$8:$AC$507,"&gt;=0",$AH$8:$AH$507,1),0))</x:f>
      </x:c>
      <x:c r="AN136" s="20" t="str">
        <x:f>IF(OR(A136="",NOT(ISNUMBER(B136)),NOT(ISNUMBER('Impostazioni'!$B$6))),"",'Impostazioni'!$B$6+SUMIFS($AC$8:$AC$507,$C$8:$C$507,"&lt;"&amp;B136,$AH$8:$AH$507,1)+SUMIFS('Cassa'!$F$8:$F$307,'Cassa'!$A$8:$A$307,"&lt;="&amp;B136,'Cassa'!$G$8:$G$307,"OK"))</x:f>
      </x:c>
      <x:c r="AO136" s="21" t="str">
        <x:f>IF(AND(ISNUMBER(Z136),ISNUMBER(AN136),AN136&gt;0),Z136/AN136,"")</x:f>
      </x:c>
      <x:c r="AP136" s="18" t="str">
        <x:f>IF(NOT(ISNUMBER(AO136)),"",IF(AO136&gt;'Impostazioni'!$B$7,"Oltre soglia personale","Nella soglia personale"))</x:f>
      </x:c>
      <x:c r="AQ136" s="18" t="str">
        <x:f>IF(A136="",IF(COUNTA(B136:V136)=0,"","Inserisci ID"),IF(COUNTIFS($A$8:$A$507,A136)&lt;&gt;1,"ID duplicato",IF(OR(NOT(ISNUMBER(B136)),D136="",E136="",F136="",G136="",H136="",COUNTIFS('Impostazioni'!$J$6:$J$25,F136)&lt;&gt;1),"Completa dati / elenchi",IF(OR(AND(I136&lt;&gt;"Lordo manuale",I136&lt;&gt;"Netto manuale",I136&lt;&gt;"Esecuzioni"),AND(J136&lt;&gt;"Aperto",J136&lt;&gt;"Chiuso",J136&lt;&gt;"Annullato")),"Modalità / stato mancanti",IF(AND(J136&lt;&gt;"Aperto",OR(NOT(ISNUMBER(C136)),C136&lt;B136)),"Correggi data chiusura",IF(OR(AND(Q136&lt;&gt;"",OR(NOT(ISNUMBER(Q136)),Q136&lt;0)),AND(R136&lt;&gt;"",OR(NOT(ISNUMBER(R136)),R136&lt;0,R136&gt;1))),"Commissione non valida",IF(J136="Annullato","OK",IF(OR(NOT(ISNUMBER(Z136)),Z136&lt;0,AND(O136&lt;&gt;"",NOT(ISNUMBER(O136)))),"Inserisci rischio",IF(AND(I136="Esecuzioni",OR(W136=0,COUNTIFS('Esecuzioni'!$A$8:$A$1007,A136,'Esecuzioni'!$Q$8:$Q$1007,"&lt;&gt;OK")&gt;0)),"Correggi esecuzioni",IF(J136="Aperto","OK",IF(AND(I136="Esecuzioni",S136="Coperto",ABS(X136-Y136)&gt;'Impostazioni'!$B$11),"Copertura residua",IF(NOT(ISNUMBER(AC136)),"Completa risultato / esito",IF(AND(Z136=0,AC136&lt;&gt;0),"Rischio nullo con P/L","OK")))))))))))))</x:f>
      </x:c>
      <x:c r="AR136" s="20" t="str">
        <x:f>IF(OR(A136="",J136&lt;&gt;"Aperto",AQ136&lt;&gt;"OK"),"",IF(I136="Esecuzioni",SUMIFS('Esecuzioni'!$P$8:$P$1007,'Esecuzioni'!$A$8:$A$1007,A136,'Esecuzioni'!$B$8:$B$1007,_xlfn.MAXIFS('Esecuzioni'!$B$8:$B$1007,'Esecuzioni'!$A$8:$A$1007,A136)),IF(LEFT(U136,8)="FREEBET:",0,Z136)))</x:f>
      </x:c>
      <x:c r="AS136" s="48" t="str">
        <x:f>IF(OR(A136="",E136=""),"",IF(COUNTIFS($E$8:E136,E136)=1,COUNT($AS$7:AS135)+1,""))</x:f>
      </x:c>
    </x:row>
    <x:row r="137" ht="22" customHeight="1">
      <x:c r="A137" s="7"/>
      <x:c r="B137" s="19"/>
      <x:c r="C137" s="19"/>
      <x:c r="D137" s="7"/>
      <x:c r="E137" s="7"/>
      <x:c r="F137" s="7"/>
      <x:c r="G137" s="7"/>
      <x:c r="H137" s="7"/>
      <x:c r="I137" s="7"/>
      <x:c r="J137" s="7"/>
      <x:c r="K137" s="10"/>
      <x:c r="L137" s="7"/>
      <x:c r="M137" s="10"/>
      <x:c r="N137" s="7"/>
      <x:c r="O137" s="8"/>
      <x:c r="P137" s="8"/>
      <x:c r="Q137" s="8"/>
      <x:c r="R137" s="9"/>
      <x:c r="S137" s="7"/>
      <x:c r="T137" s="7"/>
      <x:c r="U137" s="7"/>
      <x:c r="V137" s="7"/>
      <x:c r="W137" s="22" t="str">
        <x:f>IF(A137="","",COUNTIFS('Esecuzioni'!$A$8:$A$1007,A137,'Esecuzioni'!$Q$8:$Q$1007,"OK"))</x:f>
      </x:c>
      <x:c r="X137" s="20" t="str">
        <x:f>IF(OR(A137="",I137&lt;&gt;"Esecuzioni",W137=0),"",SUMIFS('Esecuzioni'!$L$8:$L$1007,'Esecuzioni'!$A$8:$A$1007,A137))</x:f>
      </x:c>
      <x:c r="Y137" s="20" t="str">
        <x:f>IF(OR(A137="",I137&lt;&gt;"Esecuzioni",W137=0),"",SUMIFS('Esecuzioni'!$M$8:$M$1007,'Esecuzioni'!$A$8:$A$1007,A137))</x:f>
      </x:c>
      <x:c r="Z137" s="20" t="str">
        <x:f>IF(A137="","",IF(J137="Annullato",0,IF(ISNUMBER(O137),O137,IF(AND(I137="Esecuzioni",W137&gt;0),_xlfn.MAXIFS('Esecuzioni'!$P$8:$P$1007,'Esecuzioni'!$A$8:$A$1007,A137),""))))</x:f>
      </x:c>
      <x:c r="AA137" s="20" t="str">
        <x:f>IF(OR(A137="",J137="Aperto"),"",IF(J137="Annullato",0,IF(I137="Lordo manuale",IF(ISNUMBER(P137),P137,""),IF(I137="Netto manuale",IF(AND(ISNUMBER(P137),ISNUMBER(Q137)),P137+Q137,""),IF(OR(W137=0,COUNTIFS('Esecuzioni'!$A$8:$A$1007,A137,'Esecuzioni'!$Q$8:$Q$1007,"&lt;&gt;OK")&gt;0),"",IF(S137="Vince",X137,IF(S137="Perde",Y137,IF(AND(S137="Coperto",ABS(X137-Y137)&lt;='Impostazioni'!$B$11),ROUND((X137+Y137)/2,2),""))))))))</x:f>
      </x:c>
      <x:c r="AB137" s="20" t="str">
        <x:f>IF(NOT(ISNUMBER(AA137)),"",IF(J137="Annullato",0,IF(ISNUMBER(Q137),Q137,ROUND(MAX(0,AA137)*IF(ISNUMBER(R137),R137,'Impostazioni'!$B$8),2))))</x:f>
      </x:c>
      <x:c r="AC137" s="20" t="str">
        <x:f>IF(AND(ISNUMBER(AA137),ISNUMBER(AB137)),ROUND(AA137-AB137,2),"")</x:f>
      </x:c>
      <x:c r="AD137" s="18" t="str">
        <x:f>IF(A137="","",IF(AQ137&lt;&gt;"OK","Incompleto",IF(J137="Aperto","Aperto",IF(J137="Annullato","Annullato",IF(AC137&gt;0,"Green",IF(AC137&lt;0,"Red","Flat"))))))</x:f>
      </x:c>
      <x:c r="AE137" s="21" t="str">
        <x:f>IF(AND(AH137=1,Z137&gt;0),AC137/Z137,"")</x:f>
      </x:c>
      <x:c r="AF137" s="22" t="str">
        <x:f>IF(AH137&lt;&gt;1,"",COUNTIFS($C$8:$C$507,"&lt;"&amp;C137,$AH$8:$AH$507,1)+COUNTIFS($C$8:$C$507,C137,$A$8:$A$507,"&lt;="&amp;A137,$AH$8:$AH$507,1))</x:f>
      </x:c>
      <x:c r="AG137" s="20" t="str">
        <x:f>IF(AH137&lt;&gt;1,"",SUMIFS($AC$8:$AC$507,$C$8:$C$507,"&lt;"&amp;C137,$AH$8:$AH$507,1)+SUMIFS($AC$8:$AC$507,$C$8:$C$507,C137,$A$8:$A$507,"&lt;="&amp;A137,$AH$8:$AH$507,1))</x:f>
      </x:c>
      <x:c r="AH137" s="22" t="str">
        <x:f>IF(A137="","",IF(AND(J137="Chiuso",AQ137="OK",ISNUMBER(AC137)),1,0))</x:f>
      </x:c>
      <x:c r="AI137" s="20" t="str">
        <x:f>IF(AH137&lt;&gt;1,"",MAX(0,_xlfn.MAXIFS($AG$8:$AG$507,$AF$8:$AF$507,"&lt;="&amp;AF137,$AH$8:$AH$507,1)))</x:f>
      </x:c>
      <x:c r="AJ137" s="20" t="str">
        <x:f>IF(AH137&lt;&gt;1,"",MAX(0,AI137-AG137))</x:f>
      </x:c>
      <x:c r="AK137" s="21" t="str">
        <x:f>IF(OR(AH137&lt;&gt;1,NOT(ISNUMBER('Impostazioni'!$B$6)),'Impostazioni'!$B$6+AI137&lt;=0),"",AJ137/('Impostazioni'!$B$6+AI137))</x:f>
      </x:c>
      <x:c r="AL137" s="22" t="str">
        <x:f>IF(AH137&lt;&gt;1,"",IF(AC137&gt;0,AF137-_xlfn.MAXIFS($AF$8:$AF$507,$AF$8:$AF$507,"&lt;="&amp;AF137,$AC$8:$AC$507,"&lt;=0",$AH$8:$AH$507,1),0))</x:f>
      </x:c>
      <x:c r="AM137" s="22" t="str">
        <x:f>IF(AH137&lt;&gt;1,"",IF(AC137&lt;0,AF137-_xlfn.MAXIFS($AF$8:$AF$507,$AF$8:$AF$507,"&lt;="&amp;AF137,$AC$8:$AC$507,"&gt;=0",$AH$8:$AH$507,1),0))</x:f>
      </x:c>
      <x:c r="AN137" s="20" t="str">
        <x:f>IF(OR(A137="",NOT(ISNUMBER(B137)),NOT(ISNUMBER('Impostazioni'!$B$6))),"",'Impostazioni'!$B$6+SUMIFS($AC$8:$AC$507,$C$8:$C$507,"&lt;"&amp;B137,$AH$8:$AH$507,1)+SUMIFS('Cassa'!$F$8:$F$307,'Cassa'!$A$8:$A$307,"&lt;="&amp;B137,'Cassa'!$G$8:$G$307,"OK"))</x:f>
      </x:c>
      <x:c r="AO137" s="21" t="str">
        <x:f>IF(AND(ISNUMBER(Z137),ISNUMBER(AN137),AN137&gt;0),Z137/AN137,"")</x:f>
      </x:c>
      <x:c r="AP137" s="18" t="str">
        <x:f>IF(NOT(ISNUMBER(AO137)),"",IF(AO137&gt;'Impostazioni'!$B$7,"Oltre soglia personale","Nella soglia personale"))</x:f>
      </x:c>
      <x:c r="AQ137" s="18" t="str">
        <x:f>IF(A137="",IF(COUNTA(B137:V137)=0,"","Inserisci ID"),IF(COUNTIFS($A$8:$A$507,A137)&lt;&gt;1,"ID duplicato",IF(OR(NOT(ISNUMBER(B137)),D137="",E137="",F137="",G137="",H137="",COUNTIFS('Impostazioni'!$J$6:$J$25,F137)&lt;&gt;1),"Completa dati / elenchi",IF(OR(AND(I137&lt;&gt;"Lordo manuale",I137&lt;&gt;"Netto manuale",I137&lt;&gt;"Esecuzioni"),AND(J137&lt;&gt;"Aperto",J137&lt;&gt;"Chiuso",J137&lt;&gt;"Annullato")),"Modalità / stato mancanti",IF(AND(J137&lt;&gt;"Aperto",OR(NOT(ISNUMBER(C137)),C137&lt;B137)),"Correggi data chiusura",IF(OR(AND(Q137&lt;&gt;"",OR(NOT(ISNUMBER(Q137)),Q137&lt;0)),AND(R137&lt;&gt;"",OR(NOT(ISNUMBER(R137)),R137&lt;0,R137&gt;1))),"Commissione non valida",IF(J137="Annullato","OK",IF(OR(NOT(ISNUMBER(Z137)),Z137&lt;0,AND(O137&lt;&gt;"",NOT(ISNUMBER(O137)))),"Inserisci rischio",IF(AND(I137="Esecuzioni",OR(W137=0,COUNTIFS('Esecuzioni'!$A$8:$A$1007,A137,'Esecuzioni'!$Q$8:$Q$1007,"&lt;&gt;OK")&gt;0)),"Correggi esecuzioni",IF(J137="Aperto","OK",IF(AND(I137="Esecuzioni",S137="Coperto",ABS(X137-Y137)&gt;'Impostazioni'!$B$11),"Copertura residua",IF(NOT(ISNUMBER(AC137)),"Completa risultato / esito",IF(AND(Z137=0,AC137&lt;&gt;0),"Rischio nullo con P/L","OK")))))))))))))</x:f>
      </x:c>
      <x:c r="AR137" s="20" t="str">
        <x:f>IF(OR(A137="",J137&lt;&gt;"Aperto",AQ137&lt;&gt;"OK"),"",IF(I137="Esecuzioni",SUMIFS('Esecuzioni'!$P$8:$P$1007,'Esecuzioni'!$A$8:$A$1007,A137,'Esecuzioni'!$B$8:$B$1007,_xlfn.MAXIFS('Esecuzioni'!$B$8:$B$1007,'Esecuzioni'!$A$8:$A$1007,A137)),IF(LEFT(U137,8)="FREEBET:",0,Z137)))</x:f>
      </x:c>
      <x:c r="AS137" s="48" t="str">
        <x:f>IF(OR(A137="",E137=""),"",IF(COUNTIFS($E$8:E137,E137)=1,COUNT($AS$7:AS136)+1,""))</x:f>
      </x:c>
    </x:row>
    <x:row r="138" ht="22" customHeight="1">
      <x:c r="A138" s="7"/>
      <x:c r="B138" s="19"/>
      <x:c r="C138" s="19"/>
      <x:c r="D138" s="7"/>
      <x:c r="E138" s="7"/>
      <x:c r="F138" s="7"/>
      <x:c r="G138" s="7"/>
      <x:c r="H138" s="7"/>
      <x:c r="I138" s="7"/>
      <x:c r="J138" s="7"/>
      <x:c r="K138" s="10"/>
      <x:c r="L138" s="7"/>
      <x:c r="M138" s="10"/>
      <x:c r="N138" s="7"/>
      <x:c r="O138" s="8"/>
      <x:c r="P138" s="8"/>
      <x:c r="Q138" s="8"/>
      <x:c r="R138" s="9"/>
      <x:c r="S138" s="7"/>
      <x:c r="T138" s="7"/>
      <x:c r="U138" s="7"/>
      <x:c r="V138" s="7"/>
      <x:c r="W138" s="22" t="str">
        <x:f>IF(A138="","",COUNTIFS('Esecuzioni'!$A$8:$A$1007,A138,'Esecuzioni'!$Q$8:$Q$1007,"OK"))</x:f>
      </x:c>
      <x:c r="X138" s="20" t="str">
        <x:f>IF(OR(A138="",I138&lt;&gt;"Esecuzioni",W138=0),"",SUMIFS('Esecuzioni'!$L$8:$L$1007,'Esecuzioni'!$A$8:$A$1007,A138))</x:f>
      </x:c>
      <x:c r="Y138" s="20" t="str">
        <x:f>IF(OR(A138="",I138&lt;&gt;"Esecuzioni",W138=0),"",SUMIFS('Esecuzioni'!$M$8:$M$1007,'Esecuzioni'!$A$8:$A$1007,A138))</x:f>
      </x:c>
      <x:c r="Z138" s="20" t="str">
        <x:f>IF(A138="","",IF(J138="Annullato",0,IF(ISNUMBER(O138),O138,IF(AND(I138="Esecuzioni",W138&gt;0),_xlfn.MAXIFS('Esecuzioni'!$P$8:$P$1007,'Esecuzioni'!$A$8:$A$1007,A138),""))))</x:f>
      </x:c>
      <x:c r="AA138" s="20" t="str">
        <x:f>IF(OR(A138="",J138="Aperto"),"",IF(J138="Annullato",0,IF(I138="Lordo manuale",IF(ISNUMBER(P138),P138,""),IF(I138="Netto manuale",IF(AND(ISNUMBER(P138),ISNUMBER(Q138)),P138+Q138,""),IF(OR(W138=0,COUNTIFS('Esecuzioni'!$A$8:$A$1007,A138,'Esecuzioni'!$Q$8:$Q$1007,"&lt;&gt;OK")&gt;0),"",IF(S138="Vince",X138,IF(S138="Perde",Y138,IF(AND(S138="Coperto",ABS(X138-Y138)&lt;='Impostazioni'!$B$11),ROUND((X138+Y138)/2,2),""))))))))</x:f>
      </x:c>
      <x:c r="AB138" s="20" t="str">
        <x:f>IF(NOT(ISNUMBER(AA138)),"",IF(J138="Annullato",0,IF(ISNUMBER(Q138),Q138,ROUND(MAX(0,AA138)*IF(ISNUMBER(R138),R138,'Impostazioni'!$B$8),2))))</x:f>
      </x:c>
      <x:c r="AC138" s="20" t="str">
        <x:f>IF(AND(ISNUMBER(AA138),ISNUMBER(AB138)),ROUND(AA138-AB138,2),"")</x:f>
      </x:c>
      <x:c r="AD138" s="18" t="str">
        <x:f>IF(A138="","",IF(AQ138&lt;&gt;"OK","Incompleto",IF(J138="Aperto","Aperto",IF(J138="Annullato","Annullato",IF(AC138&gt;0,"Green",IF(AC138&lt;0,"Red","Flat"))))))</x:f>
      </x:c>
      <x:c r="AE138" s="21" t="str">
        <x:f>IF(AND(AH138=1,Z138&gt;0),AC138/Z138,"")</x:f>
      </x:c>
      <x:c r="AF138" s="22" t="str">
        <x:f>IF(AH138&lt;&gt;1,"",COUNTIFS($C$8:$C$507,"&lt;"&amp;C138,$AH$8:$AH$507,1)+COUNTIFS($C$8:$C$507,C138,$A$8:$A$507,"&lt;="&amp;A138,$AH$8:$AH$507,1))</x:f>
      </x:c>
      <x:c r="AG138" s="20" t="str">
        <x:f>IF(AH138&lt;&gt;1,"",SUMIFS($AC$8:$AC$507,$C$8:$C$507,"&lt;"&amp;C138,$AH$8:$AH$507,1)+SUMIFS($AC$8:$AC$507,$C$8:$C$507,C138,$A$8:$A$507,"&lt;="&amp;A138,$AH$8:$AH$507,1))</x:f>
      </x:c>
      <x:c r="AH138" s="22" t="str">
        <x:f>IF(A138="","",IF(AND(J138="Chiuso",AQ138="OK",ISNUMBER(AC138)),1,0))</x:f>
      </x:c>
      <x:c r="AI138" s="20" t="str">
        <x:f>IF(AH138&lt;&gt;1,"",MAX(0,_xlfn.MAXIFS($AG$8:$AG$507,$AF$8:$AF$507,"&lt;="&amp;AF138,$AH$8:$AH$507,1)))</x:f>
      </x:c>
      <x:c r="AJ138" s="20" t="str">
        <x:f>IF(AH138&lt;&gt;1,"",MAX(0,AI138-AG138))</x:f>
      </x:c>
      <x:c r="AK138" s="21" t="str">
        <x:f>IF(OR(AH138&lt;&gt;1,NOT(ISNUMBER('Impostazioni'!$B$6)),'Impostazioni'!$B$6+AI138&lt;=0),"",AJ138/('Impostazioni'!$B$6+AI138))</x:f>
      </x:c>
      <x:c r="AL138" s="22" t="str">
        <x:f>IF(AH138&lt;&gt;1,"",IF(AC138&gt;0,AF138-_xlfn.MAXIFS($AF$8:$AF$507,$AF$8:$AF$507,"&lt;="&amp;AF138,$AC$8:$AC$507,"&lt;=0",$AH$8:$AH$507,1),0))</x:f>
      </x:c>
      <x:c r="AM138" s="22" t="str">
        <x:f>IF(AH138&lt;&gt;1,"",IF(AC138&lt;0,AF138-_xlfn.MAXIFS($AF$8:$AF$507,$AF$8:$AF$507,"&lt;="&amp;AF138,$AC$8:$AC$507,"&gt;=0",$AH$8:$AH$507,1),0))</x:f>
      </x:c>
      <x:c r="AN138" s="20" t="str">
        <x:f>IF(OR(A138="",NOT(ISNUMBER(B138)),NOT(ISNUMBER('Impostazioni'!$B$6))),"",'Impostazioni'!$B$6+SUMIFS($AC$8:$AC$507,$C$8:$C$507,"&lt;"&amp;B138,$AH$8:$AH$507,1)+SUMIFS('Cassa'!$F$8:$F$307,'Cassa'!$A$8:$A$307,"&lt;="&amp;B138,'Cassa'!$G$8:$G$307,"OK"))</x:f>
      </x:c>
      <x:c r="AO138" s="21" t="str">
        <x:f>IF(AND(ISNUMBER(Z138),ISNUMBER(AN138),AN138&gt;0),Z138/AN138,"")</x:f>
      </x:c>
      <x:c r="AP138" s="18" t="str">
        <x:f>IF(NOT(ISNUMBER(AO138)),"",IF(AO138&gt;'Impostazioni'!$B$7,"Oltre soglia personale","Nella soglia personale"))</x:f>
      </x:c>
      <x:c r="AQ138" s="18" t="str">
        <x:f>IF(A138="",IF(COUNTA(B138:V138)=0,"","Inserisci ID"),IF(COUNTIFS($A$8:$A$507,A138)&lt;&gt;1,"ID duplicato",IF(OR(NOT(ISNUMBER(B138)),D138="",E138="",F138="",G138="",H138="",COUNTIFS('Impostazioni'!$J$6:$J$25,F138)&lt;&gt;1),"Completa dati / elenchi",IF(OR(AND(I138&lt;&gt;"Lordo manuale",I138&lt;&gt;"Netto manuale",I138&lt;&gt;"Esecuzioni"),AND(J138&lt;&gt;"Aperto",J138&lt;&gt;"Chiuso",J138&lt;&gt;"Annullato")),"Modalità / stato mancanti",IF(AND(J138&lt;&gt;"Aperto",OR(NOT(ISNUMBER(C138)),C138&lt;B138)),"Correggi data chiusura",IF(OR(AND(Q138&lt;&gt;"",OR(NOT(ISNUMBER(Q138)),Q138&lt;0)),AND(R138&lt;&gt;"",OR(NOT(ISNUMBER(R138)),R138&lt;0,R138&gt;1))),"Commissione non valida",IF(J138="Annullato","OK",IF(OR(NOT(ISNUMBER(Z138)),Z138&lt;0,AND(O138&lt;&gt;"",NOT(ISNUMBER(O138)))),"Inserisci rischio",IF(AND(I138="Esecuzioni",OR(W138=0,COUNTIFS('Esecuzioni'!$A$8:$A$1007,A138,'Esecuzioni'!$Q$8:$Q$1007,"&lt;&gt;OK")&gt;0)),"Correggi esecuzioni",IF(J138="Aperto","OK",IF(AND(I138="Esecuzioni",S138="Coperto",ABS(X138-Y138)&gt;'Impostazioni'!$B$11),"Copertura residua",IF(NOT(ISNUMBER(AC138)),"Completa risultato / esito",IF(AND(Z138=0,AC138&lt;&gt;0),"Rischio nullo con P/L","OK")))))))))))))</x:f>
      </x:c>
      <x:c r="AR138" s="20" t="str">
        <x:f>IF(OR(A138="",J138&lt;&gt;"Aperto",AQ138&lt;&gt;"OK"),"",IF(I138="Esecuzioni",SUMIFS('Esecuzioni'!$P$8:$P$1007,'Esecuzioni'!$A$8:$A$1007,A138,'Esecuzioni'!$B$8:$B$1007,_xlfn.MAXIFS('Esecuzioni'!$B$8:$B$1007,'Esecuzioni'!$A$8:$A$1007,A138)),IF(LEFT(U138,8)="FREEBET:",0,Z138)))</x:f>
      </x:c>
      <x:c r="AS138" s="48" t="str">
        <x:f>IF(OR(A138="",E138=""),"",IF(COUNTIFS($E$8:E138,E138)=1,COUNT($AS$7:AS137)+1,""))</x:f>
      </x:c>
    </x:row>
    <x:row r="139" ht="22" customHeight="1">
      <x:c r="A139" s="7"/>
      <x:c r="B139" s="19"/>
      <x:c r="C139" s="19"/>
      <x:c r="D139" s="7"/>
      <x:c r="E139" s="7"/>
      <x:c r="F139" s="7"/>
      <x:c r="G139" s="7"/>
      <x:c r="H139" s="7"/>
      <x:c r="I139" s="7"/>
      <x:c r="J139" s="7"/>
      <x:c r="K139" s="10"/>
      <x:c r="L139" s="7"/>
      <x:c r="M139" s="10"/>
      <x:c r="N139" s="7"/>
      <x:c r="O139" s="8"/>
      <x:c r="P139" s="8"/>
      <x:c r="Q139" s="8"/>
      <x:c r="R139" s="9"/>
      <x:c r="S139" s="7"/>
      <x:c r="T139" s="7"/>
      <x:c r="U139" s="7"/>
      <x:c r="V139" s="7"/>
      <x:c r="W139" s="22" t="str">
        <x:f>IF(A139="","",COUNTIFS('Esecuzioni'!$A$8:$A$1007,A139,'Esecuzioni'!$Q$8:$Q$1007,"OK"))</x:f>
      </x:c>
      <x:c r="X139" s="20" t="str">
        <x:f>IF(OR(A139="",I139&lt;&gt;"Esecuzioni",W139=0),"",SUMIFS('Esecuzioni'!$L$8:$L$1007,'Esecuzioni'!$A$8:$A$1007,A139))</x:f>
      </x:c>
      <x:c r="Y139" s="20" t="str">
        <x:f>IF(OR(A139="",I139&lt;&gt;"Esecuzioni",W139=0),"",SUMIFS('Esecuzioni'!$M$8:$M$1007,'Esecuzioni'!$A$8:$A$1007,A139))</x:f>
      </x:c>
      <x:c r="Z139" s="20" t="str">
        <x:f>IF(A139="","",IF(J139="Annullato",0,IF(ISNUMBER(O139),O139,IF(AND(I139="Esecuzioni",W139&gt;0),_xlfn.MAXIFS('Esecuzioni'!$P$8:$P$1007,'Esecuzioni'!$A$8:$A$1007,A139),""))))</x:f>
      </x:c>
      <x:c r="AA139" s="20" t="str">
        <x:f>IF(OR(A139="",J139="Aperto"),"",IF(J139="Annullato",0,IF(I139="Lordo manuale",IF(ISNUMBER(P139),P139,""),IF(I139="Netto manuale",IF(AND(ISNUMBER(P139),ISNUMBER(Q139)),P139+Q139,""),IF(OR(W139=0,COUNTIFS('Esecuzioni'!$A$8:$A$1007,A139,'Esecuzioni'!$Q$8:$Q$1007,"&lt;&gt;OK")&gt;0),"",IF(S139="Vince",X139,IF(S139="Perde",Y139,IF(AND(S139="Coperto",ABS(X139-Y139)&lt;='Impostazioni'!$B$11),ROUND((X139+Y139)/2,2),""))))))))</x:f>
      </x:c>
      <x:c r="AB139" s="20" t="str">
        <x:f>IF(NOT(ISNUMBER(AA139)),"",IF(J139="Annullato",0,IF(ISNUMBER(Q139),Q139,ROUND(MAX(0,AA139)*IF(ISNUMBER(R139),R139,'Impostazioni'!$B$8),2))))</x:f>
      </x:c>
      <x:c r="AC139" s="20" t="str">
        <x:f>IF(AND(ISNUMBER(AA139),ISNUMBER(AB139)),ROUND(AA139-AB139,2),"")</x:f>
      </x:c>
      <x:c r="AD139" s="18" t="str">
        <x:f>IF(A139="","",IF(AQ139&lt;&gt;"OK","Incompleto",IF(J139="Aperto","Aperto",IF(J139="Annullato","Annullato",IF(AC139&gt;0,"Green",IF(AC139&lt;0,"Red","Flat"))))))</x:f>
      </x:c>
      <x:c r="AE139" s="21" t="str">
        <x:f>IF(AND(AH139=1,Z139&gt;0),AC139/Z139,"")</x:f>
      </x:c>
      <x:c r="AF139" s="22" t="str">
        <x:f>IF(AH139&lt;&gt;1,"",COUNTIFS($C$8:$C$507,"&lt;"&amp;C139,$AH$8:$AH$507,1)+COUNTIFS($C$8:$C$507,C139,$A$8:$A$507,"&lt;="&amp;A139,$AH$8:$AH$507,1))</x:f>
      </x:c>
      <x:c r="AG139" s="20" t="str">
        <x:f>IF(AH139&lt;&gt;1,"",SUMIFS($AC$8:$AC$507,$C$8:$C$507,"&lt;"&amp;C139,$AH$8:$AH$507,1)+SUMIFS($AC$8:$AC$507,$C$8:$C$507,C139,$A$8:$A$507,"&lt;="&amp;A139,$AH$8:$AH$507,1))</x:f>
      </x:c>
      <x:c r="AH139" s="22" t="str">
        <x:f>IF(A139="","",IF(AND(J139="Chiuso",AQ139="OK",ISNUMBER(AC139)),1,0))</x:f>
      </x:c>
      <x:c r="AI139" s="20" t="str">
        <x:f>IF(AH139&lt;&gt;1,"",MAX(0,_xlfn.MAXIFS($AG$8:$AG$507,$AF$8:$AF$507,"&lt;="&amp;AF139,$AH$8:$AH$507,1)))</x:f>
      </x:c>
      <x:c r="AJ139" s="20" t="str">
        <x:f>IF(AH139&lt;&gt;1,"",MAX(0,AI139-AG139))</x:f>
      </x:c>
      <x:c r="AK139" s="21" t="str">
        <x:f>IF(OR(AH139&lt;&gt;1,NOT(ISNUMBER('Impostazioni'!$B$6)),'Impostazioni'!$B$6+AI139&lt;=0),"",AJ139/('Impostazioni'!$B$6+AI139))</x:f>
      </x:c>
      <x:c r="AL139" s="22" t="str">
        <x:f>IF(AH139&lt;&gt;1,"",IF(AC139&gt;0,AF139-_xlfn.MAXIFS($AF$8:$AF$507,$AF$8:$AF$507,"&lt;="&amp;AF139,$AC$8:$AC$507,"&lt;=0",$AH$8:$AH$507,1),0))</x:f>
      </x:c>
      <x:c r="AM139" s="22" t="str">
        <x:f>IF(AH139&lt;&gt;1,"",IF(AC139&lt;0,AF139-_xlfn.MAXIFS($AF$8:$AF$507,$AF$8:$AF$507,"&lt;="&amp;AF139,$AC$8:$AC$507,"&gt;=0",$AH$8:$AH$507,1),0))</x:f>
      </x:c>
      <x:c r="AN139" s="20" t="str">
        <x:f>IF(OR(A139="",NOT(ISNUMBER(B139)),NOT(ISNUMBER('Impostazioni'!$B$6))),"",'Impostazioni'!$B$6+SUMIFS($AC$8:$AC$507,$C$8:$C$507,"&lt;"&amp;B139,$AH$8:$AH$507,1)+SUMIFS('Cassa'!$F$8:$F$307,'Cassa'!$A$8:$A$307,"&lt;="&amp;B139,'Cassa'!$G$8:$G$307,"OK"))</x:f>
      </x:c>
      <x:c r="AO139" s="21" t="str">
        <x:f>IF(AND(ISNUMBER(Z139),ISNUMBER(AN139),AN139&gt;0),Z139/AN139,"")</x:f>
      </x:c>
      <x:c r="AP139" s="18" t="str">
        <x:f>IF(NOT(ISNUMBER(AO139)),"",IF(AO139&gt;'Impostazioni'!$B$7,"Oltre soglia personale","Nella soglia personale"))</x:f>
      </x:c>
      <x:c r="AQ139" s="18" t="str">
        <x:f>IF(A139="",IF(COUNTA(B139:V139)=0,"","Inserisci ID"),IF(COUNTIFS($A$8:$A$507,A139)&lt;&gt;1,"ID duplicato",IF(OR(NOT(ISNUMBER(B139)),D139="",E139="",F139="",G139="",H139="",COUNTIFS('Impostazioni'!$J$6:$J$25,F139)&lt;&gt;1),"Completa dati / elenchi",IF(OR(AND(I139&lt;&gt;"Lordo manuale",I139&lt;&gt;"Netto manuale",I139&lt;&gt;"Esecuzioni"),AND(J139&lt;&gt;"Aperto",J139&lt;&gt;"Chiuso",J139&lt;&gt;"Annullato")),"Modalità / stato mancanti",IF(AND(J139&lt;&gt;"Aperto",OR(NOT(ISNUMBER(C139)),C139&lt;B139)),"Correggi data chiusura",IF(OR(AND(Q139&lt;&gt;"",OR(NOT(ISNUMBER(Q139)),Q139&lt;0)),AND(R139&lt;&gt;"",OR(NOT(ISNUMBER(R139)),R139&lt;0,R139&gt;1))),"Commissione non valida",IF(J139="Annullato","OK",IF(OR(NOT(ISNUMBER(Z139)),Z139&lt;0,AND(O139&lt;&gt;"",NOT(ISNUMBER(O139)))),"Inserisci rischio",IF(AND(I139="Esecuzioni",OR(W139=0,COUNTIFS('Esecuzioni'!$A$8:$A$1007,A139,'Esecuzioni'!$Q$8:$Q$1007,"&lt;&gt;OK")&gt;0)),"Correggi esecuzioni",IF(J139="Aperto","OK",IF(AND(I139="Esecuzioni",S139="Coperto",ABS(X139-Y139)&gt;'Impostazioni'!$B$11),"Copertura residua",IF(NOT(ISNUMBER(AC139)),"Completa risultato / esito",IF(AND(Z139=0,AC139&lt;&gt;0),"Rischio nullo con P/L","OK")))))))))))))</x:f>
      </x:c>
      <x:c r="AR139" s="20" t="str">
        <x:f>IF(OR(A139="",J139&lt;&gt;"Aperto",AQ139&lt;&gt;"OK"),"",IF(I139="Esecuzioni",SUMIFS('Esecuzioni'!$P$8:$P$1007,'Esecuzioni'!$A$8:$A$1007,A139,'Esecuzioni'!$B$8:$B$1007,_xlfn.MAXIFS('Esecuzioni'!$B$8:$B$1007,'Esecuzioni'!$A$8:$A$1007,A139)),IF(LEFT(U139,8)="FREEBET:",0,Z139)))</x:f>
      </x:c>
      <x:c r="AS139" s="48" t="str">
        <x:f>IF(OR(A139="",E139=""),"",IF(COUNTIFS($E$8:E139,E139)=1,COUNT($AS$7:AS138)+1,""))</x:f>
      </x:c>
    </x:row>
    <x:row r="140" ht="22" customHeight="1">
      <x:c r="A140" s="7"/>
      <x:c r="B140" s="19"/>
      <x:c r="C140" s="19"/>
      <x:c r="D140" s="7"/>
      <x:c r="E140" s="7"/>
      <x:c r="F140" s="7"/>
      <x:c r="G140" s="7"/>
      <x:c r="H140" s="7"/>
      <x:c r="I140" s="7"/>
      <x:c r="J140" s="7"/>
      <x:c r="K140" s="10"/>
      <x:c r="L140" s="7"/>
      <x:c r="M140" s="10"/>
      <x:c r="N140" s="7"/>
      <x:c r="O140" s="8"/>
      <x:c r="P140" s="8"/>
      <x:c r="Q140" s="8"/>
      <x:c r="R140" s="9"/>
      <x:c r="S140" s="7"/>
      <x:c r="T140" s="7"/>
      <x:c r="U140" s="7"/>
      <x:c r="V140" s="7"/>
      <x:c r="W140" s="22" t="str">
        <x:f>IF(A140="","",COUNTIFS('Esecuzioni'!$A$8:$A$1007,A140,'Esecuzioni'!$Q$8:$Q$1007,"OK"))</x:f>
      </x:c>
      <x:c r="X140" s="20" t="str">
        <x:f>IF(OR(A140="",I140&lt;&gt;"Esecuzioni",W140=0),"",SUMIFS('Esecuzioni'!$L$8:$L$1007,'Esecuzioni'!$A$8:$A$1007,A140))</x:f>
      </x:c>
      <x:c r="Y140" s="20" t="str">
        <x:f>IF(OR(A140="",I140&lt;&gt;"Esecuzioni",W140=0),"",SUMIFS('Esecuzioni'!$M$8:$M$1007,'Esecuzioni'!$A$8:$A$1007,A140))</x:f>
      </x:c>
      <x:c r="Z140" s="20" t="str">
        <x:f>IF(A140="","",IF(J140="Annullato",0,IF(ISNUMBER(O140),O140,IF(AND(I140="Esecuzioni",W140&gt;0),_xlfn.MAXIFS('Esecuzioni'!$P$8:$P$1007,'Esecuzioni'!$A$8:$A$1007,A140),""))))</x:f>
      </x:c>
      <x:c r="AA140" s="20" t="str">
        <x:f>IF(OR(A140="",J140="Aperto"),"",IF(J140="Annullato",0,IF(I140="Lordo manuale",IF(ISNUMBER(P140),P140,""),IF(I140="Netto manuale",IF(AND(ISNUMBER(P140),ISNUMBER(Q140)),P140+Q140,""),IF(OR(W140=0,COUNTIFS('Esecuzioni'!$A$8:$A$1007,A140,'Esecuzioni'!$Q$8:$Q$1007,"&lt;&gt;OK")&gt;0),"",IF(S140="Vince",X140,IF(S140="Perde",Y140,IF(AND(S140="Coperto",ABS(X140-Y140)&lt;='Impostazioni'!$B$11),ROUND((X140+Y140)/2,2),""))))))))</x:f>
      </x:c>
      <x:c r="AB140" s="20" t="str">
        <x:f>IF(NOT(ISNUMBER(AA140)),"",IF(J140="Annullato",0,IF(ISNUMBER(Q140),Q140,ROUND(MAX(0,AA140)*IF(ISNUMBER(R140),R140,'Impostazioni'!$B$8),2))))</x:f>
      </x:c>
      <x:c r="AC140" s="20" t="str">
        <x:f>IF(AND(ISNUMBER(AA140),ISNUMBER(AB140)),ROUND(AA140-AB140,2),"")</x:f>
      </x:c>
      <x:c r="AD140" s="18" t="str">
        <x:f>IF(A140="","",IF(AQ140&lt;&gt;"OK","Incompleto",IF(J140="Aperto","Aperto",IF(J140="Annullato","Annullato",IF(AC140&gt;0,"Green",IF(AC140&lt;0,"Red","Flat"))))))</x:f>
      </x:c>
      <x:c r="AE140" s="21" t="str">
        <x:f>IF(AND(AH140=1,Z140&gt;0),AC140/Z140,"")</x:f>
      </x:c>
      <x:c r="AF140" s="22" t="str">
        <x:f>IF(AH140&lt;&gt;1,"",COUNTIFS($C$8:$C$507,"&lt;"&amp;C140,$AH$8:$AH$507,1)+COUNTIFS($C$8:$C$507,C140,$A$8:$A$507,"&lt;="&amp;A140,$AH$8:$AH$507,1))</x:f>
      </x:c>
      <x:c r="AG140" s="20" t="str">
        <x:f>IF(AH140&lt;&gt;1,"",SUMIFS($AC$8:$AC$507,$C$8:$C$507,"&lt;"&amp;C140,$AH$8:$AH$507,1)+SUMIFS($AC$8:$AC$507,$C$8:$C$507,C140,$A$8:$A$507,"&lt;="&amp;A140,$AH$8:$AH$507,1))</x:f>
      </x:c>
      <x:c r="AH140" s="22" t="str">
        <x:f>IF(A140="","",IF(AND(J140="Chiuso",AQ140="OK",ISNUMBER(AC140)),1,0))</x:f>
      </x:c>
      <x:c r="AI140" s="20" t="str">
        <x:f>IF(AH140&lt;&gt;1,"",MAX(0,_xlfn.MAXIFS($AG$8:$AG$507,$AF$8:$AF$507,"&lt;="&amp;AF140,$AH$8:$AH$507,1)))</x:f>
      </x:c>
      <x:c r="AJ140" s="20" t="str">
        <x:f>IF(AH140&lt;&gt;1,"",MAX(0,AI140-AG140))</x:f>
      </x:c>
      <x:c r="AK140" s="21" t="str">
        <x:f>IF(OR(AH140&lt;&gt;1,NOT(ISNUMBER('Impostazioni'!$B$6)),'Impostazioni'!$B$6+AI140&lt;=0),"",AJ140/('Impostazioni'!$B$6+AI140))</x:f>
      </x:c>
      <x:c r="AL140" s="22" t="str">
        <x:f>IF(AH140&lt;&gt;1,"",IF(AC140&gt;0,AF140-_xlfn.MAXIFS($AF$8:$AF$507,$AF$8:$AF$507,"&lt;="&amp;AF140,$AC$8:$AC$507,"&lt;=0",$AH$8:$AH$507,1),0))</x:f>
      </x:c>
      <x:c r="AM140" s="22" t="str">
        <x:f>IF(AH140&lt;&gt;1,"",IF(AC140&lt;0,AF140-_xlfn.MAXIFS($AF$8:$AF$507,$AF$8:$AF$507,"&lt;="&amp;AF140,$AC$8:$AC$507,"&gt;=0",$AH$8:$AH$507,1),0))</x:f>
      </x:c>
      <x:c r="AN140" s="20" t="str">
        <x:f>IF(OR(A140="",NOT(ISNUMBER(B140)),NOT(ISNUMBER('Impostazioni'!$B$6))),"",'Impostazioni'!$B$6+SUMIFS($AC$8:$AC$507,$C$8:$C$507,"&lt;"&amp;B140,$AH$8:$AH$507,1)+SUMIFS('Cassa'!$F$8:$F$307,'Cassa'!$A$8:$A$307,"&lt;="&amp;B140,'Cassa'!$G$8:$G$307,"OK"))</x:f>
      </x:c>
      <x:c r="AO140" s="21" t="str">
        <x:f>IF(AND(ISNUMBER(Z140),ISNUMBER(AN140),AN140&gt;0),Z140/AN140,"")</x:f>
      </x:c>
      <x:c r="AP140" s="18" t="str">
        <x:f>IF(NOT(ISNUMBER(AO140)),"",IF(AO140&gt;'Impostazioni'!$B$7,"Oltre soglia personale","Nella soglia personale"))</x:f>
      </x:c>
      <x:c r="AQ140" s="18" t="str">
        <x:f>IF(A140="",IF(COUNTA(B140:V140)=0,"","Inserisci ID"),IF(COUNTIFS($A$8:$A$507,A140)&lt;&gt;1,"ID duplicato",IF(OR(NOT(ISNUMBER(B140)),D140="",E140="",F140="",G140="",H140="",COUNTIFS('Impostazioni'!$J$6:$J$25,F140)&lt;&gt;1),"Completa dati / elenchi",IF(OR(AND(I140&lt;&gt;"Lordo manuale",I140&lt;&gt;"Netto manuale",I140&lt;&gt;"Esecuzioni"),AND(J140&lt;&gt;"Aperto",J140&lt;&gt;"Chiuso",J140&lt;&gt;"Annullato")),"Modalità / stato mancanti",IF(AND(J140&lt;&gt;"Aperto",OR(NOT(ISNUMBER(C140)),C140&lt;B140)),"Correggi data chiusura",IF(OR(AND(Q140&lt;&gt;"",OR(NOT(ISNUMBER(Q140)),Q140&lt;0)),AND(R140&lt;&gt;"",OR(NOT(ISNUMBER(R140)),R140&lt;0,R140&gt;1))),"Commissione non valida",IF(J140="Annullato","OK",IF(OR(NOT(ISNUMBER(Z140)),Z140&lt;0,AND(O140&lt;&gt;"",NOT(ISNUMBER(O140)))),"Inserisci rischio",IF(AND(I140="Esecuzioni",OR(W140=0,COUNTIFS('Esecuzioni'!$A$8:$A$1007,A140,'Esecuzioni'!$Q$8:$Q$1007,"&lt;&gt;OK")&gt;0)),"Correggi esecuzioni",IF(J140="Aperto","OK",IF(AND(I140="Esecuzioni",S140="Coperto",ABS(X140-Y140)&gt;'Impostazioni'!$B$11),"Copertura residua",IF(NOT(ISNUMBER(AC140)),"Completa risultato / esito",IF(AND(Z140=0,AC140&lt;&gt;0),"Rischio nullo con P/L","OK")))))))))))))</x:f>
      </x:c>
      <x:c r="AR140" s="20" t="str">
        <x:f>IF(OR(A140="",J140&lt;&gt;"Aperto",AQ140&lt;&gt;"OK"),"",IF(I140="Esecuzioni",SUMIFS('Esecuzioni'!$P$8:$P$1007,'Esecuzioni'!$A$8:$A$1007,A140,'Esecuzioni'!$B$8:$B$1007,_xlfn.MAXIFS('Esecuzioni'!$B$8:$B$1007,'Esecuzioni'!$A$8:$A$1007,A140)),IF(LEFT(U140,8)="FREEBET:",0,Z140)))</x:f>
      </x:c>
      <x:c r="AS140" s="48" t="str">
        <x:f>IF(OR(A140="",E140=""),"",IF(COUNTIFS($E$8:E140,E140)=1,COUNT($AS$7:AS139)+1,""))</x:f>
      </x:c>
    </x:row>
    <x:row r="141" ht="22" customHeight="1">
      <x:c r="A141" s="7"/>
      <x:c r="B141" s="19"/>
      <x:c r="C141" s="19"/>
      <x:c r="D141" s="7"/>
      <x:c r="E141" s="7"/>
      <x:c r="F141" s="7"/>
      <x:c r="G141" s="7"/>
      <x:c r="H141" s="7"/>
      <x:c r="I141" s="7"/>
      <x:c r="J141" s="7"/>
      <x:c r="K141" s="10"/>
      <x:c r="L141" s="7"/>
      <x:c r="M141" s="10"/>
      <x:c r="N141" s="7"/>
      <x:c r="O141" s="8"/>
      <x:c r="P141" s="8"/>
      <x:c r="Q141" s="8"/>
      <x:c r="R141" s="9"/>
      <x:c r="S141" s="7"/>
      <x:c r="T141" s="7"/>
      <x:c r="U141" s="7"/>
      <x:c r="V141" s="7"/>
      <x:c r="W141" s="22" t="str">
        <x:f>IF(A141="","",COUNTIFS('Esecuzioni'!$A$8:$A$1007,A141,'Esecuzioni'!$Q$8:$Q$1007,"OK"))</x:f>
      </x:c>
      <x:c r="X141" s="20" t="str">
        <x:f>IF(OR(A141="",I141&lt;&gt;"Esecuzioni",W141=0),"",SUMIFS('Esecuzioni'!$L$8:$L$1007,'Esecuzioni'!$A$8:$A$1007,A141))</x:f>
      </x:c>
      <x:c r="Y141" s="20" t="str">
        <x:f>IF(OR(A141="",I141&lt;&gt;"Esecuzioni",W141=0),"",SUMIFS('Esecuzioni'!$M$8:$M$1007,'Esecuzioni'!$A$8:$A$1007,A141))</x:f>
      </x:c>
      <x:c r="Z141" s="20" t="str">
        <x:f>IF(A141="","",IF(J141="Annullato",0,IF(ISNUMBER(O141),O141,IF(AND(I141="Esecuzioni",W141&gt;0),_xlfn.MAXIFS('Esecuzioni'!$P$8:$P$1007,'Esecuzioni'!$A$8:$A$1007,A141),""))))</x:f>
      </x:c>
      <x:c r="AA141" s="20" t="str">
        <x:f>IF(OR(A141="",J141="Aperto"),"",IF(J141="Annullato",0,IF(I141="Lordo manuale",IF(ISNUMBER(P141),P141,""),IF(I141="Netto manuale",IF(AND(ISNUMBER(P141),ISNUMBER(Q141)),P141+Q141,""),IF(OR(W141=0,COUNTIFS('Esecuzioni'!$A$8:$A$1007,A141,'Esecuzioni'!$Q$8:$Q$1007,"&lt;&gt;OK")&gt;0),"",IF(S141="Vince",X141,IF(S141="Perde",Y141,IF(AND(S141="Coperto",ABS(X141-Y141)&lt;='Impostazioni'!$B$11),ROUND((X141+Y141)/2,2),""))))))))</x:f>
      </x:c>
      <x:c r="AB141" s="20" t="str">
        <x:f>IF(NOT(ISNUMBER(AA141)),"",IF(J141="Annullato",0,IF(ISNUMBER(Q141),Q141,ROUND(MAX(0,AA141)*IF(ISNUMBER(R141),R141,'Impostazioni'!$B$8),2))))</x:f>
      </x:c>
      <x:c r="AC141" s="20" t="str">
        <x:f>IF(AND(ISNUMBER(AA141),ISNUMBER(AB141)),ROUND(AA141-AB141,2),"")</x:f>
      </x:c>
      <x:c r="AD141" s="18" t="str">
        <x:f>IF(A141="","",IF(AQ141&lt;&gt;"OK","Incompleto",IF(J141="Aperto","Aperto",IF(J141="Annullato","Annullato",IF(AC141&gt;0,"Green",IF(AC141&lt;0,"Red","Flat"))))))</x:f>
      </x:c>
      <x:c r="AE141" s="21" t="str">
        <x:f>IF(AND(AH141=1,Z141&gt;0),AC141/Z141,"")</x:f>
      </x:c>
      <x:c r="AF141" s="22" t="str">
        <x:f>IF(AH141&lt;&gt;1,"",COUNTIFS($C$8:$C$507,"&lt;"&amp;C141,$AH$8:$AH$507,1)+COUNTIFS($C$8:$C$507,C141,$A$8:$A$507,"&lt;="&amp;A141,$AH$8:$AH$507,1))</x:f>
      </x:c>
      <x:c r="AG141" s="20" t="str">
        <x:f>IF(AH141&lt;&gt;1,"",SUMIFS($AC$8:$AC$507,$C$8:$C$507,"&lt;"&amp;C141,$AH$8:$AH$507,1)+SUMIFS($AC$8:$AC$507,$C$8:$C$507,C141,$A$8:$A$507,"&lt;="&amp;A141,$AH$8:$AH$507,1))</x:f>
      </x:c>
      <x:c r="AH141" s="22" t="str">
        <x:f>IF(A141="","",IF(AND(J141="Chiuso",AQ141="OK",ISNUMBER(AC141)),1,0))</x:f>
      </x:c>
      <x:c r="AI141" s="20" t="str">
        <x:f>IF(AH141&lt;&gt;1,"",MAX(0,_xlfn.MAXIFS($AG$8:$AG$507,$AF$8:$AF$507,"&lt;="&amp;AF141,$AH$8:$AH$507,1)))</x:f>
      </x:c>
      <x:c r="AJ141" s="20" t="str">
        <x:f>IF(AH141&lt;&gt;1,"",MAX(0,AI141-AG141))</x:f>
      </x:c>
      <x:c r="AK141" s="21" t="str">
        <x:f>IF(OR(AH141&lt;&gt;1,NOT(ISNUMBER('Impostazioni'!$B$6)),'Impostazioni'!$B$6+AI141&lt;=0),"",AJ141/('Impostazioni'!$B$6+AI141))</x:f>
      </x:c>
      <x:c r="AL141" s="22" t="str">
        <x:f>IF(AH141&lt;&gt;1,"",IF(AC141&gt;0,AF141-_xlfn.MAXIFS($AF$8:$AF$507,$AF$8:$AF$507,"&lt;="&amp;AF141,$AC$8:$AC$507,"&lt;=0",$AH$8:$AH$507,1),0))</x:f>
      </x:c>
      <x:c r="AM141" s="22" t="str">
        <x:f>IF(AH141&lt;&gt;1,"",IF(AC141&lt;0,AF141-_xlfn.MAXIFS($AF$8:$AF$507,$AF$8:$AF$507,"&lt;="&amp;AF141,$AC$8:$AC$507,"&gt;=0",$AH$8:$AH$507,1),0))</x:f>
      </x:c>
      <x:c r="AN141" s="20" t="str">
        <x:f>IF(OR(A141="",NOT(ISNUMBER(B141)),NOT(ISNUMBER('Impostazioni'!$B$6))),"",'Impostazioni'!$B$6+SUMIFS($AC$8:$AC$507,$C$8:$C$507,"&lt;"&amp;B141,$AH$8:$AH$507,1)+SUMIFS('Cassa'!$F$8:$F$307,'Cassa'!$A$8:$A$307,"&lt;="&amp;B141,'Cassa'!$G$8:$G$307,"OK"))</x:f>
      </x:c>
      <x:c r="AO141" s="21" t="str">
        <x:f>IF(AND(ISNUMBER(Z141),ISNUMBER(AN141),AN141&gt;0),Z141/AN141,"")</x:f>
      </x:c>
      <x:c r="AP141" s="18" t="str">
        <x:f>IF(NOT(ISNUMBER(AO141)),"",IF(AO141&gt;'Impostazioni'!$B$7,"Oltre soglia personale","Nella soglia personale"))</x:f>
      </x:c>
      <x:c r="AQ141" s="18" t="str">
        <x:f>IF(A141="",IF(COUNTA(B141:V141)=0,"","Inserisci ID"),IF(COUNTIFS($A$8:$A$507,A141)&lt;&gt;1,"ID duplicato",IF(OR(NOT(ISNUMBER(B141)),D141="",E141="",F141="",G141="",H141="",COUNTIFS('Impostazioni'!$J$6:$J$25,F141)&lt;&gt;1),"Completa dati / elenchi",IF(OR(AND(I141&lt;&gt;"Lordo manuale",I141&lt;&gt;"Netto manuale",I141&lt;&gt;"Esecuzioni"),AND(J141&lt;&gt;"Aperto",J141&lt;&gt;"Chiuso",J141&lt;&gt;"Annullato")),"Modalità / stato mancanti",IF(AND(J141&lt;&gt;"Aperto",OR(NOT(ISNUMBER(C141)),C141&lt;B141)),"Correggi data chiusura",IF(OR(AND(Q141&lt;&gt;"",OR(NOT(ISNUMBER(Q141)),Q141&lt;0)),AND(R141&lt;&gt;"",OR(NOT(ISNUMBER(R141)),R141&lt;0,R141&gt;1))),"Commissione non valida",IF(J141="Annullato","OK",IF(OR(NOT(ISNUMBER(Z141)),Z141&lt;0,AND(O141&lt;&gt;"",NOT(ISNUMBER(O141)))),"Inserisci rischio",IF(AND(I141="Esecuzioni",OR(W141=0,COUNTIFS('Esecuzioni'!$A$8:$A$1007,A141,'Esecuzioni'!$Q$8:$Q$1007,"&lt;&gt;OK")&gt;0)),"Correggi esecuzioni",IF(J141="Aperto","OK",IF(AND(I141="Esecuzioni",S141="Coperto",ABS(X141-Y141)&gt;'Impostazioni'!$B$11),"Copertura residua",IF(NOT(ISNUMBER(AC141)),"Completa risultato / esito",IF(AND(Z141=0,AC141&lt;&gt;0),"Rischio nullo con P/L","OK")))))))))))))</x:f>
      </x:c>
      <x:c r="AR141" s="20" t="str">
        <x:f>IF(OR(A141="",J141&lt;&gt;"Aperto",AQ141&lt;&gt;"OK"),"",IF(I141="Esecuzioni",SUMIFS('Esecuzioni'!$P$8:$P$1007,'Esecuzioni'!$A$8:$A$1007,A141,'Esecuzioni'!$B$8:$B$1007,_xlfn.MAXIFS('Esecuzioni'!$B$8:$B$1007,'Esecuzioni'!$A$8:$A$1007,A141)),IF(LEFT(U141,8)="FREEBET:",0,Z141)))</x:f>
      </x:c>
      <x:c r="AS141" s="48" t="str">
        <x:f>IF(OR(A141="",E141=""),"",IF(COUNTIFS($E$8:E141,E141)=1,COUNT($AS$7:AS140)+1,""))</x:f>
      </x:c>
    </x:row>
    <x:row r="142" ht="22" customHeight="1">
      <x:c r="A142" s="7"/>
      <x:c r="B142" s="19"/>
      <x:c r="C142" s="19"/>
      <x:c r="D142" s="7"/>
      <x:c r="E142" s="7"/>
      <x:c r="F142" s="7"/>
      <x:c r="G142" s="7"/>
      <x:c r="H142" s="7"/>
      <x:c r="I142" s="7"/>
      <x:c r="J142" s="7"/>
      <x:c r="K142" s="10"/>
      <x:c r="L142" s="7"/>
      <x:c r="M142" s="10"/>
      <x:c r="N142" s="7"/>
      <x:c r="O142" s="8"/>
      <x:c r="P142" s="8"/>
      <x:c r="Q142" s="8"/>
      <x:c r="R142" s="9"/>
      <x:c r="S142" s="7"/>
      <x:c r="T142" s="7"/>
      <x:c r="U142" s="7"/>
      <x:c r="V142" s="7"/>
      <x:c r="W142" s="22" t="str">
        <x:f>IF(A142="","",COUNTIFS('Esecuzioni'!$A$8:$A$1007,A142,'Esecuzioni'!$Q$8:$Q$1007,"OK"))</x:f>
      </x:c>
      <x:c r="X142" s="20" t="str">
        <x:f>IF(OR(A142="",I142&lt;&gt;"Esecuzioni",W142=0),"",SUMIFS('Esecuzioni'!$L$8:$L$1007,'Esecuzioni'!$A$8:$A$1007,A142))</x:f>
      </x:c>
      <x:c r="Y142" s="20" t="str">
        <x:f>IF(OR(A142="",I142&lt;&gt;"Esecuzioni",W142=0),"",SUMIFS('Esecuzioni'!$M$8:$M$1007,'Esecuzioni'!$A$8:$A$1007,A142))</x:f>
      </x:c>
      <x:c r="Z142" s="20" t="str">
        <x:f>IF(A142="","",IF(J142="Annullato",0,IF(ISNUMBER(O142),O142,IF(AND(I142="Esecuzioni",W142&gt;0),_xlfn.MAXIFS('Esecuzioni'!$P$8:$P$1007,'Esecuzioni'!$A$8:$A$1007,A142),""))))</x:f>
      </x:c>
      <x:c r="AA142" s="20" t="str">
        <x:f>IF(OR(A142="",J142="Aperto"),"",IF(J142="Annullato",0,IF(I142="Lordo manuale",IF(ISNUMBER(P142),P142,""),IF(I142="Netto manuale",IF(AND(ISNUMBER(P142),ISNUMBER(Q142)),P142+Q142,""),IF(OR(W142=0,COUNTIFS('Esecuzioni'!$A$8:$A$1007,A142,'Esecuzioni'!$Q$8:$Q$1007,"&lt;&gt;OK")&gt;0),"",IF(S142="Vince",X142,IF(S142="Perde",Y142,IF(AND(S142="Coperto",ABS(X142-Y142)&lt;='Impostazioni'!$B$11),ROUND((X142+Y142)/2,2),""))))))))</x:f>
      </x:c>
      <x:c r="AB142" s="20" t="str">
        <x:f>IF(NOT(ISNUMBER(AA142)),"",IF(J142="Annullato",0,IF(ISNUMBER(Q142),Q142,ROUND(MAX(0,AA142)*IF(ISNUMBER(R142),R142,'Impostazioni'!$B$8),2))))</x:f>
      </x:c>
      <x:c r="AC142" s="20" t="str">
        <x:f>IF(AND(ISNUMBER(AA142),ISNUMBER(AB142)),ROUND(AA142-AB142,2),"")</x:f>
      </x:c>
      <x:c r="AD142" s="18" t="str">
        <x:f>IF(A142="","",IF(AQ142&lt;&gt;"OK","Incompleto",IF(J142="Aperto","Aperto",IF(J142="Annullato","Annullato",IF(AC142&gt;0,"Green",IF(AC142&lt;0,"Red","Flat"))))))</x:f>
      </x:c>
      <x:c r="AE142" s="21" t="str">
        <x:f>IF(AND(AH142=1,Z142&gt;0),AC142/Z142,"")</x:f>
      </x:c>
      <x:c r="AF142" s="22" t="str">
        <x:f>IF(AH142&lt;&gt;1,"",COUNTIFS($C$8:$C$507,"&lt;"&amp;C142,$AH$8:$AH$507,1)+COUNTIFS($C$8:$C$507,C142,$A$8:$A$507,"&lt;="&amp;A142,$AH$8:$AH$507,1))</x:f>
      </x:c>
      <x:c r="AG142" s="20" t="str">
        <x:f>IF(AH142&lt;&gt;1,"",SUMIFS($AC$8:$AC$507,$C$8:$C$507,"&lt;"&amp;C142,$AH$8:$AH$507,1)+SUMIFS($AC$8:$AC$507,$C$8:$C$507,C142,$A$8:$A$507,"&lt;="&amp;A142,$AH$8:$AH$507,1))</x:f>
      </x:c>
      <x:c r="AH142" s="22" t="str">
        <x:f>IF(A142="","",IF(AND(J142="Chiuso",AQ142="OK",ISNUMBER(AC142)),1,0))</x:f>
      </x:c>
      <x:c r="AI142" s="20" t="str">
        <x:f>IF(AH142&lt;&gt;1,"",MAX(0,_xlfn.MAXIFS($AG$8:$AG$507,$AF$8:$AF$507,"&lt;="&amp;AF142,$AH$8:$AH$507,1)))</x:f>
      </x:c>
      <x:c r="AJ142" s="20" t="str">
        <x:f>IF(AH142&lt;&gt;1,"",MAX(0,AI142-AG142))</x:f>
      </x:c>
      <x:c r="AK142" s="21" t="str">
        <x:f>IF(OR(AH142&lt;&gt;1,NOT(ISNUMBER('Impostazioni'!$B$6)),'Impostazioni'!$B$6+AI142&lt;=0),"",AJ142/('Impostazioni'!$B$6+AI142))</x:f>
      </x:c>
      <x:c r="AL142" s="22" t="str">
        <x:f>IF(AH142&lt;&gt;1,"",IF(AC142&gt;0,AF142-_xlfn.MAXIFS($AF$8:$AF$507,$AF$8:$AF$507,"&lt;="&amp;AF142,$AC$8:$AC$507,"&lt;=0",$AH$8:$AH$507,1),0))</x:f>
      </x:c>
      <x:c r="AM142" s="22" t="str">
        <x:f>IF(AH142&lt;&gt;1,"",IF(AC142&lt;0,AF142-_xlfn.MAXIFS($AF$8:$AF$507,$AF$8:$AF$507,"&lt;="&amp;AF142,$AC$8:$AC$507,"&gt;=0",$AH$8:$AH$507,1),0))</x:f>
      </x:c>
      <x:c r="AN142" s="20" t="str">
        <x:f>IF(OR(A142="",NOT(ISNUMBER(B142)),NOT(ISNUMBER('Impostazioni'!$B$6))),"",'Impostazioni'!$B$6+SUMIFS($AC$8:$AC$507,$C$8:$C$507,"&lt;"&amp;B142,$AH$8:$AH$507,1)+SUMIFS('Cassa'!$F$8:$F$307,'Cassa'!$A$8:$A$307,"&lt;="&amp;B142,'Cassa'!$G$8:$G$307,"OK"))</x:f>
      </x:c>
      <x:c r="AO142" s="21" t="str">
        <x:f>IF(AND(ISNUMBER(Z142),ISNUMBER(AN142),AN142&gt;0),Z142/AN142,"")</x:f>
      </x:c>
      <x:c r="AP142" s="18" t="str">
        <x:f>IF(NOT(ISNUMBER(AO142)),"",IF(AO142&gt;'Impostazioni'!$B$7,"Oltre soglia personale","Nella soglia personale"))</x:f>
      </x:c>
      <x:c r="AQ142" s="18" t="str">
        <x:f>IF(A142="",IF(COUNTA(B142:V142)=0,"","Inserisci ID"),IF(COUNTIFS($A$8:$A$507,A142)&lt;&gt;1,"ID duplicato",IF(OR(NOT(ISNUMBER(B142)),D142="",E142="",F142="",G142="",H142="",COUNTIFS('Impostazioni'!$J$6:$J$25,F142)&lt;&gt;1),"Completa dati / elenchi",IF(OR(AND(I142&lt;&gt;"Lordo manuale",I142&lt;&gt;"Netto manuale",I142&lt;&gt;"Esecuzioni"),AND(J142&lt;&gt;"Aperto",J142&lt;&gt;"Chiuso",J142&lt;&gt;"Annullato")),"Modalità / stato mancanti",IF(AND(J142&lt;&gt;"Aperto",OR(NOT(ISNUMBER(C142)),C142&lt;B142)),"Correggi data chiusura",IF(OR(AND(Q142&lt;&gt;"",OR(NOT(ISNUMBER(Q142)),Q142&lt;0)),AND(R142&lt;&gt;"",OR(NOT(ISNUMBER(R142)),R142&lt;0,R142&gt;1))),"Commissione non valida",IF(J142="Annullato","OK",IF(OR(NOT(ISNUMBER(Z142)),Z142&lt;0,AND(O142&lt;&gt;"",NOT(ISNUMBER(O142)))),"Inserisci rischio",IF(AND(I142="Esecuzioni",OR(W142=0,COUNTIFS('Esecuzioni'!$A$8:$A$1007,A142,'Esecuzioni'!$Q$8:$Q$1007,"&lt;&gt;OK")&gt;0)),"Correggi esecuzioni",IF(J142="Aperto","OK",IF(AND(I142="Esecuzioni",S142="Coperto",ABS(X142-Y142)&gt;'Impostazioni'!$B$11),"Copertura residua",IF(NOT(ISNUMBER(AC142)),"Completa risultato / esito",IF(AND(Z142=0,AC142&lt;&gt;0),"Rischio nullo con P/L","OK")))))))))))))</x:f>
      </x:c>
      <x:c r="AR142" s="20" t="str">
        <x:f>IF(OR(A142="",J142&lt;&gt;"Aperto",AQ142&lt;&gt;"OK"),"",IF(I142="Esecuzioni",SUMIFS('Esecuzioni'!$P$8:$P$1007,'Esecuzioni'!$A$8:$A$1007,A142,'Esecuzioni'!$B$8:$B$1007,_xlfn.MAXIFS('Esecuzioni'!$B$8:$B$1007,'Esecuzioni'!$A$8:$A$1007,A142)),IF(LEFT(U142,8)="FREEBET:",0,Z142)))</x:f>
      </x:c>
      <x:c r="AS142" s="48" t="str">
        <x:f>IF(OR(A142="",E142=""),"",IF(COUNTIFS($E$8:E142,E142)=1,COUNT($AS$7:AS141)+1,""))</x:f>
      </x:c>
    </x:row>
    <x:row r="143" ht="22" customHeight="1">
      <x:c r="A143" s="7"/>
      <x:c r="B143" s="19"/>
      <x:c r="C143" s="19"/>
      <x:c r="D143" s="7"/>
      <x:c r="E143" s="7"/>
      <x:c r="F143" s="7"/>
      <x:c r="G143" s="7"/>
      <x:c r="H143" s="7"/>
      <x:c r="I143" s="7"/>
      <x:c r="J143" s="7"/>
      <x:c r="K143" s="10"/>
      <x:c r="L143" s="7"/>
      <x:c r="M143" s="10"/>
      <x:c r="N143" s="7"/>
      <x:c r="O143" s="8"/>
      <x:c r="P143" s="8"/>
      <x:c r="Q143" s="8"/>
      <x:c r="R143" s="9"/>
      <x:c r="S143" s="7"/>
      <x:c r="T143" s="7"/>
      <x:c r="U143" s="7"/>
      <x:c r="V143" s="7"/>
      <x:c r="W143" s="22" t="str">
        <x:f>IF(A143="","",COUNTIFS('Esecuzioni'!$A$8:$A$1007,A143,'Esecuzioni'!$Q$8:$Q$1007,"OK"))</x:f>
      </x:c>
      <x:c r="X143" s="20" t="str">
        <x:f>IF(OR(A143="",I143&lt;&gt;"Esecuzioni",W143=0),"",SUMIFS('Esecuzioni'!$L$8:$L$1007,'Esecuzioni'!$A$8:$A$1007,A143))</x:f>
      </x:c>
      <x:c r="Y143" s="20" t="str">
        <x:f>IF(OR(A143="",I143&lt;&gt;"Esecuzioni",W143=0),"",SUMIFS('Esecuzioni'!$M$8:$M$1007,'Esecuzioni'!$A$8:$A$1007,A143))</x:f>
      </x:c>
      <x:c r="Z143" s="20" t="str">
        <x:f>IF(A143="","",IF(J143="Annullato",0,IF(ISNUMBER(O143),O143,IF(AND(I143="Esecuzioni",W143&gt;0),_xlfn.MAXIFS('Esecuzioni'!$P$8:$P$1007,'Esecuzioni'!$A$8:$A$1007,A143),""))))</x:f>
      </x:c>
      <x:c r="AA143" s="20" t="str">
        <x:f>IF(OR(A143="",J143="Aperto"),"",IF(J143="Annullato",0,IF(I143="Lordo manuale",IF(ISNUMBER(P143),P143,""),IF(I143="Netto manuale",IF(AND(ISNUMBER(P143),ISNUMBER(Q143)),P143+Q143,""),IF(OR(W143=0,COUNTIFS('Esecuzioni'!$A$8:$A$1007,A143,'Esecuzioni'!$Q$8:$Q$1007,"&lt;&gt;OK")&gt;0),"",IF(S143="Vince",X143,IF(S143="Perde",Y143,IF(AND(S143="Coperto",ABS(X143-Y143)&lt;='Impostazioni'!$B$11),ROUND((X143+Y143)/2,2),""))))))))</x:f>
      </x:c>
      <x:c r="AB143" s="20" t="str">
        <x:f>IF(NOT(ISNUMBER(AA143)),"",IF(J143="Annullato",0,IF(ISNUMBER(Q143),Q143,ROUND(MAX(0,AA143)*IF(ISNUMBER(R143),R143,'Impostazioni'!$B$8),2))))</x:f>
      </x:c>
      <x:c r="AC143" s="20" t="str">
        <x:f>IF(AND(ISNUMBER(AA143),ISNUMBER(AB143)),ROUND(AA143-AB143,2),"")</x:f>
      </x:c>
      <x:c r="AD143" s="18" t="str">
        <x:f>IF(A143="","",IF(AQ143&lt;&gt;"OK","Incompleto",IF(J143="Aperto","Aperto",IF(J143="Annullato","Annullato",IF(AC143&gt;0,"Green",IF(AC143&lt;0,"Red","Flat"))))))</x:f>
      </x:c>
      <x:c r="AE143" s="21" t="str">
        <x:f>IF(AND(AH143=1,Z143&gt;0),AC143/Z143,"")</x:f>
      </x:c>
      <x:c r="AF143" s="22" t="str">
        <x:f>IF(AH143&lt;&gt;1,"",COUNTIFS($C$8:$C$507,"&lt;"&amp;C143,$AH$8:$AH$507,1)+COUNTIFS($C$8:$C$507,C143,$A$8:$A$507,"&lt;="&amp;A143,$AH$8:$AH$507,1))</x:f>
      </x:c>
      <x:c r="AG143" s="20" t="str">
        <x:f>IF(AH143&lt;&gt;1,"",SUMIFS($AC$8:$AC$507,$C$8:$C$507,"&lt;"&amp;C143,$AH$8:$AH$507,1)+SUMIFS($AC$8:$AC$507,$C$8:$C$507,C143,$A$8:$A$507,"&lt;="&amp;A143,$AH$8:$AH$507,1))</x:f>
      </x:c>
      <x:c r="AH143" s="22" t="str">
        <x:f>IF(A143="","",IF(AND(J143="Chiuso",AQ143="OK",ISNUMBER(AC143)),1,0))</x:f>
      </x:c>
      <x:c r="AI143" s="20" t="str">
        <x:f>IF(AH143&lt;&gt;1,"",MAX(0,_xlfn.MAXIFS($AG$8:$AG$507,$AF$8:$AF$507,"&lt;="&amp;AF143,$AH$8:$AH$507,1)))</x:f>
      </x:c>
      <x:c r="AJ143" s="20" t="str">
        <x:f>IF(AH143&lt;&gt;1,"",MAX(0,AI143-AG143))</x:f>
      </x:c>
      <x:c r="AK143" s="21" t="str">
        <x:f>IF(OR(AH143&lt;&gt;1,NOT(ISNUMBER('Impostazioni'!$B$6)),'Impostazioni'!$B$6+AI143&lt;=0),"",AJ143/('Impostazioni'!$B$6+AI143))</x:f>
      </x:c>
      <x:c r="AL143" s="22" t="str">
        <x:f>IF(AH143&lt;&gt;1,"",IF(AC143&gt;0,AF143-_xlfn.MAXIFS($AF$8:$AF$507,$AF$8:$AF$507,"&lt;="&amp;AF143,$AC$8:$AC$507,"&lt;=0",$AH$8:$AH$507,1),0))</x:f>
      </x:c>
      <x:c r="AM143" s="22" t="str">
        <x:f>IF(AH143&lt;&gt;1,"",IF(AC143&lt;0,AF143-_xlfn.MAXIFS($AF$8:$AF$507,$AF$8:$AF$507,"&lt;="&amp;AF143,$AC$8:$AC$507,"&gt;=0",$AH$8:$AH$507,1),0))</x:f>
      </x:c>
      <x:c r="AN143" s="20" t="str">
        <x:f>IF(OR(A143="",NOT(ISNUMBER(B143)),NOT(ISNUMBER('Impostazioni'!$B$6))),"",'Impostazioni'!$B$6+SUMIFS($AC$8:$AC$507,$C$8:$C$507,"&lt;"&amp;B143,$AH$8:$AH$507,1)+SUMIFS('Cassa'!$F$8:$F$307,'Cassa'!$A$8:$A$307,"&lt;="&amp;B143,'Cassa'!$G$8:$G$307,"OK"))</x:f>
      </x:c>
      <x:c r="AO143" s="21" t="str">
        <x:f>IF(AND(ISNUMBER(Z143),ISNUMBER(AN143),AN143&gt;0),Z143/AN143,"")</x:f>
      </x:c>
      <x:c r="AP143" s="18" t="str">
        <x:f>IF(NOT(ISNUMBER(AO143)),"",IF(AO143&gt;'Impostazioni'!$B$7,"Oltre soglia personale","Nella soglia personale"))</x:f>
      </x:c>
      <x:c r="AQ143" s="18" t="str">
        <x:f>IF(A143="",IF(COUNTA(B143:V143)=0,"","Inserisci ID"),IF(COUNTIFS($A$8:$A$507,A143)&lt;&gt;1,"ID duplicato",IF(OR(NOT(ISNUMBER(B143)),D143="",E143="",F143="",G143="",H143="",COUNTIFS('Impostazioni'!$J$6:$J$25,F143)&lt;&gt;1),"Completa dati / elenchi",IF(OR(AND(I143&lt;&gt;"Lordo manuale",I143&lt;&gt;"Netto manuale",I143&lt;&gt;"Esecuzioni"),AND(J143&lt;&gt;"Aperto",J143&lt;&gt;"Chiuso",J143&lt;&gt;"Annullato")),"Modalità / stato mancanti",IF(AND(J143&lt;&gt;"Aperto",OR(NOT(ISNUMBER(C143)),C143&lt;B143)),"Correggi data chiusura",IF(OR(AND(Q143&lt;&gt;"",OR(NOT(ISNUMBER(Q143)),Q143&lt;0)),AND(R143&lt;&gt;"",OR(NOT(ISNUMBER(R143)),R143&lt;0,R143&gt;1))),"Commissione non valida",IF(J143="Annullato","OK",IF(OR(NOT(ISNUMBER(Z143)),Z143&lt;0,AND(O143&lt;&gt;"",NOT(ISNUMBER(O143)))),"Inserisci rischio",IF(AND(I143="Esecuzioni",OR(W143=0,COUNTIFS('Esecuzioni'!$A$8:$A$1007,A143,'Esecuzioni'!$Q$8:$Q$1007,"&lt;&gt;OK")&gt;0)),"Correggi esecuzioni",IF(J143="Aperto","OK",IF(AND(I143="Esecuzioni",S143="Coperto",ABS(X143-Y143)&gt;'Impostazioni'!$B$11),"Copertura residua",IF(NOT(ISNUMBER(AC143)),"Completa risultato / esito",IF(AND(Z143=0,AC143&lt;&gt;0),"Rischio nullo con P/L","OK")))))))))))))</x:f>
      </x:c>
      <x:c r="AR143" s="20" t="str">
        <x:f>IF(OR(A143="",J143&lt;&gt;"Aperto",AQ143&lt;&gt;"OK"),"",IF(I143="Esecuzioni",SUMIFS('Esecuzioni'!$P$8:$P$1007,'Esecuzioni'!$A$8:$A$1007,A143,'Esecuzioni'!$B$8:$B$1007,_xlfn.MAXIFS('Esecuzioni'!$B$8:$B$1007,'Esecuzioni'!$A$8:$A$1007,A143)),IF(LEFT(U143,8)="FREEBET:",0,Z143)))</x:f>
      </x:c>
      <x:c r="AS143" s="48" t="str">
        <x:f>IF(OR(A143="",E143=""),"",IF(COUNTIFS($E$8:E143,E143)=1,COUNT($AS$7:AS142)+1,""))</x:f>
      </x:c>
    </x:row>
    <x:row r="144" ht="22" customHeight="1">
      <x:c r="A144" s="7"/>
      <x:c r="B144" s="19"/>
      <x:c r="C144" s="19"/>
      <x:c r="D144" s="7"/>
      <x:c r="E144" s="7"/>
      <x:c r="F144" s="7"/>
      <x:c r="G144" s="7"/>
      <x:c r="H144" s="7"/>
      <x:c r="I144" s="7"/>
      <x:c r="J144" s="7"/>
      <x:c r="K144" s="10"/>
      <x:c r="L144" s="7"/>
      <x:c r="M144" s="10"/>
      <x:c r="N144" s="7"/>
      <x:c r="O144" s="8"/>
      <x:c r="P144" s="8"/>
      <x:c r="Q144" s="8"/>
      <x:c r="R144" s="9"/>
      <x:c r="S144" s="7"/>
      <x:c r="T144" s="7"/>
      <x:c r="U144" s="7"/>
      <x:c r="V144" s="7"/>
      <x:c r="W144" s="22" t="str">
        <x:f>IF(A144="","",COUNTIFS('Esecuzioni'!$A$8:$A$1007,A144,'Esecuzioni'!$Q$8:$Q$1007,"OK"))</x:f>
      </x:c>
      <x:c r="X144" s="20" t="str">
        <x:f>IF(OR(A144="",I144&lt;&gt;"Esecuzioni",W144=0),"",SUMIFS('Esecuzioni'!$L$8:$L$1007,'Esecuzioni'!$A$8:$A$1007,A144))</x:f>
      </x:c>
      <x:c r="Y144" s="20" t="str">
        <x:f>IF(OR(A144="",I144&lt;&gt;"Esecuzioni",W144=0),"",SUMIFS('Esecuzioni'!$M$8:$M$1007,'Esecuzioni'!$A$8:$A$1007,A144))</x:f>
      </x:c>
      <x:c r="Z144" s="20" t="str">
        <x:f>IF(A144="","",IF(J144="Annullato",0,IF(ISNUMBER(O144),O144,IF(AND(I144="Esecuzioni",W144&gt;0),_xlfn.MAXIFS('Esecuzioni'!$P$8:$P$1007,'Esecuzioni'!$A$8:$A$1007,A144),""))))</x:f>
      </x:c>
      <x:c r="AA144" s="20" t="str">
        <x:f>IF(OR(A144="",J144="Aperto"),"",IF(J144="Annullato",0,IF(I144="Lordo manuale",IF(ISNUMBER(P144),P144,""),IF(I144="Netto manuale",IF(AND(ISNUMBER(P144),ISNUMBER(Q144)),P144+Q144,""),IF(OR(W144=0,COUNTIFS('Esecuzioni'!$A$8:$A$1007,A144,'Esecuzioni'!$Q$8:$Q$1007,"&lt;&gt;OK")&gt;0),"",IF(S144="Vince",X144,IF(S144="Perde",Y144,IF(AND(S144="Coperto",ABS(X144-Y144)&lt;='Impostazioni'!$B$11),ROUND((X144+Y144)/2,2),""))))))))</x:f>
      </x:c>
      <x:c r="AB144" s="20" t="str">
        <x:f>IF(NOT(ISNUMBER(AA144)),"",IF(J144="Annullato",0,IF(ISNUMBER(Q144),Q144,ROUND(MAX(0,AA144)*IF(ISNUMBER(R144),R144,'Impostazioni'!$B$8),2))))</x:f>
      </x:c>
      <x:c r="AC144" s="20" t="str">
        <x:f>IF(AND(ISNUMBER(AA144),ISNUMBER(AB144)),ROUND(AA144-AB144,2),"")</x:f>
      </x:c>
      <x:c r="AD144" s="18" t="str">
        <x:f>IF(A144="","",IF(AQ144&lt;&gt;"OK","Incompleto",IF(J144="Aperto","Aperto",IF(J144="Annullato","Annullato",IF(AC144&gt;0,"Green",IF(AC144&lt;0,"Red","Flat"))))))</x:f>
      </x:c>
      <x:c r="AE144" s="21" t="str">
        <x:f>IF(AND(AH144=1,Z144&gt;0),AC144/Z144,"")</x:f>
      </x:c>
      <x:c r="AF144" s="22" t="str">
        <x:f>IF(AH144&lt;&gt;1,"",COUNTIFS($C$8:$C$507,"&lt;"&amp;C144,$AH$8:$AH$507,1)+COUNTIFS($C$8:$C$507,C144,$A$8:$A$507,"&lt;="&amp;A144,$AH$8:$AH$507,1))</x:f>
      </x:c>
      <x:c r="AG144" s="20" t="str">
        <x:f>IF(AH144&lt;&gt;1,"",SUMIFS($AC$8:$AC$507,$C$8:$C$507,"&lt;"&amp;C144,$AH$8:$AH$507,1)+SUMIFS($AC$8:$AC$507,$C$8:$C$507,C144,$A$8:$A$507,"&lt;="&amp;A144,$AH$8:$AH$507,1))</x:f>
      </x:c>
      <x:c r="AH144" s="22" t="str">
        <x:f>IF(A144="","",IF(AND(J144="Chiuso",AQ144="OK",ISNUMBER(AC144)),1,0))</x:f>
      </x:c>
      <x:c r="AI144" s="20" t="str">
        <x:f>IF(AH144&lt;&gt;1,"",MAX(0,_xlfn.MAXIFS($AG$8:$AG$507,$AF$8:$AF$507,"&lt;="&amp;AF144,$AH$8:$AH$507,1)))</x:f>
      </x:c>
      <x:c r="AJ144" s="20" t="str">
        <x:f>IF(AH144&lt;&gt;1,"",MAX(0,AI144-AG144))</x:f>
      </x:c>
      <x:c r="AK144" s="21" t="str">
        <x:f>IF(OR(AH144&lt;&gt;1,NOT(ISNUMBER('Impostazioni'!$B$6)),'Impostazioni'!$B$6+AI144&lt;=0),"",AJ144/('Impostazioni'!$B$6+AI144))</x:f>
      </x:c>
      <x:c r="AL144" s="22" t="str">
        <x:f>IF(AH144&lt;&gt;1,"",IF(AC144&gt;0,AF144-_xlfn.MAXIFS($AF$8:$AF$507,$AF$8:$AF$507,"&lt;="&amp;AF144,$AC$8:$AC$507,"&lt;=0",$AH$8:$AH$507,1),0))</x:f>
      </x:c>
      <x:c r="AM144" s="22" t="str">
        <x:f>IF(AH144&lt;&gt;1,"",IF(AC144&lt;0,AF144-_xlfn.MAXIFS($AF$8:$AF$507,$AF$8:$AF$507,"&lt;="&amp;AF144,$AC$8:$AC$507,"&gt;=0",$AH$8:$AH$507,1),0))</x:f>
      </x:c>
      <x:c r="AN144" s="20" t="str">
        <x:f>IF(OR(A144="",NOT(ISNUMBER(B144)),NOT(ISNUMBER('Impostazioni'!$B$6))),"",'Impostazioni'!$B$6+SUMIFS($AC$8:$AC$507,$C$8:$C$507,"&lt;"&amp;B144,$AH$8:$AH$507,1)+SUMIFS('Cassa'!$F$8:$F$307,'Cassa'!$A$8:$A$307,"&lt;="&amp;B144,'Cassa'!$G$8:$G$307,"OK"))</x:f>
      </x:c>
      <x:c r="AO144" s="21" t="str">
        <x:f>IF(AND(ISNUMBER(Z144),ISNUMBER(AN144),AN144&gt;0),Z144/AN144,"")</x:f>
      </x:c>
      <x:c r="AP144" s="18" t="str">
        <x:f>IF(NOT(ISNUMBER(AO144)),"",IF(AO144&gt;'Impostazioni'!$B$7,"Oltre soglia personale","Nella soglia personale"))</x:f>
      </x:c>
      <x:c r="AQ144" s="18" t="str">
        <x:f>IF(A144="",IF(COUNTA(B144:V144)=0,"","Inserisci ID"),IF(COUNTIFS($A$8:$A$507,A144)&lt;&gt;1,"ID duplicato",IF(OR(NOT(ISNUMBER(B144)),D144="",E144="",F144="",G144="",H144="",COUNTIFS('Impostazioni'!$J$6:$J$25,F144)&lt;&gt;1),"Completa dati / elenchi",IF(OR(AND(I144&lt;&gt;"Lordo manuale",I144&lt;&gt;"Netto manuale",I144&lt;&gt;"Esecuzioni"),AND(J144&lt;&gt;"Aperto",J144&lt;&gt;"Chiuso",J144&lt;&gt;"Annullato")),"Modalità / stato mancanti",IF(AND(J144&lt;&gt;"Aperto",OR(NOT(ISNUMBER(C144)),C144&lt;B144)),"Correggi data chiusura",IF(OR(AND(Q144&lt;&gt;"",OR(NOT(ISNUMBER(Q144)),Q144&lt;0)),AND(R144&lt;&gt;"",OR(NOT(ISNUMBER(R144)),R144&lt;0,R144&gt;1))),"Commissione non valida",IF(J144="Annullato","OK",IF(OR(NOT(ISNUMBER(Z144)),Z144&lt;0,AND(O144&lt;&gt;"",NOT(ISNUMBER(O144)))),"Inserisci rischio",IF(AND(I144="Esecuzioni",OR(W144=0,COUNTIFS('Esecuzioni'!$A$8:$A$1007,A144,'Esecuzioni'!$Q$8:$Q$1007,"&lt;&gt;OK")&gt;0)),"Correggi esecuzioni",IF(J144="Aperto","OK",IF(AND(I144="Esecuzioni",S144="Coperto",ABS(X144-Y144)&gt;'Impostazioni'!$B$11),"Copertura residua",IF(NOT(ISNUMBER(AC144)),"Completa risultato / esito",IF(AND(Z144=0,AC144&lt;&gt;0),"Rischio nullo con P/L","OK")))))))))))))</x:f>
      </x:c>
      <x:c r="AR144" s="20" t="str">
        <x:f>IF(OR(A144="",J144&lt;&gt;"Aperto",AQ144&lt;&gt;"OK"),"",IF(I144="Esecuzioni",SUMIFS('Esecuzioni'!$P$8:$P$1007,'Esecuzioni'!$A$8:$A$1007,A144,'Esecuzioni'!$B$8:$B$1007,_xlfn.MAXIFS('Esecuzioni'!$B$8:$B$1007,'Esecuzioni'!$A$8:$A$1007,A144)),IF(LEFT(U144,8)="FREEBET:",0,Z144)))</x:f>
      </x:c>
      <x:c r="AS144" s="48" t="str">
        <x:f>IF(OR(A144="",E144=""),"",IF(COUNTIFS($E$8:E144,E144)=1,COUNT($AS$7:AS143)+1,""))</x:f>
      </x:c>
    </x:row>
    <x:row r="145" ht="22" customHeight="1">
      <x:c r="A145" s="7"/>
      <x:c r="B145" s="19"/>
      <x:c r="C145" s="19"/>
      <x:c r="D145" s="7"/>
      <x:c r="E145" s="7"/>
      <x:c r="F145" s="7"/>
      <x:c r="G145" s="7"/>
      <x:c r="H145" s="7"/>
      <x:c r="I145" s="7"/>
      <x:c r="J145" s="7"/>
      <x:c r="K145" s="10"/>
      <x:c r="L145" s="7"/>
      <x:c r="M145" s="10"/>
      <x:c r="N145" s="7"/>
      <x:c r="O145" s="8"/>
      <x:c r="P145" s="8"/>
      <x:c r="Q145" s="8"/>
      <x:c r="R145" s="9"/>
      <x:c r="S145" s="7"/>
      <x:c r="T145" s="7"/>
      <x:c r="U145" s="7"/>
      <x:c r="V145" s="7"/>
      <x:c r="W145" s="22" t="str">
        <x:f>IF(A145="","",COUNTIFS('Esecuzioni'!$A$8:$A$1007,A145,'Esecuzioni'!$Q$8:$Q$1007,"OK"))</x:f>
      </x:c>
      <x:c r="X145" s="20" t="str">
        <x:f>IF(OR(A145="",I145&lt;&gt;"Esecuzioni",W145=0),"",SUMIFS('Esecuzioni'!$L$8:$L$1007,'Esecuzioni'!$A$8:$A$1007,A145))</x:f>
      </x:c>
      <x:c r="Y145" s="20" t="str">
        <x:f>IF(OR(A145="",I145&lt;&gt;"Esecuzioni",W145=0),"",SUMIFS('Esecuzioni'!$M$8:$M$1007,'Esecuzioni'!$A$8:$A$1007,A145))</x:f>
      </x:c>
      <x:c r="Z145" s="20" t="str">
        <x:f>IF(A145="","",IF(J145="Annullato",0,IF(ISNUMBER(O145),O145,IF(AND(I145="Esecuzioni",W145&gt;0),_xlfn.MAXIFS('Esecuzioni'!$P$8:$P$1007,'Esecuzioni'!$A$8:$A$1007,A145),""))))</x:f>
      </x:c>
      <x:c r="AA145" s="20" t="str">
        <x:f>IF(OR(A145="",J145="Aperto"),"",IF(J145="Annullato",0,IF(I145="Lordo manuale",IF(ISNUMBER(P145),P145,""),IF(I145="Netto manuale",IF(AND(ISNUMBER(P145),ISNUMBER(Q145)),P145+Q145,""),IF(OR(W145=0,COUNTIFS('Esecuzioni'!$A$8:$A$1007,A145,'Esecuzioni'!$Q$8:$Q$1007,"&lt;&gt;OK")&gt;0),"",IF(S145="Vince",X145,IF(S145="Perde",Y145,IF(AND(S145="Coperto",ABS(X145-Y145)&lt;='Impostazioni'!$B$11),ROUND((X145+Y145)/2,2),""))))))))</x:f>
      </x:c>
      <x:c r="AB145" s="20" t="str">
        <x:f>IF(NOT(ISNUMBER(AA145)),"",IF(J145="Annullato",0,IF(ISNUMBER(Q145),Q145,ROUND(MAX(0,AA145)*IF(ISNUMBER(R145),R145,'Impostazioni'!$B$8),2))))</x:f>
      </x:c>
      <x:c r="AC145" s="20" t="str">
        <x:f>IF(AND(ISNUMBER(AA145),ISNUMBER(AB145)),ROUND(AA145-AB145,2),"")</x:f>
      </x:c>
      <x:c r="AD145" s="18" t="str">
        <x:f>IF(A145="","",IF(AQ145&lt;&gt;"OK","Incompleto",IF(J145="Aperto","Aperto",IF(J145="Annullato","Annullato",IF(AC145&gt;0,"Green",IF(AC145&lt;0,"Red","Flat"))))))</x:f>
      </x:c>
      <x:c r="AE145" s="21" t="str">
        <x:f>IF(AND(AH145=1,Z145&gt;0),AC145/Z145,"")</x:f>
      </x:c>
      <x:c r="AF145" s="22" t="str">
        <x:f>IF(AH145&lt;&gt;1,"",COUNTIFS($C$8:$C$507,"&lt;"&amp;C145,$AH$8:$AH$507,1)+COUNTIFS($C$8:$C$507,C145,$A$8:$A$507,"&lt;="&amp;A145,$AH$8:$AH$507,1))</x:f>
      </x:c>
      <x:c r="AG145" s="20" t="str">
        <x:f>IF(AH145&lt;&gt;1,"",SUMIFS($AC$8:$AC$507,$C$8:$C$507,"&lt;"&amp;C145,$AH$8:$AH$507,1)+SUMIFS($AC$8:$AC$507,$C$8:$C$507,C145,$A$8:$A$507,"&lt;="&amp;A145,$AH$8:$AH$507,1))</x:f>
      </x:c>
      <x:c r="AH145" s="22" t="str">
        <x:f>IF(A145="","",IF(AND(J145="Chiuso",AQ145="OK",ISNUMBER(AC145)),1,0))</x:f>
      </x:c>
      <x:c r="AI145" s="20" t="str">
        <x:f>IF(AH145&lt;&gt;1,"",MAX(0,_xlfn.MAXIFS($AG$8:$AG$507,$AF$8:$AF$507,"&lt;="&amp;AF145,$AH$8:$AH$507,1)))</x:f>
      </x:c>
      <x:c r="AJ145" s="20" t="str">
        <x:f>IF(AH145&lt;&gt;1,"",MAX(0,AI145-AG145))</x:f>
      </x:c>
      <x:c r="AK145" s="21" t="str">
        <x:f>IF(OR(AH145&lt;&gt;1,NOT(ISNUMBER('Impostazioni'!$B$6)),'Impostazioni'!$B$6+AI145&lt;=0),"",AJ145/('Impostazioni'!$B$6+AI145))</x:f>
      </x:c>
      <x:c r="AL145" s="22" t="str">
        <x:f>IF(AH145&lt;&gt;1,"",IF(AC145&gt;0,AF145-_xlfn.MAXIFS($AF$8:$AF$507,$AF$8:$AF$507,"&lt;="&amp;AF145,$AC$8:$AC$507,"&lt;=0",$AH$8:$AH$507,1),0))</x:f>
      </x:c>
      <x:c r="AM145" s="22" t="str">
        <x:f>IF(AH145&lt;&gt;1,"",IF(AC145&lt;0,AF145-_xlfn.MAXIFS($AF$8:$AF$507,$AF$8:$AF$507,"&lt;="&amp;AF145,$AC$8:$AC$507,"&gt;=0",$AH$8:$AH$507,1),0))</x:f>
      </x:c>
      <x:c r="AN145" s="20" t="str">
        <x:f>IF(OR(A145="",NOT(ISNUMBER(B145)),NOT(ISNUMBER('Impostazioni'!$B$6))),"",'Impostazioni'!$B$6+SUMIFS($AC$8:$AC$507,$C$8:$C$507,"&lt;"&amp;B145,$AH$8:$AH$507,1)+SUMIFS('Cassa'!$F$8:$F$307,'Cassa'!$A$8:$A$307,"&lt;="&amp;B145,'Cassa'!$G$8:$G$307,"OK"))</x:f>
      </x:c>
      <x:c r="AO145" s="21" t="str">
        <x:f>IF(AND(ISNUMBER(Z145),ISNUMBER(AN145),AN145&gt;0),Z145/AN145,"")</x:f>
      </x:c>
      <x:c r="AP145" s="18" t="str">
        <x:f>IF(NOT(ISNUMBER(AO145)),"",IF(AO145&gt;'Impostazioni'!$B$7,"Oltre soglia personale","Nella soglia personale"))</x:f>
      </x:c>
      <x:c r="AQ145" s="18" t="str">
        <x:f>IF(A145="",IF(COUNTA(B145:V145)=0,"","Inserisci ID"),IF(COUNTIFS($A$8:$A$507,A145)&lt;&gt;1,"ID duplicato",IF(OR(NOT(ISNUMBER(B145)),D145="",E145="",F145="",G145="",H145="",COUNTIFS('Impostazioni'!$J$6:$J$25,F145)&lt;&gt;1),"Completa dati / elenchi",IF(OR(AND(I145&lt;&gt;"Lordo manuale",I145&lt;&gt;"Netto manuale",I145&lt;&gt;"Esecuzioni"),AND(J145&lt;&gt;"Aperto",J145&lt;&gt;"Chiuso",J145&lt;&gt;"Annullato")),"Modalità / stato mancanti",IF(AND(J145&lt;&gt;"Aperto",OR(NOT(ISNUMBER(C145)),C145&lt;B145)),"Correggi data chiusura",IF(OR(AND(Q145&lt;&gt;"",OR(NOT(ISNUMBER(Q145)),Q145&lt;0)),AND(R145&lt;&gt;"",OR(NOT(ISNUMBER(R145)),R145&lt;0,R145&gt;1))),"Commissione non valida",IF(J145="Annullato","OK",IF(OR(NOT(ISNUMBER(Z145)),Z145&lt;0,AND(O145&lt;&gt;"",NOT(ISNUMBER(O145)))),"Inserisci rischio",IF(AND(I145="Esecuzioni",OR(W145=0,COUNTIFS('Esecuzioni'!$A$8:$A$1007,A145,'Esecuzioni'!$Q$8:$Q$1007,"&lt;&gt;OK")&gt;0)),"Correggi esecuzioni",IF(J145="Aperto","OK",IF(AND(I145="Esecuzioni",S145="Coperto",ABS(X145-Y145)&gt;'Impostazioni'!$B$11),"Copertura residua",IF(NOT(ISNUMBER(AC145)),"Completa risultato / esito",IF(AND(Z145=0,AC145&lt;&gt;0),"Rischio nullo con P/L","OK")))))))))))))</x:f>
      </x:c>
      <x:c r="AR145" s="20" t="str">
        <x:f>IF(OR(A145="",J145&lt;&gt;"Aperto",AQ145&lt;&gt;"OK"),"",IF(I145="Esecuzioni",SUMIFS('Esecuzioni'!$P$8:$P$1007,'Esecuzioni'!$A$8:$A$1007,A145,'Esecuzioni'!$B$8:$B$1007,_xlfn.MAXIFS('Esecuzioni'!$B$8:$B$1007,'Esecuzioni'!$A$8:$A$1007,A145)),IF(LEFT(U145,8)="FREEBET:",0,Z145)))</x:f>
      </x:c>
      <x:c r="AS145" s="48" t="str">
        <x:f>IF(OR(A145="",E145=""),"",IF(COUNTIFS($E$8:E145,E145)=1,COUNT($AS$7:AS144)+1,""))</x:f>
      </x:c>
    </x:row>
    <x:row r="146" ht="22" customHeight="1">
      <x:c r="A146" s="7"/>
      <x:c r="B146" s="19"/>
      <x:c r="C146" s="19"/>
      <x:c r="D146" s="7"/>
      <x:c r="E146" s="7"/>
      <x:c r="F146" s="7"/>
      <x:c r="G146" s="7"/>
      <x:c r="H146" s="7"/>
      <x:c r="I146" s="7"/>
      <x:c r="J146" s="7"/>
      <x:c r="K146" s="10"/>
      <x:c r="L146" s="7"/>
      <x:c r="M146" s="10"/>
      <x:c r="N146" s="7"/>
      <x:c r="O146" s="8"/>
      <x:c r="P146" s="8"/>
      <x:c r="Q146" s="8"/>
      <x:c r="R146" s="9"/>
      <x:c r="S146" s="7"/>
      <x:c r="T146" s="7"/>
      <x:c r="U146" s="7"/>
      <x:c r="V146" s="7"/>
      <x:c r="W146" s="22" t="str">
        <x:f>IF(A146="","",COUNTIFS('Esecuzioni'!$A$8:$A$1007,A146,'Esecuzioni'!$Q$8:$Q$1007,"OK"))</x:f>
      </x:c>
      <x:c r="X146" s="20" t="str">
        <x:f>IF(OR(A146="",I146&lt;&gt;"Esecuzioni",W146=0),"",SUMIFS('Esecuzioni'!$L$8:$L$1007,'Esecuzioni'!$A$8:$A$1007,A146))</x:f>
      </x:c>
      <x:c r="Y146" s="20" t="str">
        <x:f>IF(OR(A146="",I146&lt;&gt;"Esecuzioni",W146=0),"",SUMIFS('Esecuzioni'!$M$8:$M$1007,'Esecuzioni'!$A$8:$A$1007,A146))</x:f>
      </x:c>
      <x:c r="Z146" s="20" t="str">
        <x:f>IF(A146="","",IF(J146="Annullato",0,IF(ISNUMBER(O146),O146,IF(AND(I146="Esecuzioni",W146&gt;0),_xlfn.MAXIFS('Esecuzioni'!$P$8:$P$1007,'Esecuzioni'!$A$8:$A$1007,A146),""))))</x:f>
      </x:c>
      <x:c r="AA146" s="20" t="str">
        <x:f>IF(OR(A146="",J146="Aperto"),"",IF(J146="Annullato",0,IF(I146="Lordo manuale",IF(ISNUMBER(P146),P146,""),IF(I146="Netto manuale",IF(AND(ISNUMBER(P146),ISNUMBER(Q146)),P146+Q146,""),IF(OR(W146=0,COUNTIFS('Esecuzioni'!$A$8:$A$1007,A146,'Esecuzioni'!$Q$8:$Q$1007,"&lt;&gt;OK")&gt;0),"",IF(S146="Vince",X146,IF(S146="Perde",Y146,IF(AND(S146="Coperto",ABS(X146-Y146)&lt;='Impostazioni'!$B$11),ROUND((X146+Y146)/2,2),""))))))))</x:f>
      </x:c>
      <x:c r="AB146" s="20" t="str">
        <x:f>IF(NOT(ISNUMBER(AA146)),"",IF(J146="Annullato",0,IF(ISNUMBER(Q146),Q146,ROUND(MAX(0,AA146)*IF(ISNUMBER(R146),R146,'Impostazioni'!$B$8),2))))</x:f>
      </x:c>
      <x:c r="AC146" s="20" t="str">
        <x:f>IF(AND(ISNUMBER(AA146),ISNUMBER(AB146)),ROUND(AA146-AB146,2),"")</x:f>
      </x:c>
      <x:c r="AD146" s="18" t="str">
        <x:f>IF(A146="","",IF(AQ146&lt;&gt;"OK","Incompleto",IF(J146="Aperto","Aperto",IF(J146="Annullato","Annullato",IF(AC146&gt;0,"Green",IF(AC146&lt;0,"Red","Flat"))))))</x:f>
      </x:c>
      <x:c r="AE146" s="21" t="str">
        <x:f>IF(AND(AH146=1,Z146&gt;0),AC146/Z146,"")</x:f>
      </x:c>
      <x:c r="AF146" s="22" t="str">
        <x:f>IF(AH146&lt;&gt;1,"",COUNTIFS($C$8:$C$507,"&lt;"&amp;C146,$AH$8:$AH$507,1)+COUNTIFS($C$8:$C$507,C146,$A$8:$A$507,"&lt;="&amp;A146,$AH$8:$AH$507,1))</x:f>
      </x:c>
      <x:c r="AG146" s="20" t="str">
        <x:f>IF(AH146&lt;&gt;1,"",SUMIFS($AC$8:$AC$507,$C$8:$C$507,"&lt;"&amp;C146,$AH$8:$AH$507,1)+SUMIFS($AC$8:$AC$507,$C$8:$C$507,C146,$A$8:$A$507,"&lt;="&amp;A146,$AH$8:$AH$507,1))</x:f>
      </x:c>
      <x:c r="AH146" s="22" t="str">
        <x:f>IF(A146="","",IF(AND(J146="Chiuso",AQ146="OK",ISNUMBER(AC146)),1,0))</x:f>
      </x:c>
      <x:c r="AI146" s="20" t="str">
        <x:f>IF(AH146&lt;&gt;1,"",MAX(0,_xlfn.MAXIFS($AG$8:$AG$507,$AF$8:$AF$507,"&lt;="&amp;AF146,$AH$8:$AH$507,1)))</x:f>
      </x:c>
      <x:c r="AJ146" s="20" t="str">
        <x:f>IF(AH146&lt;&gt;1,"",MAX(0,AI146-AG146))</x:f>
      </x:c>
      <x:c r="AK146" s="21" t="str">
        <x:f>IF(OR(AH146&lt;&gt;1,NOT(ISNUMBER('Impostazioni'!$B$6)),'Impostazioni'!$B$6+AI146&lt;=0),"",AJ146/('Impostazioni'!$B$6+AI146))</x:f>
      </x:c>
      <x:c r="AL146" s="22" t="str">
        <x:f>IF(AH146&lt;&gt;1,"",IF(AC146&gt;0,AF146-_xlfn.MAXIFS($AF$8:$AF$507,$AF$8:$AF$507,"&lt;="&amp;AF146,$AC$8:$AC$507,"&lt;=0",$AH$8:$AH$507,1),0))</x:f>
      </x:c>
      <x:c r="AM146" s="22" t="str">
        <x:f>IF(AH146&lt;&gt;1,"",IF(AC146&lt;0,AF146-_xlfn.MAXIFS($AF$8:$AF$507,$AF$8:$AF$507,"&lt;="&amp;AF146,$AC$8:$AC$507,"&gt;=0",$AH$8:$AH$507,1),0))</x:f>
      </x:c>
      <x:c r="AN146" s="20" t="str">
        <x:f>IF(OR(A146="",NOT(ISNUMBER(B146)),NOT(ISNUMBER('Impostazioni'!$B$6))),"",'Impostazioni'!$B$6+SUMIFS($AC$8:$AC$507,$C$8:$C$507,"&lt;"&amp;B146,$AH$8:$AH$507,1)+SUMIFS('Cassa'!$F$8:$F$307,'Cassa'!$A$8:$A$307,"&lt;="&amp;B146,'Cassa'!$G$8:$G$307,"OK"))</x:f>
      </x:c>
      <x:c r="AO146" s="21" t="str">
        <x:f>IF(AND(ISNUMBER(Z146),ISNUMBER(AN146),AN146&gt;0),Z146/AN146,"")</x:f>
      </x:c>
      <x:c r="AP146" s="18" t="str">
        <x:f>IF(NOT(ISNUMBER(AO146)),"",IF(AO146&gt;'Impostazioni'!$B$7,"Oltre soglia personale","Nella soglia personale"))</x:f>
      </x:c>
      <x:c r="AQ146" s="18" t="str">
        <x:f>IF(A146="",IF(COUNTA(B146:V146)=0,"","Inserisci ID"),IF(COUNTIFS($A$8:$A$507,A146)&lt;&gt;1,"ID duplicato",IF(OR(NOT(ISNUMBER(B146)),D146="",E146="",F146="",G146="",H146="",COUNTIFS('Impostazioni'!$J$6:$J$25,F146)&lt;&gt;1),"Completa dati / elenchi",IF(OR(AND(I146&lt;&gt;"Lordo manuale",I146&lt;&gt;"Netto manuale",I146&lt;&gt;"Esecuzioni"),AND(J146&lt;&gt;"Aperto",J146&lt;&gt;"Chiuso",J146&lt;&gt;"Annullato")),"Modalità / stato mancanti",IF(AND(J146&lt;&gt;"Aperto",OR(NOT(ISNUMBER(C146)),C146&lt;B146)),"Correggi data chiusura",IF(OR(AND(Q146&lt;&gt;"",OR(NOT(ISNUMBER(Q146)),Q146&lt;0)),AND(R146&lt;&gt;"",OR(NOT(ISNUMBER(R146)),R146&lt;0,R146&gt;1))),"Commissione non valida",IF(J146="Annullato","OK",IF(OR(NOT(ISNUMBER(Z146)),Z146&lt;0,AND(O146&lt;&gt;"",NOT(ISNUMBER(O146)))),"Inserisci rischio",IF(AND(I146="Esecuzioni",OR(W146=0,COUNTIFS('Esecuzioni'!$A$8:$A$1007,A146,'Esecuzioni'!$Q$8:$Q$1007,"&lt;&gt;OK")&gt;0)),"Correggi esecuzioni",IF(J146="Aperto","OK",IF(AND(I146="Esecuzioni",S146="Coperto",ABS(X146-Y146)&gt;'Impostazioni'!$B$11),"Copertura residua",IF(NOT(ISNUMBER(AC146)),"Completa risultato / esito",IF(AND(Z146=0,AC146&lt;&gt;0),"Rischio nullo con P/L","OK")))))))))))))</x:f>
      </x:c>
      <x:c r="AR146" s="20" t="str">
        <x:f>IF(OR(A146="",J146&lt;&gt;"Aperto",AQ146&lt;&gt;"OK"),"",IF(I146="Esecuzioni",SUMIFS('Esecuzioni'!$P$8:$P$1007,'Esecuzioni'!$A$8:$A$1007,A146,'Esecuzioni'!$B$8:$B$1007,_xlfn.MAXIFS('Esecuzioni'!$B$8:$B$1007,'Esecuzioni'!$A$8:$A$1007,A146)),IF(LEFT(U146,8)="FREEBET:",0,Z146)))</x:f>
      </x:c>
      <x:c r="AS146" s="48" t="str">
        <x:f>IF(OR(A146="",E146=""),"",IF(COUNTIFS($E$8:E146,E146)=1,COUNT($AS$7:AS145)+1,""))</x:f>
      </x:c>
    </x:row>
    <x:row r="147" ht="22" customHeight="1">
      <x:c r="A147" s="7"/>
      <x:c r="B147" s="19"/>
      <x:c r="C147" s="19"/>
      <x:c r="D147" s="7"/>
      <x:c r="E147" s="7"/>
      <x:c r="F147" s="7"/>
      <x:c r="G147" s="7"/>
      <x:c r="H147" s="7"/>
      <x:c r="I147" s="7"/>
      <x:c r="J147" s="7"/>
      <x:c r="K147" s="10"/>
      <x:c r="L147" s="7"/>
      <x:c r="M147" s="10"/>
      <x:c r="N147" s="7"/>
      <x:c r="O147" s="8"/>
      <x:c r="P147" s="8"/>
      <x:c r="Q147" s="8"/>
      <x:c r="R147" s="9"/>
      <x:c r="S147" s="7"/>
      <x:c r="T147" s="7"/>
      <x:c r="U147" s="7"/>
      <x:c r="V147" s="7"/>
      <x:c r="W147" s="22" t="str">
        <x:f>IF(A147="","",COUNTIFS('Esecuzioni'!$A$8:$A$1007,A147,'Esecuzioni'!$Q$8:$Q$1007,"OK"))</x:f>
      </x:c>
      <x:c r="X147" s="20" t="str">
        <x:f>IF(OR(A147="",I147&lt;&gt;"Esecuzioni",W147=0),"",SUMIFS('Esecuzioni'!$L$8:$L$1007,'Esecuzioni'!$A$8:$A$1007,A147))</x:f>
      </x:c>
      <x:c r="Y147" s="20" t="str">
        <x:f>IF(OR(A147="",I147&lt;&gt;"Esecuzioni",W147=0),"",SUMIFS('Esecuzioni'!$M$8:$M$1007,'Esecuzioni'!$A$8:$A$1007,A147))</x:f>
      </x:c>
      <x:c r="Z147" s="20" t="str">
        <x:f>IF(A147="","",IF(J147="Annullato",0,IF(ISNUMBER(O147),O147,IF(AND(I147="Esecuzioni",W147&gt;0),_xlfn.MAXIFS('Esecuzioni'!$P$8:$P$1007,'Esecuzioni'!$A$8:$A$1007,A147),""))))</x:f>
      </x:c>
      <x:c r="AA147" s="20" t="str">
        <x:f>IF(OR(A147="",J147="Aperto"),"",IF(J147="Annullato",0,IF(I147="Lordo manuale",IF(ISNUMBER(P147),P147,""),IF(I147="Netto manuale",IF(AND(ISNUMBER(P147),ISNUMBER(Q147)),P147+Q147,""),IF(OR(W147=0,COUNTIFS('Esecuzioni'!$A$8:$A$1007,A147,'Esecuzioni'!$Q$8:$Q$1007,"&lt;&gt;OK")&gt;0),"",IF(S147="Vince",X147,IF(S147="Perde",Y147,IF(AND(S147="Coperto",ABS(X147-Y147)&lt;='Impostazioni'!$B$11),ROUND((X147+Y147)/2,2),""))))))))</x:f>
      </x:c>
      <x:c r="AB147" s="20" t="str">
        <x:f>IF(NOT(ISNUMBER(AA147)),"",IF(J147="Annullato",0,IF(ISNUMBER(Q147),Q147,ROUND(MAX(0,AA147)*IF(ISNUMBER(R147),R147,'Impostazioni'!$B$8),2))))</x:f>
      </x:c>
      <x:c r="AC147" s="20" t="str">
        <x:f>IF(AND(ISNUMBER(AA147),ISNUMBER(AB147)),ROUND(AA147-AB147,2),"")</x:f>
      </x:c>
      <x:c r="AD147" s="18" t="str">
        <x:f>IF(A147="","",IF(AQ147&lt;&gt;"OK","Incompleto",IF(J147="Aperto","Aperto",IF(J147="Annullato","Annullato",IF(AC147&gt;0,"Green",IF(AC147&lt;0,"Red","Flat"))))))</x:f>
      </x:c>
      <x:c r="AE147" s="21" t="str">
        <x:f>IF(AND(AH147=1,Z147&gt;0),AC147/Z147,"")</x:f>
      </x:c>
      <x:c r="AF147" s="22" t="str">
        <x:f>IF(AH147&lt;&gt;1,"",COUNTIFS($C$8:$C$507,"&lt;"&amp;C147,$AH$8:$AH$507,1)+COUNTIFS($C$8:$C$507,C147,$A$8:$A$507,"&lt;="&amp;A147,$AH$8:$AH$507,1))</x:f>
      </x:c>
      <x:c r="AG147" s="20" t="str">
        <x:f>IF(AH147&lt;&gt;1,"",SUMIFS($AC$8:$AC$507,$C$8:$C$507,"&lt;"&amp;C147,$AH$8:$AH$507,1)+SUMIFS($AC$8:$AC$507,$C$8:$C$507,C147,$A$8:$A$507,"&lt;="&amp;A147,$AH$8:$AH$507,1))</x:f>
      </x:c>
      <x:c r="AH147" s="22" t="str">
        <x:f>IF(A147="","",IF(AND(J147="Chiuso",AQ147="OK",ISNUMBER(AC147)),1,0))</x:f>
      </x:c>
      <x:c r="AI147" s="20" t="str">
        <x:f>IF(AH147&lt;&gt;1,"",MAX(0,_xlfn.MAXIFS($AG$8:$AG$507,$AF$8:$AF$507,"&lt;="&amp;AF147,$AH$8:$AH$507,1)))</x:f>
      </x:c>
      <x:c r="AJ147" s="20" t="str">
        <x:f>IF(AH147&lt;&gt;1,"",MAX(0,AI147-AG147))</x:f>
      </x:c>
      <x:c r="AK147" s="21" t="str">
        <x:f>IF(OR(AH147&lt;&gt;1,NOT(ISNUMBER('Impostazioni'!$B$6)),'Impostazioni'!$B$6+AI147&lt;=0),"",AJ147/('Impostazioni'!$B$6+AI147))</x:f>
      </x:c>
      <x:c r="AL147" s="22" t="str">
        <x:f>IF(AH147&lt;&gt;1,"",IF(AC147&gt;0,AF147-_xlfn.MAXIFS($AF$8:$AF$507,$AF$8:$AF$507,"&lt;="&amp;AF147,$AC$8:$AC$507,"&lt;=0",$AH$8:$AH$507,1),0))</x:f>
      </x:c>
      <x:c r="AM147" s="22" t="str">
        <x:f>IF(AH147&lt;&gt;1,"",IF(AC147&lt;0,AF147-_xlfn.MAXIFS($AF$8:$AF$507,$AF$8:$AF$507,"&lt;="&amp;AF147,$AC$8:$AC$507,"&gt;=0",$AH$8:$AH$507,1),0))</x:f>
      </x:c>
      <x:c r="AN147" s="20" t="str">
        <x:f>IF(OR(A147="",NOT(ISNUMBER(B147)),NOT(ISNUMBER('Impostazioni'!$B$6))),"",'Impostazioni'!$B$6+SUMIFS($AC$8:$AC$507,$C$8:$C$507,"&lt;"&amp;B147,$AH$8:$AH$507,1)+SUMIFS('Cassa'!$F$8:$F$307,'Cassa'!$A$8:$A$307,"&lt;="&amp;B147,'Cassa'!$G$8:$G$307,"OK"))</x:f>
      </x:c>
      <x:c r="AO147" s="21" t="str">
        <x:f>IF(AND(ISNUMBER(Z147),ISNUMBER(AN147),AN147&gt;0),Z147/AN147,"")</x:f>
      </x:c>
      <x:c r="AP147" s="18" t="str">
        <x:f>IF(NOT(ISNUMBER(AO147)),"",IF(AO147&gt;'Impostazioni'!$B$7,"Oltre soglia personale","Nella soglia personale"))</x:f>
      </x:c>
      <x:c r="AQ147" s="18" t="str">
        <x:f>IF(A147="",IF(COUNTA(B147:V147)=0,"","Inserisci ID"),IF(COUNTIFS($A$8:$A$507,A147)&lt;&gt;1,"ID duplicato",IF(OR(NOT(ISNUMBER(B147)),D147="",E147="",F147="",G147="",H147="",COUNTIFS('Impostazioni'!$J$6:$J$25,F147)&lt;&gt;1),"Completa dati / elenchi",IF(OR(AND(I147&lt;&gt;"Lordo manuale",I147&lt;&gt;"Netto manuale",I147&lt;&gt;"Esecuzioni"),AND(J147&lt;&gt;"Aperto",J147&lt;&gt;"Chiuso",J147&lt;&gt;"Annullato")),"Modalità / stato mancanti",IF(AND(J147&lt;&gt;"Aperto",OR(NOT(ISNUMBER(C147)),C147&lt;B147)),"Correggi data chiusura",IF(OR(AND(Q147&lt;&gt;"",OR(NOT(ISNUMBER(Q147)),Q147&lt;0)),AND(R147&lt;&gt;"",OR(NOT(ISNUMBER(R147)),R147&lt;0,R147&gt;1))),"Commissione non valida",IF(J147="Annullato","OK",IF(OR(NOT(ISNUMBER(Z147)),Z147&lt;0,AND(O147&lt;&gt;"",NOT(ISNUMBER(O147)))),"Inserisci rischio",IF(AND(I147="Esecuzioni",OR(W147=0,COUNTIFS('Esecuzioni'!$A$8:$A$1007,A147,'Esecuzioni'!$Q$8:$Q$1007,"&lt;&gt;OK")&gt;0)),"Correggi esecuzioni",IF(J147="Aperto","OK",IF(AND(I147="Esecuzioni",S147="Coperto",ABS(X147-Y147)&gt;'Impostazioni'!$B$11),"Copertura residua",IF(NOT(ISNUMBER(AC147)),"Completa risultato / esito",IF(AND(Z147=0,AC147&lt;&gt;0),"Rischio nullo con P/L","OK")))))))))))))</x:f>
      </x:c>
      <x:c r="AR147" s="20" t="str">
        <x:f>IF(OR(A147="",J147&lt;&gt;"Aperto",AQ147&lt;&gt;"OK"),"",IF(I147="Esecuzioni",SUMIFS('Esecuzioni'!$P$8:$P$1007,'Esecuzioni'!$A$8:$A$1007,A147,'Esecuzioni'!$B$8:$B$1007,_xlfn.MAXIFS('Esecuzioni'!$B$8:$B$1007,'Esecuzioni'!$A$8:$A$1007,A147)),IF(LEFT(U147,8)="FREEBET:",0,Z147)))</x:f>
      </x:c>
      <x:c r="AS147" s="48" t="str">
        <x:f>IF(OR(A147="",E147=""),"",IF(COUNTIFS($E$8:E147,E147)=1,COUNT($AS$7:AS146)+1,""))</x:f>
      </x:c>
    </x:row>
    <x:row r="148" ht="22" customHeight="1">
      <x:c r="A148" s="7"/>
      <x:c r="B148" s="19"/>
      <x:c r="C148" s="19"/>
      <x:c r="D148" s="7"/>
      <x:c r="E148" s="7"/>
      <x:c r="F148" s="7"/>
      <x:c r="G148" s="7"/>
      <x:c r="H148" s="7"/>
      <x:c r="I148" s="7"/>
      <x:c r="J148" s="7"/>
      <x:c r="K148" s="10"/>
      <x:c r="L148" s="7"/>
      <x:c r="M148" s="10"/>
      <x:c r="N148" s="7"/>
      <x:c r="O148" s="8"/>
      <x:c r="P148" s="8"/>
      <x:c r="Q148" s="8"/>
      <x:c r="R148" s="9"/>
      <x:c r="S148" s="7"/>
      <x:c r="T148" s="7"/>
      <x:c r="U148" s="7"/>
      <x:c r="V148" s="7"/>
      <x:c r="W148" s="22" t="str">
        <x:f>IF(A148="","",COUNTIFS('Esecuzioni'!$A$8:$A$1007,A148,'Esecuzioni'!$Q$8:$Q$1007,"OK"))</x:f>
      </x:c>
      <x:c r="X148" s="20" t="str">
        <x:f>IF(OR(A148="",I148&lt;&gt;"Esecuzioni",W148=0),"",SUMIFS('Esecuzioni'!$L$8:$L$1007,'Esecuzioni'!$A$8:$A$1007,A148))</x:f>
      </x:c>
      <x:c r="Y148" s="20" t="str">
        <x:f>IF(OR(A148="",I148&lt;&gt;"Esecuzioni",W148=0),"",SUMIFS('Esecuzioni'!$M$8:$M$1007,'Esecuzioni'!$A$8:$A$1007,A148))</x:f>
      </x:c>
      <x:c r="Z148" s="20" t="str">
        <x:f>IF(A148="","",IF(J148="Annullato",0,IF(ISNUMBER(O148),O148,IF(AND(I148="Esecuzioni",W148&gt;0),_xlfn.MAXIFS('Esecuzioni'!$P$8:$P$1007,'Esecuzioni'!$A$8:$A$1007,A148),""))))</x:f>
      </x:c>
      <x:c r="AA148" s="20" t="str">
        <x:f>IF(OR(A148="",J148="Aperto"),"",IF(J148="Annullato",0,IF(I148="Lordo manuale",IF(ISNUMBER(P148),P148,""),IF(I148="Netto manuale",IF(AND(ISNUMBER(P148),ISNUMBER(Q148)),P148+Q148,""),IF(OR(W148=0,COUNTIFS('Esecuzioni'!$A$8:$A$1007,A148,'Esecuzioni'!$Q$8:$Q$1007,"&lt;&gt;OK")&gt;0),"",IF(S148="Vince",X148,IF(S148="Perde",Y148,IF(AND(S148="Coperto",ABS(X148-Y148)&lt;='Impostazioni'!$B$11),ROUND((X148+Y148)/2,2),""))))))))</x:f>
      </x:c>
      <x:c r="AB148" s="20" t="str">
        <x:f>IF(NOT(ISNUMBER(AA148)),"",IF(J148="Annullato",0,IF(ISNUMBER(Q148),Q148,ROUND(MAX(0,AA148)*IF(ISNUMBER(R148),R148,'Impostazioni'!$B$8),2))))</x:f>
      </x:c>
      <x:c r="AC148" s="20" t="str">
        <x:f>IF(AND(ISNUMBER(AA148),ISNUMBER(AB148)),ROUND(AA148-AB148,2),"")</x:f>
      </x:c>
      <x:c r="AD148" s="18" t="str">
        <x:f>IF(A148="","",IF(AQ148&lt;&gt;"OK","Incompleto",IF(J148="Aperto","Aperto",IF(J148="Annullato","Annullato",IF(AC148&gt;0,"Green",IF(AC148&lt;0,"Red","Flat"))))))</x:f>
      </x:c>
      <x:c r="AE148" s="21" t="str">
        <x:f>IF(AND(AH148=1,Z148&gt;0),AC148/Z148,"")</x:f>
      </x:c>
      <x:c r="AF148" s="22" t="str">
        <x:f>IF(AH148&lt;&gt;1,"",COUNTIFS($C$8:$C$507,"&lt;"&amp;C148,$AH$8:$AH$507,1)+COUNTIFS($C$8:$C$507,C148,$A$8:$A$507,"&lt;="&amp;A148,$AH$8:$AH$507,1))</x:f>
      </x:c>
      <x:c r="AG148" s="20" t="str">
        <x:f>IF(AH148&lt;&gt;1,"",SUMIFS($AC$8:$AC$507,$C$8:$C$507,"&lt;"&amp;C148,$AH$8:$AH$507,1)+SUMIFS($AC$8:$AC$507,$C$8:$C$507,C148,$A$8:$A$507,"&lt;="&amp;A148,$AH$8:$AH$507,1))</x:f>
      </x:c>
      <x:c r="AH148" s="22" t="str">
        <x:f>IF(A148="","",IF(AND(J148="Chiuso",AQ148="OK",ISNUMBER(AC148)),1,0))</x:f>
      </x:c>
      <x:c r="AI148" s="20" t="str">
        <x:f>IF(AH148&lt;&gt;1,"",MAX(0,_xlfn.MAXIFS($AG$8:$AG$507,$AF$8:$AF$507,"&lt;="&amp;AF148,$AH$8:$AH$507,1)))</x:f>
      </x:c>
      <x:c r="AJ148" s="20" t="str">
        <x:f>IF(AH148&lt;&gt;1,"",MAX(0,AI148-AG148))</x:f>
      </x:c>
      <x:c r="AK148" s="21" t="str">
        <x:f>IF(OR(AH148&lt;&gt;1,NOT(ISNUMBER('Impostazioni'!$B$6)),'Impostazioni'!$B$6+AI148&lt;=0),"",AJ148/('Impostazioni'!$B$6+AI148))</x:f>
      </x:c>
      <x:c r="AL148" s="22" t="str">
        <x:f>IF(AH148&lt;&gt;1,"",IF(AC148&gt;0,AF148-_xlfn.MAXIFS($AF$8:$AF$507,$AF$8:$AF$507,"&lt;="&amp;AF148,$AC$8:$AC$507,"&lt;=0",$AH$8:$AH$507,1),0))</x:f>
      </x:c>
      <x:c r="AM148" s="22" t="str">
        <x:f>IF(AH148&lt;&gt;1,"",IF(AC148&lt;0,AF148-_xlfn.MAXIFS($AF$8:$AF$507,$AF$8:$AF$507,"&lt;="&amp;AF148,$AC$8:$AC$507,"&gt;=0",$AH$8:$AH$507,1),0))</x:f>
      </x:c>
      <x:c r="AN148" s="20" t="str">
        <x:f>IF(OR(A148="",NOT(ISNUMBER(B148)),NOT(ISNUMBER('Impostazioni'!$B$6))),"",'Impostazioni'!$B$6+SUMIFS($AC$8:$AC$507,$C$8:$C$507,"&lt;"&amp;B148,$AH$8:$AH$507,1)+SUMIFS('Cassa'!$F$8:$F$307,'Cassa'!$A$8:$A$307,"&lt;="&amp;B148,'Cassa'!$G$8:$G$307,"OK"))</x:f>
      </x:c>
      <x:c r="AO148" s="21" t="str">
        <x:f>IF(AND(ISNUMBER(Z148),ISNUMBER(AN148),AN148&gt;0),Z148/AN148,"")</x:f>
      </x:c>
      <x:c r="AP148" s="18" t="str">
        <x:f>IF(NOT(ISNUMBER(AO148)),"",IF(AO148&gt;'Impostazioni'!$B$7,"Oltre soglia personale","Nella soglia personale"))</x:f>
      </x:c>
      <x:c r="AQ148" s="18" t="str">
        <x:f>IF(A148="",IF(COUNTA(B148:V148)=0,"","Inserisci ID"),IF(COUNTIFS($A$8:$A$507,A148)&lt;&gt;1,"ID duplicato",IF(OR(NOT(ISNUMBER(B148)),D148="",E148="",F148="",G148="",H148="",COUNTIFS('Impostazioni'!$J$6:$J$25,F148)&lt;&gt;1),"Completa dati / elenchi",IF(OR(AND(I148&lt;&gt;"Lordo manuale",I148&lt;&gt;"Netto manuale",I148&lt;&gt;"Esecuzioni"),AND(J148&lt;&gt;"Aperto",J148&lt;&gt;"Chiuso",J148&lt;&gt;"Annullato")),"Modalità / stato mancanti",IF(AND(J148&lt;&gt;"Aperto",OR(NOT(ISNUMBER(C148)),C148&lt;B148)),"Correggi data chiusura",IF(OR(AND(Q148&lt;&gt;"",OR(NOT(ISNUMBER(Q148)),Q148&lt;0)),AND(R148&lt;&gt;"",OR(NOT(ISNUMBER(R148)),R148&lt;0,R148&gt;1))),"Commissione non valida",IF(J148="Annullato","OK",IF(OR(NOT(ISNUMBER(Z148)),Z148&lt;0,AND(O148&lt;&gt;"",NOT(ISNUMBER(O148)))),"Inserisci rischio",IF(AND(I148="Esecuzioni",OR(W148=0,COUNTIFS('Esecuzioni'!$A$8:$A$1007,A148,'Esecuzioni'!$Q$8:$Q$1007,"&lt;&gt;OK")&gt;0)),"Correggi esecuzioni",IF(J148="Aperto","OK",IF(AND(I148="Esecuzioni",S148="Coperto",ABS(X148-Y148)&gt;'Impostazioni'!$B$11),"Copertura residua",IF(NOT(ISNUMBER(AC148)),"Completa risultato / esito",IF(AND(Z148=0,AC148&lt;&gt;0),"Rischio nullo con P/L","OK")))))))))))))</x:f>
      </x:c>
      <x:c r="AR148" s="20" t="str">
        <x:f>IF(OR(A148="",J148&lt;&gt;"Aperto",AQ148&lt;&gt;"OK"),"",IF(I148="Esecuzioni",SUMIFS('Esecuzioni'!$P$8:$P$1007,'Esecuzioni'!$A$8:$A$1007,A148,'Esecuzioni'!$B$8:$B$1007,_xlfn.MAXIFS('Esecuzioni'!$B$8:$B$1007,'Esecuzioni'!$A$8:$A$1007,A148)),IF(LEFT(U148,8)="FREEBET:",0,Z148)))</x:f>
      </x:c>
      <x:c r="AS148" s="48" t="str">
        <x:f>IF(OR(A148="",E148=""),"",IF(COUNTIFS($E$8:E148,E148)=1,COUNT($AS$7:AS147)+1,""))</x:f>
      </x:c>
    </x:row>
    <x:row r="149" ht="22" customHeight="1">
      <x:c r="A149" s="7"/>
      <x:c r="B149" s="19"/>
      <x:c r="C149" s="19"/>
      <x:c r="D149" s="7"/>
      <x:c r="E149" s="7"/>
      <x:c r="F149" s="7"/>
      <x:c r="G149" s="7"/>
      <x:c r="H149" s="7"/>
      <x:c r="I149" s="7"/>
      <x:c r="J149" s="7"/>
      <x:c r="K149" s="10"/>
      <x:c r="L149" s="7"/>
      <x:c r="M149" s="10"/>
      <x:c r="N149" s="7"/>
      <x:c r="O149" s="8"/>
      <x:c r="P149" s="8"/>
      <x:c r="Q149" s="8"/>
      <x:c r="R149" s="9"/>
      <x:c r="S149" s="7"/>
      <x:c r="T149" s="7"/>
      <x:c r="U149" s="7"/>
      <x:c r="V149" s="7"/>
      <x:c r="W149" s="22" t="str">
        <x:f>IF(A149="","",COUNTIFS('Esecuzioni'!$A$8:$A$1007,A149,'Esecuzioni'!$Q$8:$Q$1007,"OK"))</x:f>
      </x:c>
      <x:c r="X149" s="20" t="str">
        <x:f>IF(OR(A149="",I149&lt;&gt;"Esecuzioni",W149=0),"",SUMIFS('Esecuzioni'!$L$8:$L$1007,'Esecuzioni'!$A$8:$A$1007,A149))</x:f>
      </x:c>
      <x:c r="Y149" s="20" t="str">
        <x:f>IF(OR(A149="",I149&lt;&gt;"Esecuzioni",W149=0),"",SUMIFS('Esecuzioni'!$M$8:$M$1007,'Esecuzioni'!$A$8:$A$1007,A149))</x:f>
      </x:c>
      <x:c r="Z149" s="20" t="str">
        <x:f>IF(A149="","",IF(J149="Annullato",0,IF(ISNUMBER(O149),O149,IF(AND(I149="Esecuzioni",W149&gt;0),_xlfn.MAXIFS('Esecuzioni'!$P$8:$P$1007,'Esecuzioni'!$A$8:$A$1007,A149),""))))</x:f>
      </x:c>
      <x:c r="AA149" s="20" t="str">
        <x:f>IF(OR(A149="",J149="Aperto"),"",IF(J149="Annullato",0,IF(I149="Lordo manuale",IF(ISNUMBER(P149),P149,""),IF(I149="Netto manuale",IF(AND(ISNUMBER(P149),ISNUMBER(Q149)),P149+Q149,""),IF(OR(W149=0,COUNTIFS('Esecuzioni'!$A$8:$A$1007,A149,'Esecuzioni'!$Q$8:$Q$1007,"&lt;&gt;OK")&gt;0),"",IF(S149="Vince",X149,IF(S149="Perde",Y149,IF(AND(S149="Coperto",ABS(X149-Y149)&lt;='Impostazioni'!$B$11),ROUND((X149+Y149)/2,2),""))))))))</x:f>
      </x:c>
      <x:c r="AB149" s="20" t="str">
        <x:f>IF(NOT(ISNUMBER(AA149)),"",IF(J149="Annullato",0,IF(ISNUMBER(Q149),Q149,ROUND(MAX(0,AA149)*IF(ISNUMBER(R149),R149,'Impostazioni'!$B$8),2))))</x:f>
      </x:c>
      <x:c r="AC149" s="20" t="str">
        <x:f>IF(AND(ISNUMBER(AA149),ISNUMBER(AB149)),ROUND(AA149-AB149,2),"")</x:f>
      </x:c>
      <x:c r="AD149" s="18" t="str">
        <x:f>IF(A149="","",IF(AQ149&lt;&gt;"OK","Incompleto",IF(J149="Aperto","Aperto",IF(J149="Annullato","Annullato",IF(AC149&gt;0,"Green",IF(AC149&lt;0,"Red","Flat"))))))</x:f>
      </x:c>
      <x:c r="AE149" s="21" t="str">
        <x:f>IF(AND(AH149=1,Z149&gt;0),AC149/Z149,"")</x:f>
      </x:c>
      <x:c r="AF149" s="22" t="str">
        <x:f>IF(AH149&lt;&gt;1,"",COUNTIFS($C$8:$C$507,"&lt;"&amp;C149,$AH$8:$AH$507,1)+COUNTIFS($C$8:$C$507,C149,$A$8:$A$507,"&lt;="&amp;A149,$AH$8:$AH$507,1))</x:f>
      </x:c>
      <x:c r="AG149" s="20" t="str">
        <x:f>IF(AH149&lt;&gt;1,"",SUMIFS($AC$8:$AC$507,$C$8:$C$507,"&lt;"&amp;C149,$AH$8:$AH$507,1)+SUMIFS($AC$8:$AC$507,$C$8:$C$507,C149,$A$8:$A$507,"&lt;="&amp;A149,$AH$8:$AH$507,1))</x:f>
      </x:c>
      <x:c r="AH149" s="22" t="str">
        <x:f>IF(A149="","",IF(AND(J149="Chiuso",AQ149="OK",ISNUMBER(AC149)),1,0))</x:f>
      </x:c>
      <x:c r="AI149" s="20" t="str">
        <x:f>IF(AH149&lt;&gt;1,"",MAX(0,_xlfn.MAXIFS($AG$8:$AG$507,$AF$8:$AF$507,"&lt;="&amp;AF149,$AH$8:$AH$507,1)))</x:f>
      </x:c>
      <x:c r="AJ149" s="20" t="str">
        <x:f>IF(AH149&lt;&gt;1,"",MAX(0,AI149-AG149))</x:f>
      </x:c>
      <x:c r="AK149" s="21" t="str">
        <x:f>IF(OR(AH149&lt;&gt;1,NOT(ISNUMBER('Impostazioni'!$B$6)),'Impostazioni'!$B$6+AI149&lt;=0),"",AJ149/('Impostazioni'!$B$6+AI149))</x:f>
      </x:c>
      <x:c r="AL149" s="22" t="str">
        <x:f>IF(AH149&lt;&gt;1,"",IF(AC149&gt;0,AF149-_xlfn.MAXIFS($AF$8:$AF$507,$AF$8:$AF$507,"&lt;="&amp;AF149,$AC$8:$AC$507,"&lt;=0",$AH$8:$AH$507,1),0))</x:f>
      </x:c>
      <x:c r="AM149" s="22" t="str">
        <x:f>IF(AH149&lt;&gt;1,"",IF(AC149&lt;0,AF149-_xlfn.MAXIFS($AF$8:$AF$507,$AF$8:$AF$507,"&lt;="&amp;AF149,$AC$8:$AC$507,"&gt;=0",$AH$8:$AH$507,1),0))</x:f>
      </x:c>
      <x:c r="AN149" s="20" t="str">
        <x:f>IF(OR(A149="",NOT(ISNUMBER(B149)),NOT(ISNUMBER('Impostazioni'!$B$6))),"",'Impostazioni'!$B$6+SUMIFS($AC$8:$AC$507,$C$8:$C$507,"&lt;"&amp;B149,$AH$8:$AH$507,1)+SUMIFS('Cassa'!$F$8:$F$307,'Cassa'!$A$8:$A$307,"&lt;="&amp;B149,'Cassa'!$G$8:$G$307,"OK"))</x:f>
      </x:c>
      <x:c r="AO149" s="21" t="str">
        <x:f>IF(AND(ISNUMBER(Z149),ISNUMBER(AN149),AN149&gt;0),Z149/AN149,"")</x:f>
      </x:c>
      <x:c r="AP149" s="18" t="str">
        <x:f>IF(NOT(ISNUMBER(AO149)),"",IF(AO149&gt;'Impostazioni'!$B$7,"Oltre soglia personale","Nella soglia personale"))</x:f>
      </x:c>
      <x:c r="AQ149" s="18" t="str">
        <x:f>IF(A149="",IF(COUNTA(B149:V149)=0,"","Inserisci ID"),IF(COUNTIFS($A$8:$A$507,A149)&lt;&gt;1,"ID duplicato",IF(OR(NOT(ISNUMBER(B149)),D149="",E149="",F149="",G149="",H149="",COUNTIFS('Impostazioni'!$J$6:$J$25,F149)&lt;&gt;1),"Completa dati / elenchi",IF(OR(AND(I149&lt;&gt;"Lordo manuale",I149&lt;&gt;"Netto manuale",I149&lt;&gt;"Esecuzioni"),AND(J149&lt;&gt;"Aperto",J149&lt;&gt;"Chiuso",J149&lt;&gt;"Annullato")),"Modalità / stato mancanti",IF(AND(J149&lt;&gt;"Aperto",OR(NOT(ISNUMBER(C149)),C149&lt;B149)),"Correggi data chiusura",IF(OR(AND(Q149&lt;&gt;"",OR(NOT(ISNUMBER(Q149)),Q149&lt;0)),AND(R149&lt;&gt;"",OR(NOT(ISNUMBER(R149)),R149&lt;0,R149&gt;1))),"Commissione non valida",IF(J149="Annullato","OK",IF(OR(NOT(ISNUMBER(Z149)),Z149&lt;0,AND(O149&lt;&gt;"",NOT(ISNUMBER(O149)))),"Inserisci rischio",IF(AND(I149="Esecuzioni",OR(W149=0,COUNTIFS('Esecuzioni'!$A$8:$A$1007,A149,'Esecuzioni'!$Q$8:$Q$1007,"&lt;&gt;OK")&gt;0)),"Correggi esecuzioni",IF(J149="Aperto","OK",IF(AND(I149="Esecuzioni",S149="Coperto",ABS(X149-Y149)&gt;'Impostazioni'!$B$11),"Copertura residua",IF(NOT(ISNUMBER(AC149)),"Completa risultato / esito",IF(AND(Z149=0,AC149&lt;&gt;0),"Rischio nullo con P/L","OK")))))))))))))</x:f>
      </x:c>
      <x:c r="AR149" s="20" t="str">
        <x:f>IF(OR(A149="",J149&lt;&gt;"Aperto",AQ149&lt;&gt;"OK"),"",IF(I149="Esecuzioni",SUMIFS('Esecuzioni'!$P$8:$P$1007,'Esecuzioni'!$A$8:$A$1007,A149,'Esecuzioni'!$B$8:$B$1007,_xlfn.MAXIFS('Esecuzioni'!$B$8:$B$1007,'Esecuzioni'!$A$8:$A$1007,A149)),IF(LEFT(U149,8)="FREEBET:",0,Z149)))</x:f>
      </x:c>
      <x:c r="AS149" s="48" t="str">
        <x:f>IF(OR(A149="",E149=""),"",IF(COUNTIFS($E$8:E149,E149)=1,COUNT($AS$7:AS148)+1,""))</x:f>
      </x:c>
    </x:row>
    <x:row r="150" ht="22" customHeight="1">
      <x:c r="A150" s="7"/>
      <x:c r="B150" s="19"/>
      <x:c r="C150" s="19"/>
      <x:c r="D150" s="7"/>
      <x:c r="E150" s="7"/>
      <x:c r="F150" s="7"/>
      <x:c r="G150" s="7"/>
      <x:c r="H150" s="7"/>
      <x:c r="I150" s="7"/>
      <x:c r="J150" s="7"/>
      <x:c r="K150" s="10"/>
      <x:c r="L150" s="7"/>
      <x:c r="M150" s="10"/>
      <x:c r="N150" s="7"/>
      <x:c r="O150" s="8"/>
      <x:c r="P150" s="8"/>
      <x:c r="Q150" s="8"/>
      <x:c r="R150" s="9"/>
      <x:c r="S150" s="7"/>
      <x:c r="T150" s="7"/>
      <x:c r="U150" s="7"/>
      <x:c r="V150" s="7"/>
      <x:c r="W150" s="22" t="str">
        <x:f>IF(A150="","",COUNTIFS('Esecuzioni'!$A$8:$A$1007,A150,'Esecuzioni'!$Q$8:$Q$1007,"OK"))</x:f>
      </x:c>
      <x:c r="X150" s="20" t="str">
        <x:f>IF(OR(A150="",I150&lt;&gt;"Esecuzioni",W150=0),"",SUMIFS('Esecuzioni'!$L$8:$L$1007,'Esecuzioni'!$A$8:$A$1007,A150))</x:f>
      </x:c>
      <x:c r="Y150" s="20" t="str">
        <x:f>IF(OR(A150="",I150&lt;&gt;"Esecuzioni",W150=0),"",SUMIFS('Esecuzioni'!$M$8:$M$1007,'Esecuzioni'!$A$8:$A$1007,A150))</x:f>
      </x:c>
      <x:c r="Z150" s="20" t="str">
        <x:f>IF(A150="","",IF(J150="Annullato",0,IF(ISNUMBER(O150),O150,IF(AND(I150="Esecuzioni",W150&gt;0),_xlfn.MAXIFS('Esecuzioni'!$P$8:$P$1007,'Esecuzioni'!$A$8:$A$1007,A150),""))))</x:f>
      </x:c>
      <x:c r="AA150" s="20" t="str">
        <x:f>IF(OR(A150="",J150="Aperto"),"",IF(J150="Annullato",0,IF(I150="Lordo manuale",IF(ISNUMBER(P150),P150,""),IF(I150="Netto manuale",IF(AND(ISNUMBER(P150),ISNUMBER(Q150)),P150+Q150,""),IF(OR(W150=0,COUNTIFS('Esecuzioni'!$A$8:$A$1007,A150,'Esecuzioni'!$Q$8:$Q$1007,"&lt;&gt;OK")&gt;0),"",IF(S150="Vince",X150,IF(S150="Perde",Y150,IF(AND(S150="Coperto",ABS(X150-Y150)&lt;='Impostazioni'!$B$11),ROUND((X150+Y150)/2,2),""))))))))</x:f>
      </x:c>
      <x:c r="AB150" s="20" t="str">
        <x:f>IF(NOT(ISNUMBER(AA150)),"",IF(J150="Annullato",0,IF(ISNUMBER(Q150),Q150,ROUND(MAX(0,AA150)*IF(ISNUMBER(R150),R150,'Impostazioni'!$B$8),2))))</x:f>
      </x:c>
      <x:c r="AC150" s="20" t="str">
        <x:f>IF(AND(ISNUMBER(AA150),ISNUMBER(AB150)),ROUND(AA150-AB150,2),"")</x:f>
      </x:c>
      <x:c r="AD150" s="18" t="str">
        <x:f>IF(A150="","",IF(AQ150&lt;&gt;"OK","Incompleto",IF(J150="Aperto","Aperto",IF(J150="Annullato","Annullato",IF(AC150&gt;0,"Green",IF(AC150&lt;0,"Red","Flat"))))))</x:f>
      </x:c>
      <x:c r="AE150" s="21" t="str">
        <x:f>IF(AND(AH150=1,Z150&gt;0),AC150/Z150,"")</x:f>
      </x:c>
      <x:c r="AF150" s="22" t="str">
        <x:f>IF(AH150&lt;&gt;1,"",COUNTIFS($C$8:$C$507,"&lt;"&amp;C150,$AH$8:$AH$507,1)+COUNTIFS($C$8:$C$507,C150,$A$8:$A$507,"&lt;="&amp;A150,$AH$8:$AH$507,1))</x:f>
      </x:c>
      <x:c r="AG150" s="20" t="str">
        <x:f>IF(AH150&lt;&gt;1,"",SUMIFS($AC$8:$AC$507,$C$8:$C$507,"&lt;"&amp;C150,$AH$8:$AH$507,1)+SUMIFS($AC$8:$AC$507,$C$8:$C$507,C150,$A$8:$A$507,"&lt;="&amp;A150,$AH$8:$AH$507,1))</x:f>
      </x:c>
      <x:c r="AH150" s="22" t="str">
        <x:f>IF(A150="","",IF(AND(J150="Chiuso",AQ150="OK",ISNUMBER(AC150)),1,0))</x:f>
      </x:c>
      <x:c r="AI150" s="20" t="str">
        <x:f>IF(AH150&lt;&gt;1,"",MAX(0,_xlfn.MAXIFS($AG$8:$AG$507,$AF$8:$AF$507,"&lt;="&amp;AF150,$AH$8:$AH$507,1)))</x:f>
      </x:c>
      <x:c r="AJ150" s="20" t="str">
        <x:f>IF(AH150&lt;&gt;1,"",MAX(0,AI150-AG150))</x:f>
      </x:c>
      <x:c r="AK150" s="21" t="str">
        <x:f>IF(OR(AH150&lt;&gt;1,NOT(ISNUMBER('Impostazioni'!$B$6)),'Impostazioni'!$B$6+AI150&lt;=0),"",AJ150/('Impostazioni'!$B$6+AI150))</x:f>
      </x:c>
      <x:c r="AL150" s="22" t="str">
        <x:f>IF(AH150&lt;&gt;1,"",IF(AC150&gt;0,AF150-_xlfn.MAXIFS($AF$8:$AF$507,$AF$8:$AF$507,"&lt;="&amp;AF150,$AC$8:$AC$507,"&lt;=0",$AH$8:$AH$507,1),0))</x:f>
      </x:c>
      <x:c r="AM150" s="22" t="str">
        <x:f>IF(AH150&lt;&gt;1,"",IF(AC150&lt;0,AF150-_xlfn.MAXIFS($AF$8:$AF$507,$AF$8:$AF$507,"&lt;="&amp;AF150,$AC$8:$AC$507,"&gt;=0",$AH$8:$AH$507,1),0))</x:f>
      </x:c>
      <x:c r="AN150" s="20" t="str">
        <x:f>IF(OR(A150="",NOT(ISNUMBER(B150)),NOT(ISNUMBER('Impostazioni'!$B$6))),"",'Impostazioni'!$B$6+SUMIFS($AC$8:$AC$507,$C$8:$C$507,"&lt;"&amp;B150,$AH$8:$AH$507,1)+SUMIFS('Cassa'!$F$8:$F$307,'Cassa'!$A$8:$A$307,"&lt;="&amp;B150,'Cassa'!$G$8:$G$307,"OK"))</x:f>
      </x:c>
      <x:c r="AO150" s="21" t="str">
        <x:f>IF(AND(ISNUMBER(Z150),ISNUMBER(AN150),AN150&gt;0),Z150/AN150,"")</x:f>
      </x:c>
      <x:c r="AP150" s="18" t="str">
        <x:f>IF(NOT(ISNUMBER(AO150)),"",IF(AO150&gt;'Impostazioni'!$B$7,"Oltre soglia personale","Nella soglia personale"))</x:f>
      </x:c>
      <x:c r="AQ150" s="18" t="str">
        <x:f>IF(A150="",IF(COUNTA(B150:V150)=0,"","Inserisci ID"),IF(COUNTIFS($A$8:$A$507,A150)&lt;&gt;1,"ID duplicato",IF(OR(NOT(ISNUMBER(B150)),D150="",E150="",F150="",G150="",H150="",COUNTIFS('Impostazioni'!$J$6:$J$25,F150)&lt;&gt;1),"Completa dati / elenchi",IF(OR(AND(I150&lt;&gt;"Lordo manuale",I150&lt;&gt;"Netto manuale",I150&lt;&gt;"Esecuzioni"),AND(J150&lt;&gt;"Aperto",J150&lt;&gt;"Chiuso",J150&lt;&gt;"Annullato")),"Modalità / stato mancanti",IF(AND(J150&lt;&gt;"Aperto",OR(NOT(ISNUMBER(C150)),C150&lt;B150)),"Correggi data chiusura",IF(OR(AND(Q150&lt;&gt;"",OR(NOT(ISNUMBER(Q150)),Q150&lt;0)),AND(R150&lt;&gt;"",OR(NOT(ISNUMBER(R150)),R150&lt;0,R150&gt;1))),"Commissione non valida",IF(J150="Annullato","OK",IF(OR(NOT(ISNUMBER(Z150)),Z150&lt;0,AND(O150&lt;&gt;"",NOT(ISNUMBER(O150)))),"Inserisci rischio",IF(AND(I150="Esecuzioni",OR(W150=0,COUNTIFS('Esecuzioni'!$A$8:$A$1007,A150,'Esecuzioni'!$Q$8:$Q$1007,"&lt;&gt;OK")&gt;0)),"Correggi esecuzioni",IF(J150="Aperto","OK",IF(AND(I150="Esecuzioni",S150="Coperto",ABS(X150-Y150)&gt;'Impostazioni'!$B$11),"Copertura residua",IF(NOT(ISNUMBER(AC150)),"Completa risultato / esito",IF(AND(Z150=0,AC150&lt;&gt;0),"Rischio nullo con P/L","OK")))))))))))))</x:f>
      </x:c>
      <x:c r="AR150" s="20" t="str">
        <x:f>IF(OR(A150="",J150&lt;&gt;"Aperto",AQ150&lt;&gt;"OK"),"",IF(I150="Esecuzioni",SUMIFS('Esecuzioni'!$P$8:$P$1007,'Esecuzioni'!$A$8:$A$1007,A150,'Esecuzioni'!$B$8:$B$1007,_xlfn.MAXIFS('Esecuzioni'!$B$8:$B$1007,'Esecuzioni'!$A$8:$A$1007,A150)),IF(LEFT(U150,8)="FREEBET:",0,Z150)))</x:f>
      </x:c>
      <x:c r="AS150" s="48" t="str">
        <x:f>IF(OR(A150="",E150=""),"",IF(COUNTIFS($E$8:E150,E150)=1,COUNT($AS$7:AS149)+1,""))</x:f>
      </x:c>
    </x:row>
    <x:row r="151" ht="22" customHeight="1">
      <x:c r="A151" s="7"/>
      <x:c r="B151" s="19"/>
      <x:c r="C151" s="19"/>
      <x:c r="D151" s="7"/>
      <x:c r="E151" s="7"/>
      <x:c r="F151" s="7"/>
      <x:c r="G151" s="7"/>
      <x:c r="H151" s="7"/>
      <x:c r="I151" s="7"/>
      <x:c r="J151" s="7"/>
      <x:c r="K151" s="10"/>
      <x:c r="L151" s="7"/>
      <x:c r="M151" s="10"/>
      <x:c r="N151" s="7"/>
      <x:c r="O151" s="8"/>
      <x:c r="P151" s="8"/>
      <x:c r="Q151" s="8"/>
      <x:c r="R151" s="9"/>
      <x:c r="S151" s="7"/>
      <x:c r="T151" s="7"/>
      <x:c r="U151" s="7"/>
      <x:c r="V151" s="7"/>
      <x:c r="W151" s="22" t="str">
        <x:f>IF(A151="","",COUNTIFS('Esecuzioni'!$A$8:$A$1007,A151,'Esecuzioni'!$Q$8:$Q$1007,"OK"))</x:f>
      </x:c>
      <x:c r="X151" s="20" t="str">
        <x:f>IF(OR(A151="",I151&lt;&gt;"Esecuzioni",W151=0),"",SUMIFS('Esecuzioni'!$L$8:$L$1007,'Esecuzioni'!$A$8:$A$1007,A151))</x:f>
      </x:c>
      <x:c r="Y151" s="20" t="str">
        <x:f>IF(OR(A151="",I151&lt;&gt;"Esecuzioni",W151=0),"",SUMIFS('Esecuzioni'!$M$8:$M$1007,'Esecuzioni'!$A$8:$A$1007,A151))</x:f>
      </x:c>
      <x:c r="Z151" s="20" t="str">
        <x:f>IF(A151="","",IF(J151="Annullato",0,IF(ISNUMBER(O151),O151,IF(AND(I151="Esecuzioni",W151&gt;0),_xlfn.MAXIFS('Esecuzioni'!$P$8:$P$1007,'Esecuzioni'!$A$8:$A$1007,A151),""))))</x:f>
      </x:c>
      <x:c r="AA151" s="20" t="str">
        <x:f>IF(OR(A151="",J151="Aperto"),"",IF(J151="Annullato",0,IF(I151="Lordo manuale",IF(ISNUMBER(P151),P151,""),IF(I151="Netto manuale",IF(AND(ISNUMBER(P151),ISNUMBER(Q151)),P151+Q151,""),IF(OR(W151=0,COUNTIFS('Esecuzioni'!$A$8:$A$1007,A151,'Esecuzioni'!$Q$8:$Q$1007,"&lt;&gt;OK")&gt;0),"",IF(S151="Vince",X151,IF(S151="Perde",Y151,IF(AND(S151="Coperto",ABS(X151-Y151)&lt;='Impostazioni'!$B$11),ROUND((X151+Y151)/2,2),""))))))))</x:f>
      </x:c>
      <x:c r="AB151" s="20" t="str">
        <x:f>IF(NOT(ISNUMBER(AA151)),"",IF(J151="Annullato",0,IF(ISNUMBER(Q151),Q151,ROUND(MAX(0,AA151)*IF(ISNUMBER(R151),R151,'Impostazioni'!$B$8),2))))</x:f>
      </x:c>
      <x:c r="AC151" s="20" t="str">
        <x:f>IF(AND(ISNUMBER(AA151),ISNUMBER(AB151)),ROUND(AA151-AB151,2),"")</x:f>
      </x:c>
      <x:c r="AD151" s="18" t="str">
        <x:f>IF(A151="","",IF(AQ151&lt;&gt;"OK","Incompleto",IF(J151="Aperto","Aperto",IF(J151="Annullato","Annullato",IF(AC151&gt;0,"Green",IF(AC151&lt;0,"Red","Flat"))))))</x:f>
      </x:c>
      <x:c r="AE151" s="21" t="str">
        <x:f>IF(AND(AH151=1,Z151&gt;0),AC151/Z151,"")</x:f>
      </x:c>
      <x:c r="AF151" s="22" t="str">
        <x:f>IF(AH151&lt;&gt;1,"",COUNTIFS($C$8:$C$507,"&lt;"&amp;C151,$AH$8:$AH$507,1)+COUNTIFS($C$8:$C$507,C151,$A$8:$A$507,"&lt;="&amp;A151,$AH$8:$AH$507,1))</x:f>
      </x:c>
      <x:c r="AG151" s="20" t="str">
        <x:f>IF(AH151&lt;&gt;1,"",SUMIFS($AC$8:$AC$507,$C$8:$C$507,"&lt;"&amp;C151,$AH$8:$AH$507,1)+SUMIFS($AC$8:$AC$507,$C$8:$C$507,C151,$A$8:$A$507,"&lt;="&amp;A151,$AH$8:$AH$507,1))</x:f>
      </x:c>
      <x:c r="AH151" s="22" t="str">
        <x:f>IF(A151="","",IF(AND(J151="Chiuso",AQ151="OK",ISNUMBER(AC151)),1,0))</x:f>
      </x:c>
      <x:c r="AI151" s="20" t="str">
        <x:f>IF(AH151&lt;&gt;1,"",MAX(0,_xlfn.MAXIFS($AG$8:$AG$507,$AF$8:$AF$507,"&lt;="&amp;AF151,$AH$8:$AH$507,1)))</x:f>
      </x:c>
      <x:c r="AJ151" s="20" t="str">
        <x:f>IF(AH151&lt;&gt;1,"",MAX(0,AI151-AG151))</x:f>
      </x:c>
      <x:c r="AK151" s="21" t="str">
        <x:f>IF(OR(AH151&lt;&gt;1,NOT(ISNUMBER('Impostazioni'!$B$6)),'Impostazioni'!$B$6+AI151&lt;=0),"",AJ151/('Impostazioni'!$B$6+AI151))</x:f>
      </x:c>
      <x:c r="AL151" s="22" t="str">
        <x:f>IF(AH151&lt;&gt;1,"",IF(AC151&gt;0,AF151-_xlfn.MAXIFS($AF$8:$AF$507,$AF$8:$AF$507,"&lt;="&amp;AF151,$AC$8:$AC$507,"&lt;=0",$AH$8:$AH$507,1),0))</x:f>
      </x:c>
      <x:c r="AM151" s="22" t="str">
        <x:f>IF(AH151&lt;&gt;1,"",IF(AC151&lt;0,AF151-_xlfn.MAXIFS($AF$8:$AF$507,$AF$8:$AF$507,"&lt;="&amp;AF151,$AC$8:$AC$507,"&gt;=0",$AH$8:$AH$507,1),0))</x:f>
      </x:c>
      <x:c r="AN151" s="20" t="str">
        <x:f>IF(OR(A151="",NOT(ISNUMBER(B151)),NOT(ISNUMBER('Impostazioni'!$B$6))),"",'Impostazioni'!$B$6+SUMIFS($AC$8:$AC$507,$C$8:$C$507,"&lt;"&amp;B151,$AH$8:$AH$507,1)+SUMIFS('Cassa'!$F$8:$F$307,'Cassa'!$A$8:$A$307,"&lt;="&amp;B151,'Cassa'!$G$8:$G$307,"OK"))</x:f>
      </x:c>
      <x:c r="AO151" s="21" t="str">
        <x:f>IF(AND(ISNUMBER(Z151),ISNUMBER(AN151),AN151&gt;0),Z151/AN151,"")</x:f>
      </x:c>
      <x:c r="AP151" s="18" t="str">
        <x:f>IF(NOT(ISNUMBER(AO151)),"",IF(AO151&gt;'Impostazioni'!$B$7,"Oltre soglia personale","Nella soglia personale"))</x:f>
      </x:c>
      <x:c r="AQ151" s="18" t="str">
        <x:f>IF(A151="",IF(COUNTA(B151:V151)=0,"","Inserisci ID"),IF(COUNTIFS($A$8:$A$507,A151)&lt;&gt;1,"ID duplicato",IF(OR(NOT(ISNUMBER(B151)),D151="",E151="",F151="",G151="",H151="",COUNTIFS('Impostazioni'!$J$6:$J$25,F151)&lt;&gt;1),"Completa dati / elenchi",IF(OR(AND(I151&lt;&gt;"Lordo manuale",I151&lt;&gt;"Netto manuale",I151&lt;&gt;"Esecuzioni"),AND(J151&lt;&gt;"Aperto",J151&lt;&gt;"Chiuso",J151&lt;&gt;"Annullato")),"Modalità / stato mancanti",IF(AND(J151&lt;&gt;"Aperto",OR(NOT(ISNUMBER(C151)),C151&lt;B151)),"Correggi data chiusura",IF(OR(AND(Q151&lt;&gt;"",OR(NOT(ISNUMBER(Q151)),Q151&lt;0)),AND(R151&lt;&gt;"",OR(NOT(ISNUMBER(R151)),R151&lt;0,R151&gt;1))),"Commissione non valida",IF(J151="Annullato","OK",IF(OR(NOT(ISNUMBER(Z151)),Z151&lt;0,AND(O151&lt;&gt;"",NOT(ISNUMBER(O151)))),"Inserisci rischio",IF(AND(I151="Esecuzioni",OR(W151=0,COUNTIFS('Esecuzioni'!$A$8:$A$1007,A151,'Esecuzioni'!$Q$8:$Q$1007,"&lt;&gt;OK")&gt;0)),"Correggi esecuzioni",IF(J151="Aperto","OK",IF(AND(I151="Esecuzioni",S151="Coperto",ABS(X151-Y151)&gt;'Impostazioni'!$B$11),"Copertura residua",IF(NOT(ISNUMBER(AC151)),"Completa risultato / esito",IF(AND(Z151=0,AC151&lt;&gt;0),"Rischio nullo con P/L","OK")))))))))))))</x:f>
      </x:c>
      <x:c r="AR151" s="20" t="str">
        <x:f>IF(OR(A151="",J151&lt;&gt;"Aperto",AQ151&lt;&gt;"OK"),"",IF(I151="Esecuzioni",SUMIFS('Esecuzioni'!$P$8:$P$1007,'Esecuzioni'!$A$8:$A$1007,A151,'Esecuzioni'!$B$8:$B$1007,_xlfn.MAXIFS('Esecuzioni'!$B$8:$B$1007,'Esecuzioni'!$A$8:$A$1007,A151)),IF(LEFT(U151,8)="FREEBET:",0,Z151)))</x:f>
      </x:c>
      <x:c r="AS151" s="48" t="str">
        <x:f>IF(OR(A151="",E151=""),"",IF(COUNTIFS($E$8:E151,E151)=1,COUNT($AS$7:AS150)+1,""))</x:f>
      </x:c>
    </x:row>
    <x:row r="152" ht="22" customHeight="1">
      <x:c r="A152" s="7"/>
      <x:c r="B152" s="19"/>
      <x:c r="C152" s="19"/>
      <x:c r="D152" s="7"/>
      <x:c r="E152" s="7"/>
      <x:c r="F152" s="7"/>
      <x:c r="G152" s="7"/>
      <x:c r="H152" s="7"/>
      <x:c r="I152" s="7"/>
      <x:c r="J152" s="7"/>
      <x:c r="K152" s="10"/>
      <x:c r="L152" s="7"/>
      <x:c r="M152" s="10"/>
      <x:c r="N152" s="7"/>
      <x:c r="O152" s="8"/>
      <x:c r="P152" s="8"/>
      <x:c r="Q152" s="8"/>
      <x:c r="R152" s="9"/>
      <x:c r="S152" s="7"/>
      <x:c r="T152" s="7"/>
      <x:c r="U152" s="7"/>
      <x:c r="V152" s="7"/>
      <x:c r="W152" s="22" t="str">
        <x:f>IF(A152="","",COUNTIFS('Esecuzioni'!$A$8:$A$1007,A152,'Esecuzioni'!$Q$8:$Q$1007,"OK"))</x:f>
      </x:c>
      <x:c r="X152" s="20" t="str">
        <x:f>IF(OR(A152="",I152&lt;&gt;"Esecuzioni",W152=0),"",SUMIFS('Esecuzioni'!$L$8:$L$1007,'Esecuzioni'!$A$8:$A$1007,A152))</x:f>
      </x:c>
      <x:c r="Y152" s="20" t="str">
        <x:f>IF(OR(A152="",I152&lt;&gt;"Esecuzioni",W152=0),"",SUMIFS('Esecuzioni'!$M$8:$M$1007,'Esecuzioni'!$A$8:$A$1007,A152))</x:f>
      </x:c>
      <x:c r="Z152" s="20" t="str">
        <x:f>IF(A152="","",IF(J152="Annullato",0,IF(ISNUMBER(O152),O152,IF(AND(I152="Esecuzioni",W152&gt;0),_xlfn.MAXIFS('Esecuzioni'!$P$8:$P$1007,'Esecuzioni'!$A$8:$A$1007,A152),""))))</x:f>
      </x:c>
      <x:c r="AA152" s="20" t="str">
        <x:f>IF(OR(A152="",J152="Aperto"),"",IF(J152="Annullato",0,IF(I152="Lordo manuale",IF(ISNUMBER(P152),P152,""),IF(I152="Netto manuale",IF(AND(ISNUMBER(P152),ISNUMBER(Q152)),P152+Q152,""),IF(OR(W152=0,COUNTIFS('Esecuzioni'!$A$8:$A$1007,A152,'Esecuzioni'!$Q$8:$Q$1007,"&lt;&gt;OK")&gt;0),"",IF(S152="Vince",X152,IF(S152="Perde",Y152,IF(AND(S152="Coperto",ABS(X152-Y152)&lt;='Impostazioni'!$B$11),ROUND((X152+Y152)/2,2),""))))))))</x:f>
      </x:c>
      <x:c r="AB152" s="20" t="str">
        <x:f>IF(NOT(ISNUMBER(AA152)),"",IF(J152="Annullato",0,IF(ISNUMBER(Q152),Q152,ROUND(MAX(0,AA152)*IF(ISNUMBER(R152),R152,'Impostazioni'!$B$8),2))))</x:f>
      </x:c>
      <x:c r="AC152" s="20" t="str">
        <x:f>IF(AND(ISNUMBER(AA152),ISNUMBER(AB152)),ROUND(AA152-AB152,2),"")</x:f>
      </x:c>
      <x:c r="AD152" s="18" t="str">
        <x:f>IF(A152="","",IF(AQ152&lt;&gt;"OK","Incompleto",IF(J152="Aperto","Aperto",IF(J152="Annullato","Annullato",IF(AC152&gt;0,"Green",IF(AC152&lt;0,"Red","Flat"))))))</x:f>
      </x:c>
      <x:c r="AE152" s="21" t="str">
        <x:f>IF(AND(AH152=1,Z152&gt;0),AC152/Z152,"")</x:f>
      </x:c>
      <x:c r="AF152" s="22" t="str">
        <x:f>IF(AH152&lt;&gt;1,"",COUNTIFS($C$8:$C$507,"&lt;"&amp;C152,$AH$8:$AH$507,1)+COUNTIFS($C$8:$C$507,C152,$A$8:$A$507,"&lt;="&amp;A152,$AH$8:$AH$507,1))</x:f>
      </x:c>
      <x:c r="AG152" s="20" t="str">
        <x:f>IF(AH152&lt;&gt;1,"",SUMIFS($AC$8:$AC$507,$C$8:$C$507,"&lt;"&amp;C152,$AH$8:$AH$507,1)+SUMIFS($AC$8:$AC$507,$C$8:$C$507,C152,$A$8:$A$507,"&lt;="&amp;A152,$AH$8:$AH$507,1))</x:f>
      </x:c>
      <x:c r="AH152" s="22" t="str">
        <x:f>IF(A152="","",IF(AND(J152="Chiuso",AQ152="OK",ISNUMBER(AC152)),1,0))</x:f>
      </x:c>
      <x:c r="AI152" s="20" t="str">
        <x:f>IF(AH152&lt;&gt;1,"",MAX(0,_xlfn.MAXIFS($AG$8:$AG$507,$AF$8:$AF$507,"&lt;="&amp;AF152,$AH$8:$AH$507,1)))</x:f>
      </x:c>
      <x:c r="AJ152" s="20" t="str">
        <x:f>IF(AH152&lt;&gt;1,"",MAX(0,AI152-AG152))</x:f>
      </x:c>
      <x:c r="AK152" s="21" t="str">
        <x:f>IF(OR(AH152&lt;&gt;1,NOT(ISNUMBER('Impostazioni'!$B$6)),'Impostazioni'!$B$6+AI152&lt;=0),"",AJ152/('Impostazioni'!$B$6+AI152))</x:f>
      </x:c>
      <x:c r="AL152" s="22" t="str">
        <x:f>IF(AH152&lt;&gt;1,"",IF(AC152&gt;0,AF152-_xlfn.MAXIFS($AF$8:$AF$507,$AF$8:$AF$507,"&lt;="&amp;AF152,$AC$8:$AC$507,"&lt;=0",$AH$8:$AH$507,1),0))</x:f>
      </x:c>
      <x:c r="AM152" s="22" t="str">
        <x:f>IF(AH152&lt;&gt;1,"",IF(AC152&lt;0,AF152-_xlfn.MAXIFS($AF$8:$AF$507,$AF$8:$AF$507,"&lt;="&amp;AF152,$AC$8:$AC$507,"&gt;=0",$AH$8:$AH$507,1),0))</x:f>
      </x:c>
      <x:c r="AN152" s="20" t="str">
        <x:f>IF(OR(A152="",NOT(ISNUMBER(B152)),NOT(ISNUMBER('Impostazioni'!$B$6))),"",'Impostazioni'!$B$6+SUMIFS($AC$8:$AC$507,$C$8:$C$507,"&lt;"&amp;B152,$AH$8:$AH$507,1)+SUMIFS('Cassa'!$F$8:$F$307,'Cassa'!$A$8:$A$307,"&lt;="&amp;B152,'Cassa'!$G$8:$G$307,"OK"))</x:f>
      </x:c>
      <x:c r="AO152" s="21" t="str">
        <x:f>IF(AND(ISNUMBER(Z152),ISNUMBER(AN152),AN152&gt;0),Z152/AN152,"")</x:f>
      </x:c>
      <x:c r="AP152" s="18" t="str">
        <x:f>IF(NOT(ISNUMBER(AO152)),"",IF(AO152&gt;'Impostazioni'!$B$7,"Oltre soglia personale","Nella soglia personale"))</x:f>
      </x:c>
      <x:c r="AQ152" s="18" t="str">
        <x:f>IF(A152="",IF(COUNTA(B152:V152)=0,"","Inserisci ID"),IF(COUNTIFS($A$8:$A$507,A152)&lt;&gt;1,"ID duplicato",IF(OR(NOT(ISNUMBER(B152)),D152="",E152="",F152="",G152="",H152="",COUNTIFS('Impostazioni'!$J$6:$J$25,F152)&lt;&gt;1),"Completa dati / elenchi",IF(OR(AND(I152&lt;&gt;"Lordo manuale",I152&lt;&gt;"Netto manuale",I152&lt;&gt;"Esecuzioni"),AND(J152&lt;&gt;"Aperto",J152&lt;&gt;"Chiuso",J152&lt;&gt;"Annullato")),"Modalità / stato mancanti",IF(AND(J152&lt;&gt;"Aperto",OR(NOT(ISNUMBER(C152)),C152&lt;B152)),"Correggi data chiusura",IF(OR(AND(Q152&lt;&gt;"",OR(NOT(ISNUMBER(Q152)),Q152&lt;0)),AND(R152&lt;&gt;"",OR(NOT(ISNUMBER(R152)),R152&lt;0,R152&gt;1))),"Commissione non valida",IF(J152="Annullato","OK",IF(OR(NOT(ISNUMBER(Z152)),Z152&lt;0,AND(O152&lt;&gt;"",NOT(ISNUMBER(O152)))),"Inserisci rischio",IF(AND(I152="Esecuzioni",OR(W152=0,COUNTIFS('Esecuzioni'!$A$8:$A$1007,A152,'Esecuzioni'!$Q$8:$Q$1007,"&lt;&gt;OK")&gt;0)),"Correggi esecuzioni",IF(J152="Aperto","OK",IF(AND(I152="Esecuzioni",S152="Coperto",ABS(X152-Y152)&gt;'Impostazioni'!$B$11),"Copertura residua",IF(NOT(ISNUMBER(AC152)),"Completa risultato / esito",IF(AND(Z152=0,AC152&lt;&gt;0),"Rischio nullo con P/L","OK")))))))))))))</x:f>
      </x:c>
      <x:c r="AR152" s="20" t="str">
        <x:f>IF(OR(A152="",J152&lt;&gt;"Aperto",AQ152&lt;&gt;"OK"),"",IF(I152="Esecuzioni",SUMIFS('Esecuzioni'!$P$8:$P$1007,'Esecuzioni'!$A$8:$A$1007,A152,'Esecuzioni'!$B$8:$B$1007,_xlfn.MAXIFS('Esecuzioni'!$B$8:$B$1007,'Esecuzioni'!$A$8:$A$1007,A152)),IF(LEFT(U152,8)="FREEBET:",0,Z152)))</x:f>
      </x:c>
      <x:c r="AS152" s="48" t="str">
        <x:f>IF(OR(A152="",E152=""),"",IF(COUNTIFS($E$8:E152,E152)=1,COUNT($AS$7:AS151)+1,""))</x:f>
      </x:c>
    </x:row>
    <x:row r="153" ht="22" customHeight="1">
      <x:c r="A153" s="7"/>
      <x:c r="B153" s="19"/>
      <x:c r="C153" s="19"/>
      <x:c r="D153" s="7"/>
      <x:c r="E153" s="7"/>
      <x:c r="F153" s="7"/>
      <x:c r="G153" s="7"/>
      <x:c r="H153" s="7"/>
      <x:c r="I153" s="7"/>
      <x:c r="J153" s="7"/>
      <x:c r="K153" s="10"/>
      <x:c r="L153" s="7"/>
      <x:c r="M153" s="10"/>
      <x:c r="N153" s="7"/>
      <x:c r="O153" s="8"/>
      <x:c r="P153" s="8"/>
      <x:c r="Q153" s="8"/>
      <x:c r="R153" s="9"/>
      <x:c r="S153" s="7"/>
      <x:c r="T153" s="7"/>
      <x:c r="U153" s="7"/>
      <x:c r="V153" s="7"/>
      <x:c r="W153" s="22" t="str">
        <x:f>IF(A153="","",COUNTIFS('Esecuzioni'!$A$8:$A$1007,A153,'Esecuzioni'!$Q$8:$Q$1007,"OK"))</x:f>
      </x:c>
      <x:c r="X153" s="20" t="str">
        <x:f>IF(OR(A153="",I153&lt;&gt;"Esecuzioni",W153=0),"",SUMIFS('Esecuzioni'!$L$8:$L$1007,'Esecuzioni'!$A$8:$A$1007,A153))</x:f>
      </x:c>
      <x:c r="Y153" s="20" t="str">
        <x:f>IF(OR(A153="",I153&lt;&gt;"Esecuzioni",W153=0),"",SUMIFS('Esecuzioni'!$M$8:$M$1007,'Esecuzioni'!$A$8:$A$1007,A153))</x:f>
      </x:c>
      <x:c r="Z153" s="20" t="str">
        <x:f>IF(A153="","",IF(J153="Annullato",0,IF(ISNUMBER(O153),O153,IF(AND(I153="Esecuzioni",W153&gt;0),_xlfn.MAXIFS('Esecuzioni'!$P$8:$P$1007,'Esecuzioni'!$A$8:$A$1007,A153),""))))</x:f>
      </x:c>
      <x:c r="AA153" s="20" t="str">
        <x:f>IF(OR(A153="",J153="Aperto"),"",IF(J153="Annullato",0,IF(I153="Lordo manuale",IF(ISNUMBER(P153),P153,""),IF(I153="Netto manuale",IF(AND(ISNUMBER(P153),ISNUMBER(Q153)),P153+Q153,""),IF(OR(W153=0,COUNTIFS('Esecuzioni'!$A$8:$A$1007,A153,'Esecuzioni'!$Q$8:$Q$1007,"&lt;&gt;OK")&gt;0),"",IF(S153="Vince",X153,IF(S153="Perde",Y153,IF(AND(S153="Coperto",ABS(X153-Y153)&lt;='Impostazioni'!$B$11),ROUND((X153+Y153)/2,2),""))))))))</x:f>
      </x:c>
      <x:c r="AB153" s="20" t="str">
        <x:f>IF(NOT(ISNUMBER(AA153)),"",IF(J153="Annullato",0,IF(ISNUMBER(Q153),Q153,ROUND(MAX(0,AA153)*IF(ISNUMBER(R153),R153,'Impostazioni'!$B$8),2))))</x:f>
      </x:c>
      <x:c r="AC153" s="20" t="str">
        <x:f>IF(AND(ISNUMBER(AA153),ISNUMBER(AB153)),ROUND(AA153-AB153,2),"")</x:f>
      </x:c>
      <x:c r="AD153" s="18" t="str">
        <x:f>IF(A153="","",IF(AQ153&lt;&gt;"OK","Incompleto",IF(J153="Aperto","Aperto",IF(J153="Annullato","Annullato",IF(AC153&gt;0,"Green",IF(AC153&lt;0,"Red","Flat"))))))</x:f>
      </x:c>
      <x:c r="AE153" s="21" t="str">
        <x:f>IF(AND(AH153=1,Z153&gt;0),AC153/Z153,"")</x:f>
      </x:c>
      <x:c r="AF153" s="22" t="str">
        <x:f>IF(AH153&lt;&gt;1,"",COUNTIFS($C$8:$C$507,"&lt;"&amp;C153,$AH$8:$AH$507,1)+COUNTIFS($C$8:$C$507,C153,$A$8:$A$507,"&lt;="&amp;A153,$AH$8:$AH$507,1))</x:f>
      </x:c>
      <x:c r="AG153" s="20" t="str">
        <x:f>IF(AH153&lt;&gt;1,"",SUMIFS($AC$8:$AC$507,$C$8:$C$507,"&lt;"&amp;C153,$AH$8:$AH$507,1)+SUMIFS($AC$8:$AC$507,$C$8:$C$507,C153,$A$8:$A$507,"&lt;="&amp;A153,$AH$8:$AH$507,1))</x:f>
      </x:c>
      <x:c r="AH153" s="22" t="str">
        <x:f>IF(A153="","",IF(AND(J153="Chiuso",AQ153="OK",ISNUMBER(AC153)),1,0))</x:f>
      </x:c>
      <x:c r="AI153" s="20" t="str">
        <x:f>IF(AH153&lt;&gt;1,"",MAX(0,_xlfn.MAXIFS($AG$8:$AG$507,$AF$8:$AF$507,"&lt;="&amp;AF153,$AH$8:$AH$507,1)))</x:f>
      </x:c>
      <x:c r="AJ153" s="20" t="str">
        <x:f>IF(AH153&lt;&gt;1,"",MAX(0,AI153-AG153))</x:f>
      </x:c>
      <x:c r="AK153" s="21" t="str">
        <x:f>IF(OR(AH153&lt;&gt;1,NOT(ISNUMBER('Impostazioni'!$B$6)),'Impostazioni'!$B$6+AI153&lt;=0),"",AJ153/('Impostazioni'!$B$6+AI153))</x:f>
      </x:c>
      <x:c r="AL153" s="22" t="str">
        <x:f>IF(AH153&lt;&gt;1,"",IF(AC153&gt;0,AF153-_xlfn.MAXIFS($AF$8:$AF$507,$AF$8:$AF$507,"&lt;="&amp;AF153,$AC$8:$AC$507,"&lt;=0",$AH$8:$AH$507,1),0))</x:f>
      </x:c>
      <x:c r="AM153" s="22" t="str">
        <x:f>IF(AH153&lt;&gt;1,"",IF(AC153&lt;0,AF153-_xlfn.MAXIFS($AF$8:$AF$507,$AF$8:$AF$507,"&lt;="&amp;AF153,$AC$8:$AC$507,"&gt;=0",$AH$8:$AH$507,1),0))</x:f>
      </x:c>
      <x:c r="AN153" s="20" t="str">
        <x:f>IF(OR(A153="",NOT(ISNUMBER(B153)),NOT(ISNUMBER('Impostazioni'!$B$6))),"",'Impostazioni'!$B$6+SUMIFS($AC$8:$AC$507,$C$8:$C$507,"&lt;"&amp;B153,$AH$8:$AH$507,1)+SUMIFS('Cassa'!$F$8:$F$307,'Cassa'!$A$8:$A$307,"&lt;="&amp;B153,'Cassa'!$G$8:$G$307,"OK"))</x:f>
      </x:c>
      <x:c r="AO153" s="21" t="str">
        <x:f>IF(AND(ISNUMBER(Z153),ISNUMBER(AN153),AN153&gt;0),Z153/AN153,"")</x:f>
      </x:c>
      <x:c r="AP153" s="18" t="str">
        <x:f>IF(NOT(ISNUMBER(AO153)),"",IF(AO153&gt;'Impostazioni'!$B$7,"Oltre soglia personale","Nella soglia personale"))</x:f>
      </x:c>
      <x:c r="AQ153" s="18" t="str">
        <x:f>IF(A153="",IF(COUNTA(B153:V153)=0,"","Inserisci ID"),IF(COUNTIFS($A$8:$A$507,A153)&lt;&gt;1,"ID duplicato",IF(OR(NOT(ISNUMBER(B153)),D153="",E153="",F153="",G153="",H153="",COUNTIFS('Impostazioni'!$J$6:$J$25,F153)&lt;&gt;1),"Completa dati / elenchi",IF(OR(AND(I153&lt;&gt;"Lordo manuale",I153&lt;&gt;"Netto manuale",I153&lt;&gt;"Esecuzioni"),AND(J153&lt;&gt;"Aperto",J153&lt;&gt;"Chiuso",J153&lt;&gt;"Annullato")),"Modalità / stato mancanti",IF(AND(J153&lt;&gt;"Aperto",OR(NOT(ISNUMBER(C153)),C153&lt;B153)),"Correggi data chiusura",IF(OR(AND(Q153&lt;&gt;"",OR(NOT(ISNUMBER(Q153)),Q153&lt;0)),AND(R153&lt;&gt;"",OR(NOT(ISNUMBER(R153)),R153&lt;0,R153&gt;1))),"Commissione non valida",IF(J153="Annullato","OK",IF(OR(NOT(ISNUMBER(Z153)),Z153&lt;0,AND(O153&lt;&gt;"",NOT(ISNUMBER(O153)))),"Inserisci rischio",IF(AND(I153="Esecuzioni",OR(W153=0,COUNTIFS('Esecuzioni'!$A$8:$A$1007,A153,'Esecuzioni'!$Q$8:$Q$1007,"&lt;&gt;OK")&gt;0)),"Correggi esecuzioni",IF(J153="Aperto","OK",IF(AND(I153="Esecuzioni",S153="Coperto",ABS(X153-Y153)&gt;'Impostazioni'!$B$11),"Copertura residua",IF(NOT(ISNUMBER(AC153)),"Completa risultato / esito",IF(AND(Z153=0,AC153&lt;&gt;0),"Rischio nullo con P/L","OK")))))))))))))</x:f>
      </x:c>
      <x:c r="AR153" s="20" t="str">
        <x:f>IF(OR(A153="",J153&lt;&gt;"Aperto",AQ153&lt;&gt;"OK"),"",IF(I153="Esecuzioni",SUMIFS('Esecuzioni'!$P$8:$P$1007,'Esecuzioni'!$A$8:$A$1007,A153,'Esecuzioni'!$B$8:$B$1007,_xlfn.MAXIFS('Esecuzioni'!$B$8:$B$1007,'Esecuzioni'!$A$8:$A$1007,A153)),IF(LEFT(U153,8)="FREEBET:",0,Z153)))</x:f>
      </x:c>
      <x:c r="AS153" s="48" t="str">
        <x:f>IF(OR(A153="",E153=""),"",IF(COUNTIFS($E$8:E153,E153)=1,COUNT($AS$7:AS152)+1,""))</x:f>
      </x:c>
    </x:row>
    <x:row r="154" ht="22" customHeight="1">
      <x:c r="A154" s="7"/>
      <x:c r="B154" s="19"/>
      <x:c r="C154" s="19"/>
      <x:c r="D154" s="7"/>
      <x:c r="E154" s="7"/>
      <x:c r="F154" s="7"/>
      <x:c r="G154" s="7"/>
      <x:c r="H154" s="7"/>
      <x:c r="I154" s="7"/>
      <x:c r="J154" s="7"/>
      <x:c r="K154" s="10"/>
      <x:c r="L154" s="7"/>
      <x:c r="M154" s="10"/>
      <x:c r="N154" s="7"/>
      <x:c r="O154" s="8"/>
      <x:c r="P154" s="8"/>
      <x:c r="Q154" s="8"/>
      <x:c r="R154" s="9"/>
      <x:c r="S154" s="7"/>
      <x:c r="T154" s="7"/>
      <x:c r="U154" s="7"/>
      <x:c r="V154" s="7"/>
      <x:c r="W154" s="22" t="str">
        <x:f>IF(A154="","",COUNTIFS('Esecuzioni'!$A$8:$A$1007,A154,'Esecuzioni'!$Q$8:$Q$1007,"OK"))</x:f>
      </x:c>
      <x:c r="X154" s="20" t="str">
        <x:f>IF(OR(A154="",I154&lt;&gt;"Esecuzioni",W154=0),"",SUMIFS('Esecuzioni'!$L$8:$L$1007,'Esecuzioni'!$A$8:$A$1007,A154))</x:f>
      </x:c>
      <x:c r="Y154" s="20" t="str">
        <x:f>IF(OR(A154="",I154&lt;&gt;"Esecuzioni",W154=0),"",SUMIFS('Esecuzioni'!$M$8:$M$1007,'Esecuzioni'!$A$8:$A$1007,A154))</x:f>
      </x:c>
      <x:c r="Z154" s="20" t="str">
        <x:f>IF(A154="","",IF(J154="Annullato",0,IF(ISNUMBER(O154),O154,IF(AND(I154="Esecuzioni",W154&gt;0),_xlfn.MAXIFS('Esecuzioni'!$P$8:$P$1007,'Esecuzioni'!$A$8:$A$1007,A154),""))))</x:f>
      </x:c>
      <x:c r="AA154" s="20" t="str">
        <x:f>IF(OR(A154="",J154="Aperto"),"",IF(J154="Annullato",0,IF(I154="Lordo manuale",IF(ISNUMBER(P154),P154,""),IF(I154="Netto manuale",IF(AND(ISNUMBER(P154),ISNUMBER(Q154)),P154+Q154,""),IF(OR(W154=0,COUNTIFS('Esecuzioni'!$A$8:$A$1007,A154,'Esecuzioni'!$Q$8:$Q$1007,"&lt;&gt;OK")&gt;0),"",IF(S154="Vince",X154,IF(S154="Perde",Y154,IF(AND(S154="Coperto",ABS(X154-Y154)&lt;='Impostazioni'!$B$11),ROUND((X154+Y154)/2,2),""))))))))</x:f>
      </x:c>
      <x:c r="AB154" s="20" t="str">
        <x:f>IF(NOT(ISNUMBER(AA154)),"",IF(J154="Annullato",0,IF(ISNUMBER(Q154),Q154,ROUND(MAX(0,AA154)*IF(ISNUMBER(R154),R154,'Impostazioni'!$B$8),2))))</x:f>
      </x:c>
      <x:c r="AC154" s="20" t="str">
        <x:f>IF(AND(ISNUMBER(AA154),ISNUMBER(AB154)),ROUND(AA154-AB154,2),"")</x:f>
      </x:c>
      <x:c r="AD154" s="18" t="str">
        <x:f>IF(A154="","",IF(AQ154&lt;&gt;"OK","Incompleto",IF(J154="Aperto","Aperto",IF(J154="Annullato","Annullato",IF(AC154&gt;0,"Green",IF(AC154&lt;0,"Red","Flat"))))))</x:f>
      </x:c>
      <x:c r="AE154" s="21" t="str">
        <x:f>IF(AND(AH154=1,Z154&gt;0),AC154/Z154,"")</x:f>
      </x:c>
      <x:c r="AF154" s="22" t="str">
        <x:f>IF(AH154&lt;&gt;1,"",COUNTIFS($C$8:$C$507,"&lt;"&amp;C154,$AH$8:$AH$507,1)+COUNTIFS($C$8:$C$507,C154,$A$8:$A$507,"&lt;="&amp;A154,$AH$8:$AH$507,1))</x:f>
      </x:c>
      <x:c r="AG154" s="20" t="str">
        <x:f>IF(AH154&lt;&gt;1,"",SUMIFS($AC$8:$AC$507,$C$8:$C$507,"&lt;"&amp;C154,$AH$8:$AH$507,1)+SUMIFS($AC$8:$AC$507,$C$8:$C$507,C154,$A$8:$A$507,"&lt;="&amp;A154,$AH$8:$AH$507,1))</x:f>
      </x:c>
      <x:c r="AH154" s="22" t="str">
        <x:f>IF(A154="","",IF(AND(J154="Chiuso",AQ154="OK",ISNUMBER(AC154)),1,0))</x:f>
      </x:c>
      <x:c r="AI154" s="20" t="str">
        <x:f>IF(AH154&lt;&gt;1,"",MAX(0,_xlfn.MAXIFS($AG$8:$AG$507,$AF$8:$AF$507,"&lt;="&amp;AF154,$AH$8:$AH$507,1)))</x:f>
      </x:c>
      <x:c r="AJ154" s="20" t="str">
        <x:f>IF(AH154&lt;&gt;1,"",MAX(0,AI154-AG154))</x:f>
      </x:c>
      <x:c r="AK154" s="21" t="str">
        <x:f>IF(OR(AH154&lt;&gt;1,NOT(ISNUMBER('Impostazioni'!$B$6)),'Impostazioni'!$B$6+AI154&lt;=0),"",AJ154/('Impostazioni'!$B$6+AI154))</x:f>
      </x:c>
      <x:c r="AL154" s="22" t="str">
        <x:f>IF(AH154&lt;&gt;1,"",IF(AC154&gt;0,AF154-_xlfn.MAXIFS($AF$8:$AF$507,$AF$8:$AF$507,"&lt;="&amp;AF154,$AC$8:$AC$507,"&lt;=0",$AH$8:$AH$507,1),0))</x:f>
      </x:c>
      <x:c r="AM154" s="22" t="str">
        <x:f>IF(AH154&lt;&gt;1,"",IF(AC154&lt;0,AF154-_xlfn.MAXIFS($AF$8:$AF$507,$AF$8:$AF$507,"&lt;="&amp;AF154,$AC$8:$AC$507,"&gt;=0",$AH$8:$AH$507,1),0))</x:f>
      </x:c>
      <x:c r="AN154" s="20" t="str">
        <x:f>IF(OR(A154="",NOT(ISNUMBER(B154)),NOT(ISNUMBER('Impostazioni'!$B$6))),"",'Impostazioni'!$B$6+SUMIFS($AC$8:$AC$507,$C$8:$C$507,"&lt;"&amp;B154,$AH$8:$AH$507,1)+SUMIFS('Cassa'!$F$8:$F$307,'Cassa'!$A$8:$A$307,"&lt;="&amp;B154,'Cassa'!$G$8:$G$307,"OK"))</x:f>
      </x:c>
      <x:c r="AO154" s="21" t="str">
        <x:f>IF(AND(ISNUMBER(Z154),ISNUMBER(AN154),AN154&gt;0),Z154/AN154,"")</x:f>
      </x:c>
      <x:c r="AP154" s="18" t="str">
        <x:f>IF(NOT(ISNUMBER(AO154)),"",IF(AO154&gt;'Impostazioni'!$B$7,"Oltre soglia personale","Nella soglia personale"))</x:f>
      </x:c>
      <x:c r="AQ154" s="18" t="str">
        <x:f>IF(A154="",IF(COUNTA(B154:V154)=0,"","Inserisci ID"),IF(COUNTIFS($A$8:$A$507,A154)&lt;&gt;1,"ID duplicato",IF(OR(NOT(ISNUMBER(B154)),D154="",E154="",F154="",G154="",H154="",COUNTIFS('Impostazioni'!$J$6:$J$25,F154)&lt;&gt;1),"Completa dati / elenchi",IF(OR(AND(I154&lt;&gt;"Lordo manuale",I154&lt;&gt;"Netto manuale",I154&lt;&gt;"Esecuzioni"),AND(J154&lt;&gt;"Aperto",J154&lt;&gt;"Chiuso",J154&lt;&gt;"Annullato")),"Modalità / stato mancanti",IF(AND(J154&lt;&gt;"Aperto",OR(NOT(ISNUMBER(C154)),C154&lt;B154)),"Correggi data chiusura",IF(OR(AND(Q154&lt;&gt;"",OR(NOT(ISNUMBER(Q154)),Q154&lt;0)),AND(R154&lt;&gt;"",OR(NOT(ISNUMBER(R154)),R154&lt;0,R154&gt;1))),"Commissione non valida",IF(J154="Annullato","OK",IF(OR(NOT(ISNUMBER(Z154)),Z154&lt;0,AND(O154&lt;&gt;"",NOT(ISNUMBER(O154)))),"Inserisci rischio",IF(AND(I154="Esecuzioni",OR(W154=0,COUNTIFS('Esecuzioni'!$A$8:$A$1007,A154,'Esecuzioni'!$Q$8:$Q$1007,"&lt;&gt;OK")&gt;0)),"Correggi esecuzioni",IF(J154="Aperto","OK",IF(AND(I154="Esecuzioni",S154="Coperto",ABS(X154-Y154)&gt;'Impostazioni'!$B$11),"Copertura residua",IF(NOT(ISNUMBER(AC154)),"Completa risultato / esito",IF(AND(Z154=0,AC154&lt;&gt;0),"Rischio nullo con P/L","OK")))))))))))))</x:f>
      </x:c>
      <x:c r="AR154" s="20" t="str">
        <x:f>IF(OR(A154="",J154&lt;&gt;"Aperto",AQ154&lt;&gt;"OK"),"",IF(I154="Esecuzioni",SUMIFS('Esecuzioni'!$P$8:$P$1007,'Esecuzioni'!$A$8:$A$1007,A154,'Esecuzioni'!$B$8:$B$1007,_xlfn.MAXIFS('Esecuzioni'!$B$8:$B$1007,'Esecuzioni'!$A$8:$A$1007,A154)),IF(LEFT(U154,8)="FREEBET:",0,Z154)))</x:f>
      </x:c>
      <x:c r="AS154" s="48" t="str">
        <x:f>IF(OR(A154="",E154=""),"",IF(COUNTIFS($E$8:E154,E154)=1,COUNT($AS$7:AS153)+1,""))</x:f>
      </x:c>
    </x:row>
    <x:row r="155" ht="22" customHeight="1">
      <x:c r="A155" s="7"/>
      <x:c r="B155" s="19"/>
      <x:c r="C155" s="19"/>
      <x:c r="D155" s="7"/>
      <x:c r="E155" s="7"/>
      <x:c r="F155" s="7"/>
      <x:c r="G155" s="7"/>
      <x:c r="H155" s="7"/>
      <x:c r="I155" s="7"/>
      <x:c r="J155" s="7"/>
      <x:c r="K155" s="10"/>
      <x:c r="L155" s="7"/>
      <x:c r="M155" s="10"/>
      <x:c r="N155" s="7"/>
      <x:c r="O155" s="8"/>
      <x:c r="P155" s="8"/>
      <x:c r="Q155" s="8"/>
      <x:c r="R155" s="9"/>
      <x:c r="S155" s="7"/>
      <x:c r="T155" s="7"/>
      <x:c r="U155" s="7"/>
      <x:c r="V155" s="7"/>
      <x:c r="W155" s="22" t="str">
        <x:f>IF(A155="","",COUNTIFS('Esecuzioni'!$A$8:$A$1007,A155,'Esecuzioni'!$Q$8:$Q$1007,"OK"))</x:f>
      </x:c>
      <x:c r="X155" s="20" t="str">
        <x:f>IF(OR(A155="",I155&lt;&gt;"Esecuzioni",W155=0),"",SUMIFS('Esecuzioni'!$L$8:$L$1007,'Esecuzioni'!$A$8:$A$1007,A155))</x:f>
      </x:c>
      <x:c r="Y155" s="20" t="str">
        <x:f>IF(OR(A155="",I155&lt;&gt;"Esecuzioni",W155=0),"",SUMIFS('Esecuzioni'!$M$8:$M$1007,'Esecuzioni'!$A$8:$A$1007,A155))</x:f>
      </x:c>
      <x:c r="Z155" s="20" t="str">
        <x:f>IF(A155="","",IF(J155="Annullato",0,IF(ISNUMBER(O155),O155,IF(AND(I155="Esecuzioni",W155&gt;0),_xlfn.MAXIFS('Esecuzioni'!$P$8:$P$1007,'Esecuzioni'!$A$8:$A$1007,A155),""))))</x:f>
      </x:c>
      <x:c r="AA155" s="20" t="str">
        <x:f>IF(OR(A155="",J155="Aperto"),"",IF(J155="Annullato",0,IF(I155="Lordo manuale",IF(ISNUMBER(P155),P155,""),IF(I155="Netto manuale",IF(AND(ISNUMBER(P155),ISNUMBER(Q155)),P155+Q155,""),IF(OR(W155=0,COUNTIFS('Esecuzioni'!$A$8:$A$1007,A155,'Esecuzioni'!$Q$8:$Q$1007,"&lt;&gt;OK")&gt;0),"",IF(S155="Vince",X155,IF(S155="Perde",Y155,IF(AND(S155="Coperto",ABS(X155-Y155)&lt;='Impostazioni'!$B$11),ROUND((X155+Y155)/2,2),""))))))))</x:f>
      </x:c>
      <x:c r="AB155" s="20" t="str">
        <x:f>IF(NOT(ISNUMBER(AA155)),"",IF(J155="Annullato",0,IF(ISNUMBER(Q155),Q155,ROUND(MAX(0,AA155)*IF(ISNUMBER(R155),R155,'Impostazioni'!$B$8),2))))</x:f>
      </x:c>
      <x:c r="AC155" s="20" t="str">
        <x:f>IF(AND(ISNUMBER(AA155),ISNUMBER(AB155)),ROUND(AA155-AB155,2),"")</x:f>
      </x:c>
      <x:c r="AD155" s="18" t="str">
        <x:f>IF(A155="","",IF(AQ155&lt;&gt;"OK","Incompleto",IF(J155="Aperto","Aperto",IF(J155="Annullato","Annullato",IF(AC155&gt;0,"Green",IF(AC155&lt;0,"Red","Flat"))))))</x:f>
      </x:c>
      <x:c r="AE155" s="21" t="str">
        <x:f>IF(AND(AH155=1,Z155&gt;0),AC155/Z155,"")</x:f>
      </x:c>
      <x:c r="AF155" s="22" t="str">
        <x:f>IF(AH155&lt;&gt;1,"",COUNTIFS($C$8:$C$507,"&lt;"&amp;C155,$AH$8:$AH$507,1)+COUNTIFS($C$8:$C$507,C155,$A$8:$A$507,"&lt;="&amp;A155,$AH$8:$AH$507,1))</x:f>
      </x:c>
      <x:c r="AG155" s="20" t="str">
        <x:f>IF(AH155&lt;&gt;1,"",SUMIFS($AC$8:$AC$507,$C$8:$C$507,"&lt;"&amp;C155,$AH$8:$AH$507,1)+SUMIFS($AC$8:$AC$507,$C$8:$C$507,C155,$A$8:$A$507,"&lt;="&amp;A155,$AH$8:$AH$507,1))</x:f>
      </x:c>
      <x:c r="AH155" s="22" t="str">
        <x:f>IF(A155="","",IF(AND(J155="Chiuso",AQ155="OK",ISNUMBER(AC155)),1,0))</x:f>
      </x:c>
      <x:c r="AI155" s="20" t="str">
        <x:f>IF(AH155&lt;&gt;1,"",MAX(0,_xlfn.MAXIFS($AG$8:$AG$507,$AF$8:$AF$507,"&lt;="&amp;AF155,$AH$8:$AH$507,1)))</x:f>
      </x:c>
      <x:c r="AJ155" s="20" t="str">
        <x:f>IF(AH155&lt;&gt;1,"",MAX(0,AI155-AG155))</x:f>
      </x:c>
      <x:c r="AK155" s="21" t="str">
        <x:f>IF(OR(AH155&lt;&gt;1,NOT(ISNUMBER('Impostazioni'!$B$6)),'Impostazioni'!$B$6+AI155&lt;=0),"",AJ155/('Impostazioni'!$B$6+AI155))</x:f>
      </x:c>
      <x:c r="AL155" s="22" t="str">
        <x:f>IF(AH155&lt;&gt;1,"",IF(AC155&gt;0,AF155-_xlfn.MAXIFS($AF$8:$AF$507,$AF$8:$AF$507,"&lt;="&amp;AF155,$AC$8:$AC$507,"&lt;=0",$AH$8:$AH$507,1),0))</x:f>
      </x:c>
      <x:c r="AM155" s="22" t="str">
        <x:f>IF(AH155&lt;&gt;1,"",IF(AC155&lt;0,AF155-_xlfn.MAXIFS($AF$8:$AF$507,$AF$8:$AF$507,"&lt;="&amp;AF155,$AC$8:$AC$507,"&gt;=0",$AH$8:$AH$507,1),0))</x:f>
      </x:c>
      <x:c r="AN155" s="20" t="str">
        <x:f>IF(OR(A155="",NOT(ISNUMBER(B155)),NOT(ISNUMBER('Impostazioni'!$B$6))),"",'Impostazioni'!$B$6+SUMIFS($AC$8:$AC$507,$C$8:$C$507,"&lt;"&amp;B155,$AH$8:$AH$507,1)+SUMIFS('Cassa'!$F$8:$F$307,'Cassa'!$A$8:$A$307,"&lt;="&amp;B155,'Cassa'!$G$8:$G$307,"OK"))</x:f>
      </x:c>
      <x:c r="AO155" s="21" t="str">
        <x:f>IF(AND(ISNUMBER(Z155),ISNUMBER(AN155),AN155&gt;0),Z155/AN155,"")</x:f>
      </x:c>
      <x:c r="AP155" s="18" t="str">
        <x:f>IF(NOT(ISNUMBER(AO155)),"",IF(AO155&gt;'Impostazioni'!$B$7,"Oltre soglia personale","Nella soglia personale"))</x:f>
      </x:c>
      <x:c r="AQ155" s="18" t="str">
        <x:f>IF(A155="",IF(COUNTA(B155:V155)=0,"","Inserisci ID"),IF(COUNTIFS($A$8:$A$507,A155)&lt;&gt;1,"ID duplicato",IF(OR(NOT(ISNUMBER(B155)),D155="",E155="",F155="",G155="",H155="",COUNTIFS('Impostazioni'!$J$6:$J$25,F155)&lt;&gt;1),"Completa dati / elenchi",IF(OR(AND(I155&lt;&gt;"Lordo manuale",I155&lt;&gt;"Netto manuale",I155&lt;&gt;"Esecuzioni"),AND(J155&lt;&gt;"Aperto",J155&lt;&gt;"Chiuso",J155&lt;&gt;"Annullato")),"Modalità / stato mancanti",IF(AND(J155&lt;&gt;"Aperto",OR(NOT(ISNUMBER(C155)),C155&lt;B155)),"Correggi data chiusura",IF(OR(AND(Q155&lt;&gt;"",OR(NOT(ISNUMBER(Q155)),Q155&lt;0)),AND(R155&lt;&gt;"",OR(NOT(ISNUMBER(R155)),R155&lt;0,R155&gt;1))),"Commissione non valida",IF(J155="Annullato","OK",IF(OR(NOT(ISNUMBER(Z155)),Z155&lt;0,AND(O155&lt;&gt;"",NOT(ISNUMBER(O155)))),"Inserisci rischio",IF(AND(I155="Esecuzioni",OR(W155=0,COUNTIFS('Esecuzioni'!$A$8:$A$1007,A155,'Esecuzioni'!$Q$8:$Q$1007,"&lt;&gt;OK")&gt;0)),"Correggi esecuzioni",IF(J155="Aperto","OK",IF(AND(I155="Esecuzioni",S155="Coperto",ABS(X155-Y155)&gt;'Impostazioni'!$B$11),"Copertura residua",IF(NOT(ISNUMBER(AC155)),"Completa risultato / esito",IF(AND(Z155=0,AC155&lt;&gt;0),"Rischio nullo con P/L","OK")))))))))))))</x:f>
      </x:c>
      <x:c r="AR155" s="20" t="str">
        <x:f>IF(OR(A155="",J155&lt;&gt;"Aperto",AQ155&lt;&gt;"OK"),"",IF(I155="Esecuzioni",SUMIFS('Esecuzioni'!$P$8:$P$1007,'Esecuzioni'!$A$8:$A$1007,A155,'Esecuzioni'!$B$8:$B$1007,_xlfn.MAXIFS('Esecuzioni'!$B$8:$B$1007,'Esecuzioni'!$A$8:$A$1007,A155)),IF(LEFT(U155,8)="FREEBET:",0,Z155)))</x:f>
      </x:c>
      <x:c r="AS155" s="48" t="str">
        <x:f>IF(OR(A155="",E155=""),"",IF(COUNTIFS($E$8:E155,E155)=1,COUNT($AS$7:AS154)+1,""))</x:f>
      </x:c>
    </x:row>
    <x:row r="156" ht="22" customHeight="1">
      <x:c r="A156" s="7"/>
      <x:c r="B156" s="19"/>
      <x:c r="C156" s="19"/>
      <x:c r="D156" s="7"/>
      <x:c r="E156" s="7"/>
      <x:c r="F156" s="7"/>
      <x:c r="G156" s="7"/>
      <x:c r="H156" s="7"/>
      <x:c r="I156" s="7"/>
      <x:c r="J156" s="7"/>
      <x:c r="K156" s="10"/>
      <x:c r="L156" s="7"/>
      <x:c r="M156" s="10"/>
      <x:c r="N156" s="7"/>
      <x:c r="O156" s="8"/>
      <x:c r="P156" s="8"/>
      <x:c r="Q156" s="8"/>
      <x:c r="R156" s="9"/>
      <x:c r="S156" s="7"/>
      <x:c r="T156" s="7"/>
      <x:c r="U156" s="7"/>
      <x:c r="V156" s="7"/>
      <x:c r="W156" s="22" t="str">
        <x:f>IF(A156="","",COUNTIFS('Esecuzioni'!$A$8:$A$1007,A156,'Esecuzioni'!$Q$8:$Q$1007,"OK"))</x:f>
      </x:c>
      <x:c r="X156" s="20" t="str">
        <x:f>IF(OR(A156="",I156&lt;&gt;"Esecuzioni",W156=0),"",SUMIFS('Esecuzioni'!$L$8:$L$1007,'Esecuzioni'!$A$8:$A$1007,A156))</x:f>
      </x:c>
      <x:c r="Y156" s="20" t="str">
        <x:f>IF(OR(A156="",I156&lt;&gt;"Esecuzioni",W156=0),"",SUMIFS('Esecuzioni'!$M$8:$M$1007,'Esecuzioni'!$A$8:$A$1007,A156))</x:f>
      </x:c>
      <x:c r="Z156" s="20" t="str">
        <x:f>IF(A156="","",IF(J156="Annullato",0,IF(ISNUMBER(O156),O156,IF(AND(I156="Esecuzioni",W156&gt;0),_xlfn.MAXIFS('Esecuzioni'!$P$8:$P$1007,'Esecuzioni'!$A$8:$A$1007,A156),""))))</x:f>
      </x:c>
      <x:c r="AA156" s="20" t="str">
        <x:f>IF(OR(A156="",J156="Aperto"),"",IF(J156="Annullato",0,IF(I156="Lordo manuale",IF(ISNUMBER(P156),P156,""),IF(I156="Netto manuale",IF(AND(ISNUMBER(P156),ISNUMBER(Q156)),P156+Q156,""),IF(OR(W156=0,COUNTIFS('Esecuzioni'!$A$8:$A$1007,A156,'Esecuzioni'!$Q$8:$Q$1007,"&lt;&gt;OK")&gt;0),"",IF(S156="Vince",X156,IF(S156="Perde",Y156,IF(AND(S156="Coperto",ABS(X156-Y156)&lt;='Impostazioni'!$B$11),ROUND((X156+Y156)/2,2),""))))))))</x:f>
      </x:c>
      <x:c r="AB156" s="20" t="str">
        <x:f>IF(NOT(ISNUMBER(AA156)),"",IF(J156="Annullato",0,IF(ISNUMBER(Q156),Q156,ROUND(MAX(0,AA156)*IF(ISNUMBER(R156),R156,'Impostazioni'!$B$8),2))))</x:f>
      </x:c>
      <x:c r="AC156" s="20" t="str">
        <x:f>IF(AND(ISNUMBER(AA156),ISNUMBER(AB156)),ROUND(AA156-AB156,2),"")</x:f>
      </x:c>
      <x:c r="AD156" s="18" t="str">
        <x:f>IF(A156="","",IF(AQ156&lt;&gt;"OK","Incompleto",IF(J156="Aperto","Aperto",IF(J156="Annullato","Annullato",IF(AC156&gt;0,"Green",IF(AC156&lt;0,"Red","Flat"))))))</x:f>
      </x:c>
      <x:c r="AE156" s="21" t="str">
        <x:f>IF(AND(AH156=1,Z156&gt;0),AC156/Z156,"")</x:f>
      </x:c>
      <x:c r="AF156" s="22" t="str">
        <x:f>IF(AH156&lt;&gt;1,"",COUNTIFS($C$8:$C$507,"&lt;"&amp;C156,$AH$8:$AH$507,1)+COUNTIFS($C$8:$C$507,C156,$A$8:$A$507,"&lt;="&amp;A156,$AH$8:$AH$507,1))</x:f>
      </x:c>
      <x:c r="AG156" s="20" t="str">
        <x:f>IF(AH156&lt;&gt;1,"",SUMIFS($AC$8:$AC$507,$C$8:$C$507,"&lt;"&amp;C156,$AH$8:$AH$507,1)+SUMIFS($AC$8:$AC$507,$C$8:$C$507,C156,$A$8:$A$507,"&lt;="&amp;A156,$AH$8:$AH$507,1))</x:f>
      </x:c>
      <x:c r="AH156" s="22" t="str">
        <x:f>IF(A156="","",IF(AND(J156="Chiuso",AQ156="OK",ISNUMBER(AC156)),1,0))</x:f>
      </x:c>
      <x:c r="AI156" s="20" t="str">
        <x:f>IF(AH156&lt;&gt;1,"",MAX(0,_xlfn.MAXIFS($AG$8:$AG$507,$AF$8:$AF$507,"&lt;="&amp;AF156,$AH$8:$AH$507,1)))</x:f>
      </x:c>
      <x:c r="AJ156" s="20" t="str">
        <x:f>IF(AH156&lt;&gt;1,"",MAX(0,AI156-AG156))</x:f>
      </x:c>
      <x:c r="AK156" s="21" t="str">
        <x:f>IF(OR(AH156&lt;&gt;1,NOT(ISNUMBER('Impostazioni'!$B$6)),'Impostazioni'!$B$6+AI156&lt;=0),"",AJ156/('Impostazioni'!$B$6+AI156))</x:f>
      </x:c>
      <x:c r="AL156" s="22" t="str">
        <x:f>IF(AH156&lt;&gt;1,"",IF(AC156&gt;0,AF156-_xlfn.MAXIFS($AF$8:$AF$507,$AF$8:$AF$507,"&lt;="&amp;AF156,$AC$8:$AC$507,"&lt;=0",$AH$8:$AH$507,1),0))</x:f>
      </x:c>
      <x:c r="AM156" s="22" t="str">
        <x:f>IF(AH156&lt;&gt;1,"",IF(AC156&lt;0,AF156-_xlfn.MAXIFS($AF$8:$AF$507,$AF$8:$AF$507,"&lt;="&amp;AF156,$AC$8:$AC$507,"&gt;=0",$AH$8:$AH$507,1),0))</x:f>
      </x:c>
      <x:c r="AN156" s="20" t="str">
        <x:f>IF(OR(A156="",NOT(ISNUMBER(B156)),NOT(ISNUMBER('Impostazioni'!$B$6))),"",'Impostazioni'!$B$6+SUMIFS($AC$8:$AC$507,$C$8:$C$507,"&lt;"&amp;B156,$AH$8:$AH$507,1)+SUMIFS('Cassa'!$F$8:$F$307,'Cassa'!$A$8:$A$307,"&lt;="&amp;B156,'Cassa'!$G$8:$G$307,"OK"))</x:f>
      </x:c>
      <x:c r="AO156" s="21" t="str">
        <x:f>IF(AND(ISNUMBER(Z156),ISNUMBER(AN156),AN156&gt;0),Z156/AN156,"")</x:f>
      </x:c>
      <x:c r="AP156" s="18" t="str">
        <x:f>IF(NOT(ISNUMBER(AO156)),"",IF(AO156&gt;'Impostazioni'!$B$7,"Oltre soglia personale","Nella soglia personale"))</x:f>
      </x:c>
      <x:c r="AQ156" s="18" t="str">
        <x:f>IF(A156="",IF(COUNTA(B156:V156)=0,"","Inserisci ID"),IF(COUNTIFS($A$8:$A$507,A156)&lt;&gt;1,"ID duplicato",IF(OR(NOT(ISNUMBER(B156)),D156="",E156="",F156="",G156="",H156="",COUNTIFS('Impostazioni'!$J$6:$J$25,F156)&lt;&gt;1),"Completa dati / elenchi",IF(OR(AND(I156&lt;&gt;"Lordo manuale",I156&lt;&gt;"Netto manuale",I156&lt;&gt;"Esecuzioni"),AND(J156&lt;&gt;"Aperto",J156&lt;&gt;"Chiuso",J156&lt;&gt;"Annullato")),"Modalità / stato mancanti",IF(AND(J156&lt;&gt;"Aperto",OR(NOT(ISNUMBER(C156)),C156&lt;B156)),"Correggi data chiusura",IF(OR(AND(Q156&lt;&gt;"",OR(NOT(ISNUMBER(Q156)),Q156&lt;0)),AND(R156&lt;&gt;"",OR(NOT(ISNUMBER(R156)),R156&lt;0,R156&gt;1))),"Commissione non valida",IF(J156="Annullato","OK",IF(OR(NOT(ISNUMBER(Z156)),Z156&lt;0,AND(O156&lt;&gt;"",NOT(ISNUMBER(O156)))),"Inserisci rischio",IF(AND(I156="Esecuzioni",OR(W156=0,COUNTIFS('Esecuzioni'!$A$8:$A$1007,A156,'Esecuzioni'!$Q$8:$Q$1007,"&lt;&gt;OK")&gt;0)),"Correggi esecuzioni",IF(J156="Aperto","OK",IF(AND(I156="Esecuzioni",S156="Coperto",ABS(X156-Y156)&gt;'Impostazioni'!$B$11),"Copertura residua",IF(NOT(ISNUMBER(AC156)),"Completa risultato / esito",IF(AND(Z156=0,AC156&lt;&gt;0),"Rischio nullo con P/L","OK")))))))))))))</x:f>
      </x:c>
      <x:c r="AR156" s="20" t="str">
        <x:f>IF(OR(A156="",J156&lt;&gt;"Aperto",AQ156&lt;&gt;"OK"),"",IF(I156="Esecuzioni",SUMIFS('Esecuzioni'!$P$8:$P$1007,'Esecuzioni'!$A$8:$A$1007,A156,'Esecuzioni'!$B$8:$B$1007,_xlfn.MAXIFS('Esecuzioni'!$B$8:$B$1007,'Esecuzioni'!$A$8:$A$1007,A156)),IF(LEFT(U156,8)="FREEBET:",0,Z156)))</x:f>
      </x:c>
      <x:c r="AS156" s="48" t="str">
        <x:f>IF(OR(A156="",E156=""),"",IF(COUNTIFS($E$8:E156,E156)=1,COUNT($AS$7:AS155)+1,""))</x:f>
      </x:c>
    </x:row>
    <x:row r="157" ht="22" customHeight="1">
      <x:c r="A157" s="7"/>
      <x:c r="B157" s="19"/>
      <x:c r="C157" s="19"/>
      <x:c r="D157" s="7"/>
      <x:c r="E157" s="7"/>
      <x:c r="F157" s="7"/>
      <x:c r="G157" s="7"/>
      <x:c r="H157" s="7"/>
      <x:c r="I157" s="7"/>
      <x:c r="J157" s="7"/>
      <x:c r="K157" s="10"/>
      <x:c r="L157" s="7"/>
      <x:c r="M157" s="10"/>
      <x:c r="N157" s="7"/>
      <x:c r="O157" s="8"/>
      <x:c r="P157" s="8"/>
      <x:c r="Q157" s="8"/>
      <x:c r="R157" s="9"/>
      <x:c r="S157" s="7"/>
      <x:c r="T157" s="7"/>
      <x:c r="U157" s="7"/>
      <x:c r="V157" s="7"/>
      <x:c r="W157" s="22" t="str">
        <x:f>IF(A157="","",COUNTIFS('Esecuzioni'!$A$8:$A$1007,A157,'Esecuzioni'!$Q$8:$Q$1007,"OK"))</x:f>
      </x:c>
      <x:c r="X157" s="20" t="str">
        <x:f>IF(OR(A157="",I157&lt;&gt;"Esecuzioni",W157=0),"",SUMIFS('Esecuzioni'!$L$8:$L$1007,'Esecuzioni'!$A$8:$A$1007,A157))</x:f>
      </x:c>
      <x:c r="Y157" s="20" t="str">
        <x:f>IF(OR(A157="",I157&lt;&gt;"Esecuzioni",W157=0),"",SUMIFS('Esecuzioni'!$M$8:$M$1007,'Esecuzioni'!$A$8:$A$1007,A157))</x:f>
      </x:c>
      <x:c r="Z157" s="20" t="str">
        <x:f>IF(A157="","",IF(J157="Annullato",0,IF(ISNUMBER(O157),O157,IF(AND(I157="Esecuzioni",W157&gt;0),_xlfn.MAXIFS('Esecuzioni'!$P$8:$P$1007,'Esecuzioni'!$A$8:$A$1007,A157),""))))</x:f>
      </x:c>
      <x:c r="AA157" s="20" t="str">
        <x:f>IF(OR(A157="",J157="Aperto"),"",IF(J157="Annullato",0,IF(I157="Lordo manuale",IF(ISNUMBER(P157),P157,""),IF(I157="Netto manuale",IF(AND(ISNUMBER(P157),ISNUMBER(Q157)),P157+Q157,""),IF(OR(W157=0,COUNTIFS('Esecuzioni'!$A$8:$A$1007,A157,'Esecuzioni'!$Q$8:$Q$1007,"&lt;&gt;OK")&gt;0),"",IF(S157="Vince",X157,IF(S157="Perde",Y157,IF(AND(S157="Coperto",ABS(X157-Y157)&lt;='Impostazioni'!$B$11),ROUND((X157+Y157)/2,2),""))))))))</x:f>
      </x:c>
      <x:c r="AB157" s="20" t="str">
        <x:f>IF(NOT(ISNUMBER(AA157)),"",IF(J157="Annullato",0,IF(ISNUMBER(Q157),Q157,ROUND(MAX(0,AA157)*IF(ISNUMBER(R157),R157,'Impostazioni'!$B$8),2))))</x:f>
      </x:c>
      <x:c r="AC157" s="20" t="str">
        <x:f>IF(AND(ISNUMBER(AA157),ISNUMBER(AB157)),ROUND(AA157-AB157,2),"")</x:f>
      </x:c>
      <x:c r="AD157" s="18" t="str">
        <x:f>IF(A157="","",IF(AQ157&lt;&gt;"OK","Incompleto",IF(J157="Aperto","Aperto",IF(J157="Annullato","Annullato",IF(AC157&gt;0,"Green",IF(AC157&lt;0,"Red","Flat"))))))</x:f>
      </x:c>
      <x:c r="AE157" s="21" t="str">
        <x:f>IF(AND(AH157=1,Z157&gt;0),AC157/Z157,"")</x:f>
      </x:c>
      <x:c r="AF157" s="22" t="str">
        <x:f>IF(AH157&lt;&gt;1,"",COUNTIFS($C$8:$C$507,"&lt;"&amp;C157,$AH$8:$AH$507,1)+COUNTIFS($C$8:$C$507,C157,$A$8:$A$507,"&lt;="&amp;A157,$AH$8:$AH$507,1))</x:f>
      </x:c>
      <x:c r="AG157" s="20" t="str">
        <x:f>IF(AH157&lt;&gt;1,"",SUMIFS($AC$8:$AC$507,$C$8:$C$507,"&lt;"&amp;C157,$AH$8:$AH$507,1)+SUMIFS($AC$8:$AC$507,$C$8:$C$507,C157,$A$8:$A$507,"&lt;="&amp;A157,$AH$8:$AH$507,1))</x:f>
      </x:c>
      <x:c r="AH157" s="22" t="str">
        <x:f>IF(A157="","",IF(AND(J157="Chiuso",AQ157="OK",ISNUMBER(AC157)),1,0))</x:f>
      </x:c>
      <x:c r="AI157" s="20" t="str">
        <x:f>IF(AH157&lt;&gt;1,"",MAX(0,_xlfn.MAXIFS($AG$8:$AG$507,$AF$8:$AF$507,"&lt;="&amp;AF157,$AH$8:$AH$507,1)))</x:f>
      </x:c>
      <x:c r="AJ157" s="20" t="str">
        <x:f>IF(AH157&lt;&gt;1,"",MAX(0,AI157-AG157))</x:f>
      </x:c>
      <x:c r="AK157" s="21" t="str">
        <x:f>IF(OR(AH157&lt;&gt;1,NOT(ISNUMBER('Impostazioni'!$B$6)),'Impostazioni'!$B$6+AI157&lt;=0),"",AJ157/('Impostazioni'!$B$6+AI157))</x:f>
      </x:c>
      <x:c r="AL157" s="22" t="str">
        <x:f>IF(AH157&lt;&gt;1,"",IF(AC157&gt;0,AF157-_xlfn.MAXIFS($AF$8:$AF$507,$AF$8:$AF$507,"&lt;="&amp;AF157,$AC$8:$AC$507,"&lt;=0",$AH$8:$AH$507,1),0))</x:f>
      </x:c>
      <x:c r="AM157" s="22" t="str">
        <x:f>IF(AH157&lt;&gt;1,"",IF(AC157&lt;0,AF157-_xlfn.MAXIFS($AF$8:$AF$507,$AF$8:$AF$507,"&lt;="&amp;AF157,$AC$8:$AC$507,"&gt;=0",$AH$8:$AH$507,1),0))</x:f>
      </x:c>
      <x:c r="AN157" s="20" t="str">
        <x:f>IF(OR(A157="",NOT(ISNUMBER(B157)),NOT(ISNUMBER('Impostazioni'!$B$6))),"",'Impostazioni'!$B$6+SUMIFS($AC$8:$AC$507,$C$8:$C$507,"&lt;"&amp;B157,$AH$8:$AH$507,1)+SUMIFS('Cassa'!$F$8:$F$307,'Cassa'!$A$8:$A$307,"&lt;="&amp;B157,'Cassa'!$G$8:$G$307,"OK"))</x:f>
      </x:c>
      <x:c r="AO157" s="21" t="str">
        <x:f>IF(AND(ISNUMBER(Z157),ISNUMBER(AN157),AN157&gt;0),Z157/AN157,"")</x:f>
      </x:c>
      <x:c r="AP157" s="18" t="str">
        <x:f>IF(NOT(ISNUMBER(AO157)),"",IF(AO157&gt;'Impostazioni'!$B$7,"Oltre soglia personale","Nella soglia personale"))</x:f>
      </x:c>
      <x:c r="AQ157" s="18" t="str">
        <x:f>IF(A157="",IF(COUNTA(B157:V157)=0,"","Inserisci ID"),IF(COUNTIFS($A$8:$A$507,A157)&lt;&gt;1,"ID duplicato",IF(OR(NOT(ISNUMBER(B157)),D157="",E157="",F157="",G157="",H157="",COUNTIFS('Impostazioni'!$J$6:$J$25,F157)&lt;&gt;1),"Completa dati / elenchi",IF(OR(AND(I157&lt;&gt;"Lordo manuale",I157&lt;&gt;"Netto manuale",I157&lt;&gt;"Esecuzioni"),AND(J157&lt;&gt;"Aperto",J157&lt;&gt;"Chiuso",J157&lt;&gt;"Annullato")),"Modalità / stato mancanti",IF(AND(J157&lt;&gt;"Aperto",OR(NOT(ISNUMBER(C157)),C157&lt;B157)),"Correggi data chiusura",IF(OR(AND(Q157&lt;&gt;"",OR(NOT(ISNUMBER(Q157)),Q157&lt;0)),AND(R157&lt;&gt;"",OR(NOT(ISNUMBER(R157)),R157&lt;0,R157&gt;1))),"Commissione non valida",IF(J157="Annullato","OK",IF(OR(NOT(ISNUMBER(Z157)),Z157&lt;0,AND(O157&lt;&gt;"",NOT(ISNUMBER(O157)))),"Inserisci rischio",IF(AND(I157="Esecuzioni",OR(W157=0,COUNTIFS('Esecuzioni'!$A$8:$A$1007,A157,'Esecuzioni'!$Q$8:$Q$1007,"&lt;&gt;OK")&gt;0)),"Correggi esecuzioni",IF(J157="Aperto","OK",IF(AND(I157="Esecuzioni",S157="Coperto",ABS(X157-Y157)&gt;'Impostazioni'!$B$11),"Copertura residua",IF(NOT(ISNUMBER(AC157)),"Completa risultato / esito",IF(AND(Z157=0,AC157&lt;&gt;0),"Rischio nullo con P/L","OK")))))))))))))</x:f>
      </x:c>
      <x:c r="AR157" s="20" t="str">
        <x:f>IF(OR(A157="",J157&lt;&gt;"Aperto",AQ157&lt;&gt;"OK"),"",IF(I157="Esecuzioni",SUMIFS('Esecuzioni'!$P$8:$P$1007,'Esecuzioni'!$A$8:$A$1007,A157,'Esecuzioni'!$B$8:$B$1007,_xlfn.MAXIFS('Esecuzioni'!$B$8:$B$1007,'Esecuzioni'!$A$8:$A$1007,A157)),IF(LEFT(U157,8)="FREEBET:",0,Z157)))</x:f>
      </x:c>
      <x:c r="AS157" s="48" t="str">
        <x:f>IF(OR(A157="",E157=""),"",IF(COUNTIFS($E$8:E157,E157)=1,COUNT($AS$7:AS156)+1,""))</x:f>
      </x:c>
    </x:row>
    <x:row r="158" ht="22" customHeight="1">
      <x:c r="A158" s="7"/>
      <x:c r="B158" s="19"/>
      <x:c r="C158" s="19"/>
      <x:c r="D158" s="7"/>
      <x:c r="E158" s="7"/>
      <x:c r="F158" s="7"/>
      <x:c r="G158" s="7"/>
      <x:c r="H158" s="7"/>
      <x:c r="I158" s="7"/>
      <x:c r="J158" s="7"/>
      <x:c r="K158" s="10"/>
      <x:c r="L158" s="7"/>
      <x:c r="M158" s="10"/>
      <x:c r="N158" s="7"/>
      <x:c r="O158" s="8"/>
      <x:c r="P158" s="8"/>
      <x:c r="Q158" s="8"/>
      <x:c r="R158" s="9"/>
      <x:c r="S158" s="7"/>
      <x:c r="T158" s="7"/>
      <x:c r="U158" s="7"/>
      <x:c r="V158" s="7"/>
      <x:c r="W158" s="22" t="str">
        <x:f>IF(A158="","",COUNTIFS('Esecuzioni'!$A$8:$A$1007,A158,'Esecuzioni'!$Q$8:$Q$1007,"OK"))</x:f>
      </x:c>
      <x:c r="X158" s="20" t="str">
        <x:f>IF(OR(A158="",I158&lt;&gt;"Esecuzioni",W158=0),"",SUMIFS('Esecuzioni'!$L$8:$L$1007,'Esecuzioni'!$A$8:$A$1007,A158))</x:f>
      </x:c>
      <x:c r="Y158" s="20" t="str">
        <x:f>IF(OR(A158="",I158&lt;&gt;"Esecuzioni",W158=0),"",SUMIFS('Esecuzioni'!$M$8:$M$1007,'Esecuzioni'!$A$8:$A$1007,A158))</x:f>
      </x:c>
      <x:c r="Z158" s="20" t="str">
        <x:f>IF(A158="","",IF(J158="Annullato",0,IF(ISNUMBER(O158),O158,IF(AND(I158="Esecuzioni",W158&gt;0),_xlfn.MAXIFS('Esecuzioni'!$P$8:$P$1007,'Esecuzioni'!$A$8:$A$1007,A158),""))))</x:f>
      </x:c>
      <x:c r="AA158" s="20" t="str">
        <x:f>IF(OR(A158="",J158="Aperto"),"",IF(J158="Annullato",0,IF(I158="Lordo manuale",IF(ISNUMBER(P158),P158,""),IF(I158="Netto manuale",IF(AND(ISNUMBER(P158),ISNUMBER(Q158)),P158+Q158,""),IF(OR(W158=0,COUNTIFS('Esecuzioni'!$A$8:$A$1007,A158,'Esecuzioni'!$Q$8:$Q$1007,"&lt;&gt;OK")&gt;0),"",IF(S158="Vince",X158,IF(S158="Perde",Y158,IF(AND(S158="Coperto",ABS(X158-Y158)&lt;='Impostazioni'!$B$11),ROUND((X158+Y158)/2,2),""))))))))</x:f>
      </x:c>
      <x:c r="AB158" s="20" t="str">
        <x:f>IF(NOT(ISNUMBER(AA158)),"",IF(J158="Annullato",0,IF(ISNUMBER(Q158),Q158,ROUND(MAX(0,AA158)*IF(ISNUMBER(R158),R158,'Impostazioni'!$B$8),2))))</x:f>
      </x:c>
      <x:c r="AC158" s="20" t="str">
        <x:f>IF(AND(ISNUMBER(AA158),ISNUMBER(AB158)),ROUND(AA158-AB158,2),"")</x:f>
      </x:c>
      <x:c r="AD158" s="18" t="str">
        <x:f>IF(A158="","",IF(AQ158&lt;&gt;"OK","Incompleto",IF(J158="Aperto","Aperto",IF(J158="Annullato","Annullato",IF(AC158&gt;0,"Green",IF(AC158&lt;0,"Red","Flat"))))))</x:f>
      </x:c>
      <x:c r="AE158" s="21" t="str">
        <x:f>IF(AND(AH158=1,Z158&gt;0),AC158/Z158,"")</x:f>
      </x:c>
      <x:c r="AF158" s="22" t="str">
        <x:f>IF(AH158&lt;&gt;1,"",COUNTIFS($C$8:$C$507,"&lt;"&amp;C158,$AH$8:$AH$507,1)+COUNTIFS($C$8:$C$507,C158,$A$8:$A$507,"&lt;="&amp;A158,$AH$8:$AH$507,1))</x:f>
      </x:c>
      <x:c r="AG158" s="20" t="str">
        <x:f>IF(AH158&lt;&gt;1,"",SUMIFS($AC$8:$AC$507,$C$8:$C$507,"&lt;"&amp;C158,$AH$8:$AH$507,1)+SUMIFS($AC$8:$AC$507,$C$8:$C$507,C158,$A$8:$A$507,"&lt;="&amp;A158,$AH$8:$AH$507,1))</x:f>
      </x:c>
      <x:c r="AH158" s="22" t="str">
        <x:f>IF(A158="","",IF(AND(J158="Chiuso",AQ158="OK",ISNUMBER(AC158)),1,0))</x:f>
      </x:c>
      <x:c r="AI158" s="20" t="str">
        <x:f>IF(AH158&lt;&gt;1,"",MAX(0,_xlfn.MAXIFS($AG$8:$AG$507,$AF$8:$AF$507,"&lt;="&amp;AF158,$AH$8:$AH$507,1)))</x:f>
      </x:c>
      <x:c r="AJ158" s="20" t="str">
        <x:f>IF(AH158&lt;&gt;1,"",MAX(0,AI158-AG158))</x:f>
      </x:c>
      <x:c r="AK158" s="21" t="str">
        <x:f>IF(OR(AH158&lt;&gt;1,NOT(ISNUMBER('Impostazioni'!$B$6)),'Impostazioni'!$B$6+AI158&lt;=0),"",AJ158/('Impostazioni'!$B$6+AI158))</x:f>
      </x:c>
      <x:c r="AL158" s="22" t="str">
        <x:f>IF(AH158&lt;&gt;1,"",IF(AC158&gt;0,AF158-_xlfn.MAXIFS($AF$8:$AF$507,$AF$8:$AF$507,"&lt;="&amp;AF158,$AC$8:$AC$507,"&lt;=0",$AH$8:$AH$507,1),0))</x:f>
      </x:c>
      <x:c r="AM158" s="22" t="str">
        <x:f>IF(AH158&lt;&gt;1,"",IF(AC158&lt;0,AF158-_xlfn.MAXIFS($AF$8:$AF$507,$AF$8:$AF$507,"&lt;="&amp;AF158,$AC$8:$AC$507,"&gt;=0",$AH$8:$AH$507,1),0))</x:f>
      </x:c>
      <x:c r="AN158" s="20" t="str">
        <x:f>IF(OR(A158="",NOT(ISNUMBER(B158)),NOT(ISNUMBER('Impostazioni'!$B$6))),"",'Impostazioni'!$B$6+SUMIFS($AC$8:$AC$507,$C$8:$C$507,"&lt;"&amp;B158,$AH$8:$AH$507,1)+SUMIFS('Cassa'!$F$8:$F$307,'Cassa'!$A$8:$A$307,"&lt;="&amp;B158,'Cassa'!$G$8:$G$307,"OK"))</x:f>
      </x:c>
      <x:c r="AO158" s="21" t="str">
        <x:f>IF(AND(ISNUMBER(Z158),ISNUMBER(AN158),AN158&gt;0),Z158/AN158,"")</x:f>
      </x:c>
      <x:c r="AP158" s="18" t="str">
        <x:f>IF(NOT(ISNUMBER(AO158)),"",IF(AO158&gt;'Impostazioni'!$B$7,"Oltre soglia personale","Nella soglia personale"))</x:f>
      </x:c>
      <x:c r="AQ158" s="18" t="str">
        <x:f>IF(A158="",IF(COUNTA(B158:V158)=0,"","Inserisci ID"),IF(COUNTIFS($A$8:$A$507,A158)&lt;&gt;1,"ID duplicato",IF(OR(NOT(ISNUMBER(B158)),D158="",E158="",F158="",G158="",H158="",COUNTIFS('Impostazioni'!$J$6:$J$25,F158)&lt;&gt;1),"Completa dati / elenchi",IF(OR(AND(I158&lt;&gt;"Lordo manuale",I158&lt;&gt;"Netto manuale",I158&lt;&gt;"Esecuzioni"),AND(J158&lt;&gt;"Aperto",J158&lt;&gt;"Chiuso",J158&lt;&gt;"Annullato")),"Modalità / stato mancanti",IF(AND(J158&lt;&gt;"Aperto",OR(NOT(ISNUMBER(C158)),C158&lt;B158)),"Correggi data chiusura",IF(OR(AND(Q158&lt;&gt;"",OR(NOT(ISNUMBER(Q158)),Q158&lt;0)),AND(R158&lt;&gt;"",OR(NOT(ISNUMBER(R158)),R158&lt;0,R158&gt;1))),"Commissione non valida",IF(J158="Annullato","OK",IF(OR(NOT(ISNUMBER(Z158)),Z158&lt;0,AND(O158&lt;&gt;"",NOT(ISNUMBER(O158)))),"Inserisci rischio",IF(AND(I158="Esecuzioni",OR(W158=0,COUNTIFS('Esecuzioni'!$A$8:$A$1007,A158,'Esecuzioni'!$Q$8:$Q$1007,"&lt;&gt;OK")&gt;0)),"Correggi esecuzioni",IF(J158="Aperto","OK",IF(AND(I158="Esecuzioni",S158="Coperto",ABS(X158-Y158)&gt;'Impostazioni'!$B$11),"Copertura residua",IF(NOT(ISNUMBER(AC158)),"Completa risultato / esito",IF(AND(Z158=0,AC158&lt;&gt;0),"Rischio nullo con P/L","OK")))))))))))))</x:f>
      </x:c>
      <x:c r="AR158" s="20" t="str">
        <x:f>IF(OR(A158="",J158&lt;&gt;"Aperto",AQ158&lt;&gt;"OK"),"",IF(I158="Esecuzioni",SUMIFS('Esecuzioni'!$P$8:$P$1007,'Esecuzioni'!$A$8:$A$1007,A158,'Esecuzioni'!$B$8:$B$1007,_xlfn.MAXIFS('Esecuzioni'!$B$8:$B$1007,'Esecuzioni'!$A$8:$A$1007,A158)),IF(LEFT(U158,8)="FREEBET:",0,Z158)))</x:f>
      </x:c>
      <x:c r="AS158" s="48" t="str">
        <x:f>IF(OR(A158="",E158=""),"",IF(COUNTIFS($E$8:E158,E158)=1,COUNT($AS$7:AS157)+1,""))</x:f>
      </x:c>
    </x:row>
    <x:row r="159" ht="22" customHeight="1">
      <x:c r="A159" s="7"/>
      <x:c r="B159" s="19"/>
      <x:c r="C159" s="19"/>
      <x:c r="D159" s="7"/>
      <x:c r="E159" s="7"/>
      <x:c r="F159" s="7"/>
      <x:c r="G159" s="7"/>
      <x:c r="H159" s="7"/>
      <x:c r="I159" s="7"/>
      <x:c r="J159" s="7"/>
      <x:c r="K159" s="10"/>
      <x:c r="L159" s="7"/>
      <x:c r="M159" s="10"/>
      <x:c r="N159" s="7"/>
      <x:c r="O159" s="8"/>
      <x:c r="P159" s="8"/>
      <x:c r="Q159" s="8"/>
      <x:c r="R159" s="9"/>
      <x:c r="S159" s="7"/>
      <x:c r="T159" s="7"/>
      <x:c r="U159" s="7"/>
      <x:c r="V159" s="7"/>
      <x:c r="W159" s="22" t="str">
        <x:f>IF(A159="","",COUNTIFS('Esecuzioni'!$A$8:$A$1007,A159,'Esecuzioni'!$Q$8:$Q$1007,"OK"))</x:f>
      </x:c>
      <x:c r="X159" s="20" t="str">
        <x:f>IF(OR(A159="",I159&lt;&gt;"Esecuzioni",W159=0),"",SUMIFS('Esecuzioni'!$L$8:$L$1007,'Esecuzioni'!$A$8:$A$1007,A159))</x:f>
      </x:c>
      <x:c r="Y159" s="20" t="str">
        <x:f>IF(OR(A159="",I159&lt;&gt;"Esecuzioni",W159=0),"",SUMIFS('Esecuzioni'!$M$8:$M$1007,'Esecuzioni'!$A$8:$A$1007,A159))</x:f>
      </x:c>
      <x:c r="Z159" s="20" t="str">
        <x:f>IF(A159="","",IF(J159="Annullato",0,IF(ISNUMBER(O159),O159,IF(AND(I159="Esecuzioni",W159&gt;0),_xlfn.MAXIFS('Esecuzioni'!$P$8:$P$1007,'Esecuzioni'!$A$8:$A$1007,A159),""))))</x:f>
      </x:c>
      <x:c r="AA159" s="20" t="str">
        <x:f>IF(OR(A159="",J159="Aperto"),"",IF(J159="Annullato",0,IF(I159="Lordo manuale",IF(ISNUMBER(P159),P159,""),IF(I159="Netto manuale",IF(AND(ISNUMBER(P159),ISNUMBER(Q159)),P159+Q159,""),IF(OR(W159=0,COUNTIFS('Esecuzioni'!$A$8:$A$1007,A159,'Esecuzioni'!$Q$8:$Q$1007,"&lt;&gt;OK")&gt;0),"",IF(S159="Vince",X159,IF(S159="Perde",Y159,IF(AND(S159="Coperto",ABS(X159-Y159)&lt;='Impostazioni'!$B$11),ROUND((X159+Y159)/2,2),""))))))))</x:f>
      </x:c>
      <x:c r="AB159" s="20" t="str">
        <x:f>IF(NOT(ISNUMBER(AA159)),"",IF(J159="Annullato",0,IF(ISNUMBER(Q159),Q159,ROUND(MAX(0,AA159)*IF(ISNUMBER(R159),R159,'Impostazioni'!$B$8),2))))</x:f>
      </x:c>
      <x:c r="AC159" s="20" t="str">
        <x:f>IF(AND(ISNUMBER(AA159),ISNUMBER(AB159)),ROUND(AA159-AB159,2),"")</x:f>
      </x:c>
      <x:c r="AD159" s="18" t="str">
        <x:f>IF(A159="","",IF(AQ159&lt;&gt;"OK","Incompleto",IF(J159="Aperto","Aperto",IF(J159="Annullato","Annullato",IF(AC159&gt;0,"Green",IF(AC159&lt;0,"Red","Flat"))))))</x:f>
      </x:c>
      <x:c r="AE159" s="21" t="str">
        <x:f>IF(AND(AH159=1,Z159&gt;0),AC159/Z159,"")</x:f>
      </x:c>
      <x:c r="AF159" s="22" t="str">
        <x:f>IF(AH159&lt;&gt;1,"",COUNTIFS($C$8:$C$507,"&lt;"&amp;C159,$AH$8:$AH$507,1)+COUNTIFS($C$8:$C$507,C159,$A$8:$A$507,"&lt;="&amp;A159,$AH$8:$AH$507,1))</x:f>
      </x:c>
      <x:c r="AG159" s="20" t="str">
        <x:f>IF(AH159&lt;&gt;1,"",SUMIFS($AC$8:$AC$507,$C$8:$C$507,"&lt;"&amp;C159,$AH$8:$AH$507,1)+SUMIFS($AC$8:$AC$507,$C$8:$C$507,C159,$A$8:$A$507,"&lt;="&amp;A159,$AH$8:$AH$507,1))</x:f>
      </x:c>
      <x:c r="AH159" s="22" t="str">
        <x:f>IF(A159="","",IF(AND(J159="Chiuso",AQ159="OK",ISNUMBER(AC159)),1,0))</x:f>
      </x:c>
      <x:c r="AI159" s="20" t="str">
        <x:f>IF(AH159&lt;&gt;1,"",MAX(0,_xlfn.MAXIFS($AG$8:$AG$507,$AF$8:$AF$507,"&lt;="&amp;AF159,$AH$8:$AH$507,1)))</x:f>
      </x:c>
      <x:c r="AJ159" s="20" t="str">
        <x:f>IF(AH159&lt;&gt;1,"",MAX(0,AI159-AG159))</x:f>
      </x:c>
      <x:c r="AK159" s="21" t="str">
        <x:f>IF(OR(AH159&lt;&gt;1,NOT(ISNUMBER('Impostazioni'!$B$6)),'Impostazioni'!$B$6+AI159&lt;=0),"",AJ159/('Impostazioni'!$B$6+AI159))</x:f>
      </x:c>
      <x:c r="AL159" s="22" t="str">
        <x:f>IF(AH159&lt;&gt;1,"",IF(AC159&gt;0,AF159-_xlfn.MAXIFS($AF$8:$AF$507,$AF$8:$AF$507,"&lt;="&amp;AF159,$AC$8:$AC$507,"&lt;=0",$AH$8:$AH$507,1),0))</x:f>
      </x:c>
      <x:c r="AM159" s="22" t="str">
        <x:f>IF(AH159&lt;&gt;1,"",IF(AC159&lt;0,AF159-_xlfn.MAXIFS($AF$8:$AF$507,$AF$8:$AF$507,"&lt;="&amp;AF159,$AC$8:$AC$507,"&gt;=0",$AH$8:$AH$507,1),0))</x:f>
      </x:c>
      <x:c r="AN159" s="20" t="str">
        <x:f>IF(OR(A159="",NOT(ISNUMBER(B159)),NOT(ISNUMBER('Impostazioni'!$B$6))),"",'Impostazioni'!$B$6+SUMIFS($AC$8:$AC$507,$C$8:$C$507,"&lt;"&amp;B159,$AH$8:$AH$507,1)+SUMIFS('Cassa'!$F$8:$F$307,'Cassa'!$A$8:$A$307,"&lt;="&amp;B159,'Cassa'!$G$8:$G$307,"OK"))</x:f>
      </x:c>
      <x:c r="AO159" s="21" t="str">
        <x:f>IF(AND(ISNUMBER(Z159),ISNUMBER(AN159),AN159&gt;0),Z159/AN159,"")</x:f>
      </x:c>
      <x:c r="AP159" s="18" t="str">
        <x:f>IF(NOT(ISNUMBER(AO159)),"",IF(AO159&gt;'Impostazioni'!$B$7,"Oltre soglia personale","Nella soglia personale"))</x:f>
      </x:c>
      <x:c r="AQ159" s="18" t="str">
        <x:f>IF(A159="",IF(COUNTA(B159:V159)=0,"","Inserisci ID"),IF(COUNTIFS($A$8:$A$507,A159)&lt;&gt;1,"ID duplicato",IF(OR(NOT(ISNUMBER(B159)),D159="",E159="",F159="",G159="",H159="",COUNTIFS('Impostazioni'!$J$6:$J$25,F159)&lt;&gt;1),"Completa dati / elenchi",IF(OR(AND(I159&lt;&gt;"Lordo manuale",I159&lt;&gt;"Netto manuale",I159&lt;&gt;"Esecuzioni"),AND(J159&lt;&gt;"Aperto",J159&lt;&gt;"Chiuso",J159&lt;&gt;"Annullato")),"Modalità / stato mancanti",IF(AND(J159&lt;&gt;"Aperto",OR(NOT(ISNUMBER(C159)),C159&lt;B159)),"Correggi data chiusura",IF(OR(AND(Q159&lt;&gt;"",OR(NOT(ISNUMBER(Q159)),Q159&lt;0)),AND(R159&lt;&gt;"",OR(NOT(ISNUMBER(R159)),R159&lt;0,R159&gt;1))),"Commissione non valida",IF(J159="Annullato","OK",IF(OR(NOT(ISNUMBER(Z159)),Z159&lt;0,AND(O159&lt;&gt;"",NOT(ISNUMBER(O159)))),"Inserisci rischio",IF(AND(I159="Esecuzioni",OR(W159=0,COUNTIFS('Esecuzioni'!$A$8:$A$1007,A159,'Esecuzioni'!$Q$8:$Q$1007,"&lt;&gt;OK")&gt;0)),"Correggi esecuzioni",IF(J159="Aperto","OK",IF(AND(I159="Esecuzioni",S159="Coperto",ABS(X159-Y159)&gt;'Impostazioni'!$B$11),"Copertura residua",IF(NOT(ISNUMBER(AC159)),"Completa risultato / esito",IF(AND(Z159=0,AC159&lt;&gt;0),"Rischio nullo con P/L","OK")))))))))))))</x:f>
      </x:c>
      <x:c r="AR159" s="20" t="str">
        <x:f>IF(OR(A159="",J159&lt;&gt;"Aperto",AQ159&lt;&gt;"OK"),"",IF(I159="Esecuzioni",SUMIFS('Esecuzioni'!$P$8:$P$1007,'Esecuzioni'!$A$8:$A$1007,A159,'Esecuzioni'!$B$8:$B$1007,_xlfn.MAXIFS('Esecuzioni'!$B$8:$B$1007,'Esecuzioni'!$A$8:$A$1007,A159)),IF(LEFT(U159,8)="FREEBET:",0,Z159)))</x:f>
      </x:c>
      <x:c r="AS159" s="48" t="str">
        <x:f>IF(OR(A159="",E159=""),"",IF(COUNTIFS($E$8:E159,E159)=1,COUNT($AS$7:AS158)+1,""))</x:f>
      </x:c>
    </x:row>
    <x:row r="160" ht="22" customHeight="1">
      <x:c r="A160" s="7"/>
      <x:c r="B160" s="19"/>
      <x:c r="C160" s="19"/>
      <x:c r="D160" s="7"/>
      <x:c r="E160" s="7"/>
      <x:c r="F160" s="7"/>
      <x:c r="G160" s="7"/>
      <x:c r="H160" s="7"/>
      <x:c r="I160" s="7"/>
      <x:c r="J160" s="7"/>
      <x:c r="K160" s="10"/>
      <x:c r="L160" s="7"/>
      <x:c r="M160" s="10"/>
      <x:c r="N160" s="7"/>
      <x:c r="O160" s="8"/>
      <x:c r="P160" s="8"/>
      <x:c r="Q160" s="8"/>
      <x:c r="R160" s="9"/>
      <x:c r="S160" s="7"/>
      <x:c r="T160" s="7"/>
      <x:c r="U160" s="7"/>
      <x:c r="V160" s="7"/>
      <x:c r="W160" s="22" t="str">
        <x:f>IF(A160="","",COUNTIFS('Esecuzioni'!$A$8:$A$1007,A160,'Esecuzioni'!$Q$8:$Q$1007,"OK"))</x:f>
      </x:c>
      <x:c r="X160" s="20" t="str">
        <x:f>IF(OR(A160="",I160&lt;&gt;"Esecuzioni",W160=0),"",SUMIFS('Esecuzioni'!$L$8:$L$1007,'Esecuzioni'!$A$8:$A$1007,A160))</x:f>
      </x:c>
      <x:c r="Y160" s="20" t="str">
        <x:f>IF(OR(A160="",I160&lt;&gt;"Esecuzioni",W160=0),"",SUMIFS('Esecuzioni'!$M$8:$M$1007,'Esecuzioni'!$A$8:$A$1007,A160))</x:f>
      </x:c>
      <x:c r="Z160" s="20" t="str">
        <x:f>IF(A160="","",IF(J160="Annullato",0,IF(ISNUMBER(O160),O160,IF(AND(I160="Esecuzioni",W160&gt;0),_xlfn.MAXIFS('Esecuzioni'!$P$8:$P$1007,'Esecuzioni'!$A$8:$A$1007,A160),""))))</x:f>
      </x:c>
      <x:c r="AA160" s="20" t="str">
        <x:f>IF(OR(A160="",J160="Aperto"),"",IF(J160="Annullato",0,IF(I160="Lordo manuale",IF(ISNUMBER(P160),P160,""),IF(I160="Netto manuale",IF(AND(ISNUMBER(P160),ISNUMBER(Q160)),P160+Q160,""),IF(OR(W160=0,COUNTIFS('Esecuzioni'!$A$8:$A$1007,A160,'Esecuzioni'!$Q$8:$Q$1007,"&lt;&gt;OK")&gt;0),"",IF(S160="Vince",X160,IF(S160="Perde",Y160,IF(AND(S160="Coperto",ABS(X160-Y160)&lt;='Impostazioni'!$B$11),ROUND((X160+Y160)/2,2),""))))))))</x:f>
      </x:c>
      <x:c r="AB160" s="20" t="str">
        <x:f>IF(NOT(ISNUMBER(AA160)),"",IF(J160="Annullato",0,IF(ISNUMBER(Q160),Q160,ROUND(MAX(0,AA160)*IF(ISNUMBER(R160),R160,'Impostazioni'!$B$8),2))))</x:f>
      </x:c>
      <x:c r="AC160" s="20" t="str">
        <x:f>IF(AND(ISNUMBER(AA160),ISNUMBER(AB160)),ROUND(AA160-AB160,2),"")</x:f>
      </x:c>
      <x:c r="AD160" s="18" t="str">
        <x:f>IF(A160="","",IF(AQ160&lt;&gt;"OK","Incompleto",IF(J160="Aperto","Aperto",IF(J160="Annullato","Annullato",IF(AC160&gt;0,"Green",IF(AC160&lt;0,"Red","Flat"))))))</x:f>
      </x:c>
      <x:c r="AE160" s="21" t="str">
        <x:f>IF(AND(AH160=1,Z160&gt;0),AC160/Z160,"")</x:f>
      </x:c>
      <x:c r="AF160" s="22" t="str">
        <x:f>IF(AH160&lt;&gt;1,"",COUNTIFS($C$8:$C$507,"&lt;"&amp;C160,$AH$8:$AH$507,1)+COUNTIFS($C$8:$C$507,C160,$A$8:$A$507,"&lt;="&amp;A160,$AH$8:$AH$507,1))</x:f>
      </x:c>
      <x:c r="AG160" s="20" t="str">
        <x:f>IF(AH160&lt;&gt;1,"",SUMIFS($AC$8:$AC$507,$C$8:$C$507,"&lt;"&amp;C160,$AH$8:$AH$507,1)+SUMIFS($AC$8:$AC$507,$C$8:$C$507,C160,$A$8:$A$507,"&lt;="&amp;A160,$AH$8:$AH$507,1))</x:f>
      </x:c>
      <x:c r="AH160" s="22" t="str">
        <x:f>IF(A160="","",IF(AND(J160="Chiuso",AQ160="OK",ISNUMBER(AC160)),1,0))</x:f>
      </x:c>
      <x:c r="AI160" s="20" t="str">
        <x:f>IF(AH160&lt;&gt;1,"",MAX(0,_xlfn.MAXIFS($AG$8:$AG$507,$AF$8:$AF$507,"&lt;="&amp;AF160,$AH$8:$AH$507,1)))</x:f>
      </x:c>
      <x:c r="AJ160" s="20" t="str">
        <x:f>IF(AH160&lt;&gt;1,"",MAX(0,AI160-AG160))</x:f>
      </x:c>
      <x:c r="AK160" s="21" t="str">
        <x:f>IF(OR(AH160&lt;&gt;1,NOT(ISNUMBER('Impostazioni'!$B$6)),'Impostazioni'!$B$6+AI160&lt;=0),"",AJ160/('Impostazioni'!$B$6+AI160))</x:f>
      </x:c>
      <x:c r="AL160" s="22" t="str">
        <x:f>IF(AH160&lt;&gt;1,"",IF(AC160&gt;0,AF160-_xlfn.MAXIFS($AF$8:$AF$507,$AF$8:$AF$507,"&lt;="&amp;AF160,$AC$8:$AC$507,"&lt;=0",$AH$8:$AH$507,1),0))</x:f>
      </x:c>
      <x:c r="AM160" s="22" t="str">
        <x:f>IF(AH160&lt;&gt;1,"",IF(AC160&lt;0,AF160-_xlfn.MAXIFS($AF$8:$AF$507,$AF$8:$AF$507,"&lt;="&amp;AF160,$AC$8:$AC$507,"&gt;=0",$AH$8:$AH$507,1),0))</x:f>
      </x:c>
      <x:c r="AN160" s="20" t="str">
        <x:f>IF(OR(A160="",NOT(ISNUMBER(B160)),NOT(ISNUMBER('Impostazioni'!$B$6))),"",'Impostazioni'!$B$6+SUMIFS($AC$8:$AC$507,$C$8:$C$507,"&lt;"&amp;B160,$AH$8:$AH$507,1)+SUMIFS('Cassa'!$F$8:$F$307,'Cassa'!$A$8:$A$307,"&lt;="&amp;B160,'Cassa'!$G$8:$G$307,"OK"))</x:f>
      </x:c>
      <x:c r="AO160" s="21" t="str">
        <x:f>IF(AND(ISNUMBER(Z160),ISNUMBER(AN160),AN160&gt;0),Z160/AN160,"")</x:f>
      </x:c>
      <x:c r="AP160" s="18" t="str">
        <x:f>IF(NOT(ISNUMBER(AO160)),"",IF(AO160&gt;'Impostazioni'!$B$7,"Oltre soglia personale","Nella soglia personale"))</x:f>
      </x:c>
      <x:c r="AQ160" s="18" t="str">
        <x:f>IF(A160="",IF(COUNTA(B160:V160)=0,"","Inserisci ID"),IF(COUNTIFS($A$8:$A$507,A160)&lt;&gt;1,"ID duplicato",IF(OR(NOT(ISNUMBER(B160)),D160="",E160="",F160="",G160="",H160="",COUNTIFS('Impostazioni'!$J$6:$J$25,F160)&lt;&gt;1),"Completa dati / elenchi",IF(OR(AND(I160&lt;&gt;"Lordo manuale",I160&lt;&gt;"Netto manuale",I160&lt;&gt;"Esecuzioni"),AND(J160&lt;&gt;"Aperto",J160&lt;&gt;"Chiuso",J160&lt;&gt;"Annullato")),"Modalità / stato mancanti",IF(AND(J160&lt;&gt;"Aperto",OR(NOT(ISNUMBER(C160)),C160&lt;B160)),"Correggi data chiusura",IF(OR(AND(Q160&lt;&gt;"",OR(NOT(ISNUMBER(Q160)),Q160&lt;0)),AND(R160&lt;&gt;"",OR(NOT(ISNUMBER(R160)),R160&lt;0,R160&gt;1))),"Commissione non valida",IF(J160="Annullato","OK",IF(OR(NOT(ISNUMBER(Z160)),Z160&lt;0,AND(O160&lt;&gt;"",NOT(ISNUMBER(O160)))),"Inserisci rischio",IF(AND(I160="Esecuzioni",OR(W160=0,COUNTIFS('Esecuzioni'!$A$8:$A$1007,A160,'Esecuzioni'!$Q$8:$Q$1007,"&lt;&gt;OK")&gt;0)),"Correggi esecuzioni",IF(J160="Aperto","OK",IF(AND(I160="Esecuzioni",S160="Coperto",ABS(X160-Y160)&gt;'Impostazioni'!$B$11),"Copertura residua",IF(NOT(ISNUMBER(AC160)),"Completa risultato / esito",IF(AND(Z160=0,AC160&lt;&gt;0),"Rischio nullo con P/L","OK")))))))))))))</x:f>
      </x:c>
      <x:c r="AR160" s="20" t="str">
        <x:f>IF(OR(A160="",J160&lt;&gt;"Aperto",AQ160&lt;&gt;"OK"),"",IF(I160="Esecuzioni",SUMIFS('Esecuzioni'!$P$8:$P$1007,'Esecuzioni'!$A$8:$A$1007,A160,'Esecuzioni'!$B$8:$B$1007,_xlfn.MAXIFS('Esecuzioni'!$B$8:$B$1007,'Esecuzioni'!$A$8:$A$1007,A160)),IF(LEFT(U160,8)="FREEBET:",0,Z160)))</x:f>
      </x:c>
      <x:c r="AS160" s="48" t="str">
        <x:f>IF(OR(A160="",E160=""),"",IF(COUNTIFS($E$8:E160,E160)=1,COUNT($AS$7:AS159)+1,""))</x:f>
      </x:c>
    </x:row>
    <x:row r="161" ht="22" customHeight="1">
      <x:c r="A161" s="7"/>
      <x:c r="B161" s="19"/>
      <x:c r="C161" s="19"/>
      <x:c r="D161" s="7"/>
      <x:c r="E161" s="7"/>
      <x:c r="F161" s="7"/>
      <x:c r="G161" s="7"/>
      <x:c r="H161" s="7"/>
      <x:c r="I161" s="7"/>
      <x:c r="J161" s="7"/>
      <x:c r="K161" s="10"/>
      <x:c r="L161" s="7"/>
      <x:c r="M161" s="10"/>
      <x:c r="N161" s="7"/>
      <x:c r="O161" s="8"/>
      <x:c r="P161" s="8"/>
      <x:c r="Q161" s="8"/>
      <x:c r="R161" s="9"/>
      <x:c r="S161" s="7"/>
      <x:c r="T161" s="7"/>
      <x:c r="U161" s="7"/>
      <x:c r="V161" s="7"/>
      <x:c r="W161" s="22" t="str">
        <x:f>IF(A161="","",COUNTIFS('Esecuzioni'!$A$8:$A$1007,A161,'Esecuzioni'!$Q$8:$Q$1007,"OK"))</x:f>
      </x:c>
      <x:c r="X161" s="20" t="str">
        <x:f>IF(OR(A161="",I161&lt;&gt;"Esecuzioni",W161=0),"",SUMIFS('Esecuzioni'!$L$8:$L$1007,'Esecuzioni'!$A$8:$A$1007,A161))</x:f>
      </x:c>
      <x:c r="Y161" s="20" t="str">
        <x:f>IF(OR(A161="",I161&lt;&gt;"Esecuzioni",W161=0),"",SUMIFS('Esecuzioni'!$M$8:$M$1007,'Esecuzioni'!$A$8:$A$1007,A161))</x:f>
      </x:c>
      <x:c r="Z161" s="20" t="str">
        <x:f>IF(A161="","",IF(J161="Annullato",0,IF(ISNUMBER(O161),O161,IF(AND(I161="Esecuzioni",W161&gt;0),_xlfn.MAXIFS('Esecuzioni'!$P$8:$P$1007,'Esecuzioni'!$A$8:$A$1007,A161),""))))</x:f>
      </x:c>
      <x:c r="AA161" s="20" t="str">
        <x:f>IF(OR(A161="",J161="Aperto"),"",IF(J161="Annullato",0,IF(I161="Lordo manuale",IF(ISNUMBER(P161),P161,""),IF(I161="Netto manuale",IF(AND(ISNUMBER(P161),ISNUMBER(Q161)),P161+Q161,""),IF(OR(W161=0,COUNTIFS('Esecuzioni'!$A$8:$A$1007,A161,'Esecuzioni'!$Q$8:$Q$1007,"&lt;&gt;OK")&gt;0),"",IF(S161="Vince",X161,IF(S161="Perde",Y161,IF(AND(S161="Coperto",ABS(X161-Y161)&lt;='Impostazioni'!$B$11),ROUND((X161+Y161)/2,2),""))))))))</x:f>
      </x:c>
      <x:c r="AB161" s="20" t="str">
        <x:f>IF(NOT(ISNUMBER(AA161)),"",IF(J161="Annullato",0,IF(ISNUMBER(Q161),Q161,ROUND(MAX(0,AA161)*IF(ISNUMBER(R161),R161,'Impostazioni'!$B$8),2))))</x:f>
      </x:c>
      <x:c r="AC161" s="20" t="str">
        <x:f>IF(AND(ISNUMBER(AA161),ISNUMBER(AB161)),ROUND(AA161-AB161,2),"")</x:f>
      </x:c>
      <x:c r="AD161" s="18" t="str">
        <x:f>IF(A161="","",IF(AQ161&lt;&gt;"OK","Incompleto",IF(J161="Aperto","Aperto",IF(J161="Annullato","Annullato",IF(AC161&gt;0,"Green",IF(AC161&lt;0,"Red","Flat"))))))</x:f>
      </x:c>
      <x:c r="AE161" s="21" t="str">
        <x:f>IF(AND(AH161=1,Z161&gt;0),AC161/Z161,"")</x:f>
      </x:c>
      <x:c r="AF161" s="22" t="str">
        <x:f>IF(AH161&lt;&gt;1,"",COUNTIFS($C$8:$C$507,"&lt;"&amp;C161,$AH$8:$AH$507,1)+COUNTIFS($C$8:$C$507,C161,$A$8:$A$507,"&lt;="&amp;A161,$AH$8:$AH$507,1))</x:f>
      </x:c>
      <x:c r="AG161" s="20" t="str">
        <x:f>IF(AH161&lt;&gt;1,"",SUMIFS($AC$8:$AC$507,$C$8:$C$507,"&lt;"&amp;C161,$AH$8:$AH$507,1)+SUMIFS($AC$8:$AC$507,$C$8:$C$507,C161,$A$8:$A$507,"&lt;="&amp;A161,$AH$8:$AH$507,1))</x:f>
      </x:c>
      <x:c r="AH161" s="22" t="str">
        <x:f>IF(A161="","",IF(AND(J161="Chiuso",AQ161="OK",ISNUMBER(AC161)),1,0))</x:f>
      </x:c>
      <x:c r="AI161" s="20" t="str">
        <x:f>IF(AH161&lt;&gt;1,"",MAX(0,_xlfn.MAXIFS($AG$8:$AG$507,$AF$8:$AF$507,"&lt;="&amp;AF161,$AH$8:$AH$507,1)))</x:f>
      </x:c>
      <x:c r="AJ161" s="20" t="str">
        <x:f>IF(AH161&lt;&gt;1,"",MAX(0,AI161-AG161))</x:f>
      </x:c>
      <x:c r="AK161" s="21" t="str">
        <x:f>IF(OR(AH161&lt;&gt;1,NOT(ISNUMBER('Impostazioni'!$B$6)),'Impostazioni'!$B$6+AI161&lt;=0),"",AJ161/('Impostazioni'!$B$6+AI161))</x:f>
      </x:c>
      <x:c r="AL161" s="22" t="str">
        <x:f>IF(AH161&lt;&gt;1,"",IF(AC161&gt;0,AF161-_xlfn.MAXIFS($AF$8:$AF$507,$AF$8:$AF$507,"&lt;="&amp;AF161,$AC$8:$AC$507,"&lt;=0",$AH$8:$AH$507,1),0))</x:f>
      </x:c>
      <x:c r="AM161" s="22" t="str">
        <x:f>IF(AH161&lt;&gt;1,"",IF(AC161&lt;0,AF161-_xlfn.MAXIFS($AF$8:$AF$507,$AF$8:$AF$507,"&lt;="&amp;AF161,$AC$8:$AC$507,"&gt;=0",$AH$8:$AH$507,1),0))</x:f>
      </x:c>
      <x:c r="AN161" s="20" t="str">
        <x:f>IF(OR(A161="",NOT(ISNUMBER(B161)),NOT(ISNUMBER('Impostazioni'!$B$6))),"",'Impostazioni'!$B$6+SUMIFS($AC$8:$AC$507,$C$8:$C$507,"&lt;"&amp;B161,$AH$8:$AH$507,1)+SUMIFS('Cassa'!$F$8:$F$307,'Cassa'!$A$8:$A$307,"&lt;="&amp;B161,'Cassa'!$G$8:$G$307,"OK"))</x:f>
      </x:c>
      <x:c r="AO161" s="21" t="str">
        <x:f>IF(AND(ISNUMBER(Z161),ISNUMBER(AN161),AN161&gt;0),Z161/AN161,"")</x:f>
      </x:c>
      <x:c r="AP161" s="18" t="str">
        <x:f>IF(NOT(ISNUMBER(AO161)),"",IF(AO161&gt;'Impostazioni'!$B$7,"Oltre soglia personale","Nella soglia personale"))</x:f>
      </x:c>
      <x:c r="AQ161" s="18" t="str">
        <x:f>IF(A161="",IF(COUNTA(B161:V161)=0,"","Inserisci ID"),IF(COUNTIFS($A$8:$A$507,A161)&lt;&gt;1,"ID duplicato",IF(OR(NOT(ISNUMBER(B161)),D161="",E161="",F161="",G161="",H161="",COUNTIFS('Impostazioni'!$J$6:$J$25,F161)&lt;&gt;1),"Completa dati / elenchi",IF(OR(AND(I161&lt;&gt;"Lordo manuale",I161&lt;&gt;"Netto manuale",I161&lt;&gt;"Esecuzioni"),AND(J161&lt;&gt;"Aperto",J161&lt;&gt;"Chiuso",J161&lt;&gt;"Annullato")),"Modalità / stato mancanti",IF(AND(J161&lt;&gt;"Aperto",OR(NOT(ISNUMBER(C161)),C161&lt;B161)),"Correggi data chiusura",IF(OR(AND(Q161&lt;&gt;"",OR(NOT(ISNUMBER(Q161)),Q161&lt;0)),AND(R161&lt;&gt;"",OR(NOT(ISNUMBER(R161)),R161&lt;0,R161&gt;1))),"Commissione non valida",IF(J161="Annullato","OK",IF(OR(NOT(ISNUMBER(Z161)),Z161&lt;0,AND(O161&lt;&gt;"",NOT(ISNUMBER(O161)))),"Inserisci rischio",IF(AND(I161="Esecuzioni",OR(W161=0,COUNTIFS('Esecuzioni'!$A$8:$A$1007,A161,'Esecuzioni'!$Q$8:$Q$1007,"&lt;&gt;OK")&gt;0)),"Correggi esecuzioni",IF(J161="Aperto","OK",IF(AND(I161="Esecuzioni",S161="Coperto",ABS(X161-Y161)&gt;'Impostazioni'!$B$11),"Copertura residua",IF(NOT(ISNUMBER(AC161)),"Completa risultato / esito",IF(AND(Z161=0,AC161&lt;&gt;0),"Rischio nullo con P/L","OK")))))))))))))</x:f>
      </x:c>
      <x:c r="AR161" s="20" t="str">
        <x:f>IF(OR(A161="",J161&lt;&gt;"Aperto",AQ161&lt;&gt;"OK"),"",IF(I161="Esecuzioni",SUMIFS('Esecuzioni'!$P$8:$P$1007,'Esecuzioni'!$A$8:$A$1007,A161,'Esecuzioni'!$B$8:$B$1007,_xlfn.MAXIFS('Esecuzioni'!$B$8:$B$1007,'Esecuzioni'!$A$8:$A$1007,A161)),IF(LEFT(U161,8)="FREEBET:",0,Z161)))</x:f>
      </x:c>
      <x:c r="AS161" s="48" t="str">
        <x:f>IF(OR(A161="",E161=""),"",IF(COUNTIFS($E$8:E161,E161)=1,COUNT($AS$7:AS160)+1,""))</x:f>
      </x:c>
    </x:row>
    <x:row r="162" ht="22" customHeight="1">
      <x:c r="A162" s="7"/>
      <x:c r="B162" s="19"/>
      <x:c r="C162" s="19"/>
      <x:c r="D162" s="7"/>
      <x:c r="E162" s="7"/>
      <x:c r="F162" s="7"/>
      <x:c r="G162" s="7"/>
      <x:c r="H162" s="7"/>
      <x:c r="I162" s="7"/>
      <x:c r="J162" s="7"/>
      <x:c r="K162" s="10"/>
      <x:c r="L162" s="7"/>
      <x:c r="M162" s="10"/>
      <x:c r="N162" s="7"/>
      <x:c r="O162" s="8"/>
      <x:c r="P162" s="8"/>
      <x:c r="Q162" s="8"/>
      <x:c r="R162" s="9"/>
      <x:c r="S162" s="7"/>
      <x:c r="T162" s="7"/>
      <x:c r="U162" s="7"/>
      <x:c r="V162" s="7"/>
      <x:c r="W162" s="22" t="str">
        <x:f>IF(A162="","",COUNTIFS('Esecuzioni'!$A$8:$A$1007,A162,'Esecuzioni'!$Q$8:$Q$1007,"OK"))</x:f>
      </x:c>
      <x:c r="X162" s="20" t="str">
        <x:f>IF(OR(A162="",I162&lt;&gt;"Esecuzioni",W162=0),"",SUMIFS('Esecuzioni'!$L$8:$L$1007,'Esecuzioni'!$A$8:$A$1007,A162))</x:f>
      </x:c>
      <x:c r="Y162" s="20" t="str">
        <x:f>IF(OR(A162="",I162&lt;&gt;"Esecuzioni",W162=0),"",SUMIFS('Esecuzioni'!$M$8:$M$1007,'Esecuzioni'!$A$8:$A$1007,A162))</x:f>
      </x:c>
      <x:c r="Z162" s="20" t="str">
        <x:f>IF(A162="","",IF(J162="Annullato",0,IF(ISNUMBER(O162),O162,IF(AND(I162="Esecuzioni",W162&gt;0),_xlfn.MAXIFS('Esecuzioni'!$P$8:$P$1007,'Esecuzioni'!$A$8:$A$1007,A162),""))))</x:f>
      </x:c>
      <x:c r="AA162" s="20" t="str">
        <x:f>IF(OR(A162="",J162="Aperto"),"",IF(J162="Annullato",0,IF(I162="Lordo manuale",IF(ISNUMBER(P162),P162,""),IF(I162="Netto manuale",IF(AND(ISNUMBER(P162),ISNUMBER(Q162)),P162+Q162,""),IF(OR(W162=0,COUNTIFS('Esecuzioni'!$A$8:$A$1007,A162,'Esecuzioni'!$Q$8:$Q$1007,"&lt;&gt;OK")&gt;0),"",IF(S162="Vince",X162,IF(S162="Perde",Y162,IF(AND(S162="Coperto",ABS(X162-Y162)&lt;='Impostazioni'!$B$11),ROUND((X162+Y162)/2,2),""))))))))</x:f>
      </x:c>
      <x:c r="AB162" s="20" t="str">
        <x:f>IF(NOT(ISNUMBER(AA162)),"",IF(J162="Annullato",0,IF(ISNUMBER(Q162),Q162,ROUND(MAX(0,AA162)*IF(ISNUMBER(R162),R162,'Impostazioni'!$B$8),2))))</x:f>
      </x:c>
      <x:c r="AC162" s="20" t="str">
        <x:f>IF(AND(ISNUMBER(AA162),ISNUMBER(AB162)),ROUND(AA162-AB162,2),"")</x:f>
      </x:c>
      <x:c r="AD162" s="18" t="str">
        <x:f>IF(A162="","",IF(AQ162&lt;&gt;"OK","Incompleto",IF(J162="Aperto","Aperto",IF(J162="Annullato","Annullato",IF(AC162&gt;0,"Green",IF(AC162&lt;0,"Red","Flat"))))))</x:f>
      </x:c>
      <x:c r="AE162" s="21" t="str">
        <x:f>IF(AND(AH162=1,Z162&gt;0),AC162/Z162,"")</x:f>
      </x:c>
      <x:c r="AF162" s="22" t="str">
        <x:f>IF(AH162&lt;&gt;1,"",COUNTIFS($C$8:$C$507,"&lt;"&amp;C162,$AH$8:$AH$507,1)+COUNTIFS($C$8:$C$507,C162,$A$8:$A$507,"&lt;="&amp;A162,$AH$8:$AH$507,1))</x:f>
      </x:c>
      <x:c r="AG162" s="20" t="str">
        <x:f>IF(AH162&lt;&gt;1,"",SUMIFS($AC$8:$AC$507,$C$8:$C$507,"&lt;"&amp;C162,$AH$8:$AH$507,1)+SUMIFS($AC$8:$AC$507,$C$8:$C$507,C162,$A$8:$A$507,"&lt;="&amp;A162,$AH$8:$AH$507,1))</x:f>
      </x:c>
      <x:c r="AH162" s="22" t="str">
        <x:f>IF(A162="","",IF(AND(J162="Chiuso",AQ162="OK",ISNUMBER(AC162)),1,0))</x:f>
      </x:c>
      <x:c r="AI162" s="20" t="str">
        <x:f>IF(AH162&lt;&gt;1,"",MAX(0,_xlfn.MAXIFS($AG$8:$AG$507,$AF$8:$AF$507,"&lt;="&amp;AF162,$AH$8:$AH$507,1)))</x:f>
      </x:c>
      <x:c r="AJ162" s="20" t="str">
        <x:f>IF(AH162&lt;&gt;1,"",MAX(0,AI162-AG162))</x:f>
      </x:c>
      <x:c r="AK162" s="21" t="str">
        <x:f>IF(OR(AH162&lt;&gt;1,NOT(ISNUMBER('Impostazioni'!$B$6)),'Impostazioni'!$B$6+AI162&lt;=0),"",AJ162/('Impostazioni'!$B$6+AI162))</x:f>
      </x:c>
      <x:c r="AL162" s="22" t="str">
        <x:f>IF(AH162&lt;&gt;1,"",IF(AC162&gt;0,AF162-_xlfn.MAXIFS($AF$8:$AF$507,$AF$8:$AF$507,"&lt;="&amp;AF162,$AC$8:$AC$507,"&lt;=0",$AH$8:$AH$507,1),0))</x:f>
      </x:c>
      <x:c r="AM162" s="22" t="str">
        <x:f>IF(AH162&lt;&gt;1,"",IF(AC162&lt;0,AF162-_xlfn.MAXIFS($AF$8:$AF$507,$AF$8:$AF$507,"&lt;="&amp;AF162,$AC$8:$AC$507,"&gt;=0",$AH$8:$AH$507,1),0))</x:f>
      </x:c>
      <x:c r="AN162" s="20" t="str">
        <x:f>IF(OR(A162="",NOT(ISNUMBER(B162)),NOT(ISNUMBER('Impostazioni'!$B$6))),"",'Impostazioni'!$B$6+SUMIFS($AC$8:$AC$507,$C$8:$C$507,"&lt;"&amp;B162,$AH$8:$AH$507,1)+SUMIFS('Cassa'!$F$8:$F$307,'Cassa'!$A$8:$A$307,"&lt;="&amp;B162,'Cassa'!$G$8:$G$307,"OK"))</x:f>
      </x:c>
      <x:c r="AO162" s="21" t="str">
        <x:f>IF(AND(ISNUMBER(Z162),ISNUMBER(AN162),AN162&gt;0),Z162/AN162,"")</x:f>
      </x:c>
      <x:c r="AP162" s="18" t="str">
        <x:f>IF(NOT(ISNUMBER(AO162)),"",IF(AO162&gt;'Impostazioni'!$B$7,"Oltre soglia personale","Nella soglia personale"))</x:f>
      </x:c>
      <x:c r="AQ162" s="18" t="str">
        <x:f>IF(A162="",IF(COUNTA(B162:V162)=0,"","Inserisci ID"),IF(COUNTIFS($A$8:$A$507,A162)&lt;&gt;1,"ID duplicato",IF(OR(NOT(ISNUMBER(B162)),D162="",E162="",F162="",G162="",H162="",COUNTIFS('Impostazioni'!$J$6:$J$25,F162)&lt;&gt;1),"Completa dati / elenchi",IF(OR(AND(I162&lt;&gt;"Lordo manuale",I162&lt;&gt;"Netto manuale",I162&lt;&gt;"Esecuzioni"),AND(J162&lt;&gt;"Aperto",J162&lt;&gt;"Chiuso",J162&lt;&gt;"Annullato")),"Modalità / stato mancanti",IF(AND(J162&lt;&gt;"Aperto",OR(NOT(ISNUMBER(C162)),C162&lt;B162)),"Correggi data chiusura",IF(OR(AND(Q162&lt;&gt;"",OR(NOT(ISNUMBER(Q162)),Q162&lt;0)),AND(R162&lt;&gt;"",OR(NOT(ISNUMBER(R162)),R162&lt;0,R162&gt;1))),"Commissione non valida",IF(J162="Annullato","OK",IF(OR(NOT(ISNUMBER(Z162)),Z162&lt;0,AND(O162&lt;&gt;"",NOT(ISNUMBER(O162)))),"Inserisci rischio",IF(AND(I162="Esecuzioni",OR(W162=0,COUNTIFS('Esecuzioni'!$A$8:$A$1007,A162,'Esecuzioni'!$Q$8:$Q$1007,"&lt;&gt;OK")&gt;0)),"Correggi esecuzioni",IF(J162="Aperto","OK",IF(AND(I162="Esecuzioni",S162="Coperto",ABS(X162-Y162)&gt;'Impostazioni'!$B$11),"Copertura residua",IF(NOT(ISNUMBER(AC162)),"Completa risultato / esito",IF(AND(Z162=0,AC162&lt;&gt;0),"Rischio nullo con P/L","OK")))))))))))))</x:f>
      </x:c>
      <x:c r="AR162" s="20" t="str">
        <x:f>IF(OR(A162="",J162&lt;&gt;"Aperto",AQ162&lt;&gt;"OK"),"",IF(I162="Esecuzioni",SUMIFS('Esecuzioni'!$P$8:$P$1007,'Esecuzioni'!$A$8:$A$1007,A162,'Esecuzioni'!$B$8:$B$1007,_xlfn.MAXIFS('Esecuzioni'!$B$8:$B$1007,'Esecuzioni'!$A$8:$A$1007,A162)),IF(LEFT(U162,8)="FREEBET:",0,Z162)))</x:f>
      </x:c>
      <x:c r="AS162" s="48" t="str">
        <x:f>IF(OR(A162="",E162=""),"",IF(COUNTIFS($E$8:E162,E162)=1,COUNT($AS$7:AS161)+1,""))</x:f>
      </x:c>
    </x:row>
    <x:row r="163" ht="22" customHeight="1">
      <x:c r="A163" s="7"/>
      <x:c r="B163" s="19"/>
      <x:c r="C163" s="19"/>
      <x:c r="D163" s="7"/>
      <x:c r="E163" s="7"/>
      <x:c r="F163" s="7"/>
      <x:c r="G163" s="7"/>
      <x:c r="H163" s="7"/>
      <x:c r="I163" s="7"/>
      <x:c r="J163" s="7"/>
      <x:c r="K163" s="10"/>
      <x:c r="L163" s="7"/>
      <x:c r="M163" s="10"/>
      <x:c r="N163" s="7"/>
      <x:c r="O163" s="8"/>
      <x:c r="P163" s="8"/>
      <x:c r="Q163" s="8"/>
      <x:c r="R163" s="9"/>
      <x:c r="S163" s="7"/>
      <x:c r="T163" s="7"/>
      <x:c r="U163" s="7"/>
      <x:c r="V163" s="7"/>
      <x:c r="W163" s="22" t="str">
        <x:f>IF(A163="","",COUNTIFS('Esecuzioni'!$A$8:$A$1007,A163,'Esecuzioni'!$Q$8:$Q$1007,"OK"))</x:f>
      </x:c>
      <x:c r="X163" s="20" t="str">
        <x:f>IF(OR(A163="",I163&lt;&gt;"Esecuzioni",W163=0),"",SUMIFS('Esecuzioni'!$L$8:$L$1007,'Esecuzioni'!$A$8:$A$1007,A163))</x:f>
      </x:c>
      <x:c r="Y163" s="20" t="str">
        <x:f>IF(OR(A163="",I163&lt;&gt;"Esecuzioni",W163=0),"",SUMIFS('Esecuzioni'!$M$8:$M$1007,'Esecuzioni'!$A$8:$A$1007,A163))</x:f>
      </x:c>
      <x:c r="Z163" s="20" t="str">
        <x:f>IF(A163="","",IF(J163="Annullato",0,IF(ISNUMBER(O163),O163,IF(AND(I163="Esecuzioni",W163&gt;0),_xlfn.MAXIFS('Esecuzioni'!$P$8:$P$1007,'Esecuzioni'!$A$8:$A$1007,A163),""))))</x:f>
      </x:c>
      <x:c r="AA163" s="20" t="str">
        <x:f>IF(OR(A163="",J163="Aperto"),"",IF(J163="Annullato",0,IF(I163="Lordo manuale",IF(ISNUMBER(P163),P163,""),IF(I163="Netto manuale",IF(AND(ISNUMBER(P163),ISNUMBER(Q163)),P163+Q163,""),IF(OR(W163=0,COUNTIFS('Esecuzioni'!$A$8:$A$1007,A163,'Esecuzioni'!$Q$8:$Q$1007,"&lt;&gt;OK")&gt;0),"",IF(S163="Vince",X163,IF(S163="Perde",Y163,IF(AND(S163="Coperto",ABS(X163-Y163)&lt;='Impostazioni'!$B$11),ROUND((X163+Y163)/2,2),""))))))))</x:f>
      </x:c>
      <x:c r="AB163" s="20" t="str">
        <x:f>IF(NOT(ISNUMBER(AA163)),"",IF(J163="Annullato",0,IF(ISNUMBER(Q163),Q163,ROUND(MAX(0,AA163)*IF(ISNUMBER(R163),R163,'Impostazioni'!$B$8),2))))</x:f>
      </x:c>
      <x:c r="AC163" s="20" t="str">
        <x:f>IF(AND(ISNUMBER(AA163),ISNUMBER(AB163)),ROUND(AA163-AB163,2),"")</x:f>
      </x:c>
      <x:c r="AD163" s="18" t="str">
        <x:f>IF(A163="","",IF(AQ163&lt;&gt;"OK","Incompleto",IF(J163="Aperto","Aperto",IF(J163="Annullato","Annullato",IF(AC163&gt;0,"Green",IF(AC163&lt;0,"Red","Flat"))))))</x:f>
      </x:c>
      <x:c r="AE163" s="21" t="str">
        <x:f>IF(AND(AH163=1,Z163&gt;0),AC163/Z163,"")</x:f>
      </x:c>
      <x:c r="AF163" s="22" t="str">
        <x:f>IF(AH163&lt;&gt;1,"",COUNTIFS($C$8:$C$507,"&lt;"&amp;C163,$AH$8:$AH$507,1)+COUNTIFS($C$8:$C$507,C163,$A$8:$A$507,"&lt;="&amp;A163,$AH$8:$AH$507,1))</x:f>
      </x:c>
      <x:c r="AG163" s="20" t="str">
        <x:f>IF(AH163&lt;&gt;1,"",SUMIFS($AC$8:$AC$507,$C$8:$C$507,"&lt;"&amp;C163,$AH$8:$AH$507,1)+SUMIFS($AC$8:$AC$507,$C$8:$C$507,C163,$A$8:$A$507,"&lt;="&amp;A163,$AH$8:$AH$507,1))</x:f>
      </x:c>
      <x:c r="AH163" s="22" t="str">
        <x:f>IF(A163="","",IF(AND(J163="Chiuso",AQ163="OK",ISNUMBER(AC163)),1,0))</x:f>
      </x:c>
      <x:c r="AI163" s="20" t="str">
        <x:f>IF(AH163&lt;&gt;1,"",MAX(0,_xlfn.MAXIFS($AG$8:$AG$507,$AF$8:$AF$507,"&lt;="&amp;AF163,$AH$8:$AH$507,1)))</x:f>
      </x:c>
      <x:c r="AJ163" s="20" t="str">
        <x:f>IF(AH163&lt;&gt;1,"",MAX(0,AI163-AG163))</x:f>
      </x:c>
      <x:c r="AK163" s="21" t="str">
        <x:f>IF(OR(AH163&lt;&gt;1,NOT(ISNUMBER('Impostazioni'!$B$6)),'Impostazioni'!$B$6+AI163&lt;=0),"",AJ163/('Impostazioni'!$B$6+AI163))</x:f>
      </x:c>
      <x:c r="AL163" s="22" t="str">
        <x:f>IF(AH163&lt;&gt;1,"",IF(AC163&gt;0,AF163-_xlfn.MAXIFS($AF$8:$AF$507,$AF$8:$AF$507,"&lt;="&amp;AF163,$AC$8:$AC$507,"&lt;=0",$AH$8:$AH$507,1),0))</x:f>
      </x:c>
      <x:c r="AM163" s="22" t="str">
        <x:f>IF(AH163&lt;&gt;1,"",IF(AC163&lt;0,AF163-_xlfn.MAXIFS($AF$8:$AF$507,$AF$8:$AF$507,"&lt;="&amp;AF163,$AC$8:$AC$507,"&gt;=0",$AH$8:$AH$507,1),0))</x:f>
      </x:c>
      <x:c r="AN163" s="20" t="str">
        <x:f>IF(OR(A163="",NOT(ISNUMBER(B163)),NOT(ISNUMBER('Impostazioni'!$B$6))),"",'Impostazioni'!$B$6+SUMIFS($AC$8:$AC$507,$C$8:$C$507,"&lt;"&amp;B163,$AH$8:$AH$507,1)+SUMIFS('Cassa'!$F$8:$F$307,'Cassa'!$A$8:$A$307,"&lt;="&amp;B163,'Cassa'!$G$8:$G$307,"OK"))</x:f>
      </x:c>
      <x:c r="AO163" s="21" t="str">
        <x:f>IF(AND(ISNUMBER(Z163),ISNUMBER(AN163),AN163&gt;0),Z163/AN163,"")</x:f>
      </x:c>
      <x:c r="AP163" s="18" t="str">
        <x:f>IF(NOT(ISNUMBER(AO163)),"",IF(AO163&gt;'Impostazioni'!$B$7,"Oltre soglia personale","Nella soglia personale"))</x:f>
      </x:c>
      <x:c r="AQ163" s="18" t="str">
        <x:f>IF(A163="",IF(COUNTA(B163:V163)=0,"","Inserisci ID"),IF(COUNTIFS($A$8:$A$507,A163)&lt;&gt;1,"ID duplicato",IF(OR(NOT(ISNUMBER(B163)),D163="",E163="",F163="",G163="",H163="",COUNTIFS('Impostazioni'!$J$6:$J$25,F163)&lt;&gt;1),"Completa dati / elenchi",IF(OR(AND(I163&lt;&gt;"Lordo manuale",I163&lt;&gt;"Netto manuale",I163&lt;&gt;"Esecuzioni"),AND(J163&lt;&gt;"Aperto",J163&lt;&gt;"Chiuso",J163&lt;&gt;"Annullato")),"Modalità / stato mancanti",IF(AND(J163&lt;&gt;"Aperto",OR(NOT(ISNUMBER(C163)),C163&lt;B163)),"Correggi data chiusura",IF(OR(AND(Q163&lt;&gt;"",OR(NOT(ISNUMBER(Q163)),Q163&lt;0)),AND(R163&lt;&gt;"",OR(NOT(ISNUMBER(R163)),R163&lt;0,R163&gt;1))),"Commissione non valida",IF(J163="Annullato","OK",IF(OR(NOT(ISNUMBER(Z163)),Z163&lt;0,AND(O163&lt;&gt;"",NOT(ISNUMBER(O163)))),"Inserisci rischio",IF(AND(I163="Esecuzioni",OR(W163=0,COUNTIFS('Esecuzioni'!$A$8:$A$1007,A163,'Esecuzioni'!$Q$8:$Q$1007,"&lt;&gt;OK")&gt;0)),"Correggi esecuzioni",IF(J163="Aperto","OK",IF(AND(I163="Esecuzioni",S163="Coperto",ABS(X163-Y163)&gt;'Impostazioni'!$B$11),"Copertura residua",IF(NOT(ISNUMBER(AC163)),"Completa risultato / esito",IF(AND(Z163=0,AC163&lt;&gt;0),"Rischio nullo con P/L","OK")))))))))))))</x:f>
      </x:c>
      <x:c r="AR163" s="20" t="str">
        <x:f>IF(OR(A163="",J163&lt;&gt;"Aperto",AQ163&lt;&gt;"OK"),"",IF(I163="Esecuzioni",SUMIFS('Esecuzioni'!$P$8:$P$1007,'Esecuzioni'!$A$8:$A$1007,A163,'Esecuzioni'!$B$8:$B$1007,_xlfn.MAXIFS('Esecuzioni'!$B$8:$B$1007,'Esecuzioni'!$A$8:$A$1007,A163)),IF(LEFT(U163,8)="FREEBET:",0,Z163)))</x:f>
      </x:c>
      <x:c r="AS163" s="48" t="str">
        <x:f>IF(OR(A163="",E163=""),"",IF(COUNTIFS($E$8:E163,E163)=1,COUNT($AS$7:AS162)+1,""))</x:f>
      </x:c>
    </x:row>
    <x:row r="164" ht="22" customHeight="1">
      <x:c r="A164" s="7"/>
      <x:c r="B164" s="19"/>
      <x:c r="C164" s="19"/>
      <x:c r="D164" s="7"/>
      <x:c r="E164" s="7"/>
      <x:c r="F164" s="7"/>
      <x:c r="G164" s="7"/>
      <x:c r="H164" s="7"/>
      <x:c r="I164" s="7"/>
      <x:c r="J164" s="7"/>
      <x:c r="K164" s="10"/>
      <x:c r="L164" s="7"/>
      <x:c r="M164" s="10"/>
      <x:c r="N164" s="7"/>
      <x:c r="O164" s="8"/>
      <x:c r="P164" s="8"/>
      <x:c r="Q164" s="8"/>
      <x:c r="R164" s="9"/>
      <x:c r="S164" s="7"/>
      <x:c r="T164" s="7"/>
      <x:c r="U164" s="7"/>
      <x:c r="V164" s="7"/>
      <x:c r="W164" s="22" t="str">
        <x:f>IF(A164="","",COUNTIFS('Esecuzioni'!$A$8:$A$1007,A164,'Esecuzioni'!$Q$8:$Q$1007,"OK"))</x:f>
      </x:c>
      <x:c r="X164" s="20" t="str">
        <x:f>IF(OR(A164="",I164&lt;&gt;"Esecuzioni",W164=0),"",SUMIFS('Esecuzioni'!$L$8:$L$1007,'Esecuzioni'!$A$8:$A$1007,A164))</x:f>
      </x:c>
      <x:c r="Y164" s="20" t="str">
        <x:f>IF(OR(A164="",I164&lt;&gt;"Esecuzioni",W164=0),"",SUMIFS('Esecuzioni'!$M$8:$M$1007,'Esecuzioni'!$A$8:$A$1007,A164))</x:f>
      </x:c>
      <x:c r="Z164" s="20" t="str">
        <x:f>IF(A164="","",IF(J164="Annullato",0,IF(ISNUMBER(O164),O164,IF(AND(I164="Esecuzioni",W164&gt;0),_xlfn.MAXIFS('Esecuzioni'!$P$8:$P$1007,'Esecuzioni'!$A$8:$A$1007,A164),""))))</x:f>
      </x:c>
      <x:c r="AA164" s="20" t="str">
        <x:f>IF(OR(A164="",J164="Aperto"),"",IF(J164="Annullato",0,IF(I164="Lordo manuale",IF(ISNUMBER(P164),P164,""),IF(I164="Netto manuale",IF(AND(ISNUMBER(P164),ISNUMBER(Q164)),P164+Q164,""),IF(OR(W164=0,COUNTIFS('Esecuzioni'!$A$8:$A$1007,A164,'Esecuzioni'!$Q$8:$Q$1007,"&lt;&gt;OK")&gt;0),"",IF(S164="Vince",X164,IF(S164="Perde",Y164,IF(AND(S164="Coperto",ABS(X164-Y164)&lt;='Impostazioni'!$B$11),ROUND((X164+Y164)/2,2),""))))))))</x:f>
      </x:c>
      <x:c r="AB164" s="20" t="str">
        <x:f>IF(NOT(ISNUMBER(AA164)),"",IF(J164="Annullato",0,IF(ISNUMBER(Q164),Q164,ROUND(MAX(0,AA164)*IF(ISNUMBER(R164),R164,'Impostazioni'!$B$8),2))))</x:f>
      </x:c>
      <x:c r="AC164" s="20" t="str">
        <x:f>IF(AND(ISNUMBER(AA164),ISNUMBER(AB164)),ROUND(AA164-AB164,2),"")</x:f>
      </x:c>
      <x:c r="AD164" s="18" t="str">
        <x:f>IF(A164="","",IF(AQ164&lt;&gt;"OK","Incompleto",IF(J164="Aperto","Aperto",IF(J164="Annullato","Annullato",IF(AC164&gt;0,"Green",IF(AC164&lt;0,"Red","Flat"))))))</x:f>
      </x:c>
      <x:c r="AE164" s="21" t="str">
        <x:f>IF(AND(AH164=1,Z164&gt;0),AC164/Z164,"")</x:f>
      </x:c>
      <x:c r="AF164" s="22" t="str">
        <x:f>IF(AH164&lt;&gt;1,"",COUNTIFS($C$8:$C$507,"&lt;"&amp;C164,$AH$8:$AH$507,1)+COUNTIFS($C$8:$C$507,C164,$A$8:$A$507,"&lt;="&amp;A164,$AH$8:$AH$507,1))</x:f>
      </x:c>
      <x:c r="AG164" s="20" t="str">
        <x:f>IF(AH164&lt;&gt;1,"",SUMIFS($AC$8:$AC$507,$C$8:$C$507,"&lt;"&amp;C164,$AH$8:$AH$507,1)+SUMIFS($AC$8:$AC$507,$C$8:$C$507,C164,$A$8:$A$507,"&lt;="&amp;A164,$AH$8:$AH$507,1))</x:f>
      </x:c>
      <x:c r="AH164" s="22" t="str">
        <x:f>IF(A164="","",IF(AND(J164="Chiuso",AQ164="OK",ISNUMBER(AC164)),1,0))</x:f>
      </x:c>
      <x:c r="AI164" s="20" t="str">
        <x:f>IF(AH164&lt;&gt;1,"",MAX(0,_xlfn.MAXIFS($AG$8:$AG$507,$AF$8:$AF$507,"&lt;="&amp;AF164,$AH$8:$AH$507,1)))</x:f>
      </x:c>
      <x:c r="AJ164" s="20" t="str">
        <x:f>IF(AH164&lt;&gt;1,"",MAX(0,AI164-AG164))</x:f>
      </x:c>
      <x:c r="AK164" s="21" t="str">
        <x:f>IF(OR(AH164&lt;&gt;1,NOT(ISNUMBER('Impostazioni'!$B$6)),'Impostazioni'!$B$6+AI164&lt;=0),"",AJ164/('Impostazioni'!$B$6+AI164))</x:f>
      </x:c>
      <x:c r="AL164" s="22" t="str">
        <x:f>IF(AH164&lt;&gt;1,"",IF(AC164&gt;0,AF164-_xlfn.MAXIFS($AF$8:$AF$507,$AF$8:$AF$507,"&lt;="&amp;AF164,$AC$8:$AC$507,"&lt;=0",$AH$8:$AH$507,1),0))</x:f>
      </x:c>
      <x:c r="AM164" s="22" t="str">
        <x:f>IF(AH164&lt;&gt;1,"",IF(AC164&lt;0,AF164-_xlfn.MAXIFS($AF$8:$AF$507,$AF$8:$AF$507,"&lt;="&amp;AF164,$AC$8:$AC$507,"&gt;=0",$AH$8:$AH$507,1),0))</x:f>
      </x:c>
      <x:c r="AN164" s="20" t="str">
        <x:f>IF(OR(A164="",NOT(ISNUMBER(B164)),NOT(ISNUMBER('Impostazioni'!$B$6))),"",'Impostazioni'!$B$6+SUMIFS($AC$8:$AC$507,$C$8:$C$507,"&lt;"&amp;B164,$AH$8:$AH$507,1)+SUMIFS('Cassa'!$F$8:$F$307,'Cassa'!$A$8:$A$307,"&lt;="&amp;B164,'Cassa'!$G$8:$G$307,"OK"))</x:f>
      </x:c>
      <x:c r="AO164" s="21" t="str">
        <x:f>IF(AND(ISNUMBER(Z164),ISNUMBER(AN164),AN164&gt;0),Z164/AN164,"")</x:f>
      </x:c>
      <x:c r="AP164" s="18" t="str">
        <x:f>IF(NOT(ISNUMBER(AO164)),"",IF(AO164&gt;'Impostazioni'!$B$7,"Oltre soglia personale","Nella soglia personale"))</x:f>
      </x:c>
      <x:c r="AQ164" s="18" t="str">
        <x:f>IF(A164="",IF(COUNTA(B164:V164)=0,"","Inserisci ID"),IF(COUNTIFS($A$8:$A$507,A164)&lt;&gt;1,"ID duplicato",IF(OR(NOT(ISNUMBER(B164)),D164="",E164="",F164="",G164="",H164="",COUNTIFS('Impostazioni'!$J$6:$J$25,F164)&lt;&gt;1),"Completa dati / elenchi",IF(OR(AND(I164&lt;&gt;"Lordo manuale",I164&lt;&gt;"Netto manuale",I164&lt;&gt;"Esecuzioni"),AND(J164&lt;&gt;"Aperto",J164&lt;&gt;"Chiuso",J164&lt;&gt;"Annullato")),"Modalità / stato mancanti",IF(AND(J164&lt;&gt;"Aperto",OR(NOT(ISNUMBER(C164)),C164&lt;B164)),"Correggi data chiusura",IF(OR(AND(Q164&lt;&gt;"",OR(NOT(ISNUMBER(Q164)),Q164&lt;0)),AND(R164&lt;&gt;"",OR(NOT(ISNUMBER(R164)),R164&lt;0,R164&gt;1))),"Commissione non valida",IF(J164="Annullato","OK",IF(OR(NOT(ISNUMBER(Z164)),Z164&lt;0,AND(O164&lt;&gt;"",NOT(ISNUMBER(O164)))),"Inserisci rischio",IF(AND(I164="Esecuzioni",OR(W164=0,COUNTIFS('Esecuzioni'!$A$8:$A$1007,A164,'Esecuzioni'!$Q$8:$Q$1007,"&lt;&gt;OK")&gt;0)),"Correggi esecuzioni",IF(J164="Aperto","OK",IF(AND(I164="Esecuzioni",S164="Coperto",ABS(X164-Y164)&gt;'Impostazioni'!$B$11),"Copertura residua",IF(NOT(ISNUMBER(AC164)),"Completa risultato / esito",IF(AND(Z164=0,AC164&lt;&gt;0),"Rischio nullo con P/L","OK")))))))))))))</x:f>
      </x:c>
      <x:c r="AR164" s="20" t="str">
        <x:f>IF(OR(A164="",J164&lt;&gt;"Aperto",AQ164&lt;&gt;"OK"),"",IF(I164="Esecuzioni",SUMIFS('Esecuzioni'!$P$8:$P$1007,'Esecuzioni'!$A$8:$A$1007,A164,'Esecuzioni'!$B$8:$B$1007,_xlfn.MAXIFS('Esecuzioni'!$B$8:$B$1007,'Esecuzioni'!$A$8:$A$1007,A164)),IF(LEFT(U164,8)="FREEBET:",0,Z164)))</x:f>
      </x:c>
      <x:c r="AS164" s="48" t="str">
        <x:f>IF(OR(A164="",E164=""),"",IF(COUNTIFS($E$8:E164,E164)=1,COUNT($AS$7:AS163)+1,""))</x:f>
      </x:c>
    </x:row>
    <x:row r="165" ht="22" customHeight="1">
      <x:c r="A165" s="7"/>
      <x:c r="B165" s="19"/>
      <x:c r="C165" s="19"/>
      <x:c r="D165" s="7"/>
      <x:c r="E165" s="7"/>
      <x:c r="F165" s="7"/>
      <x:c r="G165" s="7"/>
      <x:c r="H165" s="7"/>
      <x:c r="I165" s="7"/>
      <x:c r="J165" s="7"/>
      <x:c r="K165" s="10"/>
      <x:c r="L165" s="7"/>
      <x:c r="M165" s="10"/>
      <x:c r="N165" s="7"/>
      <x:c r="O165" s="8"/>
      <x:c r="P165" s="8"/>
      <x:c r="Q165" s="8"/>
      <x:c r="R165" s="9"/>
      <x:c r="S165" s="7"/>
      <x:c r="T165" s="7"/>
      <x:c r="U165" s="7"/>
      <x:c r="V165" s="7"/>
      <x:c r="W165" s="22" t="str">
        <x:f>IF(A165="","",COUNTIFS('Esecuzioni'!$A$8:$A$1007,A165,'Esecuzioni'!$Q$8:$Q$1007,"OK"))</x:f>
      </x:c>
      <x:c r="X165" s="20" t="str">
        <x:f>IF(OR(A165="",I165&lt;&gt;"Esecuzioni",W165=0),"",SUMIFS('Esecuzioni'!$L$8:$L$1007,'Esecuzioni'!$A$8:$A$1007,A165))</x:f>
      </x:c>
      <x:c r="Y165" s="20" t="str">
        <x:f>IF(OR(A165="",I165&lt;&gt;"Esecuzioni",W165=0),"",SUMIFS('Esecuzioni'!$M$8:$M$1007,'Esecuzioni'!$A$8:$A$1007,A165))</x:f>
      </x:c>
      <x:c r="Z165" s="20" t="str">
        <x:f>IF(A165="","",IF(J165="Annullato",0,IF(ISNUMBER(O165),O165,IF(AND(I165="Esecuzioni",W165&gt;0),_xlfn.MAXIFS('Esecuzioni'!$P$8:$P$1007,'Esecuzioni'!$A$8:$A$1007,A165),""))))</x:f>
      </x:c>
      <x:c r="AA165" s="20" t="str">
        <x:f>IF(OR(A165="",J165="Aperto"),"",IF(J165="Annullato",0,IF(I165="Lordo manuale",IF(ISNUMBER(P165),P165,""),IF(I165="Netto manuale",IF(AND(ISNUMBER(P165),ISNUMBER(Q165)),P165+Q165,""),IF(OR(W165=0,COUNTIFS('Esecuzioni'!$A$8:$A$1007,A165,'Esecuzioni'!$Q$8:$Q$1007,"&lt;&gt;OK")&gt;0),"",IF(S165="Vince",X165,IF(S165="Perde",Y165,IF(AND(S165="Coperto",ABS(X165-Y165)&lt;='Impostazioni'!$B$11),ROUND((X165+Y165)/2,2),""))))))))</x:f>
      </x:c>
      <x:c r="AB165" s="20" t="str">
        <x:f>IF(NOT(ISNUMBER(AA165)),"",IF(J165="Annullato",0,IF(ISNUMBER(Q165),Q165,ROUND(MAX(0,AA165)*IF(ISNUMBER(R165),R165,'Impostazioni'!$B$8),2))))</x:f>
      </x:c>
      <x:c r="AC165" s="20" t="str">
        <x:f>IF(AND(ISNUMBER(AA165),ISNUMBER(AB165)),ROUND(AA165-AB165,2),"")</x:f>
      </x:c>
      <x:c r="AD165" s="18" t="str">
        <x:f>IF(A165="","",IF(AQ165&lt;&gt;"OK","Incompleto",IF(J165="Aperto","Aperto",IF(J165="Annullato","Annullato",IF(AC165&gt;0,"Green",IF(AC165&lt;0,"Red","Flat"))))))</x:f>
      </x:c>
      <x:c r="AE165" s="21" t="str">
        <x:f>IF(AND(AH165=1,Z165&gt;0),AC165/Z165,"")</x:f>
      </x:c>
      <x:c r="AF165" s="22" t="str">
        <x:f>IF(AH165&lt;&gt;1,"",COUNTIFS($C$8:$C$507,"&lt;"&amp;C165,$AH$8:$AH$507,1)+COUNTIFS($C$8:$C$507,C165,$A$8:$A$507,"&lt;="&amp;A165,$AH$8:$AH$507,1))</x:f>
      </x:c>
      <x:c r="AG165" s="20" t="str">
        <x:f>IF(AH165&lt;&gt;1,"",SUMIFS($AC$8:$AC$507,$C$8:$C$507,"&lt;"&amp;C165,$AH$8:$AH$507,1)+SUMIFS($AC$8:$AC$507,$C$8:$C$507,C165,$A$8:$A$507,"&lt;="&amp;A165,$AH$8:$AH$507,1))</x:f>
      </x:c>
      <x:c r="AH165" s="22" t="str">
        <x:f>IF(A165="","",IF(AND(J165="Chiuso",AQ165="OK",ISNUMBER(AC165)),1,0))</x:f>
      </x:c>
      <x:c r="AI165" s="20" t="str">
        <x:f>IF(AH165&lt;&gt;1,"",MAX(0,_xlfn.MAXIFS($AG$8:$AG$507,$AF$8:$AF$507,"&lt;="&amp;AF165,$AH$8:$AH$507,1)))</x:f>
      </x:c>
      <x:c r="AJ165" s="20" t="str">
        <x:f>IF(AH165&lt;&gt;1,"",MAX(0,AI165-AG165))</x:f>
      </x:c>
      <x:c r="AK165" s="21" t="str">
        <x:f>IF(OR(AH165&lt;&gt;1,NOT(ISNUMBER('Impostazioni'!$B$6)),'Impostazioni'!$B$6+AI165&lt;=0),"",AJ165/('Impostazioni'!$B$6+AI165))</x:f>
      </x:c>
      <x:c r="AL165" s="22" t="str">
        <x:f>IF(AH165&lt;&gt;1,"",IF(AC165&gt;0,AF165-_xlfn.MAXIFS($AF$8:$AF$507,$AF$8:$AF$507,"&lt;="&amp;AF165,$AC$8:$AC$507,"&lt;=0",$AH$8:$AH$507,1),0))</x:f>
      </x:c>
      <x:c r="AM165" s="22" t="str">
        <x:f>IF(AH165&lt;&gt;1,"",IF(AC165&lt;0,AF165-_xlfn.MAXIFS($AF$8:$AF$507,$AF$8:$AF$507,"&lt;="&amp;AF165,$AC$8:$AC$507,"&gt;=0",$AH$8:$AH$507,1),0))</x:f>
      </x:c>
      <x:c r="AN165" s="20" t="str">
        <x:f>IF(OR(A165="",NOT(ISNUMBER(B165)),NOT(ISNUMBER('Impostazioni'!$B$6))),"",'Impostazioni'!$B$6+SUMIFS($AC$8:$AC$507,$C$8:$C$507,"&lt;"&amp;B165,$AH$8:$AH$507,1)+SUMIFS('Cassa'!$F$8:$F$307,'Cassa'!$A$8:$A$307,"&lt;="&amp;B165,'Cassa'!$G$8:$G$307,"OK"))</x:f>
      </x:c>
      <x:c r="AO165" s="21" t="str">
        <x:f>IF(AND(ISNUMBER(Z165),ISNUMBER(AN165),AN165&gt;0),Z165/AN165,"")</x:f>
      </x:c>
      <x:c r="AP165" s="18" t="str">
        <x:f>IF(NOT(ISNUMBER(AO165)),"",IF(AO165&gt;'Impostazioni'!$B$7,"Oltre soglia personale","Nella soglia personale"))</x:f>
      </x:c>
      <x:c r="AQ165" s="18" t="str">
        <x:f>IF(A165="",IF(COUNTA(B165:V165)=0,"","Inserisci ID"),IF(COUNTIFS($A$8:$A$507,A165)&lt;&gt;1,"ID duplicato",IF(OR(NOT(ISNUMBER(B165)),D165="",E165="",F165="",G165="",H165="",COUNTIFS('Impostazioni'!$J$6:$J$25,F165)&lt;&gt;1),"Completa dati / elenchi",IF(OR(AND(I165&lt;&gt;"Lordo manuale",I165&lt;&gt;"Netto manuale",I165&lt;&gt;"Esecuzioni"),AND(J165&lt;&gt;"Aperto",J165&lt;&gt;"Chiuso",J165&lt;&gt;"Annullato")),"Modalità / stato mancanti",IF(AND(J165&lt;&gt;"Aperto",OR(NOT(ISNUMBER(C165)),C165&lt;B165)),"Correggi data chiusura",IF(OR(AND(Q165&lt;&gt;"",OR(NOT(ISNUMBER(Q165)),Q165&lt;0)),AND(R165&lt;&gt;"",OR(NOT(ISNUMBER(R165)),R165&lt;0,R165&gt;1))),"Commissione non valida",IF(J165="Annullato","OK",IF(OR(NOT(ISNUMBER(Z165)),Z165&lt;0,AND(O165&lt;&gt;"",NOT(ISNUMBER(O165)))),"Inserisci rischio",IF(AND(I165="Esecuzioni",OR(W165=0,COUNTIFS('Esecuzioni'!$A$8:$A$1007,A165,'Esecuzioni'!$Q$8:$Q$1007,"&lt;&gt;OK")&gt;0)),"Correggi esecuzioni",IF(J165="Aperto","OK",IF(AND(I165="Esecuzioni",S165="Coperto",ABS(X165-Y165)&gt;'Impostazioni'!$B$11),"Copertura residua",IF(NOT(ISNUMBER(AC165)),"Completa risultato / esito",IF(AND(Z165=0,AC165&lt;&gt;0),"Rischio nullo con P/L","OK")))))))))))))</x:f>
      </x:c>
      <x:c r="AR165" s="20" t="str">
        <x:f>IF(OR(A165="",J165&lt;&gt;"Aperto",AQ165&lt;&gt;"OK"),"",IF(I165="Esecuzioni",SUMIFS('Esecuzioni'!$P$8:$P$1007,'Esecuzioni'!$A$8:$A$1007,A165,'Esecuzioni'!$B$8:$B$1007,_xlfn.MAXIFS('Esecuzioni'!$B$8:$B$1007,'Esecuzioni'!$A$8:$A$1007,A165)),IF(LEFT(U165,8)="FREEBET:",0,Z165)))</x:f>
      </x:c>
      <x:c r="AS165" s="48" t="str">
        <x:f>IF(OR(A165="",E165=""),"",IF(COUNTIFS($E$8:E165,E165)=1,COUNT($AS$7:AS164)+1,""))</x:f>
      </x:c>
    </x:row>
    <x:row r="166" ht="22" customHeight="1">
      <x:c r="A166" s="7"/>
      <x:c r="B166" s="19"/>
      <x:c r="C166" s="19"/>
      <x:c r="D166" s="7"/>
      <x:c r="E166" s="7"/>
      <x:c r="F166" s="7"/>
      <x:c r="G166" s="7"/>
      <x:c r="H166" s="7"/>
      <x:c r="I166" s="7"/>
      <x:c r="J166" s="7"/>
      <x:c r="K166" s="10"/>
      <x:c r="L166" s="7"/>
      <x:c r="M166" s="10"/>
      <x:c r="N166" s="7"/>
      <x:c r="O166" s="8"/>
      <x:c r="P166" s="8"/>
      <x:c r="Q166" s="8"/>
      <x:c r="R166" s="9"/>
      <x:c r="S166" s="7"/>
      <x:c r="T166" s="7"/>
      <x:c r="U166" s="7"/>
      <x:c r="V166" s="7"/>
      <x:c r="W166" s="22" t="str">
        <x:f>IF(A166="","",COUNTIFS('Esecuzioni'!$A$8:$A$1007,A166,'Esecuzioni'!$Q$8:$Q$1007,"OK"))</x:f>
      </x:c>
      <x:c r="X166" s="20" t="str">
        <x:f>IF(OR(A166="",I166&lt;&gt;"Esecuzioni",W166=0),"",SUMIFS('Esecuzioni'!$L$8:$L$1007,'Esecuzioni'!$A$8:$A$1007,A166))</x:f>
      </x:c>
      <x:c r="Y166" s="20" t="str">
        <x:f>IF(OR(A166="",I166&lt;&gt;"Esecuzioni",W166=0),"",SUMIFS('Esecuzioni'!$M$8:$M$1007,'Esecuzioni'!$A$8:$A$1007,A166))</x:f>
      </x:c>
      <x:c r="Z166" s="20" t="str">
        <x:f>IF(A166="","",IF(J166="Annullato",0,IF(ISNUMBER(O166),O166,IF(AND(I166="Esecuzioni",W166&gt;0),_xlfn.MAXIFS('Esecuzioni'!$P$8:$P$1007,'Esecuzioni'!$A$8:$A$1007,A166),""))))</x:f>
      </x:c>
      <x:c r="AA166" s="20" t="str">
        <x:f>IF(OR(A166="",J166="Aperto"),"",IF(J166="Annullato",0,IF(I166="Lordo manuale",IF(ISNUMBER(P166),P166,""),IF(I166="Netto manuale",IF(AND(ISNUMBER(P166),ISNUMBER(Q166)),P166+Q166,""),IF(OR(W166=0,COUNTIFS('Esecuzioni'!$A$8:$A$1007,A166,'Esecuzioni'!$Q$8:$Q$1007,"&lt;&gt;OK")&gt;0),"",IF(S166="Vince",X166,IF(S166="Perde",Y166,IF(AND(S166="Coperto",ABS(X166-Y166)&lt;='Impostazioni'!$B$11),ROUND((X166+Y166)/2,2),""))))))))</x:f>
      </x:c>
      <x:c r="AB166" s="20" t="str">
        <x:f>IF(NOT(ISNUMBER(AA166)),"",IF(J166="Annullato",0,IF(ISNUMBER(Q166),Q166,ROUND(MAX(0,AA166)*IF(ISNUMBER(R166),R166,'Impostazioni'!$B$8),2))))</x:f>
      </x:c>
      <x:c r="AC166" s="20" t="str">
        <x:f>IF(AND(ISNUMBER(AA166),ISNUMBER(AB166)),ROUND(AA166-AB166,2),"")</x:f>
      </x:c>
      <x:c r="AD166" s="18" t="str">
        <x:f>IF(A166="","",IF(AQ166&lt;&gt;"OK","Incompleto",IF(J166="Aperto","Aperto",IF(J166="Annullato","Annullato",IF(AC166&gt;0,"Green",IF(AC166&lt;0,"Red","Flat"))))))</x:f>
      </x:c>
      <x:c r="AE166" s="21" t="str">
        <x:f>IF(AND(AH166=1,Z166&gt;0),AC166/Z166,"")</x:f>
      </x:c>
      <x:c r="AF166" s="22" t="str">
        <x:f>IF(AH166&lt;&gt;1,"",COUNTIFS($C$8:$C$507,"&lt;"&amp;C166,$AH$8:$AH$507,1)+COUNTIFS($C$8:$C$507,C166,$A$8:$A$507,"&lt;="&amp;A166,$AH$8:$AH$507,1))</x:f>
      </x:c>
      <x:c r="AG166" s="20" t="str">
        <x:f>IF(AH166&lt;&gt;1,"",SUMIFS($AC$8:$AC$507,$C$8:$C$507,"&lt;"&amp;C166,$AH$8:$AH$507,1)+SUMIFS($AC$8:$AC$507,$C$8:$C$507,C166,$A$8:$A$507,"&lt;="&amp;A166,$AH$8:$AH$507,1))</x:f>
      </x:c>
      <x:c r="AH166" s="22" t="str">
        <x:f>IF(A166="","",IF(AND(J166="Chiuso",AQ166="OK",ISNUMBER(AC166)),1,0))</x:f>
      </x:c>
      <x:c r="AI166" s="20" t="str">
        <x:f>IF(AH166&lt;&gt;1,"",MAX(0,_xlfn.MAXIFS($AG$8:$AG$507,$AF$8:$AF$507,"&lt;="&amp;AF166,$AH$8:$AH$507,1)))</x:f>
      </x:c>
      <x:c r="AJ166" s="20" t="str">
        <x:f>IF(AH166&lt;&gt;1,"",MAX(0,AI166-AG166))</x:f>
      </x:c>
      <x:c r="AK166" s="21" t="str">
        <x:f>IF(OR(AH166&lt;&gt;1,NOT(ISNUMBER('Impostazioni'!$B$6)),'Impostazioni'!$B$6+AI166&lt;=0),"",AJ166/('Impostazioni'!$B$6+AI166))</x:f>
      </x:c>
      <x:c r="AL166" s="22" t="str">
        <x:f>IF(AH166&lt;&gt;1,"",IF(AC166&gt;0,AF166-_xlfn.MAXIFS($AF$8:$AF$507,$AF$8:$AF$507,"&lt;="&amp;AF166,$AC$8:$AC$507,"&lt;=0",$AH$8:$AH$507,1),0))</x:f>
      </x:c>
      <x:c r="AM166" s="22" t="str">
        <x:f>IF(AH166&lt;&gt;1,"",IF(AC166&lt;0,AF166-_xlfn.MAXIFS($AF$8:$AF$507,$AF$8:$AF$507,"&lt;="&amp;AF166,$AC$8:$AC$507,"&gt;=0",$AH$8:$AH$507,1),0))</x:f>
      </x:c>
      <x:c r="AN166" s="20" t="str">
        <x:f>IF(OR(A166="",NOT(ISNUMBER(B166)),NOT(ISNUMBER('Impostazioni'!$B$6))),"",'Impostazioni'!$B$6+SUMIFS($AC$8:$AC$507,$C$8:$C$507,"&lt;"&amp;B166,$AH$8:$AH$507,1)+SUMIFS('Cassa'!$F$8:$F$307,'Cassa'!$A$8:$A$307,"&lt;="&amp;B166,'Cassa'!$G$8:$G$307,"OK"))</x:f>
      </x:c>
      <x:c r="AO166" s="21" t="str">
        <x:f>IF(AND(ISNUMBER(Z166),ISNUMBER(AN166),AN166&gt;0),Z166/AN166,"")</x:f>
      </x:c>
      <x:c r="AP166" s="18" t="str">
        <x:f>IF(NOT(ISNUMBER(AO166)),"",IF(AO166&gt;'Impostazioni'!$B$7,"Oltre soglia personale","Nella soglia personale"))</x:f>
      </x:c>
      <x:c r="AQ166" s="18" t="str">
        <x:f>IF(A166="",IF(COUNTA(B166:V166)=0,"","Inserisci ID"),IF(COUNTIFS($A$8:$A$507,A166)&lt;&gt;1,"ID duplicato",IF(OR(NOT(ISNUMBER(B166)),D166="",E166="",F166="",G166="",H166="",COUNTIFS('Impostazioni'!$J$6:$J$25,F166)&lt;&gt;1),"Completa dati / elenchi",IF(OR(AND(I166&lt;&gt;"Lordo manuale",I166&lt;&gt;"Netto manuale",I166&lt;&gt;"Esecuzioni"),AND(J166&lt;&gt;"Aperto",J166&lt;&gt;"Chiuso",J166&lt;&gt;"Annullato")),"Modalità / stato mancanti",IF(AND(J166&lt;&gt;"Aperto",OR(NOT(ISNUMBER(C166)),C166&lt;B166)),"Correggi data chiusura",IF(OR(AND(Q166&lt;&gt;"",OR(NOT(ISNUMBER(Q166)),Q166&lt;0)),AND(R166&lt;&gt;"",OR(NOT(ISNUMBER(R166)),R166&lt;0,R166&gt;1))),"Commissione non valida",IF(J166="Annullato","OK",IF(OR(NOT(ISNUMBER(Z166)),Z166&lt;0,AND(O166&lt;&gt;"",NOT(ISNUMBER(O166)))),"Inserisci rischio",IF(AND(I166="Esecuzioni",OR(W166=0,COUNTIFS('Esecuzioni'!$A$8:$A$1007,A166,'Esecuzioni'!$Q$8:$Q$1007,"&lt;&gt;OK")&gt;0)),"Correggi esecuzioni",IF(J166="Aperto","OK",IF(AND(I166="Esecuzioni",S166="Coperto",ABS(X166-Y166)&gt;'Impostazioni'!$B$11),"Copertura residua",IF(NOT(ISNUMBER(AC166)),"Completa risultato / esito",IF(AND(Z166=0,AC166&lt;&gt;0),"Rischio nullo con P/L","OK")))))))))))))</x:f>
      </x:c>
      <x:c r="AR166" s="20" t="str">
        <x:f>IF(OR(A166="",J166&lt;&gt;"Aperto",AQ166&lt;&gt;"OK"),"",IF(I166="Esecuzioni",SUMIFS('Esecuzioni'!$P$8:$P$1007,'Esecuzioni'!$A$8:$A$1007,A166,'Esecuzioni'!$B$8:$B$1007,_xlfn.MAXIFS('Esecuzioni'!$B$8:$B$1007,'Esecuzioni'!$A$8:$A$1007,A166)),IF(LEFT(U166,8)="FREEBET:",0,Z166)))</x:f>
      </x:c>
      <x:c r="AS166" s="48" t="str">
        <x:f>IF(OR(A166="",E166=""),"",IF(COUNTIFS($E$8:E166,E166)=1,COUNT($AS$7:AS165)+1,""))</x:f>
      </x:c>
    </x:row>
    <x:row r="167" ht="22" customHeight="1">
      <x:c r="A167" s="7"/>
      <x:c r="B167" s="19"/>
      <x:c r="C167" s="19"/>
      <x:c r="D167" s="7"/>
      <x:c r="E167" s="7"/>
      <x:c r="F167" s="7"/>
      <x:c r="G167" s="7"/>
      <x:c r="H167" s="7"/>
      <x:c r="I167" s="7"/>
      <x:c r="J167" s="7"/>
      <x:c r="K167" s="10"/>
      <x:c r="L167" s="7"/>
      <x:c r="M167" s="10"/>
      <x:c r="N167" s="7"/>
      <x:c r="O167" s="8"/>
      <x:c r="P167" s="8"/>
      <x:c r="Q167" s="8"/>
      <x:c r="R167" s="9"/>
      <x:c r="S167" s="7"/>
      <x:c r="T167" s="7"/>
      <x:c r="U167" s="7"/>
      <x:c r="V167" s="7"/>
      <x:c r="W167" s="22" t="str">
        <x:f>IF(A167="","",COUNTIFS('Esecuzioni'!$A$8:$A$1007,A167,'Esecuzioni'!$Q$8:$Q$1007,"OK"))</x:f>
      </x:c>
      <x:c r="X167" s="20" t="str">
        <x:f>IF(OR(A167="",I167&lt;&gt;"Esecuzioni",W167=0),"",SUMIFS('Esecuzioni'!$L$8:$L$1007,'Esecuzioni'!$A$8:$A$1007,A167))</x:f>
      </x:c>
      <x:c r="Y167" s="20" t="str">
        <x:f>IF(OR(A167="",I167&lt;&gt;"Esecuzioni",W167=0),"",SUMIFS('Esecuzioni'!$M$8:$M$1007,'Esecuzioni'!$A$8:$A$1007,A167))</x:f>
      </x:c>
      <x:c r="Z167" s="20" t="str">
        <x:f>IF(A167="","",IF(J167="Annullato",0,IF(ISNUMBER(O167),O167,IF(AND(I167="Esecuzioni",W167&gt;0),_xlfn.MAXIFS('Esecuzioni'!$P$8:$P$1007,'Esecuzioni'!$A$8:$A$1007,A167),""))))</x:f>
      </x:c>
      <x:c r="AA167" s="20" t="str">
        <x:f>IF(OR(A167="",J167="Aperto"),"",IF(J167="Annullato",0,IF(I167="Lordo manuale",IF(ISNUMBER(P167),P167,""),IF(I167="Netto manuale",IF(AND(ISNUMBER(P167),ISNUMBER(Q167)),P167+Q167,""),IF(OR(W167=0,COUNTIFS('Esecuzioni'!$A$8:$A$1007,A167,'Esecuzioni'!$Q$8:$Q$1007,"&lt;&gt;OK")&gt;0),"",IF(S167="Vince",X167,IF(S167="Perde",Y167,IF(AND(S167="Coperto",ABS(X167-Y167)&lt;='Impostazioni'!$B$11),ROUND((X167+Y167)/2,2),""))))))))</x:f>
      </x:c>
      <x:c r="AB167" s="20" t="str">
        <x:f>IF(NOT(ISNUMBER(AA167)),"",IF(J167="Annullato",0,IF(ISNUMBER(Q167),Q167,ROUND(MAX(0,AA167)*IF(ISNUMBER(R167),R167,'Impostazioni'!$B$8),2))))</x:f>
      </x:c>
      <x:c r="AC167" s="20" t="str">
        <x:f>IF(AND(ISNUMBER(AA167),ISNUMBER(AB167)),ROUND(AA167-AB167,2),"")</x:f>
      </x:c>
      <x:c r="AD167" s="18" t="str">
        <x:f>IF(A167="","",IF(AQ167&lt;&gt;"OK","Incompleto",IF(J167="Aperto","Aperto",IF(J167="Annullato","Annullato",IF(AC167&gt;0,"Green",IF(AC167&lt;0,"Red","Flat"))))))</x:f>
      </x:c>
      <x:c r="AE167" s="21" t="str">
        <x:f>IF(AND(AH167=1,Z167&gt;0),AC167/Z167,"")</x:f>
      </x:c>
      <x:c r="AF167" s="22" t="str">
        <x:f>IF(AH167&lt;&gt;1,"",COUNTIFS($C$8:$C$507,"&lt;"&amp;C167,$AH$8:$AH$507,1)+COUNTIFS($C$8:$C$507,C167,$A$8:$A$507,"&lt;="&amp;A167,$AH$8:$AH$507,1))</x:f>
      </x:c>
      <x:c r="AG167" s="20" t="str">
        <x:f>IF(AH167&lt;&gt;1,"",SUMIFS($AC$8:$AC$507,$C$8:$C$507,"&lt;"&amp;C167,$AH$8:$AH$507,1)+SUMIFS($AC$8:$AC$507,$C$8:$C$507,C167,$A$8:$A$507,"&lt;="&amp;A167,$AH$8:$AH$507,1))</x:f>
      </x:c>
      <x:c r="AH167" s="22" t="str">
        <x:f>IF(A167="","",IF(AND(J167="Chiuso",AQ167="OK",ISNUMBER(AC167)),1,0))</x:f>
      </x:c>
      <x:c r="AI167" s="20" t="str">
        <x:f>IF(AH167&lt;&gt;1,"",MAX(0,_xlfn.MAXIFS($AG$8:$AG$507,$AF$8:$AF$507,"&lt;="&amp;AF167,$AH$8:$AH$507,1)))</x:f>
      </x:c>
      <x:c r="AJ167" s="20" t="str">
        <x:f>IF(AH167&lt;&gt;1,"",MAX(0,AI167-AG167))</x:f>
      </x:c>
      <x:c r="AK167" s="21" t="str">
        <x:f>IF(OR(AH167&lt;&gt;1,NOT(ISNUMBER('Impostazioni'!$B$6)),'Impostazioni'!$B$6+AI167&lt;=0),"",AJ167/('Impostazioni'!$B$6+AI167))</x:f>
      </x:c>
      <x:c r="AL167" s="22" t="str">
        <x:f>IF(AH167&lt;&gt;1,"",IF(AC167&gt;0,AF167-_xlfn.MAXIFS($AF$8:$AF$507,$AF$8:$AF$507,"&lt;="&amp;AF167,$AC$8:$AC$507,"&lt;=0",$AH$8:$AH$507,1),0))</x:f>
      </x:c>
      <x:c r="AM167" s="22" t="str">
        <x:f>IF(AH167&lt;&gt;1,"",IF(AC167&lt;0,AF167-_xlfn.MAXIFS($AF$8:$AF$507,$AF$8:$AF$507,"&lt;="&amp;AF167,$AC$8:$AC$507,"&gt;=0",$AH$8:$AH$507,1),0))</x:f>
      </x:c>
      <x:c r="AN167" s="20" t="str">
        <x:f>IF(OR(A167="",NOT(ISNUMBER(B167)),NOT(ISNUMBER('Impostazioni'!$B$6))),"",'Impostazioni'!$B$6+SUMIFS($AC$8:$AC$507,$C$8:$C$507,"&lt;"&amp;B167,$AH$8:$AH$507,1)+SUMIFS('Cassa'!$F$8:$F$307,'Cassa'!$A$8:$A$307,"&lt;="&amp;B167,'Cassa'!$G$8:$G$307,"OK"))</x:f>
      </x:c>
      <x:c r="AO167" s="21" t="str">
        <x:f>IF(AND(ISNUMBER(Z167),ISNUMBER(AN167),AN167&gt;0),Z167/AN167,"")</x:f>
      </x:c>
      <x:c r="AP167" s="18" t="str">
        <x:f>IF(NOT(ISNUMBER(AO167)),"",IF(AO167&gt;'Impostazioni'!$B$7,"Oltre soglia personale","Nella soglia personale"))</x:f>
      </x:c>
      <x:c r="AQ167" s="18" t="str">
        <x:f>IF(A167="",IF(COUNTA(B167:V167)=0,"","Inserisci ID"),IF(COUNTIFS($A$8:$A$507,A167)&lt;&gt;1,"ID duplicato",IF(OR(NOT(ISNUMBER(B167)),D167="",E167="",F167="",G167="",H167="",COUNTIFS('Impostazioni'!$J$6:$J$25,F167)&lt;&gt;1),"Completa dati / elenchi",IF(OR(AND(I167&lt;&gt;"Lordo manuale",I167&lt;&gt;"Netto manuale",I167&lt;&gt;"Esecuzioni"),AND(J167&lt;&gt;"Aperto",J167&lt;&gt;"Chiuso",J167&lt;&gt;"Annullato")),"Modalità / stato mancanti",IF(AND(J167&lt;&gt;"Aperto",OR(NOT(ISNUMBER(C167)),C167&lt;B167)),"Correggi data chiusura",IF(OR(AND(Q167&lt;&gt;"",OR(NOT(ISNUMBER(Q167)),Q167&lt;0)),AND(R167&lt;&gt;"",OR(NOT(ISNUMBER(R167)),R167&lt;0,R167&gt;1))),"Commissione non valida",IF(J167="Annullato","OK",IF(OR(NOT(ISNUMBER(Z167)),Z167&lt;0,AND(O167&lt;&gt;"",NOT(ISNUMBER(O167)))),"Inserisci rischio",IF(AND(I167="Esecuzioni",OR(W167=0,COUNTIFS('Esecuzioni'!$A$8:$A$1007,A167,'Esecuzioni'!$Q$8:$Q$1007,"&lt;&gt;OK")&gt;0)),"Correggi esecuzioni",IF(J167="Aperto","OK",IF(AND(I167="Esecuzioni",S167="Coperto",ABS(X167-Y167)&gt;'Impostazioni'!$B$11),"Copertura residua",IF(NOT(ISNUMBER(AC167)),"Completa risultato / esito",IF(AND(Z167=0,AC167&lt;&gt;0),"Rischio nullo con P/L","OK")))))))))))))</x:f>
      </x:c>
      <x:c r="AR167" s="20" t="str">
        <x:f>IF(OR(A167="",J167&lt;&gt;"Aperto",AQ167&lt;&gt;"OK"),"",IF(I167="Esecuzioni",SUMIFS('Esecuzioni'!$P$8:$P$1007,'Esecuzioni'!$A$8:$A$1007,A167,'Esecuzioni'!$B$8:$B$1007,_xlfn.MAXIFS('Esecuzioni'!$B$8:$B$1007,'Esecuzioni'!$A$8:$A$1007,A167)),IF(LEFT(U167,8)="FREEBET:",0,Z167)))</x:f>
      </x:c>
      <x:c r="AS167" s="48" t="str">
        <x:f>IF(OR(A167="",E167=""),"",IF(COUNTIFS($E$8:E167,E167)=1,COUNT($AS$7:AS166)+1,""))</x:f>
      </x:c>
    </x:row>
    <x:row r="168" ht="22" customHeight="1">
      <x:c r="A168" s="7"/>
      <x:c r="B168" s="19"/>
      <x:c r="C168" s="19"/>
      <x:c r="D168" s="7"/>
      <x:c r="E168" s="7"/>
      <x:c r="F168" s="7"/>
      <x:c r="G168" s="7"/>
      <x:c r="H168" s="7"/>
      <x:c r="I168" s="7"/>
      <x:c r="J168" s="7"/>
      <x:c r="K168" s="10"/>
      <x:c r="L168" s="7"/>
      <x:c r="M168" s="10"/>
      <x:c r="N168" s="7"/>
      <x:c r="O168" s="8"/>
      <x:c r="P168" s="8"/>
      <x:c r="Q168" s="8"/>
      <x:c r="R168" s="9"/>
      <x:c r="S168" s="7"/>
      <x:c r="T168" s="7"/>
      <x:c r="U168" s="7"/>
      <x:c r="V168" s="7"/>
      <x:c r="W168" s="22" t="str">
        <x:f>IF(A168="","",COUNTIFS('Esecuzioni'!$A$8:$A$1007,A168,'Esecuzioni'!$Q$8:$Q$1007,"OK"))</x:f>
      </x:c>
      <x:c r="X168" s="20" t="str">
        <x:f>IF(OR(A168="",I168&lt;&gt;"Esecuzioni",W168=0),"",SUMIFS('Esecuzioni'!$L$8:$L$1007,'Esecuzioni'!$A$8:$A$1007,A168))</x:f>
      </x:c>
      <x:c r="Y168" s="20" t="str">
        <x:f>IF(OR(A168="",I168&lt;&gt;"Esecuzioni",W168=0),"",SUMIFS('Esecuzioni'!$M$8:$M$1007,'Esecuzioni'!$A$8:$A$1007,A168))</x:f>
      </x:c>
      <x:c r="Z168" s="20" t="str">
        <x:f>IF(A168="","",IF(J168="Annullato",0,IF(ISNUMBER(O168),O168,IF(AND(I168="Esecuzioni",W168&gt;0),_xlfn.MAXIFS('Esecuzioni'!$P$8:$P$1007,'Esecuzioni'!$A$8:$A$1007,A168),""))))</x:f>
      </x:c>
      <x:c r="AA168" s="20" t="str">
        <x:f>IF(OR(A168="",J168="Aperto"),"",IF(J168="Annullato",0,IF(I168="Lordo manuale",IF(ISNUMBER(P168),P168,""),IF(I168="Netto manuale",IF(AND(ISNUMBER(P168),ISNUMBER(Q168)),P168+Q168,""),IF(OR(W168=0,COUNTIFS('Esecuzioni'!$A$8:$A$1007,A168,'Esecuzioni'!$Q$8:$Q$1007,"&lt;&gt;OK")&gt;0),"",IF(S168="Vince",X168,IF(S168="Perde",Y168,IF(AND(S168="Coperto",ABS(X168-Y168)&lt;='Impostazioni'!$B$11),ROUND((X168+Y168)/2,2),""))))))))</x:f>
      </x:c>
      <x:c r="AB168" s="20" t="str">
        <x:f>IF(NOT(ISNUMBER(AA168)),"",IF(J168="Annullato",0,IF(ISNUMBER(Q168),Q168,ROUND(MAX(0,AA168)*IF(ISNUMBER(R168),R168,'Impostazioni'!$B$8),2))))</x:f>
      </x:c>
      <x:c r="AC168" s="20" t="str">
        <x:f>IF(AND(ISNUMBER(AA168),ISNUMBER(AB168)),ROUND(AA168-AB168,2),"")</x:f>
      </x:c>
      <x:c r="AD168" s="18" t="str">
        <x:f>IF(A168="","",IF(AQ168&lt;&gt;"OK","Incompleto",IF(J168="Aperto","Aperto",IF(J168="Annullato","Annullato",IF(AC168&gt;0,"Green",IF(AC168&lt;0,"Red","Flat"))))))</x:f>
      </x:c>
      <x:c r="AE168" s="21" t="str">
        <x:f>IF(AND(AH168=1,Z168&gt;0),AC168/Z168,"")</x:f>
      </x:c>
      <x:c r="AF168" s="22" t="str">
        <x:f>IF(AH168&lt;&gt;1,"",COUNTIFS($C$8:$C$507,"&lt;"&amp;C168,$AH$8:$AH$507,1)+COUNTIFS($C$8:$C$507,C168,$A$8:$A$507,"&lt;="&amp;A168,$AH$8:$AH$507,1))</x:f>
      </x:c>
      <x:c r="AG168" s="20" t="str">
        <x:f>IF(AH168&lt;&gt;1,"",SUMIFS($AC$8:$AC$507,$C$8:$C$507,"&lt;"&amp;C168,$AH$8:$AH$507,1)+SUMIFS($AC$8:$AC$507,$C$8:$C$507,C168,$A$8:$A$507,"&lt;="&amp;A168,$AH$8:$AH$507,1))</x:f>
      </x:c>
      <x:c r="AH168" s="22" t="str">
        <x:f>IF(A168="","",IF(AND(J168="Chiuso",AQ168="OK",ISNUMBER(AC168)),1,0))</x:f>
      </x:c>
      <x:c r="AI168" s="20" t="str">
        <x:f>IF(AH168&lt;&gt;1,"",MAX(0,_xlfn.MAXIFS($AG$8:$AG$507,$AF$8:$AF$507,"&lt;="&amp;AF168,$AH$8:$AH$507,1)))</x:f>
      </x:c>
      <x:c r="AJ168" s="20" t="str">
        <x:f>IF(AH168&lt;&gt;1,"",MAX(0,AI168-AG168))</x:f>
      </x:c>
      <x:c r="AK168" s="21" t="str">
        <x:f>IF(OR(AH168&lt;&gt;1,NOT(ISNUMBER('Impostazioni'!$B$6)),'Impostazioni'!$B$6+AI168&lt;=0),"",AJ168/('Impostazioni'!$B$6+AI168))</x:f>
      </x:c>
      <x:c r="AL168" s="22" t="str">
        <x:f>IF(AH168&lt;&gt;1,"",IF(AC168&gt;0,AF168-_xlfn.MAXIFS($AF$8:$AF$507,$AF$8:$AF$507,"&lt;="&amp;AF168,$AC$8:$AC$507,"&lt;=0",$AH$8:$AH$507,1),0))</x:f>
      </x:c>
      <x:c r="AM168" s="22" t="str">
        <x:f>IF(AH168&lt;&gt;1,"",IF(AC168&lt;0,AF168-_xlfn.MAXIFS($AF$8:$AF$507,$AF$8:$AF$507,"&lt;="&amp;AF168,$AC$8:$AC$507,"&gt;=0",$AH$8:$AH$507,1),0))</x:f>
      </x:c>
      <x:c r="AN168" s="20" t="str">
        <x:f>IF(OR(A168="",NOT(ISNUMBER(B168)),NOT(ISNUMBER('Impostazioni'!$B$6))),"",'Impostazioni'!$B$6+SUMIFS($AC$8:$AC$507,$C$8:$C$507,"&lt;"&amp;B168,$AH$8:$AH$507,1)+SUMIFS('Cassa'!$F$8:$F$307,'Cassa'!$A$8:$A$307,"&lt;="&amp;B168,'Cassa'!$G$8:$G$307,"OK"))</x:f>
      </x:c>
      <x:c r="AO168" s="21" t="str">
        <x:f>IF(AND(ISNUMBER(Z168),ISNUMBER(AN168),AN168&gt;0),Z168/AN168,"")</x:f>
      </x:c>
      <x:c r="AP168" s="18" t="str">
        <x:f>IF(NOT(ISNUMBER(AO168)),"",IF(AO168&gt;'Impostazioni'!$B$7,"Oltre soglia personale","Nella soglia personale"))</x:f>
      </x:c>
      <x:c r="AQ168" s="18" t="str">
        <x:f>IF(A168="",IF(COUNTA(B168:V168)=0,"","Inserisci ID"),IF(COUNTIFS($A$8:$A$507,A168)&lt;&gt;1,"ID duplicato",IF(OR(NOT(ISNUMBER(B168)),D168="",E168="",F168="",G168="",H168="",COUNTIFS('Impostazioni'!$J$6:$J$25,F168)&lt;&gt;1),"Completa dati / elenchi",IF(OR(AND(I168&lt;&gt;"Lordo manuale",I168&lt;&gt;"Netto manuale",I168&lt;&gt;"Esecuzioni"),AND(J168&lt;&gt;"Aperto",J168&lt;&gt;"Chiuso",J168&lt;&gt;"Annullato")),"Modalità / stato mancanti",IF(AND(J168&lt;&gt;"Aperto",OR(NOT(ISNUMBER(C168)),C168&lt;B168)),"Correggi data chiusura",IF(OR(AND(Q168&lt;&gt;"",OR(NOT(ISNUMBER(Q168)),Q168&lt;0)),AND(R168&lt;&gt;"",OR(NOT(ISNUMBER(R168)),R168&lt;0,R168&gt;1))),"Commissione non valida",IF(J168="Annullato","OK",IF(OR(NOT(ISNUMBER(Z168)),Z168&lt;0,AND(O168&lt;&gt;"",NOT(ISNUMBER(O168)))),"Inserisci rischio",IF(AND(I168="Esecuzioni",OR(W168=0,COUNTIFS('Esecuzioni'!$A$8:$A$1007,A168,'Esecuzioni'!$Q$8:$Q$1007,"&lt;&gt;OK")&gt;0)),"Correggi esecuzioni",IF(J168="Aperto","OK",IF(AND(I168="Esecuzioni",S168="Coperto",ABS(X168-Y168)&gt;'Impostazioni'!$B$11),"Copertura residua",IF(NOT(ISNUMBER(AC168)),"Completa risultato / esito",IF(AND(Z168=0,AC168&lt;&gt;0),"Rischio nullo con P/L","OK")))))))))))))</x:f>
      </x:c>
      <x:c r="AR168" s="20" t="str">
        <x:f>IF(OR(A168="",J168&lt;&gt;"Aperto",AQ168&lt;&gt;"OK"),"",IF(I168="Esecuzioni",SUMIFS('Esecuzioni'!$P$8:$P$1007,'Esecuzioni'!$A$8:$A$1007,A168,'Esecuzioni'!$B$8:$B$1007,_xlfn.MAXIFS('Esecuzioni'!$B$8:$B$1007,'Esecuzioni'!$A$8:$A$1007,A168)),IF(LEFT(U168,8)="FREEBET:",0,Z168)))</x:f>
      </x:c>
      <x:c r="AS168" s="48" t="str">
        <x:f>IF(OR(A168="",E168=""),"",IF(COUNTIFS($E$8:E168,E168)=1,COUNT($AS$7:AS167)+1,""))</x:f>
      </x:c>
    </x:row>
    <x:row r="169" ht="22" customHeight="1">
      <x:c r="A169" s="7"/>
      <x:c r="B169" s="19"/>
      <x:c r="C169" s="19"/>
      <x:c r="D169" s="7"/>
      <x:c r="E169" s="7"/>
      <x:c r="F169" s="7"/>
      <x:c r="G169" s="7"/>
      <x:c r="H169" s="7"/>
      <x:c r="I169" s="7"/>
      <x:c r="J169" s="7"/>
      <x:c r="K169" s="10"/>
      <x:c r="L169" s="7"/>
      <x:c r="M169" s="10"/>
      <x:c r="N169" s="7"/>
      <x:c r="O169" s="8"/>
      <x:c r="P169" s="8"/>
      <x:c r="Q169" s="8"/>
      <x:c r="R169" s="9"/>
      <x:c r="S169" s="7"/>
      <x:c r="T169" s="7"/>
      <x:c r="U169" s="7"/>
      <x:c r="V169" s="7"/>
      <x:c r="W169" s="22" t="str">
        <x:f>IF(A169="","",COUNTIFS('Esecuzioni'!$A$8:$A$1007,A169,'Esecuzioni'!$Q$8:$Q$1007,"OK"))</x:f>
      </x:c>
      <x:c r="X169" s="20" t="str">
        <x:f>IF(OR(A169="",I169&lt;&gt;"Esecuzioni",W169=0),"",SUMIFS('Esecuzioni'!$L$8:$L$1007,'Esecuzioni'!$A$8:$A$1007,A169))</x:f>
      </x:c>
      <x:c r="Y169" s="20" t="str">
        <x:f>IF(OR(A169="",I169&lt;&gt;"Esecuzioni",W169=0),"",SUMIFS('Esecuzioni'!$M$8:$M$1007,'Esecuzioni'!$A$8:$A$1007,A169))</x:f>
      </x:c>
      <x:c r="Z169" s="20" t="str">
        <x:f>IF(A169="","",IF(J169="Annullato",0,IF(ISNUMBER(O169),O169,IF(AND(I169="Esecuzioni",W169&gt;0),_xlfn.MAXIFS('Esecuzioni'!$P$8:$P$1007,'Esecuzioni'!$A$8:$A$1007,A169),""))))</x:f>
      </x:c>
      <x:c r="AA169" s="20" t="str">
        <x:f>IF(OR(A169="",J169="Aperto"),"",IF(J169="Annullato",0,IF(I169="Lordo manuale",IF(ISNUMBER(P169),P169,""),IF(I169="Netto manuale",IF(AND(ISNUMBER(P169),ISNUMBER(Q169)),P169+Q169,""),IF(OR(W169=0,COUNTIFS('Esecuzioni'!$A$8:$A$1007,A169,'Esecuzioni'!$Q$8:$Q$1007,"&lt;&gt;OK")&gt;0),"",IF(S169="Vince",X169,IF(S169="Perde",Y169,IF(AND(S169="Coperto",ABS(X169-Y169)&lt;='Impostazioni'!$B$11),ROUND((X169+Y169)/2,2),""))))))))</x:f>
      </x:c>
      <x:c r="AB169" s="20" t="str">
        <x:f>IF(NOT(ISNUMBER(AA169)),"",IF(J169="Annullato",0,IF(ISNUMBER(Q169),Q169,ROUND(MAX(0,AA169)*IF(ISNUMBER(R169),R169,'Impostazioni'!$B$8),2))))</x:f>
      </x:c>
      <x:c r="AC169" s="20" t="str">
        <x:f>IF(AND(ISNUMBER(AA169),ISNUMBER(AB169)),ROUND(AA169-AB169,2),"")</x:f>
      </x:c>
      <x:c r="AD169" s="18" t="str">
        <x:f>IF(A169="","",IF(AQ169&lt;&gt;"OK","Incompleto",IF(J169="Aperto","Aperto",IF(J169="Annullato","Annullato",IF(AC169&gt;0,"Green",IF(AC169&lt;0,"Red","Flat"))))))</x:f>
      </x:c>
      <x:c r="AE169" s="21" t="str">
        <x:f>IF(AND(AH169=1,Z169&gt;0),AC169/Z169,"")</x:f>
      </x:c>
      <x:c r="AF169" s="22" t="str">
        <x:f>IF(AH169&lt;&gt;1,"",COUNTIFS($C$8:$C$507,"&lt;"&amp;C169,$AH$8:$AH$507,1)+COUNTIFS($C$8:$C$507,C169,$A$8:$A$507,"&lt;="&amp;A169,$AH$8:$AH$507,1))</x:f>
      </x:c>
      <x:c r="AG169" s="20" t="str">
        <x:f>IF(AH169&lt;&gt;1,"",SUMIFS($AC$8:$AC$507,$C$8:$C$507,"&lt;"&amp;C169,$AH$8:$AH$507,1)+SUMIFS($AC$8:$AC$507,$C$8:$C$507,C169,$A$8:$A$507,"&lt;="&amp;A169,$AH$8:$AH$507,1))</x:f>
      </x:c>
      <x:c r="AH169" s="22" t="str">
        <x:f>IF(A169="","",IF(AND(J169="Chiuso",AQ169="OK",ISNUMBER(AC169)),1,0))</x:f>
      </x:c>
      <x:c r="AI169" s="20" t="str">
        <x:f>IF(AH169&lt;&gt;1,"",MAX(0,_xlfn.MAXIFS($AG$8:$AG$507,$AF$8:$AF$507,"&lt;="&amp;AF169,$AH$8:$AH$507,1)))</x:f>
      </x:c>
      <x:c r="AJ169" s="20" t="str">
        <x:f>IF(AH169&lt;&gt;1,"",MAX(0,AI169-AG169))</x:f>
      </x:c>
      <x:c r="AK169" s="21" t="str">
        <x:f>IF(OR(AH169&lt;&gt;1,NOT(ISNUMBER('Impostazioni'!$B$6)),'Impostazioni'!$B$6+AI169&lt;=0),"",AJ169/('Impostazioni'!$B$6+AI169))</x:f>
      </x:c>
      <x:c r="AL169" s="22" t="str">
        <x:f>IF(AH169&lt;&gt;1,"",IF(AC169&gt;0,AF169-_xlfn.MAXIFS($AF$8:$AF$507,$AF$8:$AF$507,"&lt;="&amp;AF169,$AC$8:$AC$507,"&lt;=0",$AH$8:$AH$507,1),0))</x:f>
      </x:c>
      <x:c r="AM169" s="22" t="str">
        <x:f>IF(AH169&lt;&gt;1,"",IF(AC169&lt;0,AF169-_xlfn.MAXIFS($AF$8:$AF$507,$AF$8:$AF$507,"&lt;="&amp;AF169,$AC$8:$AC$507,"&gt;=0",$AH$8:$AH$507,1),0))</x:f>
      </x:c>
      <x:c r="AN169" s="20" t="str">
        <x:f>IF(OR(A169="",NOT(ISNUMBER(B169)),NOT(ISNUMBER('Impostazioni'!$B$6))),"",'Impostazioni'!$B$6+SUMIFS($AC$8:$AC$507,$C$8:$C$507,"&lt;"&amp;B169,$AH$8:$AH$507,1)+SUMIFS('Cassa'!$F$8:$F$307,'Cassa'!$A$8:$A$307,"&lt;="&amp;B169,'Cassa'!$G$8:$G$307,"OK"))</x:f>
      </x:c>
      <x:c r="AO169" s="21" t="str">
        <x:f>IF(AND(ISNUMBER(Z169),ISNUMBER(AN169),AN169&gt;0),Z169/AN169,"")</x:f>
      </x:c>
      <x:c r="AP169" s="18" t="str">
        <x:f>IF(NOT(ISNUMBER(AO169)),"",IF(AO169&gt;'Impostazioni'!$B$7,"Oltre soglia personale","Nella soglia personale"))</x:f>
      </x:c>
      <x:c r="AQ169" s="18" t="str">
        <x:f>IF(A169="",IF(COUNTA(B169:V169)=0,"","Inserisci ID"),IF(COUNTIFS($A$8:$A$507,A169)&lt;&gt;1,"ID duplicato",IF(OR(NOT(ISNUMBER(B169)),D169="",E169="",F169="",G169="",H169="",COUNTIFS('Impostazioni'!$J$6:$J$25,F169)&lt;&gt;1),"Completa dati / elenchi",IF(OR(AND(I169&lt;&gt;"Lordo manuale",I169&lt;&gt;"Netto manuale",I169&lt;&gt;"Esecuzioni"),AND(J169&lt;&gt;"Aperto",J169&lt;&gt;"Chiuso",J169&lt;&gt;"Annullato")),"Modalità / stato mancanti",IF(AND(J169&lt;&gt;"Aperto",OR(NOT(ISNUMBER(C169)),C169&lt;B169)),"Correggi data chiusura",IF(OR(AND(Q169&lt;&gt;"",OR(NOT(ISNUMBER(Q169)),Q169&lt;0)),AND(R169&lt;&gt;"",OR(NOT(ISNUMBER(R169)),R169&lt;0,R169&gt;1))),"Commissione non valida",IF(J169="Annullato","OK",IF(OR(NOT(ISNUMBER(Z169)),Z169&lt;0,AND(O169&lt;&gt;"",NOT(ISNUMBER(O169)))),"Inserisci rischio",IF(AND(I169="Esecuzioni",OR(W169=0,COUNTIFS('Esecuzioni'!$A$8:$A$1007,A169,'Esecuzioni'!$Q$8:$Q$1007,"&lt;&gt;OK")&gt;0)),"Correggi esecuzioni",IF(J169="Aperto","OK",IF(AND(I169="Esecuzioni",S169="Coperto",ABS(X169-Y169)&gt;'Impostazioni'!$B$11),"Copertura residua",IF(NOT(ISNUMBER(AC169)),"Completa risultato / esito",IF(AND(Z169=0,AC169&lt;&gt;0),"Rischio nullo con P/L","OK")))))))))))))</x:f>
      </x:c>
      <x:c r="AR169" s="20" t="str">
        <x:f>IF(OR(A169="",J169&lt;&gt;"Aperto",AQ169&lt;&gt;"OK"),"",IF(I169="Esecuzioni",SUMIFS('Esecuzioni'!$P$8:$P$1007,'Esecuzioni'!$A$8:$A$1007,A169,'Esecuzioni'!$B$8:$B$1007,_xlfn.MAXIFS('Esecuzioni'!$B$8:$B$1007,'Esecuzioni'!$A$8:$A$1007,A169)),IF(LEFT(U169,8)="FREEBET:",0,Z169)))</x:f>
      </x:c>
      <x:c r="AS169" s="48" t="str">
        <x:f>IF(OR(A169="",E169=""),"",IF(COUNTIFS($E$8:E169,E169)=1,COUNT($AS$7:AS168)+1,""))</x:f>
      </x:c>
    </x:row>
    <x:row r="170" ht="22" customHeight="1">
      <x:c r="A170" s="7"/>
      <x:c r="B170" s="19"/>
      <x:c r="C170" s="19"/>
      <x:c r="D170" s="7"/>
      <x:c r="E170" s="7"/>
      <x:c r="F170" s="7"/>
      <x:c r="G170" s="7"/>
      <x:c r="H170" s="7"/>
      <x:c r="I170" s="7"/>
      <x:c r="J170" s="7"/>
      <x:c r="K170" s="10"/>
      <x:c r="L170" s="7"/>
      <x:c r="M170" s="10"/>
      <x:c r="N170" s="7"/>
      <x:c r="O170" s="8"/>
      <x:c r="P170" s="8"/>
      <x:c r="Q170" s="8"/>
      <x:c r="R170" s="9"/>
      <x:c r="S170" s="7"/>
      <x:c r="T170" s="7"/>
      <x:c r="U170" s="7"/>
      <x:c r="V170" s="7"/>
      <x:c r="W170" s="22" t="str">
        <x:f>IF(A170="","",COUNTIFS('Esecuzioni'!$A$8:$A$1007,A170,'Esecuzioni'!$Q$8:$Q$1007,"OK"))</x:f>
      </x:c>
      <x:c r="X170" s="20" t="str">
        <x:f>IF(OR(A170="",I170&lt;&gt;"Esecuzioni",W170=0),"",SUMIFS('Esecuzioni'!$L$8:$L$1007,'Esecuzioni'!$A$8:$A$1007,A170))</x:f>
      </x:c>
      <x:c r="Y170" s="20" t="str">
        <x:f>IF(OR(A170="",I170&lt;&gt;"Esecuzioni",W170=0),"",SUMIFS('Esecuzioni'!$M$8:$M$1007,'Esecuzioni'!$A$8:$A$1007,A170))</x:f>
      </x:c>
      <x:c r="Z170" s="20" t="str">
        <x:f>IF(A170="","",IF(J170="Annullato",0,IF(ISNUMBER(O170),O170,IF(AND(I170="Esecuzioni",W170&gt;0),_xlfn.MAXIFS('Esecuzioni'!$P$8:$P$1007,'Esecuzioni'!$A$8:$A$1007,A170),""))))</x:f>
      </x:c>
      <x:c r="AA170" s="20" t="str">
        <x:f>IF(OR(A170="",J170="Aperto"),"",IF(J170="Annullato",0,IF(I170="Lordo manuale",IF(ISNUMBER(P170),P170,""),IF(I170="Netto manuale",IF(AND(ISNUMBER(P170),ISNUMBER(Q170)),P170+Q170,""),IF(OR(W170=0,COUNTIFS('Esecuzioni'!$A$8:$A$1007,A170,'Esecuzioni'!$Q$8:$Q$1007,"&lt;&gt;OK")&gt;0),"",IF(S170="Vince",X170,IF(S170="Perde",Y170,IF(AND(S170="Coperto",ABS(X170-Y170)&lt;='Impostazioni'!$B$11),ROUND((X170+Y170)/2,2),""))))))))</x:f>
      </x:c>
      <x:c r="AB170" s="20" t="str">
        <x:f>IF(NOT(ISNUMBER(AA170)),"",IF(J170="Annullato",0,IF(ISNUMBER(Q170),Q170,ROUND(MAX(0,AA170)*IF(ISNUMBER(R170),R170,'Impostazioni'!$B$8),2))))</x:f>
      </x:c>
      <x:c r="AC170" s="20" t="str">
        <x:f>IF(AND(ISNUMBER(AA170),ISNUMBER(AB170)),ROUND(AA170-AB170,2),"")</x:f>
      </x:c>
      <x:c r="AD170" s="18" t="str">
        <x:f>IF(A170="","",IF(AQ170&lt;&gt;"OK","Incompleto",IF(J170="Aperto","Aperto",IF(J170="Annullato","Annullato",IF(AC170&gt;0,"Green",IF(AC170&lt;0,"Red","Flat"))))))</x:f>
      </x:c>
      <x:c r="AE170" s="21" t="str">
        <x:f>IF(AND(AH170=1,Z170&gt;0),AC170/Z170,"")</x:f>
      </x:c>
      <x:c r="AF170" s="22" t="str">
        <x:f>IF(AH170&lt;&gt;1,"",COUNTIFS($C$8:$C$507,"&lt;"&amp;C170,$AH$8:$AH$507,1)+COUNTIFS($C$8:$C$507,C170,$A$8:$A$507,"&lt;="&amp;A170,$AH$8:$AH$507,1))</x:f>
      </x:c>
      <x:c r="AG170" s="20" t="str">
        <x:f>IF(AH170&lt;&gt;1,"",SUMIFS($AC$8:$AC$507,$C$8:$C$507,"&lt;"&amp;C170,$AH$8:$AH$507,1)+SUMIFS($AC$8:$AC$507,$C$8:$C$507,C170,$A$8:$A$507,"&lt;="&amp;A170,$AH$8:$AH$507,1))</x:f>
      </x:c>
      <x:c r="AH170" s="22" t="str">
        <x:f>IF(A170="","",IF(AND(J170="Chiuso",AQ170="OK",ISNUMBER(AC170)),1,0))</x:f>
      </x:c>
      <x:c r="AI170" s="20" t="str">
        <x:f>IF(AH170&lt;&gt;1,"",MAX(0,_xlfn.MAXIFS($AG$8:$AG$507,$AF$8:$AF$507,"&lt;="&amp;AF170,$AH$8:$AH$507,1)))</x:f>
      </x:c>
      <x:c r="AJ170" s="20" t="str">
        <x:f>IF(AH170&lt;&gt;1,"",MAX(0,AI170-AG170))</x:f>
      </x:c>
      <x:c r="AK170" s="21" t="str">
        <x:f>IF(OR(AH170&lt;&gt;1,NOT(ISNUMBER('Impostazioni'!$B$6)),'Impostazioni'!$B$6+AI170&lt;=0),"",AJ170/('Impostazioni'!$B$6+AI170))</x:f>
      </x:c>
      <x:c r="AL170" s="22" t="str">
        <x:f>IF(AH170&lt;&gt;1,"",IF(AC170&gt;0,AF170-_xlfn.MAXIFS($AF$8:$AF$507,$AF$8:$AF$507,"&lt;="&amp;AF170,$AC$8:$AC$507,"&lt;=0",$AH$8:$AH$507,1),0))</x:f>
      </x:c>
      <x:c r="AM170" s="22" t="str">
        <x:f>IF(AH170&lt;&gt;1,"",IF(AC170&lt;0,AF170-_xlfn.MAXIFS($AF$8:$AF$507,$AF$8:$AF$507,"&lt;="&amp;AF170,$AC$8:$AC$507,"&gt;=0",$AH$8:$AH$507,1),0))</x:f>
      </x:c>
      <x:c r="AN170" s="20" t="str">
        <x:f>IF(OR(A170="",NOT(ISNUMBER(B170)),NOT(ISNUMBER('Impostazioni'!$B$6))),"",'Impostazioni'!$B$6+SUMIFS($AC$8:$AC$507,$C$8:$C$507,"&lt;"&amp;B170,$AH$8:$AH$507,1)+SUMIFS('Cassa'!$F$8:$F$307,'Cassa'!$A$8:$A$307,"&lt;="&amp;B170,'Cassa'!$G$8:$G$307,"OK"))</x:f>
      </x:c>
      <x:c r="AO170" s="21" t="str">
        <x:f>IF(AND(ISNUMBER(Z170),ISNUMBER(AN170),AN170&gt;0),Z170/AN170,"")</x:f>
      </x:c>
      <x:c r="AP170" s="18" t="str">
        <x:f>IF(NOT(ISNUMBER(AO170)),"",IF(AO170&gt;'Impostazioni'!$B$7,"Oltre soglia personale","Nella soglia personale"))</x:f>
      </x:c>
      <x:c r="AQ170" s="18" t="str">
        <x:f>IF(A170="",IF(COUNTA(B170:V170)=0,"","Inserisci ID"),IF(COUNTIFS($A$8:$A$507,A170)&lt;&gt;1,"ID duplicato",IF(OR(NOT(ISNUMBER(B170)),D170="",E170="",F170="",G170="",H170="",COUNTIFS('Impostazioni'!$J$6:$J$25,F170)&lt;&gt;1),"Completa dati / elenchi",IF(OR(AND(I170&lt;&gt;"Lordo manuale",I170&lt;&gt;"Netto manuale",I170&lt;&gt;"Esecuzioni"),AND(J170&lt;&gt;"Aperto",J170&lt;&gt;"Chiuso",J170&lt;&gt;"Annullato")),"Modalità / stato mancanti",IF(AND(J170&lt;&gt;"Aperto",OR(NOT(ISNUMBER(C170)),C170&lt;B170)),"Correggi data chiusura",IF(OR(AND(Q170&lt;&gt;"",OR(NOT(ISNUMBER(Q170)),Q170&lt;0)),AND(R170&lt;&gt;"",OR(NOT(ISNUMBER(R170)),R170&lt;0,R170&gt;1))),"Commissione non valida",IF(J170="Annullato","OK",IF(OR(NOT(ISNUMBER(Z170)),Z170&lt;0,AND(O170&lt;&gt;"",NOT(ISNUMBER(O170)))),"Inserisci rischio",IF(AND(I170="Esecuzioni",OR(W170=0,COUNTIFS('Esecuzioni'!$A$8:$A$1007,A170,'Esecuzioni'!$Q$8:$Q$1007,"&lt;&gt;OK")&gt;0)),"Correggi esecuzioni",IF(J170="Aperto","OK",IF(AND(I170="Esecuzioni",S170="Coperto",ABS(X170-Y170)&gt;'Impostazioni'!$B$11),"Copertura residua",IF(NOT(ISNUMBER(AC170)),"Completa risultato / esito",IF(AND(Z170=0,AC170&lt;&gt;0),"Rischio nullo con P/L","OK")))))))))))))</x:f>
      </x:c>
      <x:c r="AR170" s="20" t="str">
        <x:f>IF(OR(A170="",J170&lt;&gt;"Aperto",AQ170&lt;&gt;"OK"),"",IF(I170="Esecuzioni",SUMIFS('Esecuzioni'!$P$8:$P$1007,'Esecuzioni'!$A$8:$A$1007,A170,'Esecuzioni'!$B$8:$B$1007,_xlfn.MAXIFS('Esecuzioni'!$B$8:$B$1007,'Esecuzioni'!$A$8:$A$1007,A170)),IF(LEFT(U170,8)="FREEBET:",0,Z170)))</x:f>
      </x:c>
      <x:c r="AS170" s="48" t="str">
        <x:f>IF(OR(A170="",E170=""),"",IF(COUNTIFS($E$8:E170,E170)=1,COUNT($AS$7:AS169)+1,""))</x:f>
      </x:c>
    </x:row>
    <x:row r="171" ht="22" customHeight="1">
      <x:c r="A171" s="7"/>
      <x:c r="B171" s="19"/>
      <x:c r="C171" s="19"/>
      <x:c r="D171" s="7"/>
      <x:c r="E171" s="7"/>
      <x:c r="F171" s="7"/>
      <x:c r="G171" s="7"/>
      <x:c r="H171" s="7"/>
      <x:c r="I171" s="7"/>
      <x:c r="J171" s="7"/>
      <x:c r="K171" s="10"/>
      <x:c r="L171" s="7"/>
      <x:c r="M171" s="10"/>
      <x:c r="N171" s="7"/>
      <x:c r="O171" s="8"/>
      <x:c r="P171" s="8"/>
      <x:c r="Q171" s="8"/>
      <x:c r="R171" s="9"/>
      <x:c r="S171" s="7"/>
      <x:c r="T171" s="7"/>
      <x:c r="U171" s="7"/>
      <x:c r="V171" s="7"/>
      <x:c r="W171" s="22" t="str">
        <x:f>IF(A171="","",COUNTIFS('Esecuzioni'!$A$8:$A$1007,A171,'Esecuzioni'!$Q$8:$Q$1007,"OK"))</x:f>
      </x:c>
      <x:c r="X171" s="20" t="str">
        <x:f>IF(OR(A171="",I171&lt;&gt;"Esecuzioni",W171=0),"",SUMIFS('Esecuzioni'!$L$8:$L$1007,'Esecuzioni'!$A$8:$A$1007,A171))</x:f>
      </x:c>
      <x:c r="Y171" s="20" t="str">
        <x:f>IF(OR(A171="",I171&lt;&gt;"Esecuzioni",W171=0),"",SUMIFS('Esecuzioni'!$M$8:$M$1007,'Esecuzioni'!$A$8:$A$1007,A171))</x:f>
      </x:c>
      <x:c r="Z171" s="20" t="str">
        <x:f>IF(A171="","",IF(J171="Annullato",0,IF(ISNUMBER(O171),O171,IF(AND(I171="Esecuzioni",W171&gt;0),_xlfn.MAXIFS('Esecuzioni'!$P$8:$P$1007,'Esecuzioni'!$A$8:$A$1007,A171),""))))</x:f>
      </x:c>
      <x:c r="AA171" s="20" t="str">
        <x:f>IF(OR(A171="",J171="Aperto"),"",IF(J171="Annullato",0,IF(I171="Lordo manuale",IF(ISNUMBER(P171),P171,""),IF(I171="Netto manuale",IF(AND(ISNUMBER(P171),ISNUMBER(Q171)),P171+Q171,""),IF(OR(W171=0,COUNTIFS('Esecuzioni'!$A$8:$A$1007,A171,'Esecuzioni'!$Q$8:$Q$1007,"&lt;&gt;OK")&gt;0),"",IF(S171="Vince",X171,IF(S171="Perde",Y171,IF(AND(S171="Coperto",ABS(X171-Y171)&lt;='Impostazioni'!$B$11),ROUND((X171+Y171)/2,2),""))))))))</x:f>
      </x:c>
      <x:c r="AB171" s="20" t="str">
        <x:f>IF(NOT(ISNUMBER(AA171)),"",IF(J171="Annullato",0,IF(ISNUMBER(Q171),Q171,ROUND(MAX(0,AA171)*IF(ISNUMBER(R171),R171,'Impostazioni'!$B$8),2))))</x:f>
      </x:c>
      <x:c r="AC171" s="20" t="str">
        <x:f>IF(AND(ISNUMBER(AA171),ISNUMBER(AB171)),ROUND(AA171-AB171,2),"")</x:f>
      </x:c>
      <x:c r="AD171" s="18" t="str">
        <x:f>IF(A171="","",IF(AQ171&lt;&gt;"OK","Incompleto",IF(J171="Aperto","Aperto",IF(J171="Annullato","Annullato",IF(AC171&gt;0,"Green",IF(AC171&lt;0,"Red","Flat"))))))</x:f>
      </x:c>
      <x:c r="AE171" s="21" t="str">
        <x:f>IF(AND(AH171=1,Z171&gt;0),AC171/Z171,"")</x:f>
      </x:c>
      <x:c r="AF171" s="22" t="str">
        <x:f>IF(AH171&lt;&gt;1,"",COUNTIFS($C$8:$C$507,"&lt;"&amp;C171,$AH$8:$AH$507,1)+COUNTIFS($C$8:$C$507,C171,$A$8:$A$507,"&lt;="&amp;A171,$AH$8:$AH$507,1))</x:f>
      </x:c>
      <x:c r="AG171" s="20" t="str">
        <x:f>IF(AH171&lt;&gt;1,"",SUMIFS($AC$8:$AC$507,$C$8:$C$507,"&lt;"&amp;C171,$AH$8:$AH$507,1)+SUMIFS($AC$8:$AC$507,$C$8:$C$507,C171,$A$8:$A$507,"&lt;="&amp;A171,$AH$8:$AH$507,1))</x:f>
      </x:c>
      <x:c r="AH171" s="22" t="str">
        <x:f>IF(A171="","",IF(AND(J171="Chiuso",AQ171="OK",ISNUMBER(AC171)),1,0))</x:f>
      </x:c>
      <x:c r="AI171" s="20" t="str">
        <x:f>IF(AH171&lt;&gt;1,"",MAX(0,_xlfn.MAXIFS($AG$8:$AG$507,$AF$8:$AF$507,"&lt;="&amp;AF171,$AH$8:$AH$507,1)))</x:f>
      </x:c>
      <x:c r="AJ171" s="20" t="str">
        <x:f>IF(AH171&lt;&gt;1,"",MAX(0,AI171-AG171))</x:f>
      </x:c>
      <x:c r="AK171" s="21" t="str">
        <x:f>IF(OR(AH171&lt;&gt;1,NOT(ISNUMBER('Impostazioni'!$B$6)),'Impostazioni'!$B$6+AI171&lt;=0),"",AJ171/('Impostazioni'!$B$6+AI171))</x:f>
      </x:c>
      <x:c r="AL171" s="22" t="str">
        <x:f>IF(AH171&lt;&gt;1,"",IF(AC171&gt;0,AF171-_xlfn.MAXIFS($AF$8:$AF$507,$AF$8:$AF$507,"&lt;="&amp;AF171,$AC$8:$AC$507,"&lt;=0",$AH$8:$AH$507,1),0))</x:f>
      </x:c>
      <x:c r="AM171" s="22" t="str">
        <x:f>IF(AH171&lt;&gt;1,"",IF(AC171&lt;0,AF171-_xlfn.MAXIFS($AF$8:$AF$507,$AF$8:$AF$507,"&lt;="&amp;AF171,$AC$8:$AC$507,"&gt;=0",$AH$8:$AH$507,1),0))</x:f>
      </x:c>
      <x:c r="AN171" s="20" t="str">
        <x:f>IF(OR(A171="",NOT(ISNUMBER(B171)),NOT(ISNUMBER('Impostazioni'!$B$6))),"",'Impostazioni'!$B$6+SUMIFS($AC$8:$AC$507,$C$8:$C$507,"&lt;"&amp;B171,$AH$8:$AH$507,1)+SUMIFS('Cassa'!$F$8:$F$307,'Cassa'!$A$8:$A$307,"&lt;="&amp;B171,'Cassa'!$G$8:$G$307,"OK"))</x:f>
      </x:c>
      <x:c r="AO171" s="21" t="str">
        <x:f>IF(AND(ISNUMBER(Z171),ISNUMBER(AN171),AN171&gt;0),Z171/AN171,"")</x:f>
      </x:c>
      <x:c r="AP171" s="18" t="str">
        <x:f>IF(NOT(ISNUMBER(AO171)),"",IF(AO171&gt;'Impostazioni'!$B$7,"Oltre soglia personale","Nella soglia personale"))</x:f>
      </x:c>
      <x:c r="AQ171" s="18" t="str">
        <x:f>IF(A171="",IF(COUNTA(B171:V171)=0,"","Inserisci ID"),IF(COUNTIFS($A$8:$A$507,A171)&lt;&gt;1,"ID duplicato",IF(OR(NOT(ISNUMBER(B171)),D171="",E171="",F171="",G171="",H171="",COUNTIFS('Impostazioni'!$J$6:$J$25,F171)&lt;&gt;1),"Completa dati / elenchi",IF(OR(AND(I171&lt;&gt;"Lordo manuale",I171&lt;&gt;"Netto manuale",I171&lt;&gt;"Esecuzioni"),AND(J171&lt;&gt;"Aperto",J171&lt;&gt;"Chiuso",J171&lt;&gt;"Annullato")),"Modalità / stato mancanti",IF(AND(J171&lt;&gt;"Aperto",OR(NOT(ISNUMBER(C171)),C171&lt;B171)),"Correggi data chiusura",IF(OR(AND(Q171&lt;&gt;"",OR(NOT(ISNUMBER(Q171)),Q171&lt;0)),AND(R171&lt;&gt;"",OR(NOT(ISNUMBER(R171)),R171&lt;0,R171&gt;1))),"Commissione non valida",IF(J171="Annullato","OK",IF(OR(NOT(ISNUMBER(Z171)),Z171&lt;0,AND(O171&lt;&gt;"",NOT(ISNUMBER(O171)))),"Inserisci rischio",IF(AND(I171="Esecuzioni",OR(W171=0,COUNTIFS('Esecuzioni'!$A$8:$A$1007,A171,'Esecuzioni'!$Q$8:$Q$1007,"&lt;&gt;OK")&gt;0)),"Correggi esecuzioni",IF(J171="Aperto","OK",IF(AND(I171="Esecuzioni",S171="Coperto",ABS(X171-Y171)&gt;'Impostazioni'!$B$11),"Copertura residua",IF(NOT(ISNUMBER(AC171)),"Completa risultato / esito",IF(AND(Z171=0,AC171&lt;&gt;0),"Rischio nullo con P/L","OK")))))))))))))</x:f>
      </x:c>
      <x:c r="AR171" s="20" t="str">
        <x:f>IF(OR(A171="",J171&lt;&gt;"Aperto",AQ171&lt;&gt;"OK"),"",IF(I171="Esecuzioni",SUMIFS('Esecuzioni'!$P$8:$P$1007,'Esecuzioni'!$A$8:$A$1007,A171,'Esecuzioni'!$B$8:$B$1007,_xlfn.MAXIFS('Esecuzioni'!$B$8:$B$1007,'Esecuzioni'!$A$8:$A$1007,A171)),IF(LEFT(U171,8)="FREEBET:",0,Z171)))</x:f>
      </x:c>
      <x:c r="AS171" s="48" t="str">
        <x:f>IF(OR(A171="",E171=""),"",IF(COUNTIFS($E$8:E171,E171)=1,COUNT($AS$7:AS170)+1,""))</x:f>
      </x:c>
    </x:row>
    <x:row r="172" ht="22" customHeight="1">
      <x:c r="A172" s="7"/>
      <x:c r="B172" s="19"/>
      <x:c r="C172" s="19"/>
      <x:c r="D172" s="7"/>
      <x:c r="E172" s="7"/>
      <x:c r="F172" s="7"/>
      <x:c r="G172" s="7"/>
      <x:c r="H172" s="7"/>
      <x:c r="I172" s="7"/>
      <x:c r="J172" s="7"/>
      <x:c r="K172" s="10"/>
      <x:c r="L172" s="7"/>
      <x:c r="M172" s="10"/>
      <x:c r="N172" s="7"/>
      <x:c r="O172" s="8"/>
      <x:c r="P172" s="8"/>
      <x:c r="Q172" s="8"/>
      <x:c r="R172" s="9"/>
      <x:c r="S172" s="7"/>
      <x:c r="T172" s="7"/>
      <x:c r="U172" s="7"/>
      <x:c r="V172" s="7"/>
      <x:c r="W172" s="22" t="str">
        <x:f>IF(A172="","",COUNTIFS('Esecuzioni'!$A$8:$A$1007,A172,'Esecuzioni'!$Q$8:$Q$1007,"OK"))</x:f>
      </x:c>
      <x:c r="X172" s="20" t="str">
        <x:f>IF(OR(A172="",I172&lt;&gt;"Esecuzioni",W172=0),"",SUMIFS('Esecuzioni'!$L$8:$L$1007,'Esecuzioni'!$A$8:$A$1007,A172))</x:f>
      </x:c>
      <x:c r="Y172" s="20" t="str">
        <x:f>IF(OR(A172="",I172&lt;&gt;"Esecuzioni",W172=0),"",SUMIFS('Esecuzioni'!$M$8:$M$1007,'Esecuzioni'!$A$8:$A$1007,A172))</x:f>
      </x:c>
      <x:c r="Z172" s="20" t="str">
        <x:f>IF(A172="","",IF(J172="Annullato",0,IF(ISNUMBER(O172),O172,IF(AND(I172="Esecuzioni",W172&gt;0),_xlfn.MAXIFS('Esecuzioni'!$P$8:$P$1007,'Esecuzioni'!$A$8:$A$1007,A172),""))))</x:f>
      </x:c>
      <x:c r="AA172" s="20" t="str">
        <x:f>IF(OR(A172="",J172="Aperto"),"",IF(J172="Annullato",0,IF(I172="Lordo manuale",IF(ISNUMBER(P172),P172,""),IF(I172="Netto manuale",IF(AND(ISNUMBER(P172),ISNUMBER(Q172)),P172+Q172,""),IF(OR(W172=0,COUNTIFS('Esecuzioni'!$A$8:$A$1007,A172,'Esecuzioni'!$Q$8:$Q$1007,"&lt;&gt;OK")&gt;0),"",IF(S172="Vince",X172,IF(S172="Perde",Y172,IF(AND(S172="Coperto",ABS(X172-Y172)&lt;='Impostazioni'!$B$11),ROUND((X172+Y172)/2,2),""))))))))</x:f>
      </x:c>
      <x:c r="AB172" s="20" t="str">
        <x:f>IF(NOT(ISNUMBER(AA172)),"",IF(J172="Annullato",0,IF(ISNUMBER(Q172),Q172,ROUND(MAX(0,AA172)*IF(ISNUMBER(R172),R172,'Impostazioni'!$B$8),2))))</x:f>
      </x:c>
      <x:c r="AC172" s="20" t="str">
        <x:f>IF(AND(ISNUMBER(AA172),ISNUMBER(AB172)),ROUND(AA172-AB172,2),"")</x:f>
      </x:c>
      <x:c r="AD172" s="18" t="str">
        <x:f>IF(A172="","",IF(AQ172&lt;&gt;"OK","Incompleto",IF(J172="Aperto","Aperto",IF(J172="Annullato","Annullato",IF(AC172&gt;0,"Green",IF(AC172&lt;0,"Red","Flat"))))))</x:f>
      </x:c>
      <x:c r="AE172" s="21" t="str">
        <x:f>IF(AND(AH172=1,Z172&gt;0),AC172/Z172,"")</x:f>
      </x:c>
      <x:c r="AF172" s="22" t="str">
        <x:f>IF(AH172&lt;&gt;1,"",COUNTIFS($C$8:$C$507,"&lt;"&amp;C172,$AH$8:$AH$507,1)+COUNTIFS($C$8:$C$507,C172,$A$8:$A$507,"&lt;="&amp;A172,$AH$8:$AH$507,1))</x:f>
      </x:c>
      <x:c r="AG172" s="20" t="str">
        <x:f>IF(AH172&lt;&gt;1,"",SUMIFS($AC$8:$AC$507,$C$8:$C$507,"&lt;"&amp;C172,$AH$8:$AH$507,1)+SUMIFS($AC$8:$AC$507,$C$8:$C$507,C172,$A$8:$A$507,"&lt;="&amp;A172,$AH$8:$AH$507,1))</x:f>
      </x:c>
      <x:c r="AH172" s="22" t="str">
        <x:f>IF(A172="","",IF(AND(J172="Chiuso",AQ172="OK",ISNUMBER(AC172)),1,0))</x:f>
      </x:c>
      <x:c r="AI172" s="20" t="str">
        <x:f>IF(AH172&lt;&gt;1,"",MAX(0,_xlfn.MAXIFS($AG$8:$AG$507,$AF$8:$AF$507,"&lt;="&amp;AF172,$AH$8:$AH$507,1)))</x:f>
      </x:c>
      <x:c r="AJ172" s="20" t="str">
        <x:f>IF(AH172&lt;&gt;1,"",MAX(0,AI172-AG172))</x:f>
      </x:c>
      <x:c r="AK172" s="21" t="str">
        <x:f>IF(OR(AH172&lt;&gt;1,NOT(ISNUMBER('Impostazioni'!$B$6)),'Impostazioni'!$B$6+AI172&lt;=0),"",AJ172/('Impostazioni'!$B$6+AI172))</x:f>
      </x:c>
      <x:c r="AL172" s="22" t="str">
        <x:f>IF(AH172&lt;&gt;1,"",IF(AC172&gt;0,AF172-_xlfn.MAXIFS($AF$8:$AF$507,$AF$8:$AF$507,"&lt;="&amp;AF172,$AC$8:$AC$507,"&lt;=0",$AH$8:$AH$507,1),0))</x:f>
      </x:c>
      <x:c r="AM172" s="22" t="str">
        <x:f>IF(AH172&lt;&gt;1,"",IF(AC172&lt;0,AF172-_xlfn.MAXIFS($AF$8:$AF$507,$AF$8:$AF$507,"&lt;="&amp;AF172,$AC$8:$AC$507,"&gt;=0",$AH$8:$AH$507,1),0))</x:f>
      </x:c>
      <x:c r="AN172" s="20" t="str">
        <x:f>IF(OR(A172="",NOT(ISNUMBER(B172)),NOT(ISNUMBER('Impostazioni'!$B$6))),"",'Impostazioni'!$B$6+SUMIFS($AC$8:$AC$507,$C$8:$C$507,"&lt;"&amp;B172,$AH$8:$AH$507,1)+SUMIFS('Cassa'!$F$8:$F$307,'Cassa'!$A$8:$A$307,"&lt;="&amp;B172,'Cassa'!$G$8:$G$307,"OK"))</x:f>
      </x:c>
      <x:c r="AO172" s="21" t="str">
        <x:f>IF(AND(ISNUMBER(Z172),ISNUMBER(AN172),AN172&gt;0),Z172/AN172,"")</x:f>
      </x:c>
      <x:c r="AP172" s="18" t="str">
        <x:f>IF(NOT(ISNUMBER(AO172)),"",IF(AO172&gt;'Impostazioni'!$B$7,"Oltre soglia personale","Nella soglia personale"))</x:f>
      </x:c>
      <x:c r="AQ172" s="18" t="str">
        <x:f>IF(A172="",IF(COUNTA(B172:V172)=0,"","Inserisci ID"),IF(COUNTIFS($A$8:$A$507,A172)&lt;&gt;1,"ID duplicato",IF(OR(NOT(ISNUMBER(B172)),D172="",E172="",F172="",G172="",H172="",COUNTIFS('Impostazioni'!$J$6:$J$25,F172)&lt;&gt;1),"Completa dati / elenchi",IF(OR(AND(I172&lt;&gt;"Lordo manuale",I172&lt;&gt;"Netto manuale",I172&lt;&gt;"Esecuzioni"),AND(J172&lt;&gt;"Aperto",J172&lt;&gt;"Chiuso",J172&lt;&gt;"Annullato")),"Modalità / stato mancanti",IF(AND(J172&lt;&gt;"Aperto",OR(NOT(ISNUMBER(C172)),C172&lt;B172)),"Correggi data chiusura",IF(OR(AND(Q172&lt;&gt;"",OR(NOT(ISNUMBER(Q172)),Q172&lt;0)),AND(R172&lt;&gt;"",OR(NOT(ISNUMBER(R172)),R172&lt;0,R172&gt;1))),"Commissione non valida",IF(J172="Annullato","OK",IF(OR(NOT(ISNUMBER(Z172)),Z172&lt;0,AND(O172&lt;&gt;"",NOT(ISNUMBER(O172)))),"Inserisci rischio",IF(AND(I172="Esecuzioni",OR(W172=0,COUNTIFS('Esecuzioni'!$A$8:$A$1007,A172,'Esecuzioni'!$Q$8:$Q$1007,"&lt;&gt;OK")&gt;0)),"Correggi esecuzioni",IF(J172="Aperto","OK",IF(AND(I172="Esecuzioni",S172="Coperto",ABS(X172-Y172)&gt;'Impostazioni'!$B$11),"Copertura residua",IF(NOT(ISNUMBER(AC172)),"Completa risultato / esito",IF(AND(Z172=0,AC172&lt;&gt;0),"Rischio nullo con P/L","OK")))))))))))))</x:f>
      </x:c>
      <x:c r="AR172" s="20" t="str">
        <x:f>IF(OR(A172="",J172&lt;&gt;"Aperto",AQ172&lt;&gt;"OK"),"",IF(I172="Esecuzioni",SUMIFS('Esecuzioni'!$P$8:$P$1007,'Esecuzioni'!$A$8:$A$1007,A172,'Esecuzioni'!$B$8:$B$1007,_xlfn.MAXIFS('Esecuzioni'!$B$8:$B$1007,'Esecuzioni'!$A$8:$A$1007,A172)),IF(LEFT(U172,8)="FREEBET:",0,Z172)))</x:f>
      </x:c>
      <x:c r="AS172" s="48" t="str">
        <x:f>IF(OR(A172="",E172=""),"",IF(COUNTIFS($E$8:E172,E172)=1,COUNT($AS$7:AS171)+1,""))</x:f>
      </x:c>
    </x:row>
    <x:row r="173" ht="22" customHeight="1">
      <x:c r="A173" s="7"/>
      <x:c r="B173" s="19"/>
      <x:c r="C173" s="19"/>
      <x:c r="D173" s="7"/>
      <x:c r="E173" s="7"/>
      <x:c r="F173" s="7"/>
      <x:c r="G173" s="7"/>
      <x:c r="H173" s="7"/>
      <x:c r="I173" s="7"/>
      <x:c r="J173" s="7"/>
      <x:c r="K173" s="10"/>
      <x:c r="L173" s="7"/>
      <x:c r="M173" s="10"/>
      <x:c r="N173" s="7"/>
      <x:c r="O173" s="8"/>
      <x:c r="P173" s="8"/>
      <x:c r="Q173" s="8"/>
      <x:c r="R173" s="9"/>
      <x:c r="S173" s="7"/>
      <x:c r="T173" s="7"/>
      <x:c r="U173" s="7"/>
      <x:c r="V173" s="7"/>
      <x:c r="W173" s="22" t="str">
        <x:f>IF(A173="","",COUNTIFS('Esecuzioni'!$A$8:$A$1007,A173,'Esecuzioni'!$Q$8:$Q$1007,"OK"))</x:f>
      </x:c>
      <x:c r="X173" s="20" t="str">
        <x:f>IF(OR(A173="",I173&lt;&gt;"Esecuzioni",W173=0),"",SUMIFS('Esecuzioni'!$L$8:$L$1007,'Esecuzioni'!$A$8:$A$1007,A173))</x:f>
      </x:c>
      <x:c r="Y173" s="20" t="str">
        <x:f>IF(OR(A173="",I173&lt;&gt;"Esecuzioni",W173=0),"",SUMIFS('Esecuzioni'!$M$8:$M$1007,'Esecuzioni'!$A$8:$A$1007,A173))</x:f>
      </x:c>
      <x:c r="Z173" s="20" t="str">
        <x:f>IF(A173="","",IF(J173="Annullato",0,IF(ISNUMBER(O173),O173,IF(AND(I173="Esecuzioni",W173&gt;0),_xlfn.MAXIFS('Esecuzioni'!$P$8:$P$1007,'Esecuzioni'!$A$8:$A$1007,A173),""))))</x:f>
      </x:c>
      <x:c r="AA173" s="20" t="str">
        <x:f>IF(OR(A173="",J173="Aperto"),"",IF(J173="Annullato",0,IF(I173="Lordo manuale",IF(ISNUMBER(P173),P173,""),IF(I173="Netto manuale",IF(AND(ISNUMBER(P173),ISNUMBER(Q173)),P173+Q173,""),IF(OR(W173=0,COUNTIFS('Esecuzioni'!$A$8:$A$1007,A173,'Esecuzioni'!$Q$8:$Q$1007,"&lt;&gt;OK")&gt;0),"",IF(S173="Vince",X173,IF(S173="Perde",Y173,IF(AND(S173="Coperto",ABS(X173-Y173)&lt;='Impostazioni'!$B$11),ROUND((X173+Y173)/2,2),""))))))))</x:f>
      </x:c>
      <x:c r="AB173" s="20" t="str">
        <x:f>IF(NOT(ISNUMBER(AA173)),"",IF(J173="Annullato",0,IF(ISNUMBER(Q173),Q173,ROUND(MAX(0,AA173)*IF(ISNUMBER(R173),R173,'Impostazioni'!$B$8),2))))</x:f>
      </x:c>
      <x:c r="AC173" s="20" t="str">
        <x:f>IF(AND(ISNUMBER(AA173),ISNUMBER(AB173)),ROUND(AA173-AB173,2),"")</x:f>
      </x:c>
      <x:c r="AD173" s="18" t="str">
        <x:f>IF(A173="","",IF(AQ173&lt;&gt;"OK","Incompleto",IF(J173="Aperto","Aperto",IF(J173="Annullato","Annullato",IF(AC173&gt;0,"Green",IF(AC173&lt;0,"Red","Flat"))))))</x:f>
      </x:c>
      <x:c r="AE173" s="21" t="str">
        <x:f>IF(AND(AH173=1,Z173&gt;0),AC173/Z173,"")</x:f>
      </x:c>
      <x:c r="AF173" s="22" t="str">
        <x:f>IF(AH173&lt;&gt;1,"",COUNTIFS($C$8:$C$507,"&lt;"&amp;C173,$AH$8:$AH$507,1)+COUNTIFS($C$8:$C$507,C173,$A$8:$A$507,"&lt;="&amp;A173,$AH$8:$AH$507,1))</x:f>
      </x:c>
      <x:c r="AG173" s="20" t="str">
        <x:f>IF(AH173&lt;&gt;1,"",SUMIFS($AC$8:$AC$507,$C$8:$C$507,"&lt;"&amp;C173,$AH$8:$AH$507,1)+SUMIFS($AC$8:$AC$507,$C$8:$C$507,C173,$A$8:$A$507,"&lt;="&amp;A173,$AH$8:$AH$507,1))</x:f>
      </x:c>
      <x:c r="AH173" s="22" t="str">
        <x:f>IF(A173="","",IF(AND(J173="Chiuso",AQ173="OK",ISNUMBER(AC173)),1,0))</x:f>
      </x:c>
      <x:c r="AI173" s="20" t="str">
        <x:f>IF(AH173&lt;&gt;1,"",MAX(0,_xlfn.MAXIFS($AG$8:$AG$507,$AF$8:$AF$507,"&lt;="&amp;AF173,$AH$8:$AH$507,1)))</x:f>
      </x:c>
      <x:c r="AJ173" s="20" t="str">
        <x:f>IF(AH173&lt;&gt;1,"",MAX(0,AI173-AG173))</x:f>
      </x:c>
      <x:c r="AK173" s="21" t="str">
        <x:f>IF(OR(AH173&lt;&gt;1,NOT(ISNUMBER('Impostazioni'!$B$6)),'Impostazioni'!$B$6+AI173&lt;=0),"",AJ173/('Impostazioni'!$B$6+AI173))</x:f>
      </x:c>
      <x:c r="AL173" s="22" t="str">
        <x:f>IF(AH173&lt;&gt;1,"",IF(AC173&gt;0,AF173-_xlfn.MAXIFS($AF$8:$AF$507,$AF$8:$AF$507,"&lt;="&amp;AF173,$AC$8:$AC$507,"&lt;=0",$AH$8:$AH$507,1),0))</x:f>
      </x:c>
      <x:c r="AM173" s="22" t="str">
        <x:f>IF(AH173&lt;&gt;1,"",IF(AC173&lt;0,AF173-_xlfn.MAXIFS($AF$8:$AF$507,$AF$8:$AF$507,"&lt;="&amp;AF173,$AC$8:$AC$507,"&gt;=0",$AH$8:$AH$507,1),0))</x:f>
      </x:c>
      <x:c r="AN173" s="20" t="str">
        <x:f>IF(OR(A173="",NOT(ISNUMBER(B173)),NOT(ISNUMBER('Impostazioni'!$B$6))),"",'Impostazioni'!$B$6+SUMIFS($AC$8:$AC$507,$C$8:$C$507,"&lt;"&amp;B173,$AH$8:$AH$507,1)+SUMIFS('Cassa'!$F$8:$F$307,'Cassa'!$A$8:$A$307,"&lt;="&amp;B173,'Cassa'!$G$8:$G$307,"OK"))</x:f>
      </x:c>
      <x:c r="AO173" s="21" t="str">
        <x:f>IF(AND(ISNUMBER(Z173),ISNUMBER(AN173),AN173&gt;0),Z173/AN173,"")</x:f>
      </x:c>
      <x:c r="AP173" s="18" t="str">
        <x:f>IF(NOT(ISNUMBER(AO173)),"",IF(AO173&gt;'Impostazioni'!$B$7,"Oltre soglia personale","Nella soglia personale"))</x:f>
      </x:c>
      <x:c r="AQ173" s="18" t="str">
        <x:f>IF(A173="",IF(COUNTA(B173:V173)=0,"","Inserisci ID"),IF(COUNTIFS($A$8:$A$507,A173)&lt;&gt;1,"ID duplicato",IF(OR(NOT(ISNUMBER(B173)),D173="",E173="",F173="",G173="",H173="",COUNTIFS('Impostazioni'!$J$6:$J$25,F173)&lt;&gt;1),"Completa dati / elenchi",IF(OR(AND(I173&lt;&gt;"Lordo manuale",I173&lt;&gt;"Netto manuale",I173&lt;&gt;"Esecuzioni"),AND(J173&lt;&gt;"Aperto",J173&lt;&gt;"Chiuso",J173&lt;&gt;"Annullato")),"Modalità / stato mancanti",IF(AND(J173&lt;&gt;"Aperto",OR(NOT(ISNUMBER(C173)),C173&lt;B173)),"Correggi data chiusura",IF(OR(AND(Q173&lt;&gt;"",OR(NOT(ISNUMBER(Q173)),Q173&lt;0)),AND(R173&lt;&gt;"",OR(NOT(ISNUMBER(R173)),R173&lt;0,R173&gt;1))),"Commissione non valida",IF(J173="Annullato","OK",IF(OR(NOT(ISNUMBER(Z173)),Z173&lt;0,AND(O173&lt;&gt;"",NOT(ISNUMBER(O173)))),"Inserisci rischio",IF(AND(I173="Esecuzioni",OR(W173=0,COUNTIFS('Esecuzioni'!$A$8:$A$1007,A173,'Esecuzioni'!$Q$8:$Q$1007,"&lt;&gt;OK")&gt;0)),"Correggi esecuzioni",IF(J173="Aperto","OK",IF(AND(I173="Esecuzioni",S173="Coperto",ABS(X173-Y173)&gt;'Impostazioni'!$B$11),"Copertura residua",IF(NOT(ISNUMBER(AC173)),"Completa risultato / esito",IF(AND(Z173=0,AC173&lt;&gt;0),"Rischio nullo con P/L","OK")))))))))))))</x:f>
      </x:c>
      <x:c r="AR173" s="20" t="str">
        <x:f>IF(OR(A173="",J173&lt;&gt;"Aperto",AQ173&lt;&gt;"OK"),"",IF(I173="Esecuzioni",SUMIFS('Esecuzioni'!$P$8:$P$1007,'Esecuzioni'!$A$8:$A$1007,A173,'Esecuzioni'!$B$8:$B$1007,_xlfn.MAXIFS('Esecuzioni'!$B$8:$B$1007,'Esecuzioni'!$A$8:$A$1007,A173)),IF(LEFT(U173,8)="FREEBET:",0,Z173)))</x:f>
      </x:c>
      <x:c r="AS173" s="48" t="str">
        <x:f>IF(OR(A173="",E173=""),"",IF(COUNTIFS($E$8:E173,E173)=1,COUNT($AS$7:AS172)+1,""))</x:f>
      </x:c>
    </x:row>
    <x:row r="174" ht="22" customHeight="1">
      <x:c r="A174" s="7"/>
      <x:c r="B174" s="19"/>
      <x:c r="C174" s="19"/>
      <x:c r="D174" s="7"/>
      <x:c r="E174" s="7"/>
      <x:c r="F174" s="7"/>
      <x:c r="G174" s="7"/>
      <x:c r="H174" s="7"/>
      <x:c r="I174" s="7"/>
      <x:c r="J174" s="7"/>
      <x:c r="K174" s="10"/>
      <x:c r="L174" s="7"/>
      <x:c r="M174" s="10"/>
      <x:c r="N174" s="7"/>
      <x:c r="O174" s="8"/>
      <x:c r="P174" s="8"/>
      <x:c r="Q174" s="8"/>
      <x:c r="R174" s="9"/>
      <x:c r="S174" s="7"/>
      <x:c r="T174" s="7"/>
      <x:c r="U174" s="7"/>
      <x:c r="V174" s="7"/>
      <x:c r="W174" s="22" t="str">
        <x:f>IF(A174="","",COUNTIFS('Esecuzioni'!$A$8:$A$1007,A174,'Esecuzioni'!$Q$8:$Q$1007,"OK"))</x:f>
      </x:c>
      <x:c r="X174" s="20" t="str">
        <x:f>IF(OR(A174="",I174&lt;&gt;"Esecuzioni",W174=0),"",SUMIFS('Esecuzioni'!$L$8:$L$1007,'Esecuzioni'!$A$8:$A$1007,A174))</x:f>
      </x:c>
      <x:c r="Y174" s="20" t="str">
        <x:f>IF(OR(A174="",I174&lt;&gt;"Esecuzioni",W174=0),"",SUMIFS('Esecuzioni'!$M$8:$M$1007,'Esecuzioni'!$A$8:$A$1007,A174))</x:f>
      </x:c>
      <x:c r="Z174" s="20" t="str">
        <x:f>IF(A174="","",IF(J174="Annullato",0,IF(ISNUMBER(O174),O174,IF(AND(I174="Esecuzioni",W174&gt;0),_xlfn.MAXIFS('Esecuzioni'!$P$8:$P$1007,'Esecuzioni'!$A$8:$A$1007,A174),""))))</x:f>
      </x:c>
      <x:c r="AA174" s="20" t="str">
        <x:f>IF(OR(A174="",J174="Aperto"),"",IF(J174="Annullato",0,IF(I174="Lordo manuale",IF(ISNUMBER(P174),P174,""),IF(I174="Netto manuale",IF(AND(ISNUMBER(P174),ISNUMBER(Q174)),P174+Q174,""),IF(OR(W174=0,COUNTIFS('Esecuzioni'!$A$8:$A$1007,A174,'Esecuzioni'!$Q$8:$Q$1007,"&lt;&gt;OK")&gt;0),"",IF(S174="Vince",X174,IF(S174="Perde",Y174,IF(AND(S174="Coperto",ABS(X174-Y174)&lt;='Impostazioni'!$B$11),ROUND((X174+Y174)/2,2),""))))))))</x:f>
      </x:c>
      <x:c r="AB174" s="20" t="str">
        <x:f>IF(NOT(ISNUMBER(AA174)),"",IF(J174="Annullato",0,IF(ISNUMBER(Q174),Q174,ROUND(MAX(0,AA174)*IF(ISNUMBER(R174),R174,'Impostazioni'!$B$8),2))))</x:f>
      </x:c>
      <x:c r="AC174" s="20" t="str">
        <x:f>IF(AND(ISNUMBER(AA174),ISNUMBER(AB174)),ROUND(AA174-AB174,2),"")</x:f>
      </x:c>
      <x:c r="AD174" s="18" t="str">
        <x:f>IF(A174="","",IF(AQ174&lt;&gt;"OK","Incompleto",IF(J174="Aperto","Aperto",IF(J174="Annullato","Annullato",IF(AC174&gt;0,"Green",IF(AC174&lt;0,"Red","Flat"))))))</x:f>
      </x:c>
      <x:c r="AE174" s="21" t="str">
        <x:f>IF(AND(AH174=1,Z174&gt;0),AC174/Z174,"")</x:f>
      </x:c>
      <x:c r="AF174" s="22" t="str">
        <x:f>IF(AH174&lt;&gt;1,"",COUNTIFS($C$8:$C$507,"&lt;"&amp;C174,$AH$8:$AH$507,1)+COUNTIFS($C$8:$C$507,C174,$A$8:$A$507,"&lt;="&amp;A174,$AH$8:$AH$507,1))</x:f>
      </x:c>
      <x:c r="AG174" s="20" t="str">
        <x:f>IF(AH174&lt;&gt;1,"",SUMIFS($AC$8:$AC$507,$C$8:$C$507,"&lt;"&amp;C174,$AH$8:$AH$507,1)+SUMIFS($AC$8:$AC$507,$C$8:$C$507,C174,$A$8:$A$507,"&lt;="&amp;A174,$AH$8:$AH$507,1))</x:f>
      </x:c>
      <x:c r="AH174" s="22" t="str">
        <x:f>IF(A174="","",IF(AND(J174="Chiuso",AQ174="OK",ISNUMBER(AC174)),1,0))</x:f>
      </x:c>
      <x:c r="AI174" s="20" t="str">
        <x:f>IF(AH174&lt;&gt;1,"",MAX(0,_xlfn.MAXIFS($AG$8:$AG$507,$AF$8:$AF$507,"&lt;="&amp;AF174,$AH$8:$AH$507,1)))</x:f>
      </x:c>
      <x:c r="AJ174" s="20" t="str">
        <x:f>IF(AH174&lt;&gt;1,"",MAX(0,AI174-AG174))</x:f>
      </x:c>
      <x:c r="AK174" s="21" t="str">
        <x:f>IF(OR(AH174&lt;&gt;1,NOT(ISNUMBER('Impostazioni'!$B$6)),'Impostazioni'!$B$6+AI174&lt;=0),"",AJ174/('Impostazioni'!$B$6+AI174))</x:f>
      </x:c>
      <x:c r="AL174" s="22" t="str">
        <x:f>IF(AH174&lt;&gt;1,"",IF(AC174&gt;0,AF174-_xlfn.MAXIFS($AF$8:$AF$507,$AF$8:$AF$507,"&lt;="&amp;AF174,$AC$8:$AC$507,"&lt;=0",$AH$8:$AH$507,1),0))</x:f>
      </x:c>
      <x:c r="AM174" s="22" t="str">
        <x:f>IF(AH174&lt;&gt;1,"",IF(AC174&lt;0,AF174-_xlfn.MAXIFS($AF$8:$AF$507,$AF$8:$AF$507,"&lt;="&amp;AF174,$AC$8:$AC$507,"&gt;=0",$AH$8:$AH$507,1),0))</x:f>
      </x:c>
      <x:c r="AN174" s="20" t="str">
        <x:f>IF(OR(A174="",NOT(ISNUMBER(B174)),NOT(ISNUMBER('Impostazioni'!$B$6))),"",'Impostazioni'!$B$6+SUMIFS($AC$8:$AC$507,$C$8:$C$507,"&lt;"&amp;B174,$AH$8:$AH$507,1)+SUMIFS('Cassa'!$F$8:$F$307,'Cassa'!$A$8:$A$307,"&lt;="&amp;B174,'Cassa'!$G$8:$G$307,"OK"))</x:f>
      </x:c>
      <x:c r="AO174" s="21" t="str">
        <x:f>IF(AND(ISNUMBER(Z174),ISNUMBER(AN174),AN174&gt;0),Z174/AN174,"")</x:f>
      </x:c>
      <x:c r="AP174" s="18" t="str">
        <x:f>IF(NOT(ISNUMBER(AO174)),"",IF(AO174&gt;'Impostazioni'!$B$7,"Oltre soglia personale","Nella soglia personale"))</x:f>
      </x:c>
      <x:c r="AQ174" s="18" t="str">
        <x:f>IF(A174="",IF(COUNTA(B174:V174)=0,"","Inserisci ID"),IF(COUNTIFS($A$8:$A$507,A174)&lt;&gt;1,"ID duplicato",IF(OR(NOT(ISNUMBER(B174)),D174="",E174="",F174="",G174="",H174="",COUNTIFS('Impostazioni'!$J$6:$J$25,F174)&lt;&gt;1),"Completa dati / elenchi",IF(OR(AND(I174&lt;&gt;"Lordo manuale",I174&lt;&gt;"Netto manuale",I174&lt;&gt;"Esecuzioni"),AND(J174&lt;&gt;"Aperto",J174&lt;&gt;"Chiuso",J174&lt;&gt;"Annullato")),"Modalità / stato mancanti",IF(AND(J174&lt;&gt;"Aperto",OR(NOT(ISNUMBER(C174)),C174&lt;B174)),"Correggi data chiusura",IF(OR(AND(Q174&lt;&gt;"",OR(NOT(ISNUMBER(Q174)),Q174&lt;0)),AND(R174&lt;&gt;"",OR(NOT(ISNUMBER(R174)),R174&lt;0,R174&gt;1))),"Commissione non valida",IF(J174="Annullato","OK",IF(OR(NOT(ISNUMBER(Z174)),Z174&lt;0,AND(O174&lt;&gt;"",NOT(ISNUMBER(O174)))),"Inserisci rischio",IF(AND(I174="Esecuzioni",OR(W174=0,COUNTIFS('Esecuzioni'!$A$8:$A$1007,A174,'Esecuzioni'!$Q$8:$Q$1007,"&lt;&gt;OK")&gt;0)),"Correggi esecuzioni",IF(J174="Aperto","OK",IF(AND(I174="Esecuzioni",S174="Coperto",ABS(X174-Y174)&gt;'Impostazioni'!$B$11),"Copertura residua",IF(NOT(ISNUMBER(AC174)),"Completa risultato / esito",IF(AND(Z174=0,AC174&lt;&gt;0),"Rischio nullo con P/L","OK")))))))))))))</x:f>
      </x:c>
      <x:c r="AR174" s="20" t="str">
        <x:f>IF(OR(A174="",J174&lt;&gt;"Aperto",AQ174&lt;&gt;"OK"),"",IF(I174="Esecuzioni",SUMIFS('Esecuzioni'!$P$8:$P$1007,'Esecuzioni'!$A$8:$A$1007,A174,'Esecuzioni'!$B$8:$B$1007,_xlfn.MAXIFS('Esecuzioni'!$B$8:$B$1007,'Esecuzioni'!$A$8:$A$1007,A174)),IF(LEFT(U174,8)="FREEBET:",0,Z174)))</x:f>
      </x:c>
      <x:c r="AS174" s="48" t="str">
        <x:f>IF(OR(A174="",E174=""),"",IF(COUNTIFS($E$8:E174,E174)=1,COUNT($AS$7:AS173)+1,""))</x:f>
      </x:c>
    </x:row>
    <x:row r="175" ht="22" customHeight="1">
      <x:c r="A175" s="7"/>
      <x:c r="B175" s="19"/>
      <x:c r="C175" s="19"/>
      <x:c r="D175" s="7"/>
      <x:c r="E175" s="7"/>
      <x:c r="F175" s="7"/>
      <x:c r="G175" s="7"/>
      <x:c r="H175" s="7"/>
      <x:c r="I175" s="7"/>
      <x:c r="J175" s="7"/>
      <x:c r="K175" s="10"/>
      <x:c r="L175" s="7"/>
      <x:c r="M175" s="10"/>
      <x:c r="N175" s="7"/>
      <x:c r="O175" s="8"/>
      <x:c r="P175" s="8"/>
      <x:c r="Q175" s="8"/>
      <x:c r="R175" s="9"/>
      <x:c r="S175" s="7"/>
      <x:c r="T175" s="7"/>
      <x:c r="U175" s="7"/>
      <x:c r="V175" s="7"/>
      <x:c r="W175" s="22" t="str">
        <x:f>IF(A175="","",COUNTIFS('Esecuzioni'!$A$8:$A$1007,A175,'Esecuzioni'!$Q$8:$Q$1007,"OK"))</x:f>
      </x:c>
      <x:c r="X175" s="20" t="str">
        <x:f>IF(OR(A175="",I175&lt;&gt;"Esecuzioni",W175=0),"",SUMIFS('Esecuzioni'!$L$8:$L$1007,'Esecuzioni'!$A$8:$A$1007,A175))</x:f>
      </x:c>
      <x:c r="Y175" s="20" t="str">
        <x:f>IF(OR(A175="",I175&lt;&gt;"Esecuzioni",W175=0),"",SUMIFS('Esecuzioni'!$M$8:$M$1007,'Esecuzioni'!$A$8:$A$1007,A175))</x:f>
      </x:c>
      <x:c r="Z175" s="20" t="str">
        <x:f>IF(A175="","",IF(J175="Annullato",0,IF(ISNUMBER(O175),O175,IF(AND(I175="Esecuzioni",W175&gt;0),_xlfn.MAXIFS('Esecuzioni'!$P$8:$P$1007,'Esecuzioni'!$A$8:$A$1007,A175),""))))</x:f>
      </x:c>
      <x:c r="AA175" s="20" t="str">
        <x:f>IF(OR(A175="",J175="Aperto"),"",IF(J175="Annullato",0,IF(I175="Lordo manuale",IF(ISNUMBER(P175),P175,""),IF(I175="Netto manuale",IF(AND(ISNUMBER(P175),ISNUMBER(Q175)),P175+Q175,""),IF(OR(W175=0,COUNTIFS('Esecuzioni'!$A$8:$A$1007,A175,'Esecuzioni'!$Q$8:$Q$1007,"&lt;&gt;OK")&gt;0),"",IF(S175="Vince",X175,IF(S175="Perde",Y175,IF(AND(S175="Coperto",ABS(X175-Y175)&lt;='Impostazioni'!$B$11),ROUND((X175+Y175)/2,2),""))))))))</x:f>
      </x:c>
      <x:c r="AB175" s="20" t="str">
        <x:f>IF(NOT(ISNUMBER(AA175)),"",IF(J175="Annullato",0,IF(ISNUMBER(Q175),Q175,ROUND(MAX(0,AA175)*IF(ISNUMBER(R175),R175,'Impostazioni'!$B$8),2))))</x:f>
      </x:c>
      <x:c r="AC175" s="20" t="str">
        <x:f>IF(AND(ISNUMBER(AA175),ISNUMBER(AB175)),ROUND(AA175-AB175,2),"")</x:f>
      </x:c>
      <x:c r="AD175" s="18" t="str">
        <x:f>IF(A175="","",IF(AQ175&lt;&gt;"OK","Incompleto",IF(J175="Aperto","Aperto",IF(J175="Annullato","Annullato",IF(AC175&gt;0,"Green",IF(AC175&lt;0,"Red","Flat"))))))</x:f>
      </x:c>
      <x:c r="AE175" s="21" t="str">
        <x:f>IF(AND(AH175=1,Z175&gt;0),AC175/Z175,"")</x:f>
      </x:c>
      <x:c r="AF175" s="22" t="str">
        <x:f>IF(AH175&lt;&gt;1,"",COUNTIFS($C$8:$C$507,"&lt;"&amp;C175,$AH$8:$AH$507,1)+COUNTIFS($C$8:$C$507,C175,$A$8:$A$507,"&lt;="&amp;A175,$AH$8:$AH$507,1))</x:f>
      </x:c>
      <x:c r="AG175" s="20" t="str">
        <x:f>IF(AH175&lt;&gt;1,"",SUMIFS($AC$8:$AC$507,$C$8:$C$507,"&lt;"&amp;C175,$AH$8:$AH$507,1)+SUMIFS($AC$8:$AC$507,$C$8:$C$507,C175,$A$8:$A$507,"&lt;="&amp;A175,$AH$8:$AH$507,1))</x:f>
      </x:c>
      <x:c r="AH175" s="22" t="str">
        <x:f>IF(A175="","",IF(AND(J175="Chiuso",AQ175="OK",ISNUMBER(AC175)),1,0))</x:f>
      </x:c>
      <x:c r="AI175" s="20" t="str">
        <x:f>IF(AH175&lt;&gt;1,"",MAX(0,_xlfn.MAXIFS($AG$8:$AG$507,$AF$8:$AF$507,"&lt;="&amp;AF175,$AH$8:$AH$507,1)))</x:f>
      </x:c>
      <x:c r="AJ175" s="20" t="str">
        <x:f>IF(AH175&lt;&gt;1,"",MAX(0,AI175-AG175))</x:f>
      </x:c>
      <x:c r="AK175" s="21" t="str">
        <x:f>IF(OR(AH175&lt;&gt;1,NOT(ISNUMBER('Impostazioni'!$B$6)),'Impostazioni'!$B$6+AI175&lt;=0),"",AJ175/('Impostazioni'!$B$6+AI175))</x:f>
      </x:c>
      <x:c r="AL175" s="22" t="str">
        <x:f>IF(AH175&lt;&gt;1,"",IF(AC175&gt;0,AF175-_xlfn.MAXIFS($AF$8:$AF$507,$AF$8:$AF$507,"&lt;="&amp;AF175,$AC$8:$AC$507,"&lt;=0",$AH$8:$AH$507,1),0))</x:f>
      </x:c>
      <x:c r="AM175" s="22" t="str">
        <x:f>IF(AH175&lt;&gt;1,"",IF(AC175&lt;0,AF175-_xlfn.MAXIFS($AF$8:$AF$507,$AF$8:$AF$507,"&lt;="&amp;AF175,$AC$8:$AC$507,"&gt;=0",$AH$8:$AH$507,1),0))</x:f>
      </x:c>
      <x:c r="AN175" s="20" t="str">
        <x:f>IF(OR(A175="",NOT(ISNUMBER(B175)),NOT(ISNUMBER('Impostazioni'!$B$6))),"",'Impostazioni'!$B$6+SUMIFS($AC$8:$AC$507,$C$8:$C$507,"&lt;"&amp;B175,$AH$8:$AH$507,1)+SUMIFS('Cassa'!$F$8:$F$307,'Cassa'!$A$8:$A$307,"&lt;="&amp;B175,'Cassa'!$G$8:$G$307,"OK"))</x:f>
      </x:c>
      <x:c r="AO175" s="21" t="str">
        <x:f>IF(AND(ISNUMBER(Z175),ISNUMBER(AN175),AN175&gt;0),Z175/AN175,"")</x:f>
      </x:c>
      <x:c r="AP175" s="18" t="str">
        <x:f>IF(NOT(ISNUMBER(AO175)),"",IF(AO175&gt;'Impostazioni'!$B$7,"Oltre soglia personale","Nella soglia personale"))</x:f>
      </x:c>
      <x:c r="AQ175" s="18" t="str">
        <x:f>IF(A175="",IF(COUNTA(B175:V175)=0,"","Inserisci ID"),IF(COUNTIFS($A$8:$A$507,A175)&lt;&gt;1,"ID duplicato",IF(OR(NOT(ISNUMBER(B175)),D175="",E175="",F175="",G175="",H175="",COUNTIFS('Impostazioni'!$J$6:$J$25,F175)&lt;&gt;1),"Completa dati / elenchi",IF(OR(AND(I175&lt;&gt;"Lordo manuale",I175&lt;&gt;"Netto manuale",I175&lt;&gt;"Esecuzioni"),AND(J175&lt;&gt;"Aperto",J175&lt;&gt;"Chiuso",J175&lt;&gt;"Annullato")),"Modalità / stato mancanti",IF(AND(J175&lt;&gt;"Aperto",OR(NOT(ISNUMBER(C175)),C175&lt;B175)),"Correggi data chiusura",IF(OR(AND(Q175&lt;&gt;"",OR(NOT(ISNUMBER(Q175)),Q175&lt;0)),AND(R175&lt;&gt;"",OR(NOT(ISNUMBER(R175)),R175&lt;0,R175&gt;1))),"Commissione non valida",IF(J175="Annullato","OK",IF(OR(NOT(ISNUMBER(Z175)),Z175&lt;0,AND(O175&lt;&gt;"",NOT(ISNUMBER(O175)))),"Inserisci rischio",IF(AND(I175="Esecuzioni",OR(W175=0,COUNTIFS('Esecuzioni'!$A$8:$A$1007,A175,'Esecuzioni'!$Q$8:$Q$1007,"&lt;&gt;OK")&gt;0)),"Correggi esecuzioni",IF(J175="Aperto","OK",IF(AND(I175="Esecuzioni",S175="Coperto",ABS(X175-Y175)&gt;'Impostazioni'!$B$11),"Copertura residua",IF(NOT(ISNUMBER(AC175)),"Completa risultato / esito",IF(AND(Z175=0,AC175&lt;&gt;0),"Rischio nullo con P/L","OK")))))))))))))</x:f>
      </x:c>
      <x:c r="AR175" s="20" t="str">
        <x:f>IF(OR(A175="",J175&lt;&gt;"Aperto",AQ175&lt;&gt;"OK"),"",IF(I175="Esecuzioni",SUMIFS('Esecuzioni'!$P$8:$P$1007,'Esecuzioni'!$A$8:$A$1007,A175,'Esecuzioni'!$B$8:$B$1007,_xlfn.MAXIFS('Esecuzioni'!$B$8:$B$1007,'Esecuzioni'!$A$8:$A$1007,A175)),IF(LEFT(U175,8)="FREEBET:",0,Z175)))</x:f>
      </x:c>
      <x:c r="AS175" s="48" t="str">
        <x:f>IF(OR(A175="",E175=""),"",IF(COUNTIFS($E$8:E175,E175)=1,COUNT($AS$7:AS174)+1,""))</x:f>
      </x:c>
    </x:row>
    <x:row r="176" ht="22" customHeight="1">
      <x:c r="A176" s="7"/>
      <x:c r="B176" s="19"/>
      <x:c r="C176" s="19"/>
      <x:c r="D176" s="7"/>
      <x:c r="E176" s="7"/>
      <x:c r="F176" s="7"/>
      <x:c r="G176" s="7"/>
      <x:c r="H176" s="7"/>
      <x:c r="I176" s="7"/>
      <x:c r="J176" s="7"/>
      <x:c r="K176" s="10"/>
      <x:c r="L176" s="7"/>
      <x:c r="M176" s="10"/>
      <x:c r="N176" s="7"/>
      <x:c r="O176" s="8"/>
      <x:c r="P176" s="8"/>
      <x:c r="Q176" s="8"/>
      <x:c r="R176" s="9"/>
      <x:c r="S176" s="7"/>
      <x:c r="T176" s="7"/>
      <x:c r="U176" s="7"/>
      <x:c r="V176" s="7"/>
      <x:c r="W176" s="22" t="str">
        <x:f>IF(A176="","",COUNTIFS('Esecuzioni'!$A$8:$A$1007,A176,'Esecuzioni'!$Q$8:$Q$1007,"OK"))</x:f>
      </x:c>
      <x:c r="X176" s="20" t="str">
        <x:f>IF(OR(A176="",I176&lt;&gt;"Esecuzioni",W176=0),"",SUMIFS('Esecuzioni'!$L$8:$L$1007,'Esecuzioni'!$A$8:$A$1007,A176))</x:f>
      </x:c>
      <x:c r="Y176" s="20" t="str">
        <x:f>IF(OR(A176="",I176&lt;&gt;"Esecuzioni",W176=0),"",SUMIFS('Esecuzioni'!$M$8:$M$1007,'Esecuzioni'!$A$8:$A$1007,A176))</x:f>
      </x:c>
      <x:c r="Z176" s="20" t="str">
        <x:f>IF(A176="","",IF(J176="Annullato",0,IF(ISNUMBER(O176),O176,IF(AND(I176="Esecuzioni",W176&gt;0),_xlfn.MAXIFS('Esecuzioni'!$P$8:$P$1007,'Esecuzioni'!$A$8:$A$1007,A176),""))))</x:f>
      </x:c>
      <x:c r="AA176" s="20" t="str">
        <x:f>IF(OR(A176="",J176="Aperto"),"",IF(J176="Annullato",0,IF(I176="Lordo manuale",IF(ISNUMBER(P176),P176,""),IF(I176="Netto manuale",IF(AND(ISNUMBER(P176),ISNUMBER(Q176)),P176+Q176,""),IF(OR(W176=0,COUNTIFS('Esecuzioni'!$A$8:$A$1007,A176,'Esecuzioni'!$Q$8:$Q$1007,"&lt;&gt;OK")&gt;0),"",IF(S176="Vince",X176,IF(S176="Perde",Y176,IF(AND(S176="Coperto",ABS(X176-Y176)&lt;='Impostazioni'!$B$11),ROUND((X176+Y176)/2,2),""))))))))</x:f>
      </x:c>
      <x:c r="AB176" s="20" t="str">
        <x:f>IF(NOT(ISNUMBER(AA176)),"",IF(J176="Annullato",0,IF(ISNUMBER(Q176),Q176,ROUND(MAX(0,AA176)*IF(ISNUMBER(R176),R176,'Impostazioni'!$B$8),2))))</x:f>
      </x:c>
      <x:c r="AC176" s="20" t="str">
        <x:f>IF(AND(ISNUMBER(AA176),ISNUMBER(AB176)),ROUND(AA176-AB176,2),"")</x:f>
      </x:c>
      <x:c r="AD176" s="18" t="str">
        <x:f>IF(A176="","",IF(AQ176&lt;&gt;"OK","Incompleto",IF(J176="Aperto","Aperto",IF(J176="Annullato","Annullato",IF(AC176&gt;0,"Green",IF(AC176&lt;0,"Red","Flat"))))))</x:f>
      </x:c>
      <x:c r="AE176" s="21" t="str">
        <x:f>IF(AND(AH176=1,Z176&gt;0),AC176/Z176,"")</x:f>
      </x:c>
      <x:c r="AF176" s="22" t="str">
        <x:f>IF(AH176&lt;&gt;1,"",COUNTIFS($C$8:$C$507,"&lt;"&amp;C176,$AH$8:$AH$507,1)+COUNTIFS($C$8:$C$507,C176,$A$8:$A$507,"&lt;="&amp;A176,$AH$8:$AH$507,1))</x:f>
      </x:c>
      <x:c r="AG176" s="20" t="str">
        <x:f>IF(AH176&lt;&gt;1,"",SUMIFS($AC$8:$AC$507,$C$8:$C$507,"&lt;"&amp;C176,$AH$8:$AH$507,1)+SUMIFS($AC$8:$AC$507,$C$8:$C$507,C176,$A$8:$A$507,"&lt;="&amp;A176,$AH$8:$AH$507,1))</x:f>
      </x:c>
      <x:c r="AH176" s="22" t="str">
        <x:f>IF(A176="","",IF(AND(J176="Chiuso",AQ176="OK",ISNUMBER(AC176)),1,0))</x:f>
      </x:c>
      <x:c r="AI176" s="20" t="str">
        <x:f>IF(AH176&lt;&gt;1,"",MAX(0,_xlfn.MAXIFS($AG$8:$AG$507,$AF$8:$AF$507,"&lt;="&amp;AF176,$AH$8:$AH$507,1)))</x:f>
      </x:c>
      <x:c r="AJ176" s="20" t="str">
        <x:f>IF(AH176&lt;&gt;1,"",MAX(0,AI176-AG176))</x:f>
      </x:c>
      <x:c r="AK176" s="21" t="str">
        <x:f>IF(OR(AH176&lt;&gt;1,NOT(ISNUMBER('Impostazioni'!$B$6)),'Impostazioni'!$B$6+AI176&lt;=0),"",AJ176/('Impostazioni'!$B$6+AI176))</x:f>
      </x:c>
      <x:c r="AL176" s="22" t="str">
        <x:f>IF(AH176&lt;&gt;1,"",IF(AC176&gt;0,AF176-_xlfn.MAXIFS($AF$8:$AF$507,$AF$8:$AF$507,"&lt;="&amp;AF176,$AC$8:$AC$507,"&lt;=0",$AH$8:$AH$507,1),0))</x:f>
      </x:c>
      <x:c r="AM176" s="22" t="str">
        <x:f>IF(AH176&lt;&gt;1,"",IF(AC176&lt;0,AF176-_xlfn.MAXIFS($AF$8:$AF$507,$AF$8:$AF$507,"&lt;="&amp;AF176,$AC$8:$AC$507,"&gt;=0",$AH$8:$AH$507,1),0))</x:f>
      </x:c>
      <x:c r="AN176" s="20" t="str">
        <x:f>IF(OR(A176="",NOT(ISNUMBER(B176)),NOT(ISNUMBER('Impostazioni'!$B$6))),"",'Impostazioni'!$B$6+SUMIFS($AC$8:$AC$507,$C$8:$C$507,"&lt;"&amp;B176,$AH$8:$AH$507,1)+SUMIFS('Cassa'!$F$8:$F$307,'Cassa'!$A$8:$A$307,"&lt;="&amp;B176,'Cassa'!$G$8:$G$307,"OK"))</x:f>
      </x:c>
      <x:c r="AO176" s="21" t="str">
        <x:f>IF(AND(ISNUMBER(Z176),ISNUMBER(AN176),AN176&gt;0),Z176/AN176,"")</x:f>
      </x:c>
      <x:c r="AP176" s="18" t="str">
        <x:f>IF(NOT(ISNUMBER(AO176)),"",IF(AO176&gt;'Impostazioni'!$B$7,"Oltre soglia personale","Nella soglia personale"))</x:f>
      </x:c>
      <x:c r="AQ176" s="18" t="str">
        <x:f>IF(A176="",IF(COUNTA(B176:V176)=0,"","Inserisci ID"),IF(COUNTIFS($A$8:$A$507,A176)&lt;&gt;1,"ID duplicato",IF(OR(NOT(ISNUMBER(B176)),D176="",E176="",F176="",G176="",H176="",COUNTIFS('Impostazioni'!$J$6:$J$25,F176)&lt;&gt;1),"Completa dati / elenchi",IF(OR(AND(I176&lt;&gt;"Lordo manuale",I176&lt;&gt;"Netto manuale",I176&lt;&gt;"Esecuzioni"),AND(J176&lt;&gt;"Aperto",J176&lt;&gt;"Chiuso",J176&lt;&gt;"Annullato")),"Modalità / stato mancanti",IF(AND(J176&lt;&gt;"Aperto",OR(NOT(ISNUMBER(C176)),C176&lt;B176)),"Correggi data chiusura",IF(OR(AND(Q176&lt;&gt;"",OR(NOT(ISNUMBER(Q176)),Q176&lt;0)),AND(R176&lt;&gt;"",OR(NOT(ISNUMBER(R176)),R176&lt;0,R176&gt;1))),"Commissione non valida",IF(J176="Annullato","OK",IF(OR(NOT(ISNUMBER(Z176)),Z176&lt;0,AND(O176&lt;&gt;"",NOT(ISNUMBER(O176)))),"Inserisci rischio",IF(AND(I176="Esecuzioni",OR(W176=0,COUNTIFS('Esecuzioni'!$A$8:$A$1007,A176,'Esecuzioni'!$Q$8:$Q$1007,"&lt;&gt;OK")&gt;0)),"Correggi esecuzioni",IF(J176="Aperto","OK",IF(AND(I176="Esecuzioni",S176="Coperto",ABS(X176-Y176)&gt;'Impostazioni'!$B$11),"Copertura residua",IF(NOT(ISNUMBER(AC176)),"Completa risultato / esito",IF(AND(Z176=0,AC176&lt;&gt;0),"Rischio nullo con P/L","OK")))))))))))))</x:f>
      </x:c>
      <x:c r="AR176" s="20" t="str">
        <x:f>IF(OR(A176="",J176&lt;&gt;"Aperto",AQ176&lt;&gt;"OK"),"",IF(I176="Esecuzioni",SUMIFS('Esecuzioni'!$P$8:$P$1007,'Esecuzioni'!$A$8:$A$1007,A176,'Esecuzioni'!$B$8:$B$1007,_xlfn.MAXIFS('Esecuzioni'!$B$8:$B$1007,'Esecuzioni'!$A$8:$A$1007,A176)),IF(LEFT(U176,8)="FREEBET:",0,Z176)))</x:f>
      </x:c>
      <x:c r="AS176" s="48" t="str">
        <x:f>IF(OR(A176="",E176=""),"",IF(COUNTIFS($E$8:E176,E176)=1,COUNT($AS$7:AS175)+1,""))</x:f>
      </x:c>
    </x:row>
    <x:row r="177" ht="22" customHeight="1">
      <x:c r="A177" s="7"/>
      <x:c r="B177" s="19"/>
      <x:c r="C177" s="19"/>
      <x:c r="D177" s="7"/>
      <x:c r="E177" s="7"/>
      <x:c r="F177" s="7"/>
      <x:c r="G177" s="7"/>
      <x:c r="H177" s="7"/>
      <x:c r="I177" s="7"/>
      <x:c r="J177" s="7"/>
      <x:c r="K177" s="10"/>
      <x:c r="L177" s="7"/>
      <x:c r="M177" s="10"/>
      <x:c r="N177" s="7"/>
      <x:c r="O177" s="8"/>
      <x:c r="P177" s="8"/>
      <x:c r="Q177" s="8"/>
      <x:c r="R177" s="9"/>
      <x:c r="S177" s="7"/>
      <x:c r="T177" s="7"/>
      <x:c r="U177" s="7"/>
      <x:c r="V177" s="7"/>
      <x:c r="W177" s="22" t="str">
        <x:f>IF(A177="","",COUNTIFS('Esecuzioni'!$A$8:$A$1007,A177,'Esecuzioni'!$Q$8:$Q$1007,"OK"))</x:f>
      </x:c>
      <x:c r="X177" s="20" t="str">
        <x:f>IF(OR(A177="",I177&lt;&gt;"Esecuzioni",W177=0),"",SUMIFS('Esecuzioni'!$L$8:$L$1007,'Esecuzioni'!$A$8:$A$1007,A177))</x:f>
      </x:c>
      <x:c r="Y177" s="20" t="str">
        <x:f>IF(OR(A177="",I177&lt;&gt;"Esecuzioni",W177=0),"",SUMIFS('Esecuzioni'!$M$8:$M$1007,'Esecuzioni'!$A$8:$A$1007,A177))</x:f>
      </x:c>
      <x:c r="Z177" s="20" t="str">
        <x:f>IF(A177="","",IF(J177="Annullato",0,IF(ISNUMBER(O177),O177,IF(AND(I177="Esecuzioni",W177&gt;0),_xlfn.MAXIFS('Esecuzioni'!$P$8:$P$1007,'Esecuzioni'!$A$8:$A$1007,A177),""))))</x:f>
      </x:c>
      <x:c r="AA177" s="20" t="str">
        <x:f>IF(OR(A177="",J177="Aperto"),"",IF(J177="Annullato",0,IF(I177="Lordo manuale",IF(ISNUMBER(P177),P177,""),IF(I177="Netto manuale",IF(AND(ISNUMBER(P177),ISNUMBER(Q177)),P177+Q177,""),IF(OR(W177=0,COUNTIFS('Esecuzioni'!$A$8:$A$1007,A177,'Esecuzioni'!$Q$8:$Q$1007,"&lt;&gt;OK")&gt;0),"",IF(S177="Vince",X177,IF(S177="Perde",Y177,IF(AND(S177="Coperto",ABS(X177-Y177)&lt;='Impostazioni'!$B$11),ROUND((X177+Y177)/2,2),""))))))))</x:f>
      </x:c>
      <x:c r="AB177" s="20" t="str">
        <x:f>IF(NOT(ISNUMBER(AA177)),"",IF(J177="Annullato",0,IF(ISNUMBER(Q177),Q177,ROUND(MAX(0,AA177)*IF(ISNUMBER(R177),R177,'Impostazioni'!$B$8),2))))</x:f>
      </x:c>
      <x:c r="AC177" s="20" t="str">
        <x:f>IF(AND(ISNUMBER(AA177),ISNUMBER(AB177)),ROUND(AA177-AB177,2),"")</x:f>
      </x:c>
      <x:c r="AD177" s="18" t="str">
        <x:f>IF(A177="","",IF(AQ177&lt;&gt;"OK","Incompleto",IF(J177="Aperto","Aperto",IF(J177="Annullato","Annullato",IF(AC177&gt;0,"Green",IF(AC177&lt;0,"Red","Flat"))))))</x:f>
      </x:c>
      <x:c r="AE177" s="21" t="str">
        <x:f>IF(AND(AH177=1,Z177&gt;0),AC177/Z177,"")</x:f>
      </x:c>
      <x:c r="AF177" s="22" t="str">
        <x:f>IF(AH177&lt;&gt;1,"",COUNTIFS($C$8:$C$507,"&lt;"&amp;C177,$AH$8:$AH$507,1)+COUNTIFS($C$8:$C$507,C177,$A$8:$A$507,"&lt;="&amp;A177,$AH$8:$AH$507,1))</x:f>
      </x:c>
      <x:c r="AG177" s="20" t="str">
        <x:f>IF(AH177&lt;&gt;1,"",SUMIFS($AC$8:$AC$507,$C$8:$C$507,"&lt;"&amp;C177,$AH$8:$AH$507,1)+SUMIFS($AC$8:$AC$507,$C$8:$C$507,C177,$A$8:$A$507,"&lt;="&amp;A177,$AH$8:$AH$507,1))</x:f>
      </x:c>
      <x:c r="AH177" s="22" t="str">
        <x:f>IF(A177="","",IF(AND(J177="Chiuso",AQ177="OK",ISNUMBER(AC177)),1,0))</x:f>
      </x:c>
      <x:c r="AI177" s="20" t="str">
        <x:f>IF(AH177&lt;&gt;1,"",MAX(0,_xlfn.MAXIFS($AG$8:$AG$507,$AF$8:$AF$507,"&lt;="&amp;AF177,$AH$8:$AH$507,1)))</x:f>
      </x:c>
      <x:c r="AJ177" s="20" t="str">
        <x:f>IF(AH177&lt;&gt;1,"",MAX(0,AI177-AG177))</x:f>
      </x:c>
      <x:c r="AK177" s="21" t="str">
        <x:f>IF(OR(AH177&lt;&gt;1,NOT(ISNUMBER('Impostazioni'!$B$6)),'Impostazioni'!$B$6+AI177&lt;=0),"",AJ177/('Impostazioni'!$B$6+AI177))</x:f>
      </x:c>
      <x:c r="AL177" s="22" t="str">
        <x:f>IF(AH177&lt;&gt;1,"",IF(AC177&gt;0,AF177-_xlfn.MAXIFS($AF$8:$AF$507,$AF$8:$AF$507,"&lt;="&amp;AF177,$AC$8:$AC$507,"&lt;=0",$AH$8:$AH$507,1),0))</x:f>
      </x:c>
      <x:c r="AM177" s="22" t="str">
        <x:f>IF(AH177&lt;&gt;1,"",IF(AC177&lt;0,AF177-_xlfn.MAXIFS($AF$8:$AF$507,$AF$8:$AF$507,"&lt;="&amp;AF177,$AC$8:$AC$507,"&gt;=0",$AH$8:$AH$507,1),0))</x:f>
      </x:c>
      <x:c r="AN177" s="20" t="str">
        <x:f>IF(OR(A177="",NOT(ISNUMBER(B177)),NOT(ISNUMBER('Impostazioni'!$B$6))),"",'Impostazioni'!$B$6+SUMIFS($AC$8:$AC$507,$C$8:$C$507,"&lt;"&amp;B177,$AH$8:$AH$507,1)+SUMIFS('Cassa'!$F$8:$F$307,'Cassa'!$A$8:$A$307,"&lt;="&amp;B177,'Cassa'!$G$8:$G$307,"OK"))</x:f>
      </x:c>
      <x:c r="AO177" s="21" t="str">
        <x:f>IF(AND(ISNUMBER(Z177),ISNUMBER(AN177),AN177&gt;0),Z177/AN177,"")</x:f>
      </x:c>
      <x:c r="AP177" s="18" t="str">
        <x:f>IF(NOT(ISNUMBER(AO177)),"",IF(AO177&gt;'Impostazioni'!$B$7,"Oltre soglia personale","Nella soglia personale"))</x:f>
      </x:c>
      <x:c r="AQ177" s="18" t="str">
        <x:f>IF(A177="",IF(COUNTA(B177:V177)=0,"","Inserisci ID"),IF(COUNTIFS($A$8:$A$507,A177)&lt;&gt;1,"ID duplicato",IF(OR(NOT(ISNUMBER(B177)),D177="",E177="",F177="",G177="",H177="",COUNTIFS('Impostazioni'!$J$6:$J$25,F177)&lt;&gt;1),"Completa dati / elenchi",IF(OR(AND(I177&lt;&gt;"Lordo manuale",I177&lt;&gt;"Netto manuale",I177&lt;&gt;"Esecuzioni"),AND(J177&lt;&gt;"Aperto",J177&lt;&gt;"Chiuso",J177&lt;&gt;"Annullato")),"Modalità / stato mancanti",IF(AND(J177&lt;&gt;"Aperto",OR(NOT(ISNUMBER(C177)),C177&lt;B177)),"Correggi data chiusura",IF(OR(AND(Q177&lt;&gt;"",OR(NOT(ISNUMBER(Q177)),Q177&lt;0)),AND(R177&lt;&gt;"",OR(NOT(ISNUMBER(R177)),R177&lt;0,R177&gt;1))),"Commissione non valida",IF(J177="Annullato","OK",IF(OR(NOT(ISNUMBER(Z177)),Z177&lt;0,AND(O177&lt;&gt;"",NOT(ISNUMBER(O177)))),"Inserisci rischio",IF(AND(I177="Esecuzioni",OR(W177=0,COUNTIFS('Esecuzioni'!$A$8:$A$1007,A177,'Esecuzioni'!$Q$8:$Q$1007,"&lt;&gt;OK")&gt;0)),"Correggi esecuzioni",IF(J177="Aperto","OK",IF(AND(I177="Esecuzioni",S177="Coperto",ABS(X177-Y177)&gt;'Impostazioni'!$B$11),"Copertura residua",IF(NOT(ISNUMBER(AC177)),"Completa risultato / esito",IF(AND(Z177=0,AC177&lt;&gt;0),"Rischio nullo con P/L","OK")))))))))))))</x:f>
      </x:c>
      <x:c r="AR177" s="20" t="str">
        <x:f>IF(OR(A177="",J177&lt;&gt;"Aperto",AQ177&lt;&gt;"OK"),"",IF(I177="Esecuzioni",SUMIFS('Esecuzioni'!$P$8:$P$1007,'Esecuzioni'!$A$8:$A$1007,A177,'Esecuzioni'!$B$8:$B$1007,_xlfn.MAXIFS('Esecuzioni'!$B$8:$B$1007,'Esecuzioni'!$A$8:$A$1007,A177)),IF(LEFT(U177,8)="FREEBET:",0,Z177)))</x:f>
      </x:c>
      <x:c r="AS177" s="48" t="str">
        <x:f>IF(OR(A177="",E177=""),"",IF(COUNTIFS($E$8:E177,E177)=1,COUNT($AS$7:AS176)+1,""))</x:f>
      </x:c>
    </x:row>
    <x:row r="178" ht="22" customHeight="1">
      <x:c r="A178" s="7"/>
      <x:c r="B178" s="19"/>
      <x:c r="C178" s="19"/>
      <x:c r="D178" s="7"/>
      <x:c r="E178" s="7"/>
      <x:c r="F178" s="7"/>
      <x:c r="G178" s="7"/>
      <x:c r="H178" s="7"/>
      <x:c r="I178" s="7"/>
      <x:c r="J178" s="7"/>
      <x:c r="K178" s="10"/>
      <x:c r="L178" s="7"/>
      <x:c r="M178" s="10"/>
      <x:c r="N178" s="7"/>
      <x:c r="O178" s="8"/>
      <x:c r="P178" s="8"/>
      <x:c r="Q178" s="8"/>
      <x:c r="R178" s="9"/>
      <x:c r="S178" s="7"/>
      <x:c r="T178" s="7"/>
      <x:c r="U178" s="7"/>
      <x:c r="V178" s="7"/>
      <x:c r="W178" s="22" t="str">
        <x:f>IF(A178="","",COUNTIFS('Esecuzioni'!$A$8:$A$1007,A178,'Esecuzioni'!$Q$8:$Q$1007,"OK"))</x:f>
      </x:c>
      <x:c r="X178" s="20" t="str">
        <x:f>IF(OR(A178="",I178&lt;&gt;"Esecuzioni",W178=0),"",SUMIFS('Esecuzioni'!$L$8:$L$1007,'Esecuzioni'!$A$8:$A$1007,A178))</x:f>
      </x:c>
      <x:c r="Y178" s="20" t="str">
        <x:f>IF(OR(A178="",I178&lt;&gt;"Esecuzioni",W178=0),"",SUMIFS('Esecuzioni'!$M$8:$M$1007,'Esecuzioni'!$A$8:$A$1007,A178))</x:f>
      </x:c>
      <x:c r="Z178" s="20" t="str">
        <x:f>IF(A178="","",IF(J178="Annullato",0,IF(ISNUMBER(O178),O178,IF(AND(I178="Esecuzioni",W178&gt;0),_xlfn.MAXIFS('Esecuzioni'!$P$8:$P$1007,'Esecuzioni'!$A$8:$A$1007,A178),""))))</x:f>
      </x:c>
      <x:c r="AA178" s="20" t="str">
        <x:f>IF(OR(A178="",J178="Aperto"),"",IF(J178="Annullato",0,IF(I178="Lordo manuale",IF(ISNUMBER(P178),P178,""),IF(I178="Netto manuale",IF(AND(ISNUMBER(P178),ISNUMBER(Q178)),P178+Q178,""),IF(OR(W178=0,COUNTIFS('Esecuzioni'!$A$8:$A$1007,A178,'Esecuzioni'!$Q$8:$Q$1007,"&lt;&gt;OK")&gt;0),"",IF(S178="Vince",X178,IF(S178="Perde",Y178,IF(AND(S178="Coperto",ABS(X178-Y178)&lt;='Impostazioni'!$B$11),ROUND((X178+Y178)/2,2),""))))))))</x:f>
      </x:c>
      <x:c r="AB178" s="20" t="str">
        <x:f>IF(NOT(ISNUMBER(AA178)),"",IF(J178="Annullato",0,IF(ISNUMBER(Q178),Q178,ROUND(MAX(0,AA178)*IF(ISNUMBER(R178),R178,'Impostazioni'!$B$8),2))))</x:f>
      </x:c>
      <x:c r="AC178" s="20" t="str">
        <x:f>IF(AND(ISNUMBER(AA178),ISNUMBER(AB178)),ROUND(AA178-AB178,2),"")</x:f>
      </x:c>
      <x:c r="AD178" s="18" t="str">
        <x:f>IF(A178="","",IF(AQ178&lt;&gt;"OK","Incompleto",IF(J178="Aperto","Aperto",IF(J178="Annullato","Annullato",IF(AC178&gt;0,"Green",IF(AC178&lt;0,"Red","Flat"))))))</x:f>
      </x:c>
      <x:c r="AE178" s="21" t="str">
        <x:f>IF(AND(AH178=1,Z178&gt;0),AC178/Z178,"")</x:f>
      </x:c>
      <x:c r="AF178" s="22" t="str">
        <x:f>IF(AH178&lt;&gt;1,"",COUNTIFS($C$8:$C$507,"&lt;"&amp;C178,$AH$8:$AH$507,1)+COUNTIFS($C$8:$C$507,C178,$A$8:$A$507,"&lt;="&amp;A178,$AH$8:$AH$507,1))</x:f>
      </x:c>
      <x:c r="AG178" s="20" t="str">
        <x:f>IF(AH178&lt;&gt;1,"",SUMIFS($AC$8:$AC$507,$C$8:$C$507,"&lt;"&amp;C178,$AH$8:$AH$507,1)+SUMIFS($AC$8:$AC$507,$C$8:$C$507,C178,$A$8:$A$507,"&lt;="&amp;A178,$AH$8:$AH$507,1))</x:f>
      </x:c>
      <x:c r="AH178" s="22" t="str">
        <x:f>IF(A178="","",IF(AND(J178="Chiuso",AQ178="OK",ISNUMBER(AC178)),1,0))</x:f>
      </x:c>
      <x:c r="AI178" s="20" t="str">
        <x:f>IF(AH178&lt;&gt;1,"",MAX(0,_xlfn.MAXIFS($AG$8:$AG$507,$AF$8:$AF$507,"&lt;="&amp;AF178,$AH$8:$AH$507,1)))</x:f>
      </x:c>
      <x:c r="AJ178" s="20" t="str">
        <x:f>IF(AH178&lt;&gt;1,"",MAX(0,AI178-AG178))</x:f>
      </x:c>
      <x:c r="AK178" s="21" t="str">
        <x:f>IF(OR(AH178&lt;&gt;1,NOT(ISNUMBER('Impostazioni'!$B$6)),'Impostazioni'!$B$6+AI178&lt;=0),"",AJ178/('Impostazioni'!$B$6+AI178))</x:f>
      </x:c>
      <x:c r="AL178" s="22" t="str">
        <x:f>IF(AH178&lt;&gt;1,"",IF(AC178&gt;0,AF178-_xlfn.MAXIFS($AF$8:$AF$507,$AF$8:$AF$507,"&lt;="&amp;AF178,$AC$8:$AC$507,"&lt;=0",$AH$8:$AH$507,1),0))</x:f>
      </x:c>
      <x:c r="AM178" s="22" t="str">
        <x:f>IF(AH178&lt;&gt;1,"",IF(AC178&lt;0,AF178-_xlfn.MAXIFS($AF$8:$AF$507,$AF$8:$AF$507,"&lt;="&amp;AF178,$AC$8:$AC$507,"&gt;=0",$AH$8:$AH$507,1),0))</x:f>
      </x:c>
      <x:c r="AN178" s="20" t="str">
        <x:f>IF(OR(A178="",NOT(ISNUMBER(B178)),NOT(ISNUMBER('Impostazioni'!$B$6))),"",'Impostazioni'!$B$6+SUMIFS($AC$8:$AC$507,$C$8:$C$507,"&lt;"&amp;B178,$AH$8:$AH$507,1)+SUMIFS('Cassa'!$F$8:$F$307,'Cassa'!$A$8:$A$307,"&lt;="&amp;B178,'Cassa'!$G$8:$G$307,"OK"))</x:f>
      </x:c>
      <x:c r="AO178" s="21" t="str">
        <x:f>IF(AND(ISNUMBER(Z178),ISNUMBER(AN178),AN178&gt;0),Z178/AN178,"")</x:f>
      </x:c>
      <x:c r="AP178" s="18" t="str">
        <x:f>IF(NOT(ISNUMBER(AO178)),"",IF(AO178&gt;'Impostazioni'!$B$7,"Oltre soglia personale","Nella soglia personale"))</x:f>
      </x:c>
      <x:c r="AQ178" s="18" t="str">
        <x:f>IF(A178="",IF(COUNTA(B178:V178)=0,"","Inserisci ID"),IF(COUNTIFS($A$8:$A$507,A178)&lt;&gt;1,"ID duplicato",IF(OR(NOT(ISNUMBER(B178)),D178="",E178="",F178="",G178="",H178="",COUNTIFS('Impostazioni'!$J$6:$J$25,F178)&lt;&gt;1),"Completa dati / elenchi",IF(OR(AND(I178&lt;&gt;"Lordo manuale",I178&lt;&gt;"Netto manuale",I178&lt;&gt;"Esecuzioni"),AND(J178&lt;&gt;"Aperto",J178&lt;&gt;"Chiuso",J178&lt;&gt;"Annullato")),"Modalità / stato mancanti",IF(AND(J178&lt;&gt;"Aperto",OR(NOT(ISNUMBER(C178)),C178&lt;B178)),"Correggi data chiusura",IF(OR(AND(Q178&lt;&gt;"",OR(NOT(ISNUMBER(Q178)),Q178&lt;0)),AND(R178&lt;&gt;"",OR(NOT(ISNUMBER(R178)),R178&lt;0,R178&gt;1))),"Commissione non valida",IF(J178="Annullato","OK",IF(OR(NOT(ISNUMBER(Z178)),Z178&lt;0,AND(O178&lt;&gt;"",NOT(ISNUMBER(O178)))),"Inserisci rischio",IF(AND(I178="Esecuzioni",OR(W178=0,COUNTIFS('Esecuzioni'!$A$8:$A$1007,A178,'Esecuzioni'!$Q$8:$Q$1007,"&lt;&gt;OK")&gt;0)),"Correggi esecuzioni",IF(J178="Aperto","OK",IF(AND(I178="Esecuzioni",S178="Coperto",ABS(X178-Y178)&gt;'Impostazioni'!$B$11),"Copertura residua",IF(NOT(ISNUMBER(AC178)),"Completa risultato / esito",IF(AND(Z178=0,AC178&lt;&gt;0),"Rischio nullo con P/L","OK")))))))))))))</x:f>
      </x:c>
      <x:c r="AR178" s="20" t="str">
        <x:f>IF(OR(A178="",J178&lt;&gt;"Aperto",AQ178&lt;&gt;"OK"),"",IF(I178="Esecuzioni",SUMIFS('Esecuzioni'!$P$8:$P$1007,'Esecuzioni'!$A$8:$A$1007,A178,'Esecuzioni'!$B$8:$B$1007,_xlfn.MAXIFS('Esecuzioni'!$B$8:$B$1007,'Esecuzioni'!$A$8:$A$1007,A178)),IF(LEFT(U178,8)="FREEBET:",0,Z178)))</x:f>
      </x:c>
      <x:c r="AS178" s="48" t="str">
        <x:f>IF(OR(A178="",E178=""),"",IF(COUNTIFS($E$8:E178,E178)=1,COUNT($AS$7:AS177)+1,""))</x:f>
      </x:c>
    </x:row>
    <x:row r="179" ht="22" customHeight="1">
      <x:c r="A179" s="7"/>
      <x:c r="B179" s="19"/>
      <x:c r="C179" s="19"/>
      <x:c r="D179" s="7"/>
      <x:c r="E179" s="7"/>
      <x:c r="F179" s="7"/>
      <x:c r="G179" s="7"/>
      <x:c r="H179" s="7"/>
      <x:c r="I179" s="7"/>
      <x:c r="J179" s="7"/>
      <x:c r="K179" s="10"/>
      <x:c r="L179" s="7"/>
      <x:c r="M179" s="10"/>
      <x:c r="N179" s="7"/>
      <x:c r="O179" s="8"/>
      <x:c r="P179" s="8"/>
      <x:c r="Q179" s="8"/>
      <x:c r="R179" s="9"/>
      <x:c r="S179" s="7"/>
      <x:c r="T179" s="7"/>
      <x:c r="U179" s="7"/>
      <x:c r="V179" s="7"/>
      <x:c r="W179" s="22" t="str">
        <x:f>IF(A179="","",COUNTIFS('Esecuzioni'!$A$8:$A$1007,A179,'Esecuzioni'!$Q$8:$Q$1007,"OK"))</x:f>
      </x:c>
      <x:c r="X179" s="20" t="str">
        <x:f>IF(OR(A179="",I179&lt;&gt;"Esecuzioni",W179=0),"",SUMIFS('Esecuzioni'!$L$8:$L$1007,'Esecuzioni'!$A$8:$A$1007,A179))</x:f>
      </x:c>
      <x:c r="Y179" s="20" t="str">
        <x:f>IF(OR(A179="",I179&lt;&gt;"Esecuzioni",W179=0),"",SUMIFS('Esecuzioni'!$M$8:$M$1007,'Esecuzioni'!$A$8:$A$1007,A179))</x:f>
      </x:c>
      <x:c r="Z179" s="20" t="str">
        <x:f>IF(A179="","",IF(J179="Annullato",0,IF(ISNUMBER(O179),O179,IF(AND(I179="Esecuzioni",W179&gt;0),_xlfn.MAXIFS('Esecuzioni'!$P$8:$P$1007,'Esecuzioni'!$A$8:$A$1007,A179),""))))</x:f>
      </x:c>
      <x:c r="AA179" s="20" t="str">
        <x:f>IF(OR(A179="",J179="Aperto"),"",IF(J179="Annullato",0,IF(I179="Lordo manuale",IF(ISNUMBER(P179),P179,""),IF(I179="Netto manuale",IF(AND(ISNUMBER(P179),ISNUMBER(Q179)),P179+Q179,""),IF(OR(W179=0,COUNTIFS('Esecuzioni'!$A$8:$A$1007,A179,'Esecuzioni'!$Q$8:$Q$1007,"&lt;&gt;OK")&gt;0),"",IF(S179="Vince",X179,IF(S179="Perde",Y179,IF(AND(S179="Coperto",ABS(X179-Y179)&lt;='Impostazioni'!$B$11),ROUND((X179+Y179)/2,2),""))))))))</x:f>
      </x:c>
      <x:c r="AB179" s="20" t="str">
        <x:f>IF(NOT(ISNUMBER(AA179)),"",IF(J179="Annullato",0,IF(ISNUMBER(Q179),Q179,ROUND(MAX(0,AA179)*IF(ISNUMBER(R179),R179,'Impostazioni'!$B$8),2))))</x:f>
      </x:c>
      <x:c r="AC179" s="20" t="str">
        <x:f>IF(AND(ISNUMBER(AA179),ISNUMBER(AB179)),ROUND(AA179-AB179,2),"")</x:f>
      </x:c>
      <x:c r="AD179" s="18" t="str">
        <x:f>IF(A179="","",IF(AQ179&lt;&gt;"OK","Incompleto",IF(J179="Aperto","Aperto",IF(J179="Annullato","Annullato",IF(AC179&gt;0,"Green",IF(AC179&lt;0,"Red","Flat"))))))</x:f>
      </x:c>
      <x:c r="AE179" s="21" t="str">
        <x:f>IF(AND(AH179=1,Z179&gt;0),AC179/Z179,"")</x:f>
      </x:c>
      <x:c r="AF179" s="22" t="str">
        <x:f>IF(AH179&lt;&gt;1,"",COUNTIFS($C$8:$C$507,"&lt;"&amp;C179,$AH$8:$AH$507,1)+COUNTIFS($C$8:$C$507,C179,$A$8:$A$507,"&lt;="&amp;A179,$AH$8:$AH$507,1))</x:f>
      </x:c>
      <x:c r="AG179" s="20" t="str">
        <x:f>IF(AH179&lt;&gt;1,"",SUMIFS($AC$8:$AC$507,$C$8:$C$507,"&lt;"&amp;C179,$AH$8:$AH$507,1)+SUMIFS($AC$8:$AC$507,$C$8:$C$507,C179,$A$8:$A$507,"&lt;="&amp;A179,$AH$8:$AH$507,1))</x:f>
      </x:c>
      <x:c r="AH179" s="22" t="str">
        <x:f>IF(A179="","",IF(AND(J179="Chiuso",AQ179="OK",ISNUMBER(AC179)),1,0))</x:f>
      </x:c>
      <x:c r="AI179" s="20" t="str">
        <x:f>IF(AH179&lt;&gt;1,"",MAX(0,_xlfn.MAXIFS($AG$8:$AG$507,$AF$8:$AF$507,"&lt;="&amp;AF179,$AH$8:$AH$507,1)))</x:f>
      </x:c>
      <x:c r="AJ179" s="20" t="str">
        <x:f>IF(AH179&lt;&gt;1,"",MAX(0,AI179-AG179))</x:f>
      </x:c>
      <x:c r="AK179" s="21" t="str">
        <x:f>IF(OR(AH179&lt;&gt;1,NOT(ISNUMBER('Impostazioni'!$B$6)),'Impostazioni'!$B$6+AI179&lt;=0),"",AJ179/('Impostazioni'!$B$6+AI179))</x:f>
      </x:c>
      <x:c r="AL179" s="22" t="str">
        <x:f>IF(AH179&lt;&gt;1,"",IF(AC179&gt;0,AF179-_xlfn.MAXIFS($AF$8:$AF$507,$AF$8:$AF$507,"&lt;="&amp;AF179,$AC$8:$AC$507,"&lt;=0",$AH$8:$AH$507,1),0))</x:f>
      </x:c>
      <x:c r="AM179" s="22" t="str">
        <x:f>IF(AH179&lt;&gt;1,"",IF(AC179&lt;0,AF179-_xlfn.MAXIFS($AF$8:$AF$507,$AF$8:$AF$507,"&lt;="&amp;AF179,$AC$8:$AC$507,"&gt;=0",$AH$8:$AH$507,1),0))</x:f>
      </x:c>
      <x:c r="AN179" s="20" t="str">
        <x:f>IF(OR(A179="",NOT(ISNUMBER(B179)),NOT(ISNUMBER('Impostazioni'!$B$6))),"",'Impostazioni'!$B$6+SUMIFS($AC$8:$AC$507,$C$8:$C$507,"&lt;"&amp;B179,$AH$8:$AH$507,1)+SUMIFS('Cassa'!$F$8:$F$307,'Cassa'!$A$8:$A$307,"&lt;="&amp;B179,'Cassa'!$G$8:$G$307,"OK"))</x:f>
      </x:c>
      <x:c r="AO179" s="21" t="str">
        <x:f>IF(AND(ISNUMBER(Z179),ISNUMBER(AN179),AN179&gt;0),Z179/AN179,"")</x:f>
      </x:c>
      <x:c r="AP179" s="18" t="str">
        <x:f>IF(NOT(ISNUMBER(AO179)),"",IF(AO179&gt;'Impostazioni'!$B$7,"Oltre soglia personale","Nella soglia personale"))</x:f>
      </x:c>
      <x:c r="AQ179" s="18" t="str">
        <x:f>IF(A179="",IF(COUNTA(B179:V179)=0,"","Inserisci ID"),IF(COUNTIFS($A$8:$A$507,A179)&lt;&gt;1,"ID duplicato",IF(OR(NOT(ISNUMBER(B179)),D179="",E179="",F179="",G179="",H179="",COUNTIFS('Impostazioni'!$J$6:$J$25,F179)&lt;&gt;1),"Completa dati / elenchi",IF(OR(AND(I179&lt;&gt;"Lordo manuale",I179&lt;&gt;"Netto manuale",I179&lt;&gt;"Esecuzioni"),AND(J179&lt;&gt;"Aperto",J179&lt;&gt;"Chiuso",J179&lt;&gt;"Annullato")),"Modalità / stato mancanti",IF(AND(J179&lt;&gt;"Aperto",OR(NOT(ISNUMBER(C179)),C179&lt;B179)),"Correggi data chiusura",IF(OR(AND(Q179&lt;&gt;"",OR(NOT(ISNUMBER(Q179)),Q179&lt;0)),AND(R179&lt;&gt;"",OR(NOT(ISNUMBER(R179)),R179&lt;0,R179&gt;1))),"Commissione non valida",IF(J179="Annullato","OK",IF(OR(NOT(ISNUMBER(Z179)),Z179&lt;0,AND(O179&lt;&gt;"",NOT(ISNUMBER(O179)))),"Inserisci rischio",IF(AND(I179="Esecuzioni",OR(W179=0,COUNTIFS('Esecuzioni'!$A$8:$A$1007,A179,'Esecuzioni'!$Q$8:$Q$1007,"&lt;&gt;OK")&gt;0)),"Correggi esecuzioni",IF(J179="Aperto","OK",IF(AND(I179="Esecuzioni",S179="Coperto",ABS(X179-Y179)&gt;'Impostazioni'!$B$11),"Copertura residua",IF(NOT(ISNUMBER(AC179)),"Completa risultato / esito",IF(AND(Z179=0,AC179&lt;&gt;0),"Rischio nullo con P/L","OK")))))))))))))</x:f>
      </x:c>
      <x:c r="AR179" s="20" t="str">
        <x:f>IF(OR(A179="",J179&lt;&gt;"Aperto",AQ179&lt;&gt;"OK"),"",IF(I179="Esecuzioni",SUMIFS('Esecuzioni'!$P$8:$P$1007,'Esecuzioni'!$A$8:$A$1007,A179,'Esecuzioni'!$B$8:$B$1007,_xlfn.MAXIFS('Esecuzioni'!$B$8:$B$1007,'Esecuzioni'!$A$8:$A$1007,A179)),IF(LEFT(U179,8)="FREEBET:",0,Z179)))</x:f>
      </x:c>
      <x:c r="AS179" s="48" t="str">
        <x:f>IF(OR(A179="",E179=""),"",IF(COUNTIFS($E$8:E179,E179)=1,COUNT($AS$7:AS178)+1,""))</x:f>
      </x:c>
    </x:row>
    <x:row r="180" ht="22" customHeight="1">
      <x:c r="A180" s="7"/>
      <x:c r="B180" s="19"/>
      <x:c r="C180" s="19"/>
      <x:c r="D180" s="7"/>
      <x:c r="E180" s="7"/>
      <x:c r="F180" s="7"/>
      <x:c r="G180" s="7"/>
      <x:c r="H180" s="7"/>
      <x:c r="I180" s="7"/>
      <x:c r="J180" s="7"/>
      <x:c r="K180" s="10"/>
      <x:c r="L180" s="7"/>
      <x:c r="M180" s="10"/>
      <x:c r="N180" s="7"/>
      <x:c r="O180" s="8"/>
      <x:c r="P180" s="8"/>
      <x:c r="Q180" s="8"/>
      <x:c r="R180" s="9"/>
      <x:c r="S180" s="7"/>
      <x:c r="T180" s="7"/>
      <x:c r="U180" s="7"/>
      <x:c r="V180" s="7"/>
      <x:c r="W180" s="22" t="str">
        <x:f>IF(A180="","",COUNTIFS('Esecuzioni'!$A$8:$A$1007,A180,'Esecuzioni'!$Q$8:$Q$1007,"OK"))</x:f>
      </x:c>
      <x:c r="X180" s="20" t="str">
        <x:f>IF(OR(A180="",I180&lt;&gt;"Esecuzioni",W180=0),"",SUMIFS('Esecuzioni'!$L$8:$L$1007,'Esecuzioni'!$A$8:$A$1007,A180))</x:f>
      </x:c>
      <x:c r="Y180" s="20" t="str">
        <x:f>IF(OR(A180="",I180&lt;&gt;"Esecuzioni",W180=0),"",SUMIFS('Esecuzioni'!$M$8:$M$1007,'Esecuzioni'!$A$8:$A$1007,A180))</x:f>
      </x:c>
      <x:c r="Z180" s="20" t="str">
        <x:f>IF(A180="","",IF(J180="Annullato",0,IF(ISNUMBER(O180),O180,IF(AND(I180="Esecuzioni",W180&gt;0),_xlfn.MAXIFS('Esecuzioni'!$P$8:$P$1007,'Esecuzioni'!$A$8:$A$1007,A180),""))))</x:f>
      </x:c>
      <x:c r="AA180" s="20" t="str">
        <x:f>IF(OR(A180="",J180="Aperto"),"",IF(J180="Annullato",0,IF(I180="Lordo manuale",IF(ISNUMBER(P180),P180,""),IF(I180="Netto manuale",IF(AND(ISNUMBER(P180),ISNUMBER(Q180)),P180+Q180,""),IF(OR(W180=0,COUNTIFS('Esecuzioni'!$A$8:$A$1007,A180,'Esecuzioni'!$Q$8:$Q$1007,"&lt;&gt;OK")&gt;0),"",IF(S180="Vince",X180,IF(S180="Perde",Y180,IF(AND(S180="Coperto",ABS(X180-Y180)&lt;='Impostazioni'!$B$11),ROUND((X180+Y180)/2,2),""))))))))</x:f>
      </x:c>
      <x:c r="AB180" s="20" t="str">
        <x:f>IF(NOT(ISNUMBER(AA180)),"",IF(J180="Annullato",0,IF(ISNUMBER(Q180),Q180,ROUND(MAX(0,AA180)*IF(ISNUMBER(R180),R180,'Impostazioni'!$B$8),2))))</x:f>
      </x:c>
      <x:c r="AC180" s="20" t="str">
        <x:f>IF(AND(ISNUMBER(AA180),ISNUMBER(AB180)),ROUND(AA180-AB180,2),"")</x:f>
      </x:c>
      <x:c r="AD180" s="18" t="str">
        <x:f>IF(A180="","",IF(AQ180&lt;&gt;"OK","Incompleto",IF(J180="Aperto","Aperto",IF(J180="Annullato","Annullato",IF(AC180&gt;0,"Green",IF(AC180&lt;0,"Red","Flat"))))))</x:f>
      </x:c>
      <x:c r="AE180" s="21" t="str">
        <x:f>IF(AND(AH180=1,Z180&gt;0),AC180/Z180,"")</x:f>
      </x:c>
      <x:c r="AF180" s="22" t="str">
        <x:f>IF(AH180&lt;&gt;1,"",COUNTIFS($C$8:$C$507,"&lt;"&amp;C180,$AH$8:$AH$507,1)+COUNTIFS($C$8:$C$507,C180,$A$8:$A$507,"&lt;="&amp;A180,$AH$8:$AH$507,1))</x:f>
      </x:c>
      <x:c r="AG180" s="20" t="str">
        <x:f>IF(AH180&lt;&gt;1,"",SUMIFS($AC$8:$AC$507,$C$8:$C$507,"&lt;"&amp;C180,$AH$8:$AH$507,1)+SUMIFS($AC$8:$AC$507,$C$8:$C$507,C180,$A$8:$A$507,"&lt;="&amp;A180,$AH$8:$AH$507,1))</x:f>
      </x:c>
      <x:c r="AH180" s="22" t="str">
        <x:f>IF(A180="","",IF(AND(J180="Chiuso",AQ180="OK",ISNUMBER(AC180)),1,0))</x:f>
      </x:c>
      <x:c r="AI180" s="20" t="str">
        <x:f>IF(AH180&lt;&gt;1,"",MAX(0,_xlfn.MAXIFS($AG$8:$AG$507,$AF$8:$AF$507,"&lt;="&amp;AF180,$AH$8:$AH$507,1)))</x:f>
      </x:c>
      <x:c r="AJ180" s="20" t="str">
        <x:f>IF(AH180&lt;&gt;1,"",MAX(0,AI180-AG180))</x:f>
      </x:c>
      <x:c r="AK180" s="21" t="str">
        <x:f>IF(OR(AH180&lt;&gt;1,NOT(ISNUMBER('Impostazioni'!$B$6)),'Impostazioni'!$B$6+AI180&lt;=0),"",AJ180/('Impostazioni'!$B$6+AI180))</x:f>
      </x:c>
      <x:c r="AL180" s="22" t="str">
        <x:f>IF(AH180&lt;&gt;1,"",IF(AC180&gt;0,AF180-_xlfn.MAXIFS($AF$8:$AF$507,$AF$8:$AF$507,"&lt;="&amp;AF180,$AC$8:$AC$507,"&lt;=0",$AH$8:$AH$507,1),0))</x:f>
      </x:c>
      <x:c r="AM180" s="22" t="str">
        <x:f>IF(AH180&lt;&gt;1,"",IF(AC180&lt;0,AF180-_xlfn.MAXIFS($AF$8:$AF$507,$AF$8:$AF$507,"&lt;="&amp;AF180,$AC$8:$AC$507,"&gt;=0",$AH$8:$AH$507,1),0))</x:f>
      </x:c>
      <x:c r="AN180" s="20" t="str">
        <x:f>IF(OR(A180="",NOT(ISNUMBER(B180)),NOT(ISNUMBER('Impostazioni'!$B$6))),"",'Impostazioni'!$B$6+SUMIFS($AC$8:$AC$507,$C$8:$C$507,"&lt;"&amp;B180,$AH$8:$AH$507,1)+SUMIFS('Cassa'!$F$8:$F$307,'Cassa'!$A$8:$A$307,"&lt;="&amp;B180,'Cassa'!$G$8:$G$307,"OK"))</x:f>
      </x:c>
      <x:c r="AO180" s="21" t="str">
        <x:f>IF(AND(ISNUMBER(Z180),ISNUMBER(AN180),AN180&gt;0),Z180/AN180,"")</x:f>
      </x:c>
      <x:c r="AP180" s="18" t="str">
        <x:f>IF(NOT(ISNUMBER(AO180)),"",IF(AO180&gt;'Impostazioni'!$B$7,"Oltre soglia personale","Nella soglia personale"))</x:f>
      </x:c>
      <x:c r="AQ180" s="18" t="str">
        <x:f>IF(A180="",IF(COUNTA(B180:V180)=0,"","Inserisci ID"),IF(COUNTIFS($A$8:$A$507,A180)&lt;&gt;1,"ID duplicato",IF(OR(NOT(ISNUMBER(B180)),D180="",E180="",F180="",G180="",H180="",COUNTIFS('Impostazioni'!$J$6:$J$25,F180)&lt;&gt;1),"Completa dati / elenchi",IF(OR(AND(I180&lt;&gt;"Lordo manuale",I180&lt;&gt;"Netto manuale",I180&lt;&gt;"Esecuzioni"),AND(J180&lt;&gt;"Aperto",J180&lt;&gt;"Chiuso",J180&lt;&gt;"Annullato")),"Modalità / stato mancanti",IF(AND(J180&lt;&gt;"Aperto",OR(NOT(ISNUMBER(C180)),C180&lt;B180)),"Correggi data chiusura",IF(OR(AND(Q180&lt;&gt;"",OR(NOT(ISNUMBER(Q180)),Q180&lt;0)),AND(R180&lt;&gt;"",OR(NOT(ISNUMBER(R180)),R180&lt;0,R180&gt;1))),"Commissione non valida",IF(J180="Annullato","OK",IF(OR(NOT(ISNUMBER(Z180)),Z180&lt;0,AND(O180&lt;&gt;"",NOT(ISNUMBER(O180)))),"Inserisci rischio",IF(AND(I180="Esecuzioni",OR(W180=0,COUNTIFS('Esecuzioni'!$A$8:$A$1007,A180,'Esecuzioni'!$Q$8:$Q$1007,"&lt;&gt;OK")&gt;0)),"Correggi esecuzioni",IF(J180="Aperto","OK",IF(AND(I180="Esecuzioni",S180="Coperto",ABS(X180-Y180)&gt;'Impostazioni'!$B$11),"Copertura residua",IF(NOT(ISNUMBER(AC180)),"Completa risultato / esito",IF(AND(Z180=0,AC180&lt;&gt;0),"Rischio nullo con P/L","OK")))))))))))))</x:f>
      </x:c>
      <x:c r="AR180" s="20" t="str">
        <x:f>IF(OR(A180="",J180&lt;&gt;"Aperto",AQ180&lt;&gt;"OK"),"",IF(I180="Esecuzioni",SUMIFS('Esecuzioni'!$P$8:$P$1007,'Esecuzioni'!$A$8:$A$1007,A180,'Esecuzioni'!$B$8:$B$1007,_xlfn.MAXIFS('Esecuzioni'!$B$8:$B$1007,'Esecuzioni'!$A$8:$A$1007,A180)),IF(LEFT(U180,8)="FREEBET:",0,Z180)))</x:f>
      </x:c>
      <x:c r="AS180" s="48" t="str">
        <x:f>IF(OR(A180="",E180=""),"",IF(COUNTIFS($E$8:E180,E180)=1,COUNT($AS$7:AS179)+1,""))</x:f>
      </x:c>
    </x:row>
    <x:row r="181" ht="22" customHeight="1">
      <x:c r="A181" s="7"/>
      <x:c r="B181" s="19"/>
      <x:c r="C181" s="19"/>
      <x:c r="D181" s="7"/>
      <x:c r="E181" s="7"/>
      <x:c r="F181" s="7"/>
      <x:c r="G181" s="7"/>
      <x:c r="H181" s="7"/>
      <x:c r="I181" s="7"/>
      <x:c r="J181" s="7"/>
      <x:c r="K181" s="10"/>
      <x:c r="L181" s="7"/>
      <x:c r="M181" s="10"/>
      <x:c r="N181" s="7"/>
      <x:c r="O181" s="8"/>
      <x:c r="P181" s="8"/>
      <x:c r="Q181" s="8"/>
      <x:c r="R181" s="9"/>
      <x:c r="S181" s="7"/>
      <x:c r="T181" s="7"/>
      <x:c r="U181" s="7"/>
      <x:c r="V181" s="7"/>
      <x:c r="W181" s="22" t="str">
        <x:f>IF(A181="","",COUNTIFS('Esecuzioni'!$A$8:$A$1007,A181,'Esecuzioni'!$Q$8:$Q$1007,"OK"))</x:f>
      </x:c>
      <x:c r="X181" s="20" t="str">
        <x:f>IF(OR(A181="",I181&lt;&gt;"Esecuzioni",W181=0),"",SUMIFS('Esecuzioni'!$L$8:$L$1007,'Esecuzioni'!$A$8:$A$1007,A181))</x:f>
      </x:c>
      <x:c r="Y181" s="20" t="str">
        <x:f>IF(OR(A181="",I181&lt;&gt;"Esecuzioni",W181=0),"",SUMIFS('Esecuzioni'!$M$8:$M$1007,'Esecuzioni'!$A$8:$A$1007,A181))</x:f>
      </x:c>
      <x:c r="Z181" s="20" t="str">
        <x:f>IF(A181="","",IF(J181="Annullato",0,IF(ISNUMBER(O181),O181,IF(AND(I181="Esecuzioni",W181&gt;0),_xlfn.MAXIFS('Esecuzioni'!$P$8:$P$1007,'Esecuzioni'!$A$8:$A$1007,A181),""))))</x:f>
      </x:c>
      <x:c r="AA181" s="20" t="str">
        <x:f>IF(OR(A181="",J181="Aperto"),"",IF(J181="Annullato",0,IF(I181="Lordo manuale",IF(ISNUMBER(P181),P181,""),IF(I181="Netto manuale",IF(AND(ISNUMBER(P181),ISNUMBER(Q181)),P181+Q181,""),IF(OR(W181=0,COUNTIFS('Esecuzioni'!$A$8:$A$1007,A181,'Esecuzioni'!$Q$8:$Q$1007,"&lt;&gt;OK")&gt;0),"",IF(S181="Vince",X181,IF(S181="Perde",Y181,IF(AND(S181="Coperto",ABS(X181-Y181)&lt;='Impostazioni'!$B$11),ROUND((X181+Y181)/2,2),""))))))))</x:f>
      </x:c>
      <x:c r="AB181" s="20" t="str">
        <x:f>IF(NOT(ISNUMBER(AA181)),"",IF(J181="Annullato",0,IF(ISNUMBER(Q181),Q181,ROUND(MAX(0,AA181)*IF(ISNUMBER(R181),R181,'Impostazioni'!$B$8),2))))</x:f>
      </x:c>
      <x:c r="AC181" s="20" t="str">
        <x:f>IF(AND(ISNUMBER(AA181),ISNUMBER(AB181)),ROUND(AA181-AB181,2),"")</x:f>
      </x:c>
      <x:c r="AD181" s="18" t="str">
        <x:f>IF(A181="","",IF(AQ181&lt;&gt;"OK","Incompleto",IF(J181="Aperto","Aperto",IF(J181="Annullato","Annullato",IF(AC181&gt;0,"Green",IF(AC181&lt;0,"Red","Flat"))))))</x:f>
      </x:c>
      <x:c r="AE181" s="21" t="str">
        <x:f>IF(AND(AH181=1,Z181&gt;0),AC181/Z181,"")</x:f>
      </x:c>
      <x:c r="AF181" s="22" t="str">
        <x:f>IF(AH181&lt;&gt;1,"",COUNTIFS($C$8:$C$507,"&lt;"&amp;C181,$AH$8:$AH$507,1)+COUNTIFS($C$8:$C$507,C181,$A$8:$A$507,"&lt;="&amp;A181,$AH$8:$AH$507,1))</x:f>
      </x:c>
      <x:c r="AG181" s="20" t="str">
        <x:f>IF(AH181&lt;&gt;1,"",SUMIFS($AC$8:$AC$507,$C$8:$C$507,"&lt;"&amp;C181,$AH$8:$AH$507,1)+SUMIFS($AC$8:$AC$507,$C$8:$C$507,C181,$A$8:$A$507,"&lt;="&amp;A181,$AH$8:$AH$507,1))</x:f>
      </x:c>
      <x:c r="AH181" s="22" t="str">
        <x:f>IF(A181="","",IF(AND(J181="Chiuso",AQ181="OK",ISNUMBER(AC181)),1,0))</x:f>
      </x:c>
      <x:c r="AI181" s="20" t="str">
        <x:f>IF(AH181&lt;&gt;1,"",MAX(0,_xlfn.MAXIFS($AG$8:$AG$507,$AF$8:$AF$507,"&lt;="&amp;AF181,$AH$8:$AH$507,1)))</x:f>
      </x:c>
      <x:c r="AJ181" s="20" t="str">
        <x:f>IF(AH181&lt;&gt;1,"",MAX(0,AI181-AG181))</x:f>
      </x:c>
      <x:c r="AK181" s="21" t="str">
        <x:f>IF(OR(AH181&lt;&gt;1,NOT(ISNUMBER('Impostazioni'!$B$6)),'Impostazioni'!$B$6+AI181&lt;=0),"",AJ181/('Impostazioni'!$B$6+AI181))</x:f>
      </x:c>
      <x:c r="AL181" s="22" t="str">
        <x:f>IF(AH181&lt;&gt;1,"",IF(AC181&gt;0,AF181-_xlfn.MAXIFS($AF$8:$AF$507,$AF$8:$AF$507,"&lt;="&amp;AF181,$AC$8:$AC$507,"&lt;=0",$AH$8:$AH$507,1),0))</x:f>
      </x:c>
      <x:c r="AM181" s="22" t="str">
        <x:f>IF(AH181&lt;&gt;1,"",IF(AC181&lt;0,AF181-_xlfn.MAXIFS($AF$8:$AF$507,$AF$8:$AF$507,"&lt;="&amp;AF181,$AC$8:$AC$507,"&gt;=0",$AH$8:$AH$507,1),0))</x:f>
      </x:c>
      <x:c r="AN181" s="20" t="str">
        <x:f>IF(OR(A181="",NOT(ISNUMBER(B181)),NOT(ISNUMBER('Impostazioni'!$B$6))),"",'Impostazioni'!$B$6+SUMIFS($AC$8:$AC$507,$C$8:$C$507,"&lt;"&amp;B181,$AH$8:$AH$507,1)+SUMIFS('Cassa'!$F$8:$F$307,'Cassa'!$A$8:$A$307,"&lt;="&amp;B181,'Cassa'!$G$8:$G$307,"OK"))</x:f>
      </x:c>
      <x:c r="AO181" s="21" t="str">
        <x:f>IF(AND(ISNUMBER(Z181),ISNUMBER(AN181),AN181&gt;0),Z181/AN181,"")</x:f>
      </x:c>
      <x:c r="AP181" s="18" t="str">
        <x:f>IF(NOT(ISNUMBER(AO181)),"",IF(AO181&gt;'Impostazioni'!$B$7,"Oltre soglia personale","Nella soglia personale"))</x:f>
      </x:c>
      <x:c r="AQ181" s="18" t="str">
        <x:f>IF(A181="",IF(COUNTA(B181:V181)=0,"","Inserisci ID"),IF(COUNTIFS($A$8:$A$507,A181)&lt;&gt;1,"ID duplicato",IF(OR(NOT(ISNUMBER(B181)),D181="",E181="",F181="",G181="",H181="",COUNTIFS('Impostazioni'!$J$6:$J$25,F181)&lt;&gt;1),"Completa dati / elenchi",IF(OR(AND(I181&lt;&gt;"Lordo manuale",I181&lt;&gt;"Netto manuale",I181&lt;&gt;"Esecuzioni"),AND(J181&lt;&gt;"Aperto",J181&lt;&gt;"Chiuso",J181&lt;&gt;"Annullato")),"Modalità / stato mancanti",IF(AND(J181&lt;&gt;"Aperto",OR(NOT(ISNUMBER(C181)),C181&lt;B181)),"Correggi data chiusura",IF(OR(AND(Q181&lt;&gt;"",OR(NOT(ISNUMBER(Q181)),Q181&lt;0)),AND(R181&lt;&gt;"",OR(NOT(ISNUMBER(R181)),R181&lt;0,R181&gt;1))),"Commissione non valida",IF(J181="Annullato","OK",IF(OR(NOT(ISNUMBER(Z181)),Z181&lt;0,AND(O181&lt;&gt;"",NOT(ISNUMBER(O181)))),"Inserisci rischio",IF(AND(I181="Esecuzioni",OR(W181=0,COUNTIFS('Esecuzioni'!$A$8:$A$1007,A181,'Esecuzioni'!$Q$8:$Q$1007,"&lt;&gt;OK")&gt;0)),"Correggi esecuzioni",IF(J181="Aperto","OK",IF(AND(I181="Esecuzioni",S181="Coperto",ABS(X181-Y181)&gt;'Impostazioni'!$B$11),"Copertura residua",IF(NOT(ISNUMBER(AC181)),"Completa risultato / esito",IF(AND(Z181=0,AC181&lt;&gt;0),"Rischio nullo con P/L","OK")))))))))))))</x:f>
      </x:c>
      <x:c r="AR181" s="20" t="str">
        <x:f>IF(OR(A181="",J181&lt;&gt;"Aperto",AQ181&lt;&gt;"OK"),"",IF(I181="Esecuzioni",SUMIFS('Esecuzioni'!$P$8:$P$1007,'Esecuzioni'!$A$8:$A$1007,A181,'Esecuzioni'!$B$8:$B$1007,_xlfn.MAXIFS('Esecuzioni'!$B$8:$B$1007,'Esecuzioni'!$A$8:$A$1007,A181)),IF(LEFT(U181,8)="FREEBET:",0,Z181)))</x:f>
      </x:c>
      <x:c r="AS181" s="48" t="str">
        <x:f>IF(OR(A181="",E181=""),"",IF(COUNTIFS($E$8:E181,E181)=1,COUNT($AS$7:AS180)+1,""))</x:f>
      </x:c>
    </x:row>
    <x:row r="182" ht="22" customHeight="1">
      <x:c r="A182" s="7"/>
      <x:c r="B182" s="19"/>
      <x:c r="C182" s="19"/>
      <x:c r="D182" s="7"/>
      <x:c r="E182" s="7"/>
      <x:c r="F182" s="7"/>
      <x:c r="G182" s="7"/>
      <x:c r="H182" s="7"/>
      <x:c r="I182" s="7"/>
      <x:c r="J182" s="7"/>
      <x:c r="K182" s="10"/>
      <x:c r="L182" s="7"/>
      <x:c r="M182" s="10"/>
      <x:c r="N182" s="7"/>
      <x:c r="O182" s="8"/>
      <x:c r="P182" s="8"/>
      <x:c r="Q182" s="8"/>
      <x:c r="R182" s="9"/>
      <x:c r="S182" s="7"/>
      <x:c r="T182" s="7"/>
      <x:c r="U182" s="7"/>
      <x:c r="V182" s="7"/>
      <x:c r="W182" s="22" t="str">
        <x:f>IF(A182="","",COUNTIFS('Esecuzioni'!$A$8:$A$1007,A182,'Esecuzioni'!$Q$8:$Q$1007,"OK"))</x:f>
      </x:c>
      <x:c r="X182" s="20" t="str">
        <x:f>IF(OR(A182="",I182&lt;&gt;"Esecuzioni",W182=0),"",SUMIFS('Esecuzioni'!$L$8:$L$1007,'Esecuzioni'!$A$8:$A$1007,A182))</x:f>
      </x:c>
      <x:c r="Y182" s="20" t="str">
        <x:f>IF(OR(A182="",I182&lt;&gt;"Esecuzioni",W182=0),"",SUMIFS('Esecuzioni'!$M$8:$M$1007,'Esecuzioni'!$A$8:$A$1007,A182))</x:f>
      </x:c>
      <x:c r="Z182" s="20" t="str">
        <x:f>IF(A182="","",IF(J182="Annullato",0,IF(ISNUMBER(O182),O182,IF(AND(I182="Esecuzioni",W182&gt;0),_xlfn.MAXIFS('Esecuzioni'!$P$8:$P$1007,'Esecuzioni'!$A$8:$A$1007,A182),""))))</x:f>
      </x:c>
      <x:c r="AA182" s="20" t="str">
        <x:f>IF(OR(A182="",J182="Aperto"),"",IF(J182="Annullato",0,IF(I182="Lordo manuale",IF(ISNUMBER(P182),P182,""),IF(I182="Netto manuale",IF(AND(ISNUMBER(P182),ISNUMBER(Q182)),P182+Q182,""),IF(OR(W182=0,COUNTIFS('Esecuzioni'!$A$8:$A$1007,A182,'Esecuzioni'!$Q$8:$Q$1007,"&lt;&gt;OK")&gt;0),"",IF(S182="Vince",X182,IF(S182="Perde",Y182,IF(AND(S182="Coperto",ABS(X182-Y182)&lt;='Impostazioni'!$B$11),ROUND((X182+Y182)/2,2),""))))))))</x:f>
      </x:c>
      <x:c r="AB182" s="20" t="str">
        <x:f>IF(NOT(ISNUMBER(AA182)),"",IF(J182="Annullato",0,IF(ISNUMBER(Q182),Q182,ROUND(MAX(0,AA182)*IF(ISNUMBER(R182),R182,'Impostazioni'!$B$8),2))))</x:f>
      </x:c>
      <x:c r="AC182" s="20" t="str">
        <x:f>IF(AND(ISNUMBER(AA182),ISNUMBER(AB182)),ROUND(AA182-AB182,2),"")</x:f>
      </x:c>
      <x:c r="AD182" s="18" t="str">
        <x:f>IF(A182="","",IF(AQ182&lt;&gt;"OK","Incompleto",IF(J182="Aperto","Aperto",IF(J182="Annullato","Annullato",IF(AC182&gt;0,"Green",IF(AC182&lt;0,"Red","Flat"))))))</x:f>
      </x:c>
      <x:c r="AE182" s="21" t="str">
        <x:f>IF(AND(AH182=1,Z182&gt;0),AC182/Z182,"")</x:f>
      </x:c>
      <x:c r="AF182" s="22" t="str">
        <x:f>IF(AH182&lt;&gt;1,"",COUNTIFS($C$8:$C$507,"&lt;"&amp;C182,$AH$8:$AH$507,1)+COUNTIFS($C$8:$C$507,C182,$A$8:$A$507,"&lt;="&amp;A182,$AH$8:$AH$507,1))</x:f>
      </x:c>
      <x:c r="AG182" s="20" t="str">
        <x:f>IF(AH182&lt;&gt;1,"",SUMIFS($AC$8:$AC$507,$C$8:$C$507,"&lt;"&amp;C182,$AH$8:$AH$507,1)+SUMIFS($AC$8:$AC$507,$C$8:$C$507,C182,$A$8:$A$507,"&lt;="&amp;A182,$AH$8:$AH$507,1))</x:f>
      </x:c>
      <x:c r="AH182" s="22" t="str">
        <x:f>IF(A182="","",IF(AND(J182="Chiuso",AQ182="OK",ISNUMBER(AC182)),1,0))</x:f>
      </x:c>
      <x:c r="AI182" s="20" t="str">
        <x:f>IF(AH182&lt;&gt;1,"",MAX(0,_xlfn.MAXIFS($AG$8:$AG$507,$AF$8:$AF$507,"&lt;="&amp;AF182,$AH$8:$AH$507,1)))</x:f>
      </x:c>
      <x:c r="AJ182" s="20" t="str">
        <x:f>IF(AH182&lt;&gt;1,"",MAX(0,AI182-AG182))</x:f>
      </x:c>
      <x:c r="AK182" s="21" t="str">
        <x:f>IF(OR(AH182&lt;&gt;1,NOT(ISNUMBER('Impostazioni'!$B$6)),'Impostazioni'!$B$6+AI182&lt;=0),"",AJ182/('Impostazioni'!$B$6+AI182))</x:f>
      </x:c>
      <x:c r="AL182" s="22" t="str">
        <x:f>IF(AH182&lt;&gt;1,"",IF(AC182&gt;0,AF182-_xlfn.MAXIFS($AF$8:$AF$507,$AF$8:$AF$507,"&lt;="&amp;AF182,$AC$8:$AC$507,"&lt;=0",$AH$8:$AH$507,1),0))</x:f>
      </x:c>
      <x:c r="AM182" s="22" t="str">
        <x:f>IF(AH182&lt;&gt;1,"",IF(AC182&lt;0,AF182-_xlfn.MAXIFS($AF$8:$AF$507,$AF$8:$AF$507,"&lt;="&amp;AF182,$AC$8:$AC$507,"&gt;=0",$AH$8:$AH$507,1),0))</x:f>
      </x:c>
      <x:c r="AN182" s="20" t="str">
        <x:f>IF(OR(A182="",NOT(ISNUMBER(B182)),NOT(ISNUMBER('Impostazioni'!$B$6))),"",'Impostazioni'!$B$6+SUMIFS($AC$8:$AC$507,$C$8:$C$507,"&lt;"&amp;B182,$AH$8:$AH$507,1)+SUMIFS('Cassa'!$F$8:$F$307,'Cassa'!$A$8:$A$307,"&lt;="&amp;B182,'Cassa'!$G$8:$G$307,"OK"))</x:f>
      </x:c>
      <x:c r="AO182" s="21" t="str">
        <x:f>IF(AND(ISNUMBER(Z182),ISNUMBER(AN182),AN182&gt;0),Z182/AN182,"")</x:f>
      </x:c>
      <x:c r="AP182" s="18" t="str">
        <x:f>IF(NOT(ISNUMBER(AO182)),"",IF(AO182&gt;'Impostazioni'!$B$7,"Oltre soglia personale","Nella soglia personale"))</x:f>
      </x:c>
      <x:c r="AQ182" s="18" t="str">
        <x:f>IF(A182="",IF(COUNTA(B182:V182)=0,"","Inserisci ID"),IF(COUNTIFS($A$8:$A$507,A182)&lt;&gt;1,"ID duplicato",IF(OR(NOT(ISNUMBER(B182)),D182="",E182="",F182="",G182="",H182="",COUNTIFS('Impostazioni'!$J$6:$J$25,F182)&lt;&gt;1),"Completa dati / elenchi",IF(OR(AND(I182&lt;&gt;"Lordo manuale",I182&lt;&gt;"Netto manuale",I182&lt;&gt;"Esecuzioni"),AND(J182&lt;&gt;"Aperto",J182&lt;&gt;"Chiuso",J182&lt;&gt;"Annullato")),"Modalità / stato mancanti",IF(AND(J182&lt;&gt;"Aperto",OR(NOT(ISNUMBER(C182)),C182&lt;B182)),"Correggi data chiusura",IF(OR(AND(Q182&lt;&gt;"",OR(NOT(ISNUMBER(Q182)),Q182&lt;0)),AND(R182&lt;&gt;"",OR(NOT(ISNUMBER(R182)),R182&lt;0,R182&gt;1))),"Commissione non valida",IF(J182="Annullato","OK",IF(OR(NOT(ISNUMBER(Z182)),Z182&lt;0,AND(O182&lt;&gt;"",NOT(ISNUMBER(O182)))),"Inserisci rischio",IF(AND(I182="Esecuzioni",OR(W182=0,COUNTIFS('Esecuzioni'!$A$8:$A$1007,A182,'Esecuzioni'!$Q$8:$Q$1007,"&lt;&gt;OK")&gt;0)),"Correggi esecuzioni",IF(J182="Aperto","OK",IF(AND(I182="Esecuzioni",S182="Coperto",ABS(X182-Y182)&gt;'Impostazioni'!$B$11),"Copertura residua",IF(NOT(ISNUMBER(AC182)),"Completa risultato / esito",IF(AND(Z182=0,AC182&lt;&gt;0),"Rischio nullo con P/L","OK")))))))))))))</x:f>
      </x:c>
      <x:c r="AR182" s="20" t="str">
        <x:f>IF(OR(A182="",J182&lt;&gt;"Aperto",AQ182&lt;&gt;"OK"),"",IF(I182="Esecuzioni",SUMIFS('Esecuzioni'!$P$8:$P$1007,'Esecuzioni'!$A$8:$A$1007,A182,'Esecuzioni'!$B$8:$B$1007,_xlfn.MAXIFS('Esecuzioni'!$B$8:$B$1007,'Esecuzioni'!$A$8:$A$1007,A182)),IF(LEFT(U182,8)="FREEBET:",0,Z182)))</x:f>
      </x:c>
      <x:c r="AS182" s="48" t="str">
        <x:f>IF(OR(A182="",E182=""),"",IF(COUNTIFS($E$8:E182,E182)=1,COUNT($AS$7:AS181)+1,""))</x:f>
      </x:c>
    </x:row>
    <x:row r="183" ht="22" customHeight="1">
      <x:c r="A183" s="7"/>
      <x:c r="B183" s="19"/>
      <x:c r="C183" s="19"/>
      <x:c r="D183" s="7"/>
      <x:c r="E183" s="7"/>
      <x:c r="F183" s="7"/>
      <x:c r="G183" s="7"/>
      <x:c r="H183" s="7"/>
      <x:c r="I183" s="7"/>
      <x:c r="J183" s="7"/>
      <x:c r="K183" s="10"/>
      <x:c r="L183" s="7"/>
      <x:c r="M183" s="10"/>
      <x:c r="N183" s="7"/>
      <x:c r="O183" s="8"/>
      <x:c r="P183" s="8"/>
      <x:c r="Q183" s="8"/>
      <x:c r="R183" s="9"/>
      <x:c r="S183" s="7"/>
      <x:c r="T183" s="7"/>
      <x:c r="U183" s="7"/>
      <x:c r="V183" s="7"/>
      <x:c r="W183" s="22" t="str">
        <x:f>IF(A183="","",COUNTIFS('Esecuzioni'!$A$8:$A$1007,A183,'Esecuzioni'!$Q$8:$Q$1007,"OK"))</x:f>
      </x:c>
      <x:c r="X183" s="20" t="str">
        <x:f>IF(OR(A183="",I183&lt;&gt;"Esecuzioni",W183=0),"",SUMIFS('Esecuzioni'!$L$8:$L$1007,'Esecuzioni'!$A$8:$A$1007,A183))</x:f>
      </x:c>
      <x:c r="Y183" s="20" t="str">
        <x:f>IF(OR(A183="",I183&lt;&gt;"Esecuzioni",W183=0),"",SUMIFS('Esecuzioni'!$M$8:$M$1007,'Esecuzioni'!$A$8:$A$1007,A183))</x:f>
      </x:c>
      <x:c r="Z183" s="20" t="str">
        <x:f>IF(A183="","",IF(J183="Annullato",0,IF(ISNUMBER(O183),O183,IF(AND(I183="Esecuzioni",W183&gt;0),_xlfn.MAXIFS('Esecuzioni'!$P$8:$P$1007,'Esecuzioni'!$A$8:$A$1007,A183),""))))</x:f>
      </x:c>
      <x:c r="AA183" s="20" t="str">
        <x:f>IF(OR(A183="",J183="Aperto"),"",IF(J183="Annullato",0,IF(I183="Lordo manuale",IF(ISNUMBER(P183),P183,""),IF(I183="Netto manuale",IF(AND(ISNUMBER(P183),ISNUMBER(Q183)),P183+Q183,""),IF(OR(W183=0,COUNTIFS('Esecuzioni'!$A$8:$A$1007,A183,'Esecuzioni'!$Q$8:$Q$1007,"&lt;&gt;OK")&gt;0),"",IF(S183="Vince",X183,IF(S183="Perde",Y183,IF(AND(S183="Coperto",ABS(X183-Y183)&lt;='Impostazioni'!$B$11),ROUND((X183+Y183)/2,2),""))))))))</x:f>
      </x:c>
      <x:c r="AB183" s="20" t="str">
        <x:f>IF(NOT(ISNUMBER(AA183)),"",IF(J183="Annullato",0,IF(ISNUMBER(Q183),Q183,ROUND(MAX(0,AA183)*IF(ISNUMBER(R183),R183,'Impostazioni'!$B$8),2))))</x:f>
      </x:c>
      <x:c r="AC183" s="20" t="str">
        <x:f>IF(AND(ISNUMBER(AA183),ISNUMBER(AB183)),ROUND(AA183-AB183,2),"")</x:f>
      </x:c>
      <x:c r="AD183" s="18" t="str">
        <x:f>IF(A183="","",IF(AQ183&lt;&gt;"OK","Incompleto",IF(J183="Aperto","Aperto",IF(J183="Annullato","Annullato",IF(AC183&gt;0,"Green",IF(AC183&lt;0,"Red","Flat"))))))</x:f>
      </x:c>
      <x:c r="AE183" s="21" t="str">
        <x:f>IF(AND(AH183=1,Z183&gt;0),AC183/Z183,"")</x:f>
      </x:c>
      <x:c r="AF183" s="22" t="str">
        <x:f>IF(AH183&lt;&gt;1,"",COUNTIFS($C$8:$C$507,"&lt;"&amp;C183,$AH$8:$AH$507,1)+COUNTIFS($C$8:$C$507,C183,$A$8:$A$507,"&lt;="&amp;A183,$AH$8:$AH$507,1))</x:f>
      </x:c>
      <x:c r="AG183" s="20" t="str">
        <x:f>IF(AH183&lt;&gt;1,"",SUMIFS($AC$8:$AC$507,$C$8:$C$507,"&lt;"&amp;C183,$AH$8:$AH$507,1)+SUMIFS($AC$8:$AC$507,$C$8:$C$507,C183,$A$8:$A$507,"&lt;="&amp;A183,$AH$8:$AH$507,1))</x:f>
      </x:c>
      <x:c r="AH183" s="22" t="str">
        <x:f>IF(A183="","",IF(AND(J183="Chiuso",AQ183="OK",ISNUMBER(AC183)),1,0))</x:f>
      </x:c>
      <x:c r="AI183" s="20" t="str">
        <x:f>IF(AH183&lt;&gt;1,"",MAX(0,_xlfn.MAXIFS($AG$8:$AG$507,$AF$8:$AF$507,"&lt;="&amp;AF183,$AH$8:$AH$507,1)))</x:f>
      </x:c>
      <x:c r="AJ183" s="20" t="str">
        <x:f>IF(AH183&lt;&gt;1,"",MAX(0,AI183-AG183))</x:f>
      </x:c>
      <x:c r="AK183" s="21" t="str">
        <x:f>IF(OR(AH183&lt;&gt;1,NOT(ISNUMBER('Impostazioni'!$B$6)),'Impostazioni'!$B$6+AI183&lt;=0),"",AJ183/('Impostazioni'!$B$6+AI183))</x:f>
      </x:c>
      <x:c r="AL183" s="22" t="str">
        <x:f>IF(AH183&lt;&gt;1,"",IF(AC183&gt;0,AF183-_xlfn.MAXIFS($AF$8:$AF$507,$AF$8:$AF$507,"&lt;="&amp;AF183,$AC$8:$AC$507,"&lt;=0",$AH$8:$AH$507,1),0))</x:f>
      </x:c>
      <x:c r="AM183" s="22" t="str">
        <x:f>IF(AH183&lt;&gt;1,"",IF(AC183&lt;0,AF183-_xlfn.MAXIFS($AF$8:$AF$507,$AF$8:$AF$507,"&lt;="&amp;AF183,$AC$8:$AC$507,"&gt;=0",$AH$8:$AH$507,1),0))</x:f>
      </x:c>
      <x:c r="AN183" s="20" t="str">
        <x:f>IF(OR(A183="",NOT(ISNUMBER(B183)),NOT(ISNUMBER('Impostazioni'!$B$6))),"",'Impostazioni'!$B$6+SUMIFS($AC$8:$AC$507,$C$8:$C$507,"&lt;"&amp;B183,$AH$8:$AH$507,1)+SUMIFS('Cassa'!$F$8:$F$307,'Cassa'!$A$8:$A$307,"&lt;="&amp;B183,'Cassa'!$G$8:$G$307,"OK"))</x:f>
      </x:c>
      <x:c r="AO183" s="21" t="str">
        <x:f>IF(AND(ISNUMBER(Z183),ISNUMBER(AN183),AN183&gt;0),Z183/AN183,"")</x:f>
      </x:c>
      <x:c r="AP183" s="18" t="str">
        <x:f>IF(NOT(ISNUMBER(AO183)),"",IF(AO183&gt;'Impostazioni'!$B$7,"Oltre soglia personale","Nella soglia personale"))</x:f>
      </x:c>
      <x:c r="AQ183" s="18" t="str">
        <x:f>IF(A183="",IF(COUNTA(B183:V183)=0,"","Inserisci ID"),IF(COUNTIFS($A$8:$A$507,A183)&lt;&gt;1,"ID duplicato",IF(OR(NOT(ISNUMBER(B183)),D183="",E183="",F183="",G183="",H183="",COUNTIFS('Impostazioni'!$J$6:$J$25,F183)&lt;&gt;1),"Completa dati / elenchi",IF(OR(AND(I183&lt;&gt;"Lordo manuale",I183&lt;&gt;"Netto manuale",I183&lt;&gt;"Esecuzioni"),AND(J183&lt;&gt;"Aperto",J183&lt;&gt;"Chiuso",J183&lt;&gt;"Annullato")),"Modalità / stato mancanti",IF(AND(J183&lt;&gt;"Aperto",OR(NOT(ISNUMBER(C183)),C183&lt;B183)),"Correggi data chiusura",IF(OR(AND(Q183&lt;&gt;"",OR(NOT(ISNUMBER(Q183)),Q183&lt;0)),AND(R183&lt;&gt;"",OR(NOT(ISNUMBER(R183)),R183&lt;0,R183&gt;1))),"Commissione non valida",IF(J183="Annullato","OK",IF(OR(NOT(ISNUMBER(Z183)),Z183&lt;0,AND(O183&lt;&gt;"",NOT(ISNUMBER(O183)))),"Inserisci rischio",IF(AND(I183="Esecuzioni",OR(W183=0,COUNTIFS('Esecuzioni'!$A$8:$A$1007,A183,'Esecuzioni'!$Q$8:$Q$1007,"&lt;&gt;OK")&gt;0)),"Correggi esecuzioni",IF(J183="Aperto","OK",IF(AND(I183="Esecuzioni",S183="Coperto",ABS(X183-Y183)&gt;'Impostazioni'!$B$11),"Copertura residua",IF(NOT(ISNUMBER(AC183)),"Completa risultato / esito",IF(AND(Z183=0,AC183&lt;&gt;0),"Rischio nullo con P/L","OK")))))))))))))</x:f>
      </x:c>
      <x:c r="AR183" s="20" t="str">
        <x:f>IF(OR(A183="",J183&lt;&gt;"Aperto",AQ183&lt;&gt;"OK"),"",IF(I183="Esecuzioni",SUMIFS('Esecuzioni'!$P$8:$P$1007,'Esecuzioni'!$A$8:$A$1007,A183,'Esecuzioni'!$B$8:$B$1007,_xlfn.MAXIFS('Esecuzioni'!$B$8:$B$1007,'Esecuzioni'!$A$8:$A$1007,A183)),IF(LEFT(U183,8)="FREEBET:",0,Z183)))</x:f>
      </x:c>
      <x:c r="AS183" s="48" t="str">
        <x:f>IF(OR(A183="",E183=""),"",IF(COUNTIFS($E$8:E183,E183)=1,COUNT($AS$7:AS182)+1,""))</x:f>
      </x:c>
    </x:row>
    <x:row r="184" ht="22" customHeight="1">
      <x:c r="A184" s="7"/>
      <x:c r="B184" s="19"/>
      <x:c r="C184" s="19"/>
      <x:c r="D184" s="7"/>
      <x:c r="E184" s="7"/>
      <x:c r="F184" s="7"/>
      <x:c r="G184" s="7"/>
      <x:c r="H184" s="7"/>
      <x:c r="I184" s="7"/>
      <x:c r="J184" s="7"/>
      <x:c r="K184" s="10"/>
      <x:c r="L184" s="7"/>
      <x:c r="M184" s="10"/>
      <x:c r="N184" s="7"/>
      <x:c r="O184" s="8"/>
      <x:c r="P184" s="8"/>
      <x:c r="Q184" s="8"/>
      <x:c r="R184" s="9"/>
      <x:c r="S184" s="7"/>
      <x:c r="T184" s="7"/>
      <x:c r="U184" s="7"/>
      <x:c r="V184" s="7"/>
      <x:c r="W184" s="22" t="str">
        <x:f>IF(A184="","",COUNTIFS('Esecuzioni'!$A$8:$A$1007,A184,'Esecuzioni'!$Q$8:$Q$1007,"OK"))</x:f>
      </x:c>
      <x:c r="X184" s="20" t="str">
        <x:f>IF(OR(A184="",I184&lt;&gt;"Esecuzioni",W184=0),"",SUMIFS('Esecuzioni'!$L$8:$L$1007,'Esecuzioni'!$A$8:$A$1007,A184))</x:f>
      </x:c>
      <x:c r="Y184" s="20" t="str">
        <x:f>IF(OR(A184="",I184&lt;&gt;"Esecuzioni",W184=0),"",SUMIFS('Esecuzioni'!$M$8:$M$1007,'Esecuzioni'!$A$8:$A$1007,A184))</x:f>
      </x:c>
      <x:c r="Z184" s="20" t="str">
        <x:f>IF(A184="","",IF(J184="Annullato",0,IF(ISNUMBER(O184),O184,IF(AND(I184="Esecuzioni",W184&gt;0),_xlfn.MAXIFS('Esecuzioni'!$P$8:$P$1007,'Esecuzioni'!$A$8:$A$1007,A184),""))))</x:f>
      </x:c>
      <x:c r="AA184" s="20" t="str">
        <x:f>IF(OR(A184="",J184="Aperto"),"",IF(J184="Annullato",0,IF(I184="Lordo manuale",IF(ISNUMBER(P184),P184,""),IF(I184="Netto manuale",IF(AND(ISNUMBER(P184),ISNUMBER(Q184)),P184+Q184,""),IF(OR(W184=0,COUNTIFS('Esecuzioni'!$A$8:$A$1007,A184,'Esecuzioni'!$Q$8:$Q$1007,"&lt;&gt;OK")&gt;0),"",IF(S184="Vince",X184,IF(S184="Perde",Y184,IF(AND(S184="Coperto",ABS(X184-Y184)&lt;='Impostazioni'!$B$11),ROUND((X184+Y184)/2,2),""))))))))</x:f>
      </x:c>
      <x:c r="AB184" s="20" t="str">
        <x:f>IF(NOT(ISNUMBER(AA184)),"",IF(J184="Annullato",0,IF(ISNUMBER(Q184),Q184,ROUND(MAX(0,AA184)*IF(ISNUMBER(R184),R184,'Impostazioni'!$B$8),2))))</x:f>
      </x:c>
      <x:c r="AC184" s="20" t="str">
        <x:f>IF(AND(ISNUMBER(AA184),ISNUMBER(AB184)),ROUND(AA184-AB184,2),"")</x:f>
      </x:c>
      <x:c r="AD184" s="18" t="str">
        <x:f>IF(A184="","",IF(AQ184&lt;&gt;"OK","Incompleto",IF(J184="Aperto","Aperto",IF(J184="Annullato","Annullato",IF(AC184&gt;0,"Green",IF(AC184&lt;0,"Red","Flat"))))))</x:f>
      </x:c>
      <x:c r="AE184" s="21" t="str">
        <x:f>IF(AND(AH184=1,Z184&gt;0),AC184/Z184,"")</x:f>
      </x:c>
      <x:c r="AF184" s="22" t="str">
        <x:f>IF(AH184&lt;&gt;1,"",COUNTIFS($C$8:$C$507,"&lt;"&amp;C184,$AH$8:$AH$507,1)+COUNTIFS($C$8:$C$507,C184,$A$8:$A$507,"&lt;="&amp;A184,$AH$8:$AH$507,1))</x:f>
      </x:c>
      <x:c r="AG184" s="20" t="str">
        <x:f>IF(AH184&lt;&gt;1,"",SUMIFS($AC$8:$AC$507,$C$8:$C$507,"&lt;"&amp;C184,$AH$8:$AH$507,1)+SUMIFS($AC$8:$AC$507,$C$8:$C$507,C184,$A$8:$A$507,"&lt;="&amp;A184,$AH$8:$AH$507,1))</x:f>
      </x:c>
      <x:c r="AH184" s="22" t="str">
        <x:f>IF(A184="","",IF(AND(J184="Chiuso",AQ184="OK",ISNUMBER(AC184)),1,0))</x:f>
      </x:c>
      <x:c r="AI184" s="20" t="str">
        <x:f>IF(AH184&lt;&gt;1,"",MAX(0,_xlfn.MAXIFS($AG$8:$AG$507,$AF$8:$AF$507,"&lt;="&amp;AF184,$AH$8:$AH$507,1)))</x:f>
      </x:c>
      <x:c r="AJ184" s="20" t="str">
        <x:f>IF(AH184&lt;&gt;1,"",MAX(0,AI184-AG184))</x:f>
      </x:c>
      <x:c r="AK184" s="21" t="str">
        <x:f>IF(OR(AH184&lt;&gt;1,NOT(ISNUMBER('Impostazioni'!$B$6)),'Impostazioni'!$B$6+AI184&lt;=0),"",AJ184/('Impostazioni'!$B$6+AI184))</x:f>
      </x:c>
      <x:c r="AL184" s="22" t="str">
        <x:f>IF(AH184&lt;&gt;1,"",IF(AC184&gt;0,AF184-_xlfn.MAXIFS($AF$8:$AF$507,$AF$8:$AF$507,"&lt;="&amp;AF184,$AC$8:$AC$507,"&lt;=0",$AH$8:$AH$507,1),0))</x:f>
      </x:c>
      <x:c r="AM184" s="22" t="str">
        <x:f>IF(AH184&lt;&gt;1,"",IF(AC184&lt;0,AF184-_xlfn.MAXIFS($AF$8:$AF$507,$AF$8:$AF$507,"&lt;="&amp;AF184,$AC$8:$AC$507,"&gt;=0",$AH$8:$AH$507,1),0))</x:f>
      </x:c>
      <x:c r="AN184" s="20" t="str">
        <x:f>IF(OR(A184="",NOT(ISNUMBER(B184)),NOT(ISNUMBER('Impostazioni'!$B$6))),"",'Impostazioni'!$B$6+SUMIFS($AC$8:$AC$507,$C$8:$C$507,"&lt;"&amp;B184,$AH$8:$AH$507,1)+SUMIFS('Cassa'!$F$8:$F$307,'Cassa'!$A$8:$A$307,"&lt;="&amp;B184,'Cassa'!$G$8:$G$307,"OK"))</x:f>
      </x:c>
      <x:c r="AO184" s="21" t="str">
        <x:f>IF(AND(ISNUMBER(Z184),ISNUMBER(AN184),AN184&gt;0),Z184/AN184,"")</x:f>
      </x:c>
      <x:c r="AP184" s="18" t="str">
        <x:f>IF(NOT(ISNUMBER(AO184)),"",IF(AO184&gt;'Impostazioni'!$B$7,"Oltre soglia personale","Nella soglia personale"))</x:f>
      </x:c>
      <x:c r="AQ184" s="18" t="str">
        <x:f>IF(A184="",IF(COUNTA(B184:V184)=0,"","Inserisci ID"),IF(COUNTIFS($A$8:$A$507,A184)&lt;&gt;1,"ID duplicato",IF(OR(NOT(ISNUMBER(B184)),D184="",E184="",F184="",G184="",H184="",COUNTIFS('Impostazioni'!$J$6:$J$25,F184)&lt;&gt;1),"Completa dati / elenchi",IF(OR(AND(I184&lt;&gt;"Lordo manuale",I184&lt;&gt;"Netto manuale",I184&lt;&gt;"Esecuzioni"),AND(J184&lt;&gt;"Aperto",J184&lt;&gt;"Chiuso",J184&lt;&gt;"Annullato")),"Modalità / stato mancanti",IF(AND(J184&lt;&gt;"Aperto",OR(NOT(ISNUMBER(C184)),C184&lt;B184)),"Correggi data chiusura",IF(OR(AND(Q184&lt;&gt;"",OR(NOT(ISNUMBER(Q184)),Q184&lt;0)),AND(R184&lt;&gt;"",OR(NOT(ISNUMBER(R184)),R184&lt;0,R184&gt;1))),"Commissione non valida",IF(J184="Annullato","OK",IF(OR(NOT(ISNUMBER(Z184)),Z184&lt;0,AND(O184&lt;&gt;"",NOT(ISNUMBER(O184)))),"Inserisci rischio",IF(AND(I184="Esecuzioni",OR(W184=0,COUNTIFS('Esecuzioni'!$A$8:$A$1007,A184,'Esecuzioni'!$Q$8:$Q$1007,"&lt;&gt;OK")&gt;0)),"Correggi esecuzioni",IF(J184="Aperto","OK",IF(AND(I184="Esecuzioni",S184="Coperto",ABS(X184-Y184)&gt;'Impostazioni'!$B$11),"Copertura residua",IF(NOT(ISNUMBER(AC184)),"Completa risultato / esito",IF(AND(Z184=0,AC184&lt;&gt;0),"Rischio nullo con P/L","OK")))))))))))))</x:f>
      </x:c>
      <x:c r="AR184" s="20" t="str">
        <x:f>IF(OR(A184="",J184&lt;&gt;"Aperto",AQ184&lt;&gt;"OK"),"",IF(I184="Esecuzioni",SUMIFS('Esecuzioni'!$P$8:$P$1007,'Esecuzioni'!$A$8:$A$1007,A184,'Esecuzioni'!$B$8:$B$1007,_xlfn.MAXIFS('Esecuzioni'!$B$8:$B$1007,'Esecuzioni'!$A$8:$A$1007,A184)),IF(LEFT(U184,8)="FREEBET:",0,Z184)))</x:f>
      </x:c>
      <x:c r="AS184" s="48" t="str">
        <x:f>IF(OR(A184="",E184=""),"",IF(COUNTIFS($E$8:E184,E184)=1,COUNT($AS$7:AS183)+1,""))</x:f>
      </x:c>
    </x:row>
    <x:row r="185" ht="22" customHeight="1">
      <x:c r="A185" s="7"/>
      <x:c r="B185" s="19"/>
      <x:c r="C185" s="19"/>
      <x:c r="D185" s="7"/>
      <x:c r="E185" s="7"/>
      <x:c r="F185" s="7"/>
      <x:c r="G185" s="7"/>
      <x:c r="H185" s="7"/>
      <x:c r="I185" s="7"/>
      <x:c r="J185" s="7"/>
      <x:c r="K185" s="10"/>
      <x:c r="L185" s="7"/>
      <x:c r="M185" s="10"/>
      <x:c r="N185" s="7"/>
      <x:c r="O185" s="8"/>
      <x:c r="P185" s="8"/>
      <x:c r="Q185" s="8"/>
      <x:c r="R185" s="9"/>
      <x:c r="S185" s="7"/>
      <x:c r="T185" s="7"/>
      <x:c r="U185" s="7"/>
      <x:c r="V185" s="7"/>
      <x:c r="W185" s="22" t="str">
        <x:f>IF(A185="","",COUNTIFS('Esecuzioni'!$A$8:$A$1007,A185,'Esecuzioni'!$Q$8:$Q$1007,"OK"))</x:f>
      </x:c>
      <x:c r="X185" s="20" t="str">
        <x:f>IF(OR(A185="",I185&lt;&gt;"Esecuzioni",W185=0),"",SUMIFS('Esecuzioni'!$L$8:$L$1007,'Esecuzioni'!$A$8:$A$1007,A185))</x:f>
      </x:c>
      <x:c r="Y185" s="20" t="str">
        <x:f>IF(OR(A185="",I185&lt;&gt;"Esecuzioni",W185=0),"",SUMIFS('Esecuzioni'!$M$8:$M$1007,'Esecuzioni'!$A$8:$A$1007,A185))</x:f>
      </x:c>
      <x:c r="Z185" s="20" t="str">
        <x:f>IF(A185="","",IF(J185="Annullato",0,IF(ISNUMBER(O185),O185,IF(AND(I185="Esecuzioni",W185&gt;0),_xlfn.MAXIFS('Esecuzioni'!$P$8:$P$1007,'Esecuzioni'!$A$8:$A$1007,A185),""))))</x:f>
      </x:c>
      <x:c r="AA185" s="20" t="str">
        <x:f>IF(OR(A185="",J185="Aperto"),"",IF(J185="Annullato",0,IF(I185="Lordo manuale",IF(ISNUMBER(P185),P185,""),IF(I185="Netto manuale",IF(AND(ISNUMBER(P185),ISNUMBER(Q185)),P185+Q185,""),IF(OR(W185=0,COUNTIFS('Esecuzioni'!$A$8:$A$1007,A185,'Esecuzioni'!$Q$8:$Q$1007,"&lt;&gt;OK")&gt;0),"",IF(S185="Vince",X185,IF(S185="Perde",Y185,IF(AND(S185="Coperto",ABS(X185-Y185)&lt;='Impostazioni'!$B$11),ROUND((X185+Y185)/2,2),""))))))))</x:f>
      </x:c>
      <x:c r="AB185" s="20" t="str">
        <x:f>IF(NOT(ISNUMBER(AA185)),"",IF(J185="Annullato",0,IF(ISNUMBER(Q185),Q185,ROUND(MAX(0,AA185)*IF(ISNUMBER(R185),R185,'Impostazioni'!$B$8),2))))</x:f>
      </x:c>
      <x:c r="AC185" s="20" t="str">
        <x:f>IF(AND(ISNUMBER(AA185),ISNUMBER(AB185)),ROUND(AA185-AB185,2),"")</x:f>
      </x:c>
      <x:c r="AD185" s="18" t="str">
        <x:f>IF(A185="","",IF(AQ185&lt;&gt;"OK","Incompleto",IF(J185="Aperto","Aperto",IF(J185="Annullato","Annullato",IF(AC185&gt;0,"Green",IF(AC185&lt;0,"Red","Flat"))))))</x:f>
      </x:c>
      <x:c r="AE185" s="21" t="str">
        <x:f>IF(AND(AH185=1,Z185&gt;0),AC185/Z185,"")</x:f>
      </x:c>
      <x:c r="AF185" s="22" t="str">
        <x:f>IF(AH185&lt;&gt;1,"",COUNTIFS($C$8:$C$507,"&lt;"&amp;C185,$AH$8:$AH$507,1)+COUNTIFS($C$8:$C$507,C185,$A$8:$A$507,"&lt;="&amp;A185,$AH$8:$AH$507,1))</x:f>
      </x:c>
      <x:c r="AG185" s="20" t="str">
        <x:f>IF(AH185&lt;&gt;1,"",SUMIFS($AC$8:$AC$507,$C$8:$C$507,"&lt;"&amp;C185,$AH$8:$AH$507,1)+SUMIFS($AC$8:$AC$507,$C$8:$C$507,C185,$A$8:$A$507,"&lt;="&amp;A185,$AH$8:$AH$507,1))</x:f>
      </x:c>
      <x:c r="AH185" s="22" t="str">
        <x:f>IF(A185="","",IF(AND(J185="Chiuso",AQ185="OK",ISNUMBER(AC185)),1,0))</x:f>
      </x:c>
      <x:c r="AI185" s="20" t="str">
        <x:f>IF(AH185&lt;&gt;1,"",MAX(0,_xlfn.MAXIFS($AG$8:$AG$507,$AF$8:$AF$507,"&lt;="&amp;AF185,$AH$8:$AH$507,1)))</x:f>
      </x:c>
      <x:c r="AJ185" s="20" t="str">
        <x:f>IF(AH185&lt;&gt;1,"",MAX(0,AI185-AG185))</x:f>
      </x:c>
      <x:c r="AK185" s="21" t="str">
        <x:f>IF(OR(AH185&lt;&gt;1,NOT(ISNUMBER('Impostazioni'!$B$6)),'Impostazioni'!$B$6+AI185&lt;=0),"",AJ185/('Impostazioni'!$B$6+AI185))</x:f>
      </x:c>
      <x:c r="AL185" s="22" t="str">
        <x:f>IF(AH185&lt;&gt;1,"",IF(AC185&gt;0,AF185-_xlfn.MAXIFS($AF$8:$AF$507,$AF$8:$AF$507,"&lt;="&amp;AF185,$AC$8:$AC$507,"&lt;=0",$AH$8:$AH$507,1),0))</x:f>
      </x:c>
      <x:c r="AM185" s="22" t="str">
        <x:f>IF(AH185&lt;&gt;1,"",IF(AC185&lt;0,AF185-_xlfn.MAXIFS($AF$8:$AF$507,$AF$8:$AF$507,"&lt;="&amp;AF185,$AC$8:$AC$507,"&gt;=0",$AH$8:$AH$507,1),0))</x:f>
      </x:c>
      <x:c r="AN185" s="20" t="str">
        <x:f>IF(OR(A185="",NOT(ISNUMBER(B185)),NOT(ISNUMBER('Impostazioni'!$B$6))),"",'Impostazioni'!$B$6+SUMIFS($AC$8:$AC$507,$C$8:$C$507,"&lt;"&amp;B185,$AH$8:$AH$507,1)+SUMIFS('Cassa'!$F$8:$F$307,'Cassa'!$A$8:$A$307,"&lt;="&amp;B185,'Cassa'!$G$8:$G$307,"OK"))</x:f>
      </x:c>
      <x:c r="AO185" s="21" t="str">
        <x:f>IF(AND(ISNUMBER(Z185),ISNUMBER(AN185),AN185&gt;0),Z185/AN185,"")</x:f>
      </x:c>
      <x:c r="AP185" s="18" t="str">
        <x:f>IF(NOT(ISNUMBER(AO185)),"",IF(AO185&gt;'Impostazioni'!$B$7,"Oltre soglia personale","Nella soglia personale"))</x:f>
      </x:c>
      <x:c r="AQ185" s="18" t="str">
        <x:f>IF(A185="",IF(COUNTA(B185:V185)=0,"","Inserisci ID"),IF(COUNTIFS($A$8:$A$507,A185)&lt;&gt;1,"ID duplicato",IF(OR(NOT(ISNUMBER(B185)),D185="",E185="",F185="",G185="",H185="",COUNTIFS('Impostazioni'!$J$6:$J$25,F185)&lt;&gt;1),"Completa dati / elenchi",IF(OR(AND(I185&lt;&gt;"Lordo manuale",I185&lt;&gt;"Netto manuale",I185&lt;&gt;"Esecuzioni"),AND(J185&lt;&gt;"Aperto",J185&lt;&gt;"Chiuso",J185&lt;&gt;"Annullato")),"Modalità / stato mancanti",IF(AND(J185&lt;&gt;"Aperto",OR(NOT(ISNUMBER(C185)),C185&lt;B185)),"Correggi data chiusura",IF(OR(AND(Q185&lt;&gt;"",OR(NOT(ISNUMBER(Q185)),Q185&lt;0)),AND(R185&lt;&gt;"",OR(NOT(ISNUMBER(R185)),R185&lt;0,R185&gt;1))),"Commissione non valida",IF(J185="Annullato","OK",IF(OR(NOT(ISNUMBER(Z185)),Z185&lt;0,AND(O185&lt;&gt;"",NOT(ISNUMBER(O185)))),"Inserisci rischio",IF(AND(I185="Esecuzioni",OR(W185=0,COUNTIFS('Esecuzioni'!$A$8:$A$1007,A185,'Esecuzioni'!$Q$8:$Q$1007,"&lt;&gt;OK")&gt;0)),"Correggi esecuzioni",IF(J185="Aperto","OK",IF(AND(I185="Esecuzioni",S185="Coperto",ABS(X185-Y185)&gt;'Impostazioni'!$B$11),"Copertura residua",IF(NOT(ISNUMBER(AC185)),"Completa risultato / esito",IF(AND(Z185=0,AC185&lt;&gt;0),"Rischio nullo con P/L","OK")))))))))))))</x:f>
      </x:c>
      <x:c r="AR185" s="20" t="str">
        <x:f>IF(OR(A185="",J185&lt;&gt;"Aperto",AQ185&lt;&gt;"OK"),"",IF(I185="Esecuzioni",SUMIFS('Esecuzioni'!$P$8:$P$1007,'Esecuzioni'!$A$8:$A$1007,A185,'Esecuzioni'!$B$8:$B$1007,_xlfn.MAXIFS('Esecuzioni'!$B$8:$B$1007,'Esecuzioni'!$A$8:$A$1007,A185)),IF(LEFT(U185,8)="FREEBET:",0,Z185)))</x:f>
      </x:c>
      <x:c r="AS185" s="48" t="str">
        <x:f>IF(OR(A185="",E185=""),"",IF(COUNTIFS($E$8:E185,E185)=1,COUNT($AS$7:AS184)+1,""))</x:f>
      </x:c>
    </x:row>
    <x:row r="186" ht="22" customHeight="1">
      <x:c r="A186" s="7"/>
      <x:c r="B186" s="19"/>
      <x:c r="C186" s="19"/>
      <x:c r="D186" s="7"/>
      <x:c r="E186" s="7"/>
      <x:c r="F186" s="7"/>
      <x:c r="G186" s="7"/>
      <x:c r="H186" s="7"/>
      <x:c r="I186" s="7"/>
      <x:c r="J186" s="7"/>
      <x:c r="K186" s="10"/>
      <x:c r="L186" s="7"/>
      <x:c r="M186" s="10"/>
      <x:c r="N186" s="7"/>
      <x:c r="O186" s="8"/>
      <x:c r="P186" s="8"/>
      <x:c r="Q186" s="8"/>
      <x:c r="R186" s="9"/>
      <x:c r="S186" s="7"/>
      <x:c r="T186" s="7"/>
      <x:c r="U186" s="7"/>
      <x:c r="V186" s="7"/>
      <x:c r="W186" s="22" t="str">
        <x:f>IF(A186="","",COUNTIFS('Esecuzioni'!$A$8:$A$1007,A186,'Esecuzioni'!$Q$8:$Q$1007,"OK"))</x:f>
      </x:c>
      <x:c r="X186" s="20" t="str">
        <x:f>IF(OR(A186="",I186&lt;&gt;"Esecuzioni",W186=0),"",SUMIFS('Esecuzioni'!$L$8:$L$1007,'Esecuzioni'!$A$8:$A$1007,A186))</x:f>
      </x:c>
      <x:c r="Y186" s="20" t="str">
        <x:f>IF(OR(A186="",I186&lt;&gt;"Esecuzioni",W186=0),"",SUMIFS('Esecuzioni'!$M$8:$M$1007,'Esecuzioni'!$A$8:$A$1007,A186))</x:f>
      </x:c>
      <x:c r="Z186" s="20" t="str">
        <x:f>IF(A186="","",IF(J186="Annullato",0,IF(ISNUMBER(O186),O186,IF(AND(I186="Esecuzioni",W186&gt;0),_xlfn.MAXIFS('Esecuzioni'!$P$8:$P$1007,'Esecuzioni'!$A$8:$A$1007,A186),""))))</x:f>
      </x:c>
      <x:c r="AA186" s="20" t="str">
        <x:f>IF(OR(A186="",J186="Aperto"),"",IF(J186="Annullato",0,IF(I186="Lordo manuale",IF(ISNUMBER(P186),P186,""),IF(I186="Netto manuale",IF(AND(ISNUMBER(P186),ISNUMBER(Q186)),P186+Q186,""),IF(OR(W186=0,COUNTIFS('Esecuzioni'!$A$8:$A$1007,A186,'Esecuzioni'!$Q$8:$Q$1007,"&lt;&gt;OK")&gt;0),"",IF(S186="Vince",X186,IF(S186="Perde",Y186,IF(AND(S186="Coperto",ABS(X186-Y186)&lt;='Impostazioni'!$B$11),ROUND((X186+Y186)/2,2),""))))))))</x:f>
      </x:c>
      <x:c r="AB186" s="20" t="str">
        <x:f>IF(NOT(ISNUMBER(AA186)),"",IF(J186="Annullato",0,IF(ISNUMBER(Q186),Q186,ROUND(MAX(0,AA186)*IF(ISNUMBER(R186),R186,'Impostazioni'!$B$8),2))))</x:f>
      </x:c>
      <x:c r="AC186" s="20" t="str">
        <x:f>IF(AND(ISNUMBER(AA186),ISNUMBER(AB186)),ROUND(AA186-AB186,2),"")</x:f>
      </x:c>
      <x:c r="AD186" s="18" t="str">
        <x:f>IF(A186="","",IF(AQ186&lt;&gt;"OK","Incompleto",IF(J186="Aperto","Aperto",IF(J186="Annullato","Annullato",IF(AC186&gt;0,"Green",IF(AC186&lt;0,"Red","Flat"))))))</x:f>
      </x:c>
      <x:c r="AE186" s="21" t="str">
        <x:f>IF(AND(AH186=1,Z186&gt;0),AC186/Z186,"")</x:f>
      </x:c>
      <x:c r="AF186" s="22" t="str">
        <x:f>IF(AH186&lt;&gt;1,"",COUNTIFS($C$8:$C$507,"&lt;"&amp;C186,$AH$8:$AH$507,1)+COUNTIFS($C$8:$C$507,C186,$A$8:$A$507,"&lt;="&amp;A186,$AH$8:$AH$507,1))</x:f>
      </x:c>
      <x:c r="AG186" s="20" t="str">
        <x:f>IF(AH186&lt;&gt;1,"",SUMIFS($AC$8:$AC$507,$C$8:$C$507,"&lt;"&amp;C186,$AH$8:$AH$507,1)+SUMIFS($AC$8:$AC$507,$C$8:$C$507,C186,$A$8:$A$507,"&lt;="&amp;A186,$AH$8:$AH$507,1))</x:f>
      </x:c>
      <x:c r="AH186" s="22" t="str">
        <x:f>IF(A186="","",IF(AND(J186="Chiuso",AQ186="OK",ISNUMBER(AC186)),1,0))</x:f>
      </x:c>
      <x:c r="AI186" s="20" t="str">
        <x:f>IF(AH186&lt;&gt;1,"",MAX(0,_xlfn.MAXIFS($AG$8:$AG$507,$AF$8:$AF$507,"&lt;="&amp;AF186,$AH$8:$AH$507,1)))</x:f>
      </x:c>
      <x:c r="AJ186" s="20" t="str">
        <x:f>IF(AH186&lt;&gt;1,"",MAX(0,AI186-AG186))</x:f>
      </x:c>
      <x:c r="AK186" s="21" t="str">
        <x:f>IF(OR(AH186&lt;&gt;1,NOT(ISNUMBER('Impostazioni'!$B$6)),'Impostazioni'!$B$6+AI186&lt;=0),"",AJ186/('Impostazioni'!$B$6+AI186))</x:f>
      </x:c>
      <x:c r="AL186" s="22" t="str">
        <x:f>IF(AH186&lt;&gt;1,"",IF(AC186&gt;0,AF186-_xlfn.MAXIFS($AF$8:$AF$507,$AF$8:$AF$507,"&lt;="&amp;AF186,$AC$8:$AC$507,"&lt;=0",$AH$8:$AH$507,1),0))</x:f>
      </x:c>
      <x:c r="AM186" s="22" t="str">
        <x:f>IF(AH186&lt;&gt;1,"",IF(AC186&lt;0,AF186-_xlfn.MAXIFS($AF$8:$AF$507,$AF$8:$AF$507,"&lt;="&amp;AF186,$AC$8:$AC$507,"&gt;=0",$AH$8:$AH$507,1),0))</x:f>
      </x:c>
      <x:c r="AN186" s="20" t="str">
        <x:f>IF(OR(A186="",NOT(ISNUMBER(B186)),NOT(ISNUMBER('Impostazioni'!$B$6))),"",'Impostazioni'!$B$6+SUMIFS($AC$8:$AC$507,$C$8:$C$507,"&lt;"&amp;B186,$AH$8:$AH$507,1)+SUMIFS('Cassa'!$F$8:$F$307,'Cassa'!$A$8:$A$307,"&lt;="&amp;B186,'Cassa'!$G$8:$G$307,"OK"))</x:f>
      </x:c>
      <x:c r="AO186" s="21" t="str">
        <x:f>IF(AND(ISNUMBER(Z186),ISNUMBER(AN186),AN186&gt;0),Z186/AN186,"")</x:f>
      </x:c>
      <x:c r="AP186" s="18" t="str">
        <x:f>IF(NOT(ISNUMBER(AO186)),"",IF(AO186&gt;'Impostazioni'!$B$7,"Oltre soglia personale","Nella soglia personale"))</x:f>
      </x:c>
      <x:c r="AQ186" s="18" t="str">
        <x:f>IF(A186="",IF(COUNTA(B186:V186)=0,"","Inserisci ID"),IF(COUNTIFS($A$8:$A$507,A186)&lt;&gt;1,"ID duplicato",IF(OR(NOT(ISNUMBER(B186)),D186="",E186="",F186="",G186="",H186="",COUNTIFS('Impostazioni'!$J$6:$J$25,F186)&lt;&gt;1),"Completa dati / elenchi",IF(OR(AND(I186&lt;&gt;"Lordo manuale",I186&lt;&gt;"Netto manuale",I186&lt;&gt;"Esecuzioni"),AND(J186&lt;&gt;"Aperto",J186&lt;&gt;"Chiuso",J186&lt;&gt;"Annullato")),"Modalità / stato mancanti",IF(AND(J186&lt;&gt;"Aperto",OR(NOT(ISNUMBER(C186)),C186&lt;B186)),"Correggi data chiusura",IF(OR(AND(Q186&lt;&gt;"",OR(NOT(ISNUMBER(Q186)),Q186&lt;0)),AND(R186&lt;&gt;"",OR(NOT(ISNUMBER(R186)),R186&lt;0,R186&gt;1))),"Commissione non valida",IF(J186="Annullato","OK",IF(OR(NOT(ISNUMBER(Z186)),Z186&lt;0,AND(O186&lt;&gt;"",NOT(ISNUMBER(O186)))),"Inserisci rischio",IF(AND(I186="Esecuzioni",OR(W186=0,COUNTIFS('Esecuzioni'!$A$8:$A$1007,A186,'Esecuzioni'!$Q$8:$Q$1007,"&lt;&gt;OK")&gt;0)),"Correggi esecuzioni",IF(J186="Aperto","OK",IF(AND(I186="Esecuzioni",S186="Coperto",ABS(X186-Y186)&gt;'Impostazioni'!$B$11),"Copertura residua",IF(NOT(ISNUMBER(AC186)),"Completa risultato / esito",IF(AND(Z186=0,AC186&lt;&gt;0),"Rischio nullo con P/L","OK")))))))))))))</x:f>
      </x:c>
      <x:c r="AR186" s="20" t="str">
        <x:f>IF(OR(A186="",J186&lt;&gt;"Aperto",AQ186&lt;&gt;"OK"),"",IF(I186="Esecuzioni",SUMIFS('Esecuzioni'!$P$8:$P$1007,'Esecuzioni'!$A$8:$A$1007,A186,'Esecuzioni'!$B$8:$B$1007,_xlfn.MAXIFS('Esecuzioni'!$B$8:$B$1007,'Esecuzioni'!$A$8:$A$1007,A186)),IF(LEFT(U186,8)="FREEBET:",0,Z186)))</x:f>
      </x:c>
      <x:c r="AS186" s="48" t="str">
        <x:f>IF(OR(A186="",E186=""),"",IF(COUNTIFS($E$8:E186,E186)=1,COUNT($AS$7:AS185)+1,""))</x:f>
      </x:c>
    </x:row>
    <x:row r="187" ht="22" customHeight="1">
      <x:c r="A187" s="7"/>
      <x:c r="B187" s="19"/>
      <x:c r="C187" s="19"/>
      <x:c r="D187" s="7"/>
      <x:c r="E187" s="7"/>
      <x:c r="F187" s="7"/>
      <x:c r="G187" s="7"/>
      <x:c r="H187" s="7"/>
      <x:c r="I187" s="7"/>
      <x:c r="J187" s="7"/>
      <x:c r="K187" s="10"/>
      <x:c r="L187" s="7"/>
      <x:c r="M187" s="10"/>
      <x:c r="N187" s="7"/>
      <x:c r="O187" s="8"/>
      <x:c r="P187" s="8"/>
      <x:c r="Q187" s="8"/>
      <x:c r="R187" s="9"/>
      <x:c r="S187" s="7"/>
      <x:c r="T187" s="7"/>
      <x:c r="U187" s="7"/>
      <x:c r="V187" s="7"/>
      <x:c r="W187" s="22" t="str">
        <x:f>IF(A187="","",COUNTIFS('Esecuzioni'!$A$8:$A$1007,A187,'Esecuzioni'!$Q$8:$Q$1007,"OK"))</x:f>
      </x:c>
      <x:c r="X187" s="20" t="str">
        <x:f>IF(OR(A187="",I187&lt;&gt;"Esecuzioni",W187=0),"",SUMIFS('Esecuzioni'!$L$8:$L$1007,'Esecuzioni'!$A$8:$A$1007,A187))</x:f>
      </x:c>
      <x:c r="Y187" s="20" t="str">
        <x:f>IF(OR(A187="",I187&lt;&gt;"Esecuzioni",W187=0),"",SUMIFS('Esecuzioni'!$M$8:$M$1007,'Esecuzioni'!$A$8:$A$1007,A187))</x:f>
      </x:c>
      <x:c r="Z187" s="20" t="str">
        <x:f>IF(A187="","",IF(J187="Annullato",0,IF(ISNUMBER(O187),O187,IF(AND(I187="Esecuzioni",W187&gt;0),_xlfn.MAXIFS('Esecuzioni'!$P$8:$P$1007,'Esecuzioni'!$A$8:$A$1007,A187),""))))</x:f>
      </x:c>
      <x:c r="AA187" s="20" t="str">
        <x:f>IF(OR(A187="",J187="Aperto"),"",IF(J187="Annullato",0,IF(I187="Lordo manuale",IF(ISNUMBER(P187),P187,""),IF(I187="Netto manuale",IF(AND(ISNUMBER(P187),ISNUMBER(Q187)),P187+Q187,""),IF(OR(W187=0,COUNTIFS('Esecuzioni'!$A$8:$A$1007,A187,'Esecuzioni'!$Q$8:$Q$1007,"&lt;&gt;OK")&gt;0),"",IF(S187="Vince",X187,IF(S187="Perde",Y187,IF(AND(S187="Coperto",ABS(X187-Y187)&lt;='Impostazioni'!$B$11),ROUND((X187+Y187)/2,2),""))))))))</x:f>
      </x:c>
      <x:c r="AB187" s="20" t="str">
        <x:f>IF(NOT(ISNUMBER(AA187)),"",IF(J187="Annullato",0,IF(ISNUMBER(Q187),Q187,ROUND(MAX(0,AA187)*IF(ISNUMBER(R187),R187,'Impostazioni'!$B$8),2))))</x:f>
      </x:c>
      <x:c r="AC187" s="20" t="str">
        <x:f>IF(AND(ISNUMBER(AA187),ISNUMBER(AB187)),ROUND(AA187-AB187,2),"")</x:f>
      </x:c>
      <x:c r="AD187" s="18" t="str">
        <x:f>IF(A187="","",IF(AQ187&lt;&gt;"OK","Incompleto",IF(J187="Aperto","Aperto",IF(J187="Annullato","Annullato",IF(AC187&gt;0,"Green",IF(AC187&lt;0,"Red","Flat"))))))</x:f>
      </x:c>
      <x:c r="AE187" s="21" t="str">
        <x:f>IF(AND(AH187=1,Z187&gt;0),AC187/Z187,"")</x:f>
      </x:c>
      <x:c r="AF187" s="22" t="str">
        <x:f>IF(AH187&lt;&gt;1,"",COUNTIFS($C$8:$C$507,"&lt;"&amp;C187,$AH$8:$AH$507,1)+COUNTIFS($C$8:$C$507,C187,$A$8:$A$507,"&lt;="&amp;A187,$AH$8:$AH$507,1))</x:f>
      </x:c>
      <x:c r="AG187" s="20" t="str">
        <x:f>IF(AH187&lt;&gt;1,"",SUMIFS($AC$8:$AC$507,$C$8:$C$507,"&lt;"&amp;C187,$AH$8:$AH$507,1)+SUMIFS($AC$8:$AC$507,$C$8:$C$507,C187,$A$8:$A$507,"&lt;="&amp;A187,$AH$8:$AH$507,1))</x:f>
      </x:c>
      <x:c r="AH187" s="22" t="str">
        <x:f>IF(A187="","",IF(AND(J187="Chiuso",AQ187="OK",ISNUMBER(AC187)),1,0))</x:f>
      </x:c>
      <x:c r="AI187" s="20" t="str">
        <x:f>IF(AH187&lt;&gt;1,"",MAX(0,_xlfn.MAXIFS($AG$8:$AG$507,$AF$8:$AF$507,"&lt;="&amp;AF187,$AH$8:$AH$507,1)))</x:f>
      </x:c>
      <x:c r="AJ187" s="20" t="str">
        <x:f>IF(AH187&lt;&gt;1,"",MAX(0,AI187-AG187))</x:f>
      </x:c>
      <x:c r="AK187" s="21" t="str">
        <x:f>IF(OR(AH187&lt;&gt;1,NOT(ISNUMBER('Impostazioni'!$B$6)),'Impostazioni'!$B$6+AI187&lt;=0),"",AJ187/('Impostazioni'!$B$6+AI187))</x:f>
      </x:c>
      <x:c r="AL187" s="22" t="str">
        <x:f>IF(AH187&lt;&gt;1,"",IF(AC187&gt;0,AF187-_xlfn.MAXIFS($AF$8:$AF$507,$AF$8:$AF$507,"&lt;="&amp;AF187,$AC$8:$AC$507,"&lt;=0",$AH$8:$AH$507,1),0))</x:f>
      </x:c>
      <x:c r="AM187" s="22" t="str">
        <x:f>IF(AH187&lt;&gt;1,"",IF(AC187&lt;0,AF187-_xlfn.MAXIFS($AF$8:$AF$507,$AF$8:$AF$507,"&lt;="&amp;AF187,$AC$8:$AC$507,"&gt;=0",$AH$8:$AH$507,1),0))</x:f>
      </x:c>
      <x:c r="AN187" s="20" t="str">
        <x:f>IF(OR(A187="",NOT(ISNUMBER(B187)),NOT(ISNUMBER('Impostazioni'!$B$6))),"",'Impostazioni'!$B$6+SUMIFS($AC$8:$AC$507,$C$8:$C$507,"&lt;"&amp;B187,$AH$8:$AH$507,1)+SUMIFS('Cassa'!$F$8:$F$307,'Cassa'!$A$8:$A$307,"&lt;="&amp;B187,'Cassa'!$G$8:$G$307,"OK"))</x:f>
      </x:c>
      <x:c r="AO187" s="21" t="str">
        <x:f>IF(AND(ISNUMBER(Z187),ISNUMBER(AN187),AN187&gt;0),Z187/AN187,"")</x:f>
      </x:c>
      <x:c r="AP187" s="18" t="str">
        <x:f>IF(NOT(ISNUMBER(AO187)),"",IF(AO187&gt;'Impostazioni'!$B$7,"Oltre soglia personale","Nella soglia personale"))</x:f>
      </x:c>
      <x:c r="AQ187" s="18" t="str">
        <x:f>IF(A187="",IF(COUNTA(B187:V187)=0,"","Inserisci ID"),IF(COUNTIFS($A$8:$A$507,A187)&lt;&gt;1,"ID duplicato",IF(OR(NOT(ISNUMBER(B187)),D187="",E187="",F187="",G187="",H187="",COUNTIFS('Impostazioni'!$J$6:$J$25,F187)&lt;&gt;1),"Completa dati / elenchi",IF(OR(AND(I187&lt;&gt;"Lordo manuale",I187&lt;&gt;"Netto manuale",I187&lt;&gt;"Esecuzioni"),AND(J187&lt;&gt;"Aperto",J187&lt;&gt;"Chiuso",J187&lt;&gt;"Annullato")),"Modalità / stato mancanti",IF(AND(J187&lt;&gt;"Aperto",OR(NOT(ISNUMBER(C187)),C187&lt;B187)),"Correggi data chiusura",IF(OR(AND(Q187&lt;&gt;"",OR(NOT(ISNUMBER(Q187)),Q187&lt;0)),AND(R187&lt;&gt;"",OR(NOT(ISNUMBER(R187)),R187&lt;0,R187&gt;1))),"Commissione non valida",IF(J187="Annullato","OK",IF(OR(NOT(ISNUMBER(Z187)),Z187&lt;0,AND(O187&lt;&gt;"",NOT(ISNUMBER(O187)))),"Inserisci rischio",IF(AND(I187="Esecuzioni",OR(W187=0,COUNTIFS('Esecuzioni'!$A$8:$A$1007,A187,'Esecuzioni'!$Q$8:$Q$1007,"&lt;&gt;OK")&gt;0)),"Correggi esecuzioni",IF(J187="Aperto","OK",IF(AND(I187="Esecuzioni",S187="Coperto",ABS(X187-Y187)&gt;'Impostazioni'!$B$11),"Copertura residua",IF(NOT(ISNUMBER(AC187)),"Completa risultato / esito",IF(AND(Z187=0,AC187&lt;&gt;0),"Rischio nullo con P/L","OK")))))))))))))</x:f>
      </x:c>
      <x:c r="AR187" s="20" t="str">
        <x:f>IF(OR(A187="",J187&lt;&gt;"Aperto",AQ187&lt;&gt;"OK"),"",IF(I187="Esecuzioni",SUMIFS('Esecuzioni'!$P$8:$P$1007,'Esecuzioni'!$A$8:$A$1007,A187,'Esecuzioni'!$B$8:$B$1007,_xlfn.MAXIFS('Esecuzioni'!$B$8:$B$1007,'Esecuzioni'!$A$8:$A$1007,A187)),IF(LEFT(U187,8)="FREEBET:",0,Z187)))</x:f>
      </x:c>
      <x:c r="AS187" s="48" t="str">
        <x:f>IF(OR(A187="",E187=""),"",IF(COUNTIFS($E$8:E187,E187)=1,COUNT($AS$7:AS186)+1,""))</x:f>
      </x:c>
    </x:row>
    <x:row r="188" ht="22" customHeight="1">
      <x:c r="A188" s="7"/>
      <x:c r="B188" s="19"/>
      <x:c r="C188" s="19"/>
      <x:c r="D188" s="7"/>
      <x:c r="E188" s="7"/>
      <x:c r="F188" s="7"/>
      <x:c r="G188" s="7"/>
      <x:c r="H188" s="7"/>
      <x:c r="I188" s="7"/>
      <x:c r="J188" s="7"/>
      <x:c r="K188" s="10"/>
      <x:c r="L188" s="7"/>
      <x:c r="M188" s="10"/>
      <x:c r="N188" s="7"/>
      <x:c r="O188" s="8"/>
      <x:c r="P188" s="8"/>
      <x:c r="Q188" s="8"/>
      <x:c r="R188" s="9"/>
      <x:c r="S188" s="7"/>
      <x:c r="T188" s="7"/>
      <x:c r="U188" s="7"/>
      <x:c r="V188" s="7"/>
      <x:c r="W188" s="22" t="str">
        <x:f>IF(A188="","",COUNTIFS('Esecuzioni'!$A$8:$A$1007,A188,'Esecuzioni'!$Q$8:$Q$1007,"OK"))</x:f>
      </x:c>
      <x:c r="X188" s="20" t="str">
        <x:f>IF(OR(A188="",I188&lt;&gt;"Esecuzioni",W188=0),"",SUMIFS('Esecuzioni'!$L$8:$L$1007,'Esecuzioni'!$A$8:$A$1007,A188))</x:f>
      </x:c>
      <x:c r="Y188" s="20" t="str">
        <x:f>IF(OR(A188="",I188&lt;&gt;"Esecuzioni",W188=0),"",SUMIFS('Esecuzioni'!$M$8:$M$1007,'Esecuzioni'!$A$8:$A$1007,A188))</x:f>
      </x:c>
      <x:c r="Z188" s="20" t="str">
        <x:f>IF(A188="","",IF(J188="Annullato",0,IF(ISNUMBER(O188),O188,IF(AND(I188="Esecuzioni",W188&gt;0),_xlfn.MAXIFS('Esecuzioni'!$P$8:$P$1007,'Esecuzioni'!$A$8:$A$1007,A188),""))))</x:f>
      </x:c>
      <x:c r="AA188" s="20" t="str">
        <x:f>IF(OR(A188="",J188="Aperto"),"",IF(J188="Annullato",0,IF(I188="Lordo manuale",IF(ISNUMBER(P188),P188,""),IF(I188="Netto manuale",IF(AND(ISNUMBER(P188),ISNUMBER(Q188)),P188+Q188,""),IF(OR(W188=0,COUNTIFS('Esecuzioni'!$A$8:$A$1007,A188,'Esecuzioni'!$Q$8:$Q$1007,"&lt;&gt;OK")&gt;0),"",IF(S188="Vince",X188,IF(S188="Perde",Y188,IF(AND(S188="Coperto",ABS(X188-Y188)&lt;='Impostazioni'!$B$11),ROUND((X188+Y188)/2,2),""))))))))</x:f>
      </x:c>
      <x:c r="AB188" s="20" t="str">
        <x:f>IF(NOT(ISNUMBER(AA188)),"",IF(J188="Annullato",0,IF(ISNUMBER(Q188),Q188,ROUND(MAX(0,AA188)*IF(ISNUMBER(R188),R188,'Impostazioni'!$B$8),2))))</x:f>
      </x:c>
      <x:c r="AC188" s="20" t="str">
        <x:f>IF(AND(ISNUMBER(AA188),ISNUMBER(AB188)),ROUND(AA188-AB188,2),"")</x:f>
      </x:c>
      <x:c r="AD188" s="18" t="str">
        <x:f>IF(A188="","",IF(AQ188&lt;&gt;"OK","Incompleto",IF(J188="Aperto","Aperto",IF(J188="Annullato","Annullato",IF(AC188&gt;0,"Green",IF(AC188&lt;0,"Red","Flat"))))))</x:f>
      </x:c>
      <x:c r="AE188" s="21" t="str">
        <x:f>IF(AND(AH188=1,Z188&gt;0),AC188/Z188,"")</x:f>
      </x:c>
      <x:c r="AF188" s="22" t="str">
        <x:f>IF(AH188&lt;&gt;1,"",COUNTIFS($C$8:$C$507,"&lt;"&amp;C188,$AH$8:$AH$507,1)+COUNTIFS($C$8:$C$507,C188,$A$8:$A$507,"&lt;="&amp;A188,$AH$8:$AH$507,1))</x:f>
      </x:c>
      <x:c r="AG188" s="20" t="str">
        <x:f>IF(AH188&lt;&gt;1,"",SUMIFS($AC$8:$AC$507,$C$8:$C$507,"&lt;"&amp;C188,$AH$8:$AH$507,1)+SUMIFS($AC$8:$AC$507,$C$8:$C$507,C188,$A$8:$A$507,"&lt;="&amp;A188,$AH$8:$AH$507,1))</x:f>
      </x:c>
      <x:c r="AH188" s="22" t="str">
        <x:f>IF(A188="","",IF(AND(J188="Chiuso",AQ188="OK",ISNUMBER(AC188)),1,0))</x:f>
      </x:c>
      <x:c r="AI188" s="20" t="str">
        <x:f>IF(AH188&lt;&gt;1,"",MAX(0,_xlfn.MAXIFS($AG$8:$AG$507,$AF$8:$AF$507,"&lt;="&amp;AF188,$AH$8:$AH$507,1)))</x:f>
      </x:c>
      <x:c r="AJ188" s="20" t="str">
        <x:f>IF(AH188&lt;&gt;1,"",MAX(0,AI188-AG188))</x:f>
      </x:c>
      <x:c r="AK188" s="21" t="str">
        <x:f>IF(OR(AH188&lt;&gt;1,NOT(ISNUMBER('Impostazioni'!$B$6)),'Impostazioni'!$B$6+AI188&lt;=0),"",AJ188/('Impostazioni'!$B$6+AI188))</x:f>
      </x:c>
      <x:c r="AL188" s="22" t="str">
        <x:f>IF(AH188&lt;&gt;1,"",IF(AC188&gt;0,AF188-_xlfn.MAXIFS($AF$8:$AF$507,$AF$8:$AF$507,"&lt;="&amp;AF188,$AC$8:$AC$507,"&lt;=0",$AH$8:$AH$507,1),0))</x:f>
      </x:c>
      <x:c r="AM188" s="22" t="str">
        <x:f>IF(AH188&lt;&gt;1,"",IF(AC188&lt;0,AF188-_xlfn.MAXIFS($AF$8:$AF$507,$AF$8:$AF$507,"&lt;="&amp;AF188,$AC$8:$AC$507,"&gt;=0",$AH$8:$AH$507,1),0))</x:f>
      </x:c>
      <x:c r="AN188" s="20" t="str">
        <x:f>IF(OR(A188="",NOT(ISNUMBER(B188)),NOT(ISNUMBER('Impostazioni'!$B$6))),"",'Impostazioni'!$B$6+SUMIFS($AC$8:$AC$507,$C$8:$C$507,"&lt;"&amp;B188,$AH$8:$AH$507,1)+SUMIFS('Cassa'!$F$8:$F$307,'Cassa'!$A$8:$A$307,"&lt;="&amp;B188,'Cassa'!$G$8:$G$307,"OK"))</x:f>
      </x:c>
      <x:c r="AO188" s="21" t="str">
        <x:f>IF(AND(ISNUMBER(Z188),ISNUMBER(AN188),AN188&gt;0),Z188/AN188,"")</x:f>
      </x:c>
      <x:c r="AP188" s="18" t="str">
        <x:f>IF(NOT(ISNUMBER(AO188)),"",IF(AO188&gt;'Impostazioni'!$B$7,"Oltre soglia personale","Nella soglia personale"))</x:f>
      </x:c>
      <x:c r="AQ188" s="18" t="str">
        <x:f>IF(A188="",IF(COUNTA(B188:V188)=0,"","Inserisci ID"),IF(COUNTIFS($A$8:$A$507,A188)&lt;&gt;1,"ID duplicato",IF(OR(NOT(ISNUMBER(B188)),D188="",E188="",F188="",G188="",H188="",COUNTIFS('Impostazioni'!$J$6:$J$25,F188)&lt;&gt;1),"Completa dati / elenchi",IF(OR(AND(I188&lt;&gt;"Lordo manuale",I188&lt;&gt;"Netto manuale",I188&lt;&gt;"Esecuzioni"),AND(J188&lt;&gt;"Aperto",J188&lt;&gt;"Chiuso",J188&lt;&gt;"Annullato")),"Modalità / stato mancanti",IF(AND(J188&lt;&gt;"Aperto",OR(NOT(ISNUMBER(C188)),C188&lt;B188)),"Correggi data chiusura",IF(OR(AND(Q188&lt;&gt;"",OR(NOT(ISNUMBER(Q188)),Q188&lt;0)),AND(R188&lt;&gt;"",OR(NOT(ISNUMBER(R188)),R188&lt;0,R188&gt;1))),"Commissione non valida",IF(J188="Annullato","OK",IF(OR(NOT(ISNUMBER(Z188)),Z188&lt;0,AND(O188&lt;&gt;"",NOT(ISNUMBER(O188)))),"Inserisci rischio",IF(AND(I188="Esecuzioni",OR(W188=0,COUNTIFS('Esecuzioni'!$A$8:$A$1007,A188,'Esecuzioni'!$Q$8:$Q$1007,"&lt;&gt;OK")&gt;0)),"Correggi esecuzioni",IF(J188="Aperto","OK",IF(AND(I188="Esecuzioni",S188="Coperto",ABS(X188-Y188)&gt;'Impostazioni'!$B$11),"Copertura residua",IF(NOT(ISNUMBER(AC188)),"Completa risultato / esito",IF(AND(Z188=0,AC188&lt;&gt;0),"Rischio nullo con P/L","OK")))))))))))))</x:f>
      </x:c>
      <x:c r="AR188" s="20" t="str">
        <x:f>IF(OR(A188="",J188&lt;&gt;"Aperto",AQ188&lt;&gt;"OK"),"",IF(I188="Esecuzioni",SUMIFS('Esecuzioni'!$P$8:$P$1007,'Esecuzioni'!$A$8:$A$1007,A188,'Esecuzioni'!$B$8:$B$1007,_xlfn.MAXIFS('Esecuzioni'!$B$8:$B$1007,'Esecuzioni'!$A$8:$A$1007,A188)),IF(LEFT(U188,8)="FREEBET:",0,Z188)))</x:f>
      </x:c>
      <x:c r="AS188" s="48" t="str">
        <x:f>IF(OR(A188="",E188=""),"",IF(COUNTIFS($E$8:E188,E188)=1,COUNT($AS$7:AS187)+1,""))</x:f>
      </x:c>
    </x:row>
    <x:row r="189" ht="22" customHeight="1">
      <x:c r="A189" s="7"/>
      <x:c r="B189" s="19"/>
      <x:c r="C189" s="19"/>
      <x:c r="D189" s="7"/>
      <x:c r="E189" s="7"/>
      <x:c r="F189" s="7"/>
      <x:c r="G189" s="7"/>
      <x:c r="H189" s="7"/>
      <x:c r="I189" s="7"/>
      <x:c r="J189" s="7"/>
      <x:c r="K189" s="10"/>
      <x:c r="L189" s="7"/>
      <x:c r="M189" s="10"/>
      <x:c r="N189" s="7"/>
      <x:c r="O189" s="8"/>
      <x:c r="P189" s="8"/>
      <x:c r="Q189" s="8"/>
      <x:c r="R189" s="9"/>
      <x:c r="S189" s="7"/>
      <x:c r="T189" s="7"/>
      <x:c r="U189" s="7"/>
      <x:c r="V189" s="7"/>
      <x:c r="W189" s="22" t="str">
        <x:f>IF(A189="","",COUNTIFS('Esecuzioni'!$A$8:$A$1007,A189,'Esecuzioni'!$Q$8:$Q$1007,"OK"))</x:f>
      </x:c>
      <x:c r="X189" s="20" t="str">
        <x:f>IF(OR(A189="",I189&lt;&gt;"Esecuzioni",W189=0),"",SUMIFS('Esecuzioni'!$L$8:$L$1007,'Esecuzioni'!$A$8:$A$1007,A189))</x:f>
      </x:c>
      <x:c r="Y189" s="20" t="str">
        <x:f>IF(OR(A189="",I189&lt;&gt;"Esecuzioni",W189=0),"",SUMIFS('Esecuzioni'!$M$8:$M$1007,'Esecuzioni'!$A$8:$A$1007,A189))</x:f>
      </x:c>
      <x:c r="Z189" s="20" t="str">
        <x:f>IF(A189="","",IF(J189="Annullato",0,IF(ISNUMBER(O189),O189,IF(AND(I189="Esecuzioni",W189&gt;0),_xlfn.MAXIFS('Esecuzioni'!$P$8:$P$1007,'Esecuzioni'!$A$8:$A$1007,A189),""))))</x:f>
      </x:c>
      <x:c r="AA189" s="20" t="str">
        <x:f>IF(OR(A189="",J189="Aperto"),"",IF(J189="Annullato",0,IF(I189="Lordo manuale",IF(ISNUMBER(P189),P189,""),IF(I189="Netto manuale",IF(AND(ISNUMBER(P189),ISNUMBER(Q189)),P189+Q189,""),IF(OR(W189=0,COUNTIFS('Esecuzioni'!$A$8:$A$1007,A189,'Esecuzioni'!$Q$8:$Q$1007,"&lt;&gt;OK")&gt;0),"",IF(S189="Vince",X189,IF(S189="Perde",Y189,IF(AND(S189="Coperto",ABS(X189-Y189)&lt;='Impostazioni'!$B$11),ROUND((X189+Y189)/2,2),""))))))))</x:f>
      </x:c>
      <x:c r="AB189" s="20" t="str">
        <x:f>IF(NOT(ISNUMBER(AA189)),"",IF(J189="Annullato",0,IF(ISNUMBER(Q189),Q189,ROUND(MAX(0,AA189)*IF(ISNUMBER(R189),R189,'Impostazioni'!$B$8),2))))</x:f>
      </x:c>
      <x:c r="AC189" s="20" t="str">
        <x:f>IF(AND(ISNUMBER(AA189),ISNUMBER(AB189)),ROUND(AA189-AB189,2),"")</x:f>
      </x:c>
      <x:c r="AD189" s="18" t="str">
        <x:f>IF(A189="","",IF(AQ189&lt;&gt;"OK","Incompleto",IF(J189="Aperto","Aperto",IF(J189="Annullato","Annullato",IF(AC189&gt;0,"Green",IF(AC189&lt;0,"Red","Flat"))))))</x:f>
      </x:c>
      <x:c r="AE189" s="21" t="str">
        <x:f>IF(AND(AH189=1,Z189&gt;0),AC189/Z189,"")</x:f>
      </x:c>
      <x:c r="AF189" s="22" t="str">
        <x:f>IF(AH189&lt;&gt;1,"",COUNTIFS($C$8:$C$507,"&lt;"&amp;C189,$AH$8:$AH$507,1)+COUNTIFS($C$8:$C$507,C189,$A$8:$A$507,"&lt;="&amp;A189,$AH$8:$AH$507,1))</x:f>
      </x:c>
      <x:c r="AG189" s="20" t="str">
        <x:f>IF(AH189&lt;&gt;1,"",SUMIFS($AC$8:$AC$507,$C$8:$C$507,"&lt;"&amp;C189,$AH$8:$AH$507,1)+SUMIFS($AC$8:$AC$507,$C$8:$C$507,C189,$A$8:$A$507,"&lt;="&amp;A189,$AH$8:$AH$507,1))</x:f>
      </x:c>
      <x:c r="AH189" s="22" t="str">
        <x:f>IF(A189="","",IF(AND(J189="Chiuso",AQ189="OK",ISNUMBER(AC189)),1,0))</x:f>
      </x:c>
      <x:c r="AI189" s="20" t="str">
        <x:f>IF(AH189&lt;&gt;1,"",MAX(0,_xlfn.MAXIFS($AG$8:$AG$507,$AF$8:$AF$507,"&lt;="&amp;AF189,$AH$8:$AH$507,1)))</x:f>
      </x:c>
      <x:c r="AJ189" s="20" t="str">
        <x:f>IF(AH189&lt;&gt;1,"",MAX(0,AI189-AG189))</x:f>
      </x:c>
      <x:c r="AK189" s="21" t="str">
        <x:f>IF(OR(AH189&lt;&gt;1,NOT(ISNUMBER('Impostazioni'!$B$6)),'Impostazioni'!$B$6+AI189&lt;=0),"",AJ189/('Impostazioni'!$B$6+AI189))</x:f>
      </x:c>
      <x:c r="AL189" s="22" t="str">
        <x:f>IF(AH189&lt;&gt;1,"",IF(AC189&gt;0,AF189-_xlfn.MAXIFS($AF$8:$AF$507,$AF$8:$AF$507,"&lt;="&amp;AF189,$AC$8:$AC$507,"&lt;=0",$AH$8:$AH$507,1),0))</x:f>
      </x:c>
      <x:c r="AM189" s="22" t="str">
        <x:f>IF(AH189&lt;&gt;1,"",IF(AC189&lt;0,AF189-_xlfn.MAXIFS($AF$8:$AF$507,$AF$8:$AF$507,"&lt;="&amp;AF189,$AC$8:$AC$507,"&gt;=0",$AH$8:$AH$507,1),0))</x:f>
      </x:c>
      <x:c r="AN189" s="20" t="str">
        <x:f>IF(OR(A189="",NOT(ISNUMBER(B189)),NOT(ISNUMBER('Impostazioni'!$B$6))),"",'Impostazioni'!$B$6+SUMIFS($AC$8:$AC$507,$C$8:$C$507,"&lt;"&amp;B189,$AH$8:$AH$507,1)+SUMIFS('Cassa'!$F$8:$F$307,'Cassa'!$A$8:$A$307,"&lt;="&amp;B189,'Cassa'!$G$8:$G$307,"OK"))</x:f>
      </x:c>
      <x:c r="AO189" s="21" t="str">
        <x:f>IF(AND(ISNUMBER(Z189),ISNUMBER(AN189),AN189&gt;0),Z189/AN189,"")</x:f>
      </x:c>
      <x:c r="AP189" s="18" t="str">
        <x:f>IF(NOT(ISNUMBER(AO189)),"",IF(AO189&gt;'Impostazioni'!$B$7,"Oltre soglia personale","Nella soglia personale"))</x:f>
      </x:c>
      <x:c r="AQ189" s="18" t="str">
        <x:f>IF(A189="",IF(COUNTA(B189:V189)=0,"","Inserisci ID"),IF(COUNTIFS($A$8:$A$507,A189)&lt;&gt;1,"ID duplicato",IF(OR(NOT(ISNUMBER(B189)),D189="",E189="",F189="",G189="",H189="",COUNTIFS('Impostazioni'!$J$6:$J$25,F189)&lt;&gt;1),"Completa dati / elenchi",IF(OR(AND(I189&lt;&gt;"Lordo manuale",I189&lt;&gt;"Netto manuale",I189&lt;&gt;"Esecuzioni"),AND(J189&lt;&gt;"Aperto",J189&lt;&gt;"Chiuso",J189&lt;&gt;"Annullato")),"Modalità / stato mancanti",IF(AND(J189&lt;&gt;"Aperto",OR(NOT(ISNUMBER(C189)),C189&lt;B189)),"Correggi data chiusura",IF(OR(AND(Q189&lt;&gt;"",OR(NOT(ISNUMBER(Q189)),Q189&lt;0)),AND(R189&lt;&gt;"",OR(NOT(ISNUMBER(R189)),R189&lt;0,R189&gt;1))),"Commissione non valida",IF(J189="Annullato","OK",IF(OR(NOT(ISNUMBER(Z189)),Z189&lt;0,AND(O189&lt;&gt;"",NOT(ISNUMBER(O189)))),"Inserisci rischio",IF(AND(I189="Esecuzioni",OR(W189=0,COUNTIFS('Esecuzioni'!$A$8:$A$1007,A189,'Esecuzioni'!$Q$8:$Q$1007,"&lt;&gt;OK")&gt;0)),"Correggi esecuzioni",IF(J189="Aperto","OK",IF(AND(I189="Esecuzioni",S189="Coperto",ABS(X189-Y189)&gt;'Impostazioni'!$B$11),"Copertura residua",IF(NOT(ISNUMBER(AC189)),"Completa risultato / esito",IF(AND(Z189=0,AC189&lt;&gt;0),"Rischio nullo con P/L","OK")))))))))))))</x:f>
      </x:c>
      <x:c r="AR189" s="20" t="str">
        <x:f>IF(OR(A189="",J189&lt;&gt;"Aperto",AQ189&lt;&gt;"OK"),"",IF(I189="Esecuzioni",SUMIFS('Esecuzioni'!$P$8:$P$1007,'Esecuzioni'!$A$8:$A$1007,A189,'Esecuzioni'!$B$8:$B$1007,_xlfn.MAXIFS('Esecuzioni'!$B$8:$B$1007,'Esecuzioni'!$A$8:$A$1007,A189)),IF(LEFT(U189,8)="FREEBET:",0,Z189)))</x:f>
      </x:c>
      <x:c r="AS189" s="48" t="str">
        <x:f>IF(OR(A189="",E189=""),"",IF(COUNTIFS($E$8:E189,E189)=1,COUNT($AS$7:AS188)+1,""))</x:f>
      </x:c>
    </x:row>
    <x:row r="190" ht="22" customHeight="1">
      <x:c r="A190" s="7"/>
      <x:c r="B190" s="19"/>
      <x:c r="C190" s="19"/>
      <x:c r="D190" s="7"/>
      <x:c r="E190" s="7"/>
      <x:c r="F190" s="7"/>
      <x:c r="G190" s="7"/>
      <x:c r="H190" s="7"/>
      <x:c r="I190" s="7"/>
      <x:c r="J190" s="7"/>
      <x:c r="K190" s="10"/>
      <x:c r="L190" s="7"/>
      <x:c r="M190" s="10"/>
      <x:c r="N190" s="7"/>
      <x:c r="O190" s="8"/>
      <x:c r="P190" s="8"/>
      <x:c r="Q190" s="8"/>
      <x:c r="R190" s="9"/>
      <x:c r="S190" s="7"/>
      <x:c r="T190" s="7"/>
      <x:c r="U190" s="7"/>
      <x:c r="V190" s="7"/>
      <x:c r="W190" s="22" t="str">
        <x:f>IF(A190="","",COUNTIFS('Esecuzioni'!$A$8:$A$1007,A190,'Esecuzioni'!$Q$8:$Q$1007,"OK"))</x:f>
      </x:c>
      <x:c r="X190" s="20" t="str">
        <x:f>IF(OR(A190="",I190&lt;&gt;"Esecuzioni",W190=0),"",SUMIFS('Esecuzioni'!$L$8:$L$1007,'Esecuzioni'!$A$8:$A$1007,A190))</x:f>
      </x:c>
      <x:c r="Y190" s="20" t="str">
        <x:f>IF(OR(A190="",I190&lt;&gt;"Esecuzioni",W190=0),"",SUMIFS('Esecuzioni'!$M$8:$M$1007,'Esecuzioni'!$A$8:$A$1007,A190))</x:f>
      </x:c>
      <x:c r="Z190" s="20" t="str">
        <x:f>IF(A190="","",IF(J190="Annullato",0,IF(ISNUMBER(O190),O190,IF(AND(I190="Esecuzioni",W190&gt;0),_xlfn.MAXIFS('Esecuzioni'!$P$8:$P$1007,'Esecuzioni'!$A$8:$A$1007,A190),""))))</x:f>
      </x:c>
      <x:c r="AA190" s="20" t="str">
        <x:f>IF(OR(A190="",J190="Aperto"),"",IF(J190="Annullato",0,IF(I190="Lordo manuale",IF(ISNUMBER(P190),P190,""),IF(I190="Netto manuale",IF(AND(ISNUMBER(P190),ISNUMBER(Q190)),P190+Q190,""),IF(OR(W190=0,COUNTIFS('Esecuzioni'!$A$8:$A$1007,A190,'Esecuzioni'!$Q$8:$Q$1007,"&lt;&gt;OK")&gt;0),"",IF(S190="Vince",X190,IF(S190="Perde",Y190,IF(AND(S190="Coperto",ABS(X190-Y190)&lt;='Impostazioni'!$B$11),ROUND((X190+Y190)/2,2),""))))))))</x:f>
      </x:c>
      <x:c r="AB190" s="20" t="str">
        <x:f>IF(NOT(ISNUMBER(AA190)),"",IF(J190="Annullato",0,IF(ISNUMBER(Q190),Q190,ROUND(MAX(0,AA190)*IF(ISNUMBER(R190),R190,'Impostazioni'!$B$8),2))))</x:f>
      </x:c>
      <x:c r="AC190" s="20" t="str">
        <x:f>IF(AND(ISNUMBER(AA190),ISNUMBER(AB190)),ROUND(AA190-AB190,2),"")</x:f>
      </x:c>
      <x:c r="AD190" s="18" t="str">
        <x:f>IF(A190="","",IF(AQ190&lt;&gt;"OK","Incompleto",IF(J190="Aperto","Aperto",IF(J190="Annullato","Annullato",IF(AC190&gt;0,"Green",IF(AC190&lt;0,"Red","Flat"))))))</x:f>
      </x:c>
      <x:c r="AE190" s="21" t="str">
        <x:f>IF(AND(AH190=1,Z190&gt;0),AC190/Z190,"")</x:f>
      </x:c>
      <x:c r="AF190" s="22" t="str">
        <x:f>IF(AH190&lt;&gt;1,"",COUNTIFS($C$8:$C$507,"&lt;"&amp;C190,$AH$8:$AH$507,1)+COUNTIFS($C$8:$C$507,C190,$A$8:$A$507,"&lt;="&amp;A190,$AH$8:$AH$507,1))</x:f>
      </x:c>
      <x:c r="AG190" s="20" t="str">
        <x:f>IF(AH190&lt;&gt;1,"",SUMIFS($AC$8:$AC$507,$C$8:$C$507,"&lt;"&amp;C190,$AH$8:$AH$507,1)+SUMIFS($AC$8:$AC$507,$C$8:$C$507,C190,$A$8:$A$507,"&lt;="&amp;A190,$AH$8:$AH$507,1))</x:f>
      </x:c>
      <x:c r="AH190" s="22" t="str">
        <x:f>IF(A190="","",IF(AND(J190="Chiuso",AQ190="OK",ISNUMBER(AC190)),1,0))</x:f>
      </x:c>
      <x:c r="AI190" s="20" t="str">
        <x:f>IF(AH190&lt;&gt;1,"",MAX(0,_xlfn.MAXIFS($AG$8:$AG$507,$AF$8:$AF$507,"&lt;="&amp;AF190,$AH$8:$AH$507,1)))</x:f>
      </x:c>
      <x:c r="AJ190" s="20" t="str">
        <x:f>IF(AH190&lt;&gt;1,"",MAX(0,AI190-AG190))</x:f>
      </x:c>
      <x:c r="AK190" s="21" t="str">
        <x:f>IF(OR(AH190&lt;&gt;1,NOT(ISNUMBER('Impostazioni'!$B$6)),'Impostazioni'!$B$6+AI190&lt;=0),"",AJ190/('Impostazioni'!$B$6+AI190))</x:f>
      </x:c>
      <x:c r="AL190" s="22" t="str">
        <x:f>IF(AH190&lt;&gt;1,"",IF(AC190&gt;0,AF190-_xlfn.MAXIFS($AF$8:$AF$507,$AF$8:$AF$507,"&lt;="&amp;AF190,$AC$8:$AC$507,"&lt;=0",$AH$8:$AH$507,1),0))</x:f>
      </x:c>
      <x:c r="AM190" s="22" t="str">
        <x:f>IF(AH190&lt;&gt;1,"",IF(AC190&lt;0,AF190-_xlfn.MAXIFS($AF$8:$AF$507,$AF$8:$AF$507,"&lt;="&amp;AF190,$AC$8:$AC$507,"&gt;=0",$AH$8:$AH$507,1),0))</x:f>
      </x:c>
      <x:c r="AN190" s="20" t="str">
        <x:f>IF(OR(A190="",NOT(ISNUMBER(B190)),NOT(ISNUMBER('Impostazioni'!$B$6))),"",'Impostazioni'!$B$6+SUMIFS($AC$8:$AC$507,$C$8:$C$507,"&lt;"&amp;B190,$AH$8:$AH$507,1)+SUMIFS('Cassa'!$F$8:$F$307,'Cassa'!$A$8:$A$307,"&lt;="&amp;B190,'Cassa'!$G$8:$G$307,"OK"))</x:f>
      </x:c>
      <x:c r="AO190" s="21" t="str">
        <x:f>IF(AND(ISNUMBER(Z190),ISNUMBER(AN190),AN190&gt;0),Z190/AN190,"")</x:f>
      </x:c>
      <x:c r="AP190" s="18" t="str">
        <x:f>IF(NOT(ISNUMBER(AO190)),"",IF(AO190&gt;'Impostazioni'!$B$7,"Oltre soglia personale","Nella soglia personale"))</x:f>
      </x:c>
      <x:c r="AQ190" s="18" t="str">
        <x:f>IF(A190="",IF(COUNTA(B190:V190)=0,"","Inserisci ID"),IF(COUNTIFS($A$8:$A$507,A190)&lt;&gt;1,"ID duplicato",IF(OR(NOT(ISNUMBER(B190)),D190="",E190="",F190="",G190="",H190="",COUNTIFS('Impostazioni'!$J$6:$J$25,F190)&lt;&gt;1),"Completa dati / elenchi",IF(OR(AND(I190&lt;&gt;"Lordo manuale",I190&lt;&gt;"Netto manuale",I190&lt;&gt;"Esecuzioni"),AND(J190&lt;&gt;"Aperto",J190&lt;&gt;"Chiuso",J190&lt;&gt;"Annullato")),"Modalità / stato mancanti",IF(AND(J190&lt;&gt;"Aperto",OR(NOT(ISNUMBER(C190)),C190&lt;B190)),"Correggi data chiusura",IF(OR(AND(Q190&lt;&gt;"",OR(NOT(ISNUMBER(Q190)),Q190&lt;0)),AND(R190&lt;&gt;"",OR(NOT(ISNUMBER(R190)),R190&lt;0,R190&gt;1))),"Commissione non valida",IF(J190="Annullato","OK",IF(OR(NOT(ISNUMBER(Z190)),Z190&lt;0,AND(O190&lt;&gt;"",NOT(ISNUMBER(O190)))),"Inserisci rischio",IF(AND(I190="Esecuzioni",OR(W190=0,COUNTIFS('Esecuzioni'!$A$8:$A$1007,A190,'Esecuzioni'!$Q$8:$Q$1007,"&lt;&gt;OK")&gt;0)),"Correggi esecuzioni",IF(J190="Aperto","OK",IF(AND(I190="Esecuzioni",S190="Coperto",ABS(X190-Y190)&gt;'Impostazioni'!$B$11),"Copertura residua",IF(NOT(ISNUMBER(AC190)),"Completa risultato / esito",IF(AND(Z190=0,AC190&lt;&gt;0),"Rischio nullo con P/L","OK")))))))))))))</x:f>
      </x:c>
      <x:c r="AR190" s="20" t="str">
        <x:f>IF(OR(A190="",J190&lt;&gt;"Aperto",AQ190&lt;&gt;"OK"),"",IF(I190="Esecuzioni",SUMIFS('Esecuzioni'!$P$8:$P$1007,'Esecuzioni'!$A$8:$A$1007,A190,'Esecuzioni'!$B$8:$B$1007,_xlfn.MAXIFS('Esecuzioni'!$B$8:$B$1007,'Esecuzioni'!$A$8:$A$1007,A190)),IF(LEFT(U190,8)="FREEBET:",0,Z190)))</x:f>
      </x:c>
      <x:c r="AS190" s="48" t="str">
        <x:f>IF(OR(A190="",E190=""),"",IF(COUNTIFS($E$8:E190,E190)=1,COUNT($AS$7:AS189)+1,""))</x:f>
      </x:c>
    </x:row>
    <x:row r="191" ht="22" customHeight="1">
      <x:c r="A191" s="7"/>
      <x:c r="B191" s="19"/>
      <x:c r="C191" s="19"/>
      <x:c r="D191" s="7"/>
      <x:c r="E191" s="7"/>
      <x:c r="F191" s="7"/>
      <x:c r="G191" s="7"/>
      <x:c r="H191" s="7"/>
      <x:c r="I191" s="7"/>
      <x:c r="J191" s="7"/>
      <x:c r="K191" s="10"/>
      <x:c r="L191" s="7"/>
      <x:c r="M191" s="10"/>
      <x:c r="N191" s="7"/>
      <x:c r="O191" s="8"/>
      <x:c r="P191" s="8"/>
      <x:c r="Q191" s="8"/>
      <x:c r="R191" s="9"/>
      <x:c r="S191" s="7"/>
      <x:c r="T191" s="7"/>
      <x:c r="U191" s="7"/>
      <x:c r="V191" s="7"/>
      <x:c r="W191" s="22" t="str">
        <x:f>IF(A191="","",COUNTIFS('Esecuzioni'!$A$8:$A$1007,A191,'Esecuzioni'!$Q$8:$Q$1007,"OK"))</x:f>
      </x:c>
      <x:c r="X191" s="20" t="str">
        <x:f>IF(OR(A191="",I191&lt;&gt;"Esecuzioni",W191=0),"",SUMIFS('Esecuzioni'!$L$8:$L$1007,'Esecuzioni'!$A$8:$A$1007,A191))</x:f>
      </x:c>
      <x:c r="Y191" s="20" t="str">
        <x:f>IF(OR(A191="",I191&lt;&gt;"Esecuzioni",W191=0),"",SUMIFS('Esecuzioni'!$M$8:$M$1007,'Esecuzioni'!$A$8:$A$1007,A191))</x:f>
      </x:c>
      <x:c r="Z191" s="20" t="str">
        <x:f>IF(A191="","",IF(J191="Annullato",0,IF(ISNUMBER(O191),O191,IF(AND(I191="Esecuzioni",W191&gt;0),_xlfn.MAXIFS('Esecuzioni'!$P$8:$P$1007,'Esecuzioni'!$A$8:$A$1007,A191),""))))</x:f>
      </x:c>
      <x:c r="AA191" s="20" t="str">
        <x:f>IF(OR(A191="",J191="Aperto"),"",IF(J191="Annullato",0,IF(I191="Lordo manuale",IF(ISNUMBER(P191),P191,""),IF(I191="Netto manuale",IF(AND(ISNUMBER(P191),ISNUMBER(Q191)),P191+Q191,""),IF(OR(W191=0,COUNTIFS('Esecuzioni'!$A$8:$A$1007,A191,'Esecuzioni'!$Q$8:$Q$1007,"&lt;&gt;OK")&gt;0),"",IF(S191="Vince",X191,IF(S191="Perde",Y191,IF(AND(S191="Coperto",ABS(X191-Y191)&lt;='Impostazioni'!$B$11),ROUND((X191+Y191)/2,2),""))))))))</x:f>
      </x:c>
      <x:c r="AB191" s="20" t="str">
        <x:f>IF(NOT(ISNUMBER(AA191)),"",IF(J191="Annullato",0,IF(ISNUMBER(Q191),Q191,ROUND(MAX(0,AA191)*IF(ISNUMBER(R191),R191,'Impostazioni'!$B$8),2))))</x:f>
      </x:c>
      <x:c r="AC191" s="20" t="str">
        <x:f>IF(AND(ISNUMBER(AA191),ISNUMBER(AB191)),ROUND(AA191-AB191,2),"")</x:f>
      </x:c>
      <x:c r="AD191" s="18" t="str">
        <x:f>IF(A191="","",IF(AQ191&lt;&gt;"OK","Incompleto",IF(J191="Aperto","Aperto",IF(J191="Annullato","Annullato",IF(AC191&gt;0,"Green",IF(AC191&lt;0,"Red","Flat"))))))</x:f>
      </x:c>
      <x:c r="AE191" s="21" t="str">
        <x:f>IF(AND(AH191=1,Z191&gt;0),AC191/Z191,"")</x:f>
      </x:c>
      <x:c r="AF191" s="22" t="str">
        <x:f>IF(AH191&lt;&gt;1,"",COUNTIFS($C$8:$C$507,"&lt;"&amp;C191,$AH$8:$AH$507,1)+COUNTIFS($C$8:$C$507,C191,$A$8:$A$507,"&lt;="&amp;A191,$AH$8:$AH$507,1))</x:f>
      </x:c>
      <x:c r="AG191" s="20" t="str">
        <x:f>IF(AH191&lt;&gt;1,"",SUMIFS($AC$8:$AC$507,$C$8:$C$507,"&lt;"&amp;C191,$AH$8:$AH$507,1)+SUMIFS($AC$8:$AC$507,$C$8:$C$507,C191,$A$8:$A$507,"&lt;="&amp;A191,$AH$8:$AH$507,1))</x:f>
      </x:c>
      <x:c r="AH191" s="22" t="str">
        <x:f>IF(A191="","",IF(AND(J191="Chiuso",AQ191="OK",ISNUMBER(AC191)),1,0))</x:f>
      </x:c>
      <x:c r="AI191" s="20" t="str">
        <x:f>IF(AH191&lt;&gt;1,"",MAX(0,_xlfn.MAXIFS($AG$8:$AG$507,$AF$8:$AF$507,"&lt;="&amp;AF191,$AH$8:$AH$507,1)))</x:f>
      </x:c>
      <x:c r="AJ191" s="20" t="str">
        <x:f>IF(AH191&lt;&gt;1,"",MAX(0,AI191-AG191))</x:f>
      </x:c>
      <x:c r="AK191" s="21" t="str">
        <x:f>IF(OR(AH191&lt;&gt;1,NOT(ISNUMBER('Impostazioni'!$B$6)),'Impostazioni'!$B$6+AI191&lt;=0),"",AJ191/('Impostazioni'!$B$6+AI191))</x:f>
      </x:c>
      <x:c r="AL191" s="22" t="str">
        <x:f>IF(AH191&lt;&gt;1,"",IF(AC191&gt;0,AF191-_xlfn.MAXIFS($AF$8:$AF$507,$AF$8:$AF$507,"&lt;="&amp;AF191,$AC$8:$AC$507,"&lt;=0",$AH$8:$AH$507,1),0))</x:f>
      </x:c>
      <x:c r="AM191" s="22" t="str">
        <x:f>IF(AH191&lt;&gt;1,"",IF(AC191&lt;0,AF191-_xlfn.MAXIFS($AF$8:$AF$507,$AF$8:$AF$507,"&lt;="&amp;AF191,$AC$8:$AC$507,"&gt;=0",$AH$8:$AH$507,1),0))</x:f>
      </x:c>
      <x:c r="AN191" s="20" t="str">
        <x:f>IF(OR(A191="",NOT(ISNUMBER(B191)),NOT(ISNUMBER('Impostazioni'!$B$6))),"",'Impostazioni'!$B$6+SUMIFS($AC$8:$AC$507,$C$8:$C$507,"&lt;"&amp;B191,$AH$8:$AH$507,1)+SUMIFS('Cassa'!$F$8:$F$307,'Cassa'!$A$8:$A$307,"&lt;="&amp;B191,'Cassa'!$G$8:$G$307,"OK"))</x:f>
      </x:c>
      <x:c r="AO191" s="21" t="str">
        <x:f>IF(AND(ISNUMBER(Z191),ISNUMBER(AN191),AN191&gt;0),Z191/AN191,"")</x:f>
      </x:c>
      <x:c r="AP191" s="18" t="str">
        <x:f>IF(NOT(ISNUMBER(AO191)),"",IF(AO191&gt;'Impostazioni'!$B$7,"Oltre soglia personale","Nella soglia personale"))</x:f>
      </x:c>
      <x:c r="AQ191" s="18" t="str">
        <x:f>IF(A191="",IF(COUNTA(B191:V191)=0,"","Inserisci ID"),IF(COUNTIFS($A$8:$A$507,A191)&lt;&gt;1,"ID duplicato",IF(OR(NOT(ISNUMBER(B191)),D191="",E191="",F191="",G191="",H191="",COUNTIFS('Impostazioni'!$J$6:$J$25,F191)&lt;&gt;1),"Completa dati / elenchi",IF(OR(AND(I191&lt;&gt;"Lordo manuale",I191&lt;&gt;"Netto manuale",I191&lt;&gt;"Esecuzioni"),AND(J191&lt;&gt;"Aperto",J191&lt;&gt;"Chiuso",J191&lt;&gt;"Annullato")),"Modalità / stato mancanti",IF(AND(J191&lt;&gt;"Aperto",OR(NOT(ISNUMBER(C191)),C191&lt;B191)),"Correggi data chiusura",IF(OR(AND(Q191&lt;&gt;"",OR(NOT(ISNUMBER(Q191)),Q191&lt;0)),AND(R191&lt;&gt;"",OR(NOT(ISNUMBER(R191)),R191&lt;0,R191&gt;1))),"Commissione non valida",IF(J191="Annullato","OK",IF(OR(NOT(ISNUMBER(Z191)),Z191&lt;0,AND(O191&lt;&gt;"",NOT(ISNUMBER(O191)))),"Inserisci rischio",IF(AND(I191="Esecuzioni",OR(W191=0,COUNTIFS('Esecuzioni'!$A$8:$A$1007,A191,'Esecuzioni'!$Q$8:$Q$1007,"&lt;&gt;OK")&gt;0)),"Correggi esecuzioni",IF(J191="Aperto","OK",IF(AND(I191="Esecuzioni",S191="Coperto",ABS(X191-Y191)&gt;'Impostazioni'!$B$11),"Copertura residua",IF(NOT(ISNUMBER(AC191)),"Completa risultato / esito",IF(AND(Z191=0,AC191&lt;&gt;0),"Rischio nullo con P/L","OK")))))))))))))</x:f>
      </x:c>
      <x:c r="AR191" s="20" t="str">
        <x:f>IF(OR(A191="",J191&lt;&gt;"Aperto",AQ191&lt;&gt;"OK"),"",IF(I191="Esecuzioni",SUMIFS('Esecuzioni'!$P$8:$P$1007,'Esecuzioni'!$A$8:$A$1007,A191,'Esecuzioni'!$B$8:$B$1007,_xlfn.MAXIFS('Esecuzioni'!$B$8:$B$1007,'Esecuzioni'!$A$8:$A$1007,A191)),IF(LEFT(U191,8)="FREEBET:",0,Z191)))</x:f>
      </x:c>
      <x:c r="AS191" s="48" t="str">
        <x:f>IF(OR(A191="",E191=""),"",IF(COUNTIFS($E$8:E191,E191)=1,COUNT($AS$7:AS190)+1,""))</x:f>
      </x:c>
    </x:row>
    <x:row r="192" ht="22" customHeight="1">
      <x:c r="A192" s="7"/>
      <x:c r="B192" s="19"/>
      <x:c r="C192" s="19"/>
      <x:c r="D192" s="7"/>
      <x:c r="E192" s="7"/>
      <x:c r="F192" s="7"/>
      <x:c r="G192" s="7"/>
      <x:c r="H192" s="7"/>
      <x:c r="I192" s="7"/>
      <x:c r="J192" s="7"/>
      <x:c r="K192" s="10"/>
      <x:c r="L192" s="7"/>
      <x:c r="M192" s="10"/>
      <x:c r="N192" s="7"/>
      <x:c r="O192" s="8"/>
      <x:c r="P192" s="8"/>
      <x:c r="Q192" s="8"/>
      <x:c r="R192" s="9"/>
      <x:c r="S192" s="7"/>
      <x:c r="T192" s="7"/>
      <x:c r="U192" s="7"/>
      <x:c r="V192" s="7"/>
      <x:c r="W192" s="22" t="str">
        <x:f>IF(A192="","",COUNTIFS('Esecuzioni'!$A$8:$A$1007,A192,'Esecuzioni'!$Q$8:$Q$1007,"OK"))</x:f>
      </x:c>
      <x:c r="X192" s="20" t="str">
        <x:f>IF(OR(A192="",I192&lt;&gt;"Esecuzioni",W192=0),"",SUMIFS('Esecuzioni'!$L$8:$L$1007,'Esecuzioni'!$A$8:$A$1007,A192))</x:f>
      </x:c>
      <x:c r="Y192" s="20" t="str">
        <x:f>IF(OR(A192="",I192&lt;&gt;"Esecuzioni",W192=0),"",SUMIFS('Esecuzioni'!$M$8:$M$1007,'Esecuzioni'!$A$8:$A$1007,A192))</x:f>
      </x:c>
      <x:c r="Z192" s="20" t="str">
        <x:f>IF(A192="","",IF(J192="Annullato",0,IF(ISNUMBER(O192),O192,IF(AND(I192="Esecuzioni",W192&gt;0),_xlfn.MAXIFS('Esecuzioni'!$P$8:$P$1007,'Esecuzioni'!$A$8:$A$1007,A192),""))))</x:f>
      </x:c>
      <x:c r="AA192" s="20" t="str">
        <x:f>IF(OR(A192="",J192="Aperto"),"",IF(J192="Annullato",0,IF(I192="Lordo manuale",IF(ISNUMBER(P192),P192,""),IF(I192="Netto manuale",IF(AND(ISNUMBER(P192),ISNUMBER(Q192)),P192+Q192,""),IF(OR(W192=0,COUNTIFS('Esecuzioni'!$A$8:$A$1007,A192,'Esecuzioni'!$Q$8:$Q$1007,"&lt;&gt;OK")&gt;0),"",IF(S192="Vince",X192,IF(S192="Perde",Y192,IF(AND(S192="Coperto",ABS(X192-Y192)&lt;='Impostazioni'!$B$11),ROUND((X192+Y192)/2,2),""))))))))</x:f>
      </x:c>
      <x:c r="AB192" s="20" t="str">
        <x:f>IF(NOT(ISNUMBER(AA192)),"",IF(J192="Annullato",0,IF(ISNUMBER(Q192),Q192,ROUND(MAX(0,AA192)*IF(ISNUMBER(R192),R192,'Impostazioni'!$B$8),2))))</x:f>
      </x:c>
      <x:c r="AC192" s="20" t="str">
        <x:f>IF(AND(ISNUMBER(AA192),ISNUMBER(AB192)),ROUND(AA192-AB192,2),"")</x:f>
      </x:c>
      <x:c r="AD192" s="18" t="str">
        <x:f>IF(A192="","",IF(AQ192&lt;&gt;"OK","Incompleto",IF(J192="Aperto","Aperto",IF(J192="Annullato","Annullato",IF(AC192&gt;0,"Green",IF(AC192&lt;0,"Red","Flat"))))))</x:f>
      </x:c>
      <x:c r="AE192" s="21" t="str">
        <x:f>IF(AND(AH192=1,Z192&gt;0),AC192/Z192,"")</x:f>
      </x:c>
      <x:c r="AF192" s="22" t="str">
        <x:f>IF(AH192&lt;&gt;1,"",COUNTIFS($C$8:$C$507,"&lt;"&amp;C192,$AH$8:$AH$507,1)+COUNTIFS($C$8:$C$507,C192,$A$8:$A$507,"&lt;="&amp;A192,$AH$8:$AH$507,1))</x:f>
      </x:c>
      <x:c r="AG192" s="20" t="str">
        <x:f>IF(AH192&lt;&gt;1,"",SUMIFS($AC$8:$AC$507,$C$8:$C$507,"&lt;"&amp;C192,$AH$8:$AH$507,1)+SUMIFS($AC$8:$AC$507,$C$8:$C$507,C192,$A$8:$A$507,"&lt;="&amp;A192,$AH$8:$AH$507,1))</x:f>
      </x:c>
      <x:c r="AH192" s="22" t="str">
        <x:f>IF(A192="","",IF(AND(J192="Chiuso",AQ192="OK",ISNUMBER(AC192)),1,0))</x:f>
      </x:c>
      <x:c r="AI192" s="20" t="str">
        <x:f>IF(AH192&lt;&gt;1,"",MAX(0,_xlfn.MAXIFS($AG$8:$AG$507,$AF$8:$AF$507,"&lt;="&amp;AF192,$AH$8:$AH$507,1)))</x:f>
      </x:c>
      <x:c r="AJ192" s="20" t="str">
        <x:f>IF(AH192&lt;&gt;1,"",MAX(0,AI192-AG192))</x:f>
      </x:c>
      <x:c r="AK192" s="21" t="str">
        <x:f>IF(OR(AH192&lt;&gt;1,NOT(ISNUMBER('Impostazioni'!$B$6)),'Impostazioni'!$B$6+AI192&lt;=0),"",AJ192/('Impostazioni'!$B$6+AI192))</x:f>
      </x:c>
      <x:c r="AL192" s="22" t="str">
        <x:f>IF(AH192&lt;&gt;1,"",IF(AC192&gt;0,AF192-_xlfn.MAXIFS($AF$8:$AF$507,$AF$8:$AF$507,"&lt;="&amp;AF192,$AC$8:$AC$507,"&lt;=0",$AH$8:$AH$507,1),0))</x:f>
      </x:c>
      <x:c r="AM192" s="22" t="str">
        <x:f>IF(AH192&lt;&gt;1,"",IF(AC192&lt;0,AF192-_xlfn.MAXIFS($AF$8:$AF$507,$AF$8:$AF$507,"&lt;="&amp;AF192,$AC$8:$AC$507,"&gt;=0",$AH$8:$AH$507,1),0))</x:f>
      </x:c>
      <x:c r="AN192" s="20" t="str">
        <x:f>IF(OR(A192="",NOT(ISNUMBER(B192)),NOT(ISNUMBER('Impostazioni'!$B$6))),"",'Impostazioni'!$B$6+SUMIFS($AC$8:$AC$507,$C$8:$C$507,"&lt;"&amp;B192,$AH$8:$AH$507,1)+SUMIFS('Cassa'!$F$8:$F$307,'Cassa'!$A$8:$A$307,"&lt;="&amp;B192,'Cassa'!$G$8:$G$307,"OK"))</x:f>
      </x:c>
      <x:c r="AO192" s="21" t="str">
        <x:f>IF(AND(ISNUMBER(Z192),ISNUMBER(AN192),AN192&gt;0),Z192/AN192,"")</x:f>
      </x:c>
      <x:c r="AP192" s="18" t="str">
        <x:f>IF(NOT(ISNUMBER(AO192)),"",IF(AO192&gt;'Impostazioni'!$B$7,"Oltre soglia personale","Nella soglia personale"))</x:f>
      </x:c>
      <x:c r="AQ192" s="18" t="str">
        <x:f>IF(A192="",IF(COUNTA(B192:V192)=0,"","Inserisci ID"),IF(COUNTIFS($A$8:$A$507,A192)&lt;&gt;1,"ID duplicato",IF(OR(NOT(ISNUMBER(B192)),D192="",E192="",F192="",G192="",H192="",COUNTIFS('Impostazioni'!$J$6:$J$25,F192)&lt;&gt;1),"Completa dati / elenchi",IF(OR(AND(I192&lt;&gt;"Lordo manuale",I192&lt;&gt;"Netto manuale",I192&lt;&gt;"Esecuzioni"),AND(J192&lt;&gt;"Aperto",J192&lt;&gt;"Chiuso",J192&lt;&gt;"Annullato")),"Modalità / stato mancanti",IF(AND(J192&lt;&gt;"Aperto",OR(NOT(ISNUMBER(C192)),C192&lt;B192)),"Correggi data chiusura",IF(OR(AND(Q192&lt;&gt;"",OR(NOT(ISNUMBER(Q192)),Q192&lt;0)),AND(R192&lt;&gt;"",OR(NOT(ISNUMBER(R192)),R192&lt;0,R192&gt;1))),"Commissione non valida",IF(J192="Annullato","OK",IF(OR(NOT(ISNUMBER(Z192)),Z192&lt;0,AND(O192&lt;&gt;"",NOT(ISNUMBER(O192)))),"Inserisci rischio",IF(AND(I192="Esecuzioni",OR(W192=0,COUNTIFS('Esecuzioni'!$A$8:$A$1007,A192,'Esecuzioni'!$Q$8:$Q$1007,"&lt;&gt;OK")&gt;0)),"Correggi esecuzioni",IF(J192="Aperto","OK",IF(AND(I192="Esecuzioni",S192="Coperto",ABS(X192-Y192)&gt;'Impostazioni'!$B$11),"Copertura residua",IF(NOT(ISNUMBER(AC192)),"Completa risultato / esito",IF(AND(Z192=0,AC192&lt;&gt;0),"Rischio nullo con P/L","OK")))))))))))))</x:f>
      </x:c>
      <x:c r="AR192" s="20" t="str">
        <x:f>IF(OR(A192="",J192&lt;&gt;"Aperto",AQ192&lt;&gt;"OK"),"",IF(I192="Esecuzioni",SUMIFS('Esecuzioni'!$P$8:$P$1007,'Esecuzioni'!$A$8:$A$1007,A192,'Esecuzioni'!$B$8:$B$1007,_xlfn.MAXIFS('Esecuzioni'!$B$8:$B$1007,'Esecuzioni'!$A$8:$A$1007,A192)),IF(LEFT(U192,8)="FREEBET:",0,Z192)))</x:f>
      </x:c>
      <x:c r="AS192" s="48" t="str">
        <x:f>IF(OR(A192="",E192=""),"",IF(COUNTIFS($E$8:E192,E192)=1,COUNT($AS$7:AS191)+1,""))</x:f>
      </x:c>
    </x:row>
    <x:row r="193" ht="22" customHeight="1">
      <x:c r="A193" s="7"/>
      <x:c r="B193" s="19"/>
      <x:c r="C193" s="19"/>
      <x:c r="D193" s="7"/>
      <x:c r="E193" s="7"/>
      <x:c r="F193" s="7"/>
      <x:c r="G193" s="7"/>
      <x:c r="H193" s="7"/>
      <x:c r="I193" s="7"/>
      <x:c r="J193" s="7"/>
      <x:c r="K193" s="10"/>
      <x:c r="L193" s="7"/>
      <x:c r="M193" s="10"/>
      <x:c r="N193" s="7"/>
      <x:c r="O193" s="8"/>
      <x:c r="P193" s="8"/>
      <x:c r="Q193" s="8"/>
      <x:c r="R193" s="9"/>
      <x:c r="S193" s="7"/>
      <x:c r="T193" s="7"/>
      <x:c r="U193" s="7"/>
      <x:c r="V193" s="7"/>
      <x:c r="W193" s="22" t="str">
        <x:f>IF(A193="","",COUNTIFS('Esecuzioni'!$A$8:$A$1007,A193,'Esecuzioni'!$Q$8:$Q$1007,"OK"))</x:f>
      </x:c>
      <x:c r="X193" s="20" t="str">
        <x:f>IF(OR(A193="",I193&lt;&gt;"Esecuzioni",W193=0),"",SUMIFS('Esecuzioni'!$L$8:$L$1007,'Esecuzioni'!$A$8:$A$1007,A193))</x:f>
      </x:c>
      <x:c r="Y193" s="20" t="str">
        <x:f>IF(OR(A193="",I193&lt;&gt;"Esecuzioni",W193=0),"",SUMIFS('Esecuzioni'!$M$8:$M$1007,'Esecuzioni'!$A$8:$A$1007,A193))</x:f>
      </x:c>
      <x:c r="Z193" s="20" t="str">
        <x:f>IF(A193="","",IF(J193="Annullato",0,IF(ISNUMBER(O193),O193,IF(AND(I193="Esecuzioni",W193&gt;0),_xlfn.MAXIFS('Esecuzioni'!$P$8:$P$1007,'Esecuzioni'!$A$8:$A$1007,A193),""))))</x:f>
      </x:c>
      <x:c r="AA193" s="20" t="str">
        <x:f>IF(OR(A193="",J193="Aperto"),"",IF(J193="Annullato",0,IF(I193="Lordo manuale",IF(ISNUMBER(P193),P193,""),IF(I193="Netto manuale",IF(AND(ISNUMBER(P193),ISNUMBER(Q193)),P193+Q193,""),IF(OR(W193=0,COUNTIFS('Esecuzioni'!$A$8:$A$1007,A193,'Esecuzioni'!$Q$8:$Q$1007,"&lt;&gt;OK")&gt;0),"",IF(S193="Vince",X193,IF(S193="Perde",Y193,IF(AND(S193="Coperto",ABS(X193-Y193)&lt;='Impostazioni'!$B$11),ROUND((X193+Y193)/2,2),""))))))))</x:f>
      </x:c>
      <x:c r="AB193" s="20" t="str">
        <x:f>IF(NOT(ISNUMBER(AA193)),"",IF(J193="Annullato",0,IF(ISNUMBER(Q193),Q193,ROUND(MAX(0,AA193)*IF(ISNUMBER(R193),R193,'Impostazioni'!$B$8),2))))</x:f>
      </x:c>
      <x:c r="AC193" s="20" t="str">
        <x:f>IF(AND(ISNUMBER(AA193),ISNUMBER(AB193)),ROUND(AA193-AB193,2),"")</x:f>
      </x:c>
      <x:c r="AD193" s="18" t="str">
        <x:f>IF(A193="","",IF(AQ193&lt;&gt;"OK","Incompleto",IF(J193="Aperto","Aperto",IF(J193="Annullato","Annullato",IF(AC193&gt;0,"Green",IF(AC193&lt;0,"Red","Flat"))))))</x:f>
      </x:c>
      <x:c r="AE193" s="21" t="str">
        <x:f>IF(AND(AH193=1,Z193&gt;0),AC193/Z193,"")</x:f>
      </x:c>
      <x:c r="AF193" s="22" t="str">
        <x:f>IF(AH193&lt;&gt;1,"",COUNTIFS($C$8:$C$507,"&lt;"&amp;C193,$AH$8:$AH$507,1)+COUNTIFS($C$8:$C$507,C193,$A$8:$A$507,"&lt;="&amp;A193,$AH$8:$AH$507,1))</x:f>
      </x:c>
      <x:c r="AG193" s="20" t="str">
        <x:f>IF(AH193&lt;&gt;1,"",SUMIFS($AC$8:$AC$507,$C$8:$C$507,"&lt;"&amp;C193,$AH$8:$AH$507,1)+SUMIFS($AC$8:$AC$507,$C$8:$C$507,C193,$A$8:$A$507,"&lt;="&amp;A193,$AH$8:$AH$507,1))</x:f>
      </x:c>
      <x:c r="AH193" s="22" t="str">
        <x:f>IF(A193="","",IF(AND(J193="Chiuso",AQ193="OK",ISNUMBER(AC193)),1,0))</x:f>
      </x:c>
      <x:c r="AI193" s="20" t="str">
        <x:f>IF(AH193&lt;&gt;1,"",MAX(0,_xlfn.MAXIFS($AG$8:$AG$507,$AF$8:$AF$507,"&lt;="&amp;AF193,$AH$8:$AH$507,1)))</x:f>
      </x:c>
      <x:c r="AJ193" s="20" t="str">
        <x:f>IF(AH193&lt;&gt;1,"",MAX(0,AI193-AG193))</x:f>
      </x:c>
      <x:c r="AK193" s="21" t="str">
        <x:f>IF(OR(AH193&lt;&gt;1,NOT(ISNUMBER('Impostazioni'!$B$6)),'Impostazioni'!$B$6+AI193&lt;=0),"",AJ193/('Impostazioni'!$B$6+AI193))</x:f>
      </x:c>
      <x:c r="AL193" s="22" t="str">
        <x:f>IF(AH193&lt;&gt;1,"",IF(AC193&gt;0,AF193-_xlfn.MAXIFS($AF$8:$AF$507,$AF$8:$AF$507,"&lt;="&amp;AF193,$AC$8:$AC$507,"&lt;=0",$AH$8:$AH$507,1),0))</x:f>
      </x:c>
      <x:c r="AM193" s="22" t="str">
        <x:f>IF(AH193&lt;&gt;1,"",IF(AC193&lt;0,AF193-_xlfn.MAXIFS($AF$8:$AF$507,$AF$8:$AF$507,"&lt;="&amp;AF193,$AC$8:$AC$507,"&gt;=0",$AH$8:$AH$507,1),0))</x:f>
      </x:c>
      <x:c r="AN193" s="20" t="str">
        <x:f>IF(OR(A193="",NOT(ISNUMBER(B193)),NOT(ISNUMBER('Impostazioni'!$B$6))),"",'Impostazioni'!$B$6+SUMIFS($AC$8:$AC$507,$C$8:$C$507,"&lt;"&amp;B193,$AH$8:$AH$507,1)+SUMIFS('Cassa'!$F$8:$F$307,'Cassa'!$A$8:$A$307,"&lt;="&amp;B193,'Cassa'!$G$8:$G$307,"OK"))</x:f>
      </x:c>
      <x:c r="AO193" s="21" t="str">
        <x:f>IF(AND(ISNUMBER(Z193),ISNUMBER(AN193),AN193&gt;0),Z193/AN193,"")</x:f>
      </x:c>
      <x:c r="AP193" s="18" t="str">
        <x:f>IF(NOT(ISNUMBER(AO193)),"",IF(AO193&gt;'Impostazioni'!$B$7,"Oltre soglia personale","Nella soglia personale"))</x:f>
      </x:c>
      <x:c r="AQ193" s="18" t="str">
        <x:f>IF(A193="",IF(COUNTA(B193:V193)=0,"","Inserisci ID"),IF(COUNTIFS($A$8:$A$507,A193)&lt;&gt;1,"ID duplicato",IF(OR(NOT(ISNUMBER(B193)),D193="",E193="",F193="",G193="",H193="",COUNTIFS('Impostazioni'!$J$6:$J$25,F193)&lt;&gt;1),"Completa dati / elenchi",IF(OR(AND(I193&lt;&gt;"Lordo manuale",I193&lt;&gt;"Netto manuale",I193&lt;&gt;"Esecuzioni"),AND(J193&lt;&gt;"Aperto",J193&lt;&gt;"Chiuso",J193&lt;&gt;"Annullato")),"Modalità / stato mancanti",IF(AND(J193&lt;&gt;"Aperto",OR(NOT(ISNUMBER(C193)),C193&lt;B193)),"Correggi data chiusura",IF(OR(AND(Q193&lt;&gt;"",OR(NOT(ISNUMBER(Q193)),Q193&lt;0)),AND(R193&lt;&gt;"",OR(NOT(ISNUMBER(R193)),R193&lt;0,R193&gt;1))),"Commissione non valida",IF(J193="Annullato","OK",IF(OR(NOT(ISNUMBER(Z193)),Z193&lt;0,AND(O193&lt;&gt;"",NOT(ISNUMBER(O193)))),"Inserisci rischio",IF(AND(I193="Esecuzioni",OR(W193=0,COUNTIFS('Esecuzioni'!$A$8:$A$1007,A193,'Esecuzioni'!$Q$8:$Q$1007,"&lt;&gt;OK")&gt;0)),"Correggi esecuzioni",IF(J193="Aperto","OK",IF(AND(I193="Esecuzioni",S193="Coperto",ABS(X193-Y193)&gt;'Impostazioni'!$B$11),"Copertura residua",IF(NOT(ISNUMBER(AC193)),"Completa risultato / esito",IF(AND(Z193=0,AC193&lt;&gt;0),"Rischio nullo con P/L","OK")))))))))))))</x:f>
      </x:c>
      <x:c r="AR193" s="20" t="str">
        <x:f>IF(OR(A193="",J193&lt;&gt;"Aperto",AQ193&lt;&gt;"OK"),"",IF(I193="Esecuzioni",SUMIFS('Esecuzioni'!$P$8:$P$1007,'Esecuzioni'!$A$8:$A$1007,A193,'Esecuzioni'!$B$8:$B$1007,_xlfn.MAXIFS('Esecuzioni'!$B$8:$B$1007,'Esecuzioni'!$A$8:$A$1007,A193)),IF(LEFT(U193,8)="FREEBET:",0,Z193)))</x:f>
      </x:c>
      <x:c r="AS193" s="48" t="str">
        <x:f>IF(OR(A193="",E193=""),"",IF(COUNTIFS($E$8:E193,E193)=1,COUNT($AS$7:AS192)+1,""))</x:f>
      </x:c>
    </x:row>
    <x:row r="194" ht="22" customHeight="1">
      <x:c r="A194" s="7"/>
      <x:c r="B194" s="19"/>
      <x:c r="C194" s="19"/>
      <x:c r="D194" s="7"/>
      <x:c r="E194" s="7"/>
      <x:c r="F194" s="7"/>
      <x:c r="G194" s="7"/>
      <x:c r="H194" s="7"/>
      <x:c r="I194" s="7"/>
      <x:c r="J194" s="7"/>
      <x:c r="K194" s="10"/>
      <x:c r="L194" s="7"/>
      <x:c r="M194" s="10"/>
      <x:c r="N194" s="7"/>
      <x:c r="O194" s="8"/>
      <x:c r="P194" s="8"/>
      <x:c r="Q194" s="8"/>
      <x:c r="R194" s="9"/>
      <x:c r="S194" s="7"/>
      <x:c r="T194" s="7"/>
      <x:c r="U194" s="7"/>
      <x:c r="V194" s="7"/>
      <x:c r="W194" s="22" t="str">
        <x:f>IF(A194="","",COUNTIFS('Esecuzioni'!$A$8:$A$1007,A194,'Esecuzioni'!$Q$8:$Q$1007,"OK"))</x:f>
      </x:c>
      <x:c r="X194" s="20" t="str">
        <x:f>IF(OR(A194="",I194&lt;&gt;"Esecuzioni",W194=0),"",SUMIFS('Esecuzioni'!$L$8:$L$1007,'Esecuzioni'!$A$8:$A$1007,A194))</x:f>
      </x:c>
      <x:c r="Y194" s="20" t="str">
        <x:f>IF(OR(A194="",I194&lt;&gt;"Esecuzioni",W194=0),"",SUMIFS('Esecuzioni'!$M$8:$M$1007,'Esecuzioni'!$A$8:$A$1007,A194))</x:f>
      </x:c>
      <x:c r="Z194" s="20" t="str">
        <x:f>IF(A194="","",IF(J194="Annullato",0,IF(ISNUMBER(O194),O194,IF(AND(I194="Esecuzioni",W194&gt;0),_xlfn.MAXIFS('Esecuzioni'!$P$8:$P$1007,'Esecuzioni'!$A$8:$A$1007,A194),""))))</x:f>
      </x:c>
      <x:c r="AA194" s="20" t="str">
        <x:f>IF(OR(A194="",J194="Aperto"),"",IF(J194="Annullato",0,IF(I194="Lordo manuale",IF(ISNUMBER(P194),P194,""),IF(I194="Netto manuale",IF(AND(ISNUMBER(P194),ISNUMBER(Q194)),P194+Q194,""),IF(OR(W194=0,COUNTIFS('Esecuzioni'!$A$8:$A$1007,A194,'Esecuzioni'!$Q$8:$Q$1007,"&lt;&gt;OK")&gt;0),"",IF(S194="Vince",X194,IF(S194="Perde",Y194,IF(AND(S194="Coperto",ABS(X194-Y194)&lt;='Impostazioni'!$B$11),ROUND((X194+Y194)/2,2),""))))))))</x:f>
      </x:c>
      <x:c r="AB194" s="20" t="str">
        <x:f>IF(NOT(ISNUMBER(AA194)),"",IF(J194="Annullato",0,IF(ISNUMBER(Q194),Q194,ROUND(MAX(0,AA194)*IF(ISNUMBER(R194),R194,'Impostazioni'!$B$8),2))))</x:f>
      </x:c>
      <x:c r="AC194" s="20" t="str">
        <x:f>IF(AND(ISNUMBER(AA194),ISNUMBER(AB194)),ROUND(AA194-AB194,2),"")</x:f>
      </x:c>
      <x:c r="AD194" s="18" t="str">
        <x:f>IF(A194="","",IF(AQ194&lt;&gt;"OK","Incompleto",IF(J194="Aperto","Aperto",IF(J194="Annullato","Annullato",IF(AC194&gt;0,"Green",IF(AC194&lt;0,"Red","Flat"))))))</x:f>
      </x:c>
      <x:c r="AE194" s="21" t="str">
        <x:f>IF(AND(AH194=1,Z194&gt;0),AC194/Z194,"")</x:f>
      </x:c>
      <x:c r="AF194" s="22" t="str">
        <x:f>IF(AH194&lt;&gt;1,"",COUNTIFS($C$8:$C$507,"&lt;"&amp;C194,$AH$8:$AH$507,1)+COUNTIFS($C$8:$C$507,C194,$A$8:$A$507,"&lt;="&amp;A194,$AH$8:$AH$507,1))</x:f>
      </x:c>
      <x:c r="AG194" s="20" t="str">
        <x:f>IF(AH194&lt;&gt;1,"",SUMIFS($AC$8:$AC$507,$C$8:$C$507,"&lt;"&amp;C194,$AH$8:$AH$507,1)+SUMIFS($AC$8:$AC$507,$C$8:$C$507,C194,$A$8:$A$507,"&lt;="&amp;A194,$AH$8:$AH$507,1))</x:f>
      </x:c>
      <x:c r="AH194" s="22" t="str">
        <x:f>IF(A194="","",IF(AND(J194="Chiuso",AQ194="OK",ISNUMBER(AC194)),1,0))</x:f>
      </x:c>
      <x:c r="AI194" s="20" t="str">
        <x:f>IF(AH194&lt;&gt;1,"",MAX(0,_xlfn.MAXIFS($AG$8:$AG$507,$AF$8:$AF$507,"&lt;="&amp;AF194,$AH$8:$AH$507,1)))</x:f>
      </x:c>
      <x:c r="AJ194" s="20" t="str">
        <x:f>IF(AH194&lt;&gt;1,"",MAX(0,AI194-AG194))</x:f>
      </x:c>
      <x:c r="AK194" s="21" t="str">
        <x:f>IF(OR(AH194&lt;&gt;1,NOT(ISNUMBER('Impostazioni'!$B$6)),'Impostazioni'!$B$6+AI194&lt;=0),"",AJ194/('Impostazioni'!$B$6+AI194))</x:f>
      </x:c>
      <x:c r="AL194" s="22" t="str">
        <x:f>IF(AH194&lt;&gt;1,"",IF(AC194&gt;0,AF194-_xlfn.MAXIFS($AF$8:$AF$507,$AF$8:$AF$507,"&lt;="&amp;AF194,$AC$8:$AC$507,"&lt;=0",$AH$8:$AH$507,1),0))</x:f>
      </x:c>
      <x:c r="AM194" s="22" t="str">
        <x:f>IF(AH194&lt;&gt;1,"",IF(AC194&lt;0,AF194-_xlfn.MAXIFS($AF$8:$AF$507,$AF$8:$AF$507,"&lt;="&amp;AF194,$AC$8:$AC$507,"&gt;=0",$AH$8:$AH$507,1),0))</x:f>
      </x:c>
      <x:c r="AN194" s="20" t="str">
        <x:f>IF(OR(A194="",NOT(ISNUMBER(B194)),NOT(ISNUMBER('Impostazioni'!$B$6))),"",'Impostazioni'!$B$6+SUMIFS($AC$8:$AC$507,$C$8:$C$507,"&lt;"&amp;B194,$AH$8:$AH$507,1)+SUMIFS('Cassa'!$F$8:$F$307,'Cassa'!$A$8:$A$307,"&lt;="&amp;B194,'Cassa'!$G$8:$G$307,"OK"))</x:f>
      </x:c>
      <x:c r="AO194" s="21" t="str">
        <x:f>IF(AND(ISNUMBER(Z194),ISNUMBER(AN194),AN194&gt;0),Z194/AN194,"")</x:f>
      </x:c>
      <x:c r="AP194" s="18" t="str">
        <x:f>IF(NOT(ISNUMBER(AO194)),"",IF(AO194&gt;'Impostazioni'!$B$7,"Oltre soglia personale","Nella soglia personale"))</x:f>
      </x:c>
      <x:c r="AQ194" s="18" t="str">
        <x:f>IF(A194="",IF(COUNTA(B194:V194)=0,"","Inserisci ID"),IF(COUNTIFS($A$8:$A$507,A194)&lt;&gt;1,"ID duplicato",IF(OR(NOT(ISNUMBER(B194)),D194="",E194="",F194="",G194="",H194="",COUNTIFS('Impostazioni'!$J$6:$J$25,F194)&lt;&gt;1),"Completa dati / elenchi",IF(OR(AND(I194&lt;&gt;"Lordo manuale",I194&lt;&gt;"Netto manuale",I194&lt;&gt;"Esecuzioni"),AND(J194&lt;&gt;"Aperto",J194&lt;&gt;"Chiuso",J194&lt;&gt;"Annullato")),"Modalità / stato mancanti",IF(AND(J194&lt;&gt;"Aperto",OR(NOT(ISNUMBER(C194)),C194&lt;B194)),"Correggi data chiusura",IF(OR(AND(Q194&lt;&gt;"",OR(NOT(ISNUMBER(Q194)),Q194&lt;0)),AND(R194&lt;&gt;"",OR(NOT(ISNUMBER(R194)),R194&lt;0,R194&gt;1))),"Commissione non valida",IF(J194="Annullato","OK",IF(OR(NOT(ISNUMBER(Z194)),Z194&lt;0,AND(O194&lt;&gt;"",NOT(ISNUMBER(O194)))),"Inserisci rischio",IF(AND(I194="Esecuzioni",OR(W194=0,COUNTIFS('Esecuzioni'!$A$8:$A$1007,A194,'Esecuzioni'!$Q$8:$Q$1007,"&lt;&gt;OK")&gt;0)),"Correggi esecuzioni",IF(J194="Aperto","OK",IF(AND(I194="Esecuzioni",S194="Coperto",ABS(X194-Y194)&gt;'Impostazioni'!$B$11),"Copertura residua",IF(NOT(ISNUMBER(AC194)),"Completa risultato / esito",IF(AND(Z194=0,AC194&lt;&gt;0),"Rischio nullo con P/L","OK")))))))))))))</x:f>
      </x:c>
      <x:c r="AR194" s="20" t="str">
        <x:f>IF(OR(A194="",J194&lt;&gt;"Aperto",AQ194&lt;&gt;"OK"),"",IF(I194="Esecuzioni",SUMIFS('Esecuzioni'!$P$8:$P$1007,'Esecuzioni'!$A$8:$A$1007,A194,'Esecuzioni'!$B$8:$B$1007,_xlfn.MAXIFS('Esecuzioni'!$B$8:$B$1007,'Esecuzioni'!$A$8:$A$1007,A194)),IF(LEFT(U194,8)="FREEBET:",0,Z194)))</x:f>
      </x:c>
      <x:c r="AS194" s="48" t="str">
        <x:f>IF(OR(A194="",E194=""),"",IF(COUNTIFS($E$8:E194,E194)=1,COUNT($AS$7:AS193)+1,""))</x:f>
      </x:c>
    </x:row>
    <x:row r="195" ht="22" customHeight="1">
      <x:c r="A195" s="7"/>
      <x:c r="B195" s="19"/>
      <x:c r="C195" s="19"/>
      <x:c r="D195" s="7"/>
      <x:c r="E195" s="7"/>
      <x:c r="F195" s="7"/>
      <x:c r="G195" s="7"/>
      <x:c r="H195" s="7"/>
      <x:c r="I195" s="7"/>
      <x:c r="J195" s="7"/>
      <x:c r="K195" s="10"/>
      <x:c r="L195" s="7"/>
      <x:c r="M195" s="10"/>
      <x:c r="N195" s="7"/>
      <x:c r="O195" s="8"/>
      <x:c r="P195" s="8"/>
      <x:c r="Q195" s="8"/>
      <x:c r="R195" s="9"/>
      <x:c r="S195" s="7"/>
      <x:c r="T195" s="7"/>
      <x:c r="U195" s="7"/>
      <x:c r="V195" s="7"/>
      <x:c r="W195" s="22" t="str">
        <x:f>IF(A195="","",COUNTIFS('Esecuzioni'!$A$8:$A$1007,A195,'Esecuzioni'!$Q$8:$Q$1007,"OK"))</x:f>
      </x:c>
      <x:c r="X195" s="20" t="str">
        <x:f>IF(OR(A195="",I195&lt;&gt;"Esecuzioni",W195=0),"",SUMIFS('Esecuzioni'!$L$8:$L$1007,'Esecuzioni'!$A$8:$A$1007,A195))</x:f>
      </x:c>
      <x:c r="Y195" s="20" t="str">
        <x:f>IF(OR(A195="",I195&lt;&gt;"Esecuzioni",W195=0),"",SUMIFS('Esecuzioni'!$M$8:$M$1007,'Esecuzioni'!$A$8:$A$1007,A195))</x:f>
      </x:c>
      <x:c r="Z195" s="20" t="str">
        <x:f>IF(A195="","",IF(J195="Annullato",0,IF(ISNUMBER(O195),O195,IF(AND(I195="Esecuzioni",W195&gt;0),_xlfn.MAXIFS('Esecuzioni'!$P$8:$P$1007,'Esecuzioni'!$A$8:$A$1007,A195),""))))</x:f>
      </x:c>
      <x:c r="AA195" s="20" t="str">
        <x:f>IF(OR(A195="",J195="Aperto"),"",IF(J195="Annullato",0,IF(I195="Lordo manuale",IF(ISNUMBER(P195),P195,""),IF(I195="Netto manuale",IF(AND(ISNUMBER(P195),ISNUMBER(Q195)),P195+Q195,""),IF(OR(W195=0,COUNTIFS('Esecuzioni'!$A$8:$A$1007,A195,'Esecuzioni'!$Q$8:$Q$1007,"&lt;&gt;OK")&gt;0),"",IF(S195="Vince",X195,IF(S195="Perde",Y195,IF(AND(S195="Coperto",ABS(X195-Y195)&lt;='Impostazioni'!$B$11),ROUND((X195+Y195)/2,2),""))))))))</x:f>
      </x:c>
      <x:c r="AB195" s="20" t="str">
        <x:f>IF(NOT(ISNUMBER(AA195)),"",IF(J195="Annullato",0,IF(ISNUMBER(Q195),Q195,ROUND(MAX(0,AA195)*IF(ISNUMBER(R195),R195,'Impostazioni'!$B$8),2))))</x:f>
      </x:c>
      <x:c r="AC195" s="20" t="str">
        <x:f>IF(AND(ISNUMBER(AA195),ISNUMBER(AB195)),ROUND(AA195-AB195,2),"")</x:f>
      </x:c>
      <x:c r="AD195" s="18" t="str">
        <x:f>IF(A195="","",IF(AQ195&lt;&gt;"OK","Incompleto",IF(J195="Aperto","Aperto",IF(J195="Annullato","Annullato",IF(AC195&gt;0,"Green",IF(AC195&lt;0,"Red","Flat"))))))</x:f>
      </x:c>
      <x:c r="AE195" s="21" t="str">
        <x:f>IF(AND(AH195=1,Z195&gt;0),AC195/Z195,"")</x:f>
      </x:c>
      <x:c r="AF195" s="22" t="str">
        <x:f>IF(AH195&lt;&gt;1,"",COUNTIFS($C$8:$C$507,"&lt;"&amp;C195,$AH$8:$AH$507,1)+COUNTIFS($C$8:$C$507,C195,$A$8:$A$507,"&lt;="&amp;A195,$AH$8:$AH$507,1))</x:f>
      </x:c>
      <x:c r="AG195" s="20" t="str">
        <x:f>IF(AH195&lt;&gt;1,"",SUMIFS($AC$8:$AC$507,$C$8:$C$507,"&lt;"&amp;C195,$AH$8:$AH$507,1)+SUMIFS($AC$8:$AC$507,$C$8:$C$507,C195,$A$8:$A$507,"&lt;="&amp;A195,$AH$8:$AH$507,1))</x:f>
      </x:c>
      <x:c r="AH195" s="22" t="str">
        <x:f>IF(A195="","",IF(AND(J195="Chiuso",AQ195="OK",ISNUMBER(AC195)),1,0))</x:f>
      </x:c>
      <x:c r="AI195" s="20" t="str">
        <x:f>IF(AH195&lt;&gt;1,"",MAX(0,_xlfn.MAXIFS($AG$8:$AG$507,$AF$8:$AF$507,"&lt;="&amp;AF195,$AH$8:$AH$507,1)))</x:f>
      </x:c>
      <x:c r="AJ195" s="20" t="str">
        <x:f>IF(AH195&lt;&gt;1,"",MAX(0,AI195-AG195))</x:f>
      </x:c>
      <x:c r="AK195" s="21" t="str">
        <x:f>IF(OR(AH195&lt;&gt;1,NOT(ISNUMBER('Impostazioni'!$B$6)),'Impostazioni'!$B$6+AI195&lt;=0),"",AJ195/('Impostazioni'!$B$6+AI195))</x:f>
      </x:c>
      <x:c r="AL195" s="22" t="str">
        <x:f>IF(AH195&lt;&gt;1,"",IF(AC195&gt;0,AF195-_xlfn.MAXIFS($AF$8:$AF$507,$AF$8:$AF$507,"&lt;="&amp;AF195,$AC$8:$AC$507,"&lt;=0",$AH$8:$AH$507,1),0))</x:f>
      </x:c>
      <x:c r="AM195" s="22" t="str">
        <x:f>IF(AH195&lt;&gt;1,"",IF(AC195&lt;0,AF195-_xlfn.MAXIFS($AF$8:$AF$507,$AF$8:$AF$507,"&lt;="&amp;AF195,$AC$8:$AC$507,"&gt;=0",$AH$8:$AH$507,1),0))</x:f>
      </x:c>
      <x:c r="AN195" s="20" t="str">
        <x:f>IF(OR(A195="",NOT(ISNUMBER(B195)),NOT(ISNUMBER('Impostazioni'!$B$6))),"",'Impostazioni'!$B$6+SUMIFS($AC$8:$AC$507,$C$8:$C$507,"&lt;"&amp;B195,$AH$8:$AH$507,1)+SUMIFS('Cassa'!$F$8:$F$307,'Cassa'!$A$8:$A$307,"&lt;="&amp;B195,'Cassa'!$G$8:$G$307,"OK"))</x:f>
      </x:c>
      <x:c r="AO195" s="21" t="str">
        <x:f>IF(AND(ISNUMBER(Z195),ISNUMBER(AN195),AN195&gt;0),Z195/AN195,"")</x:f>
      </x:c>
      <x:c r="AP195" s="18" t="str">
        <x:f>IF(NOT(ISNUMBER(AO195)),"",IF(AO195&gt;'Impostazioni'!$B$7,"Oltre soglia personale","Nella soglia personale"))</x:f>
      </x:c>
      <x:c r="AQ195" s="18" t="str">
        <x:f>IF(A195="",IF(COUNTA(B195:V195)=0,"","Inserisci ID"),IF(COUNTIFS($A$8:$A$507,A195)&lt;&gt;1,"ID duplicato",IF(OR(NOT(ISNUMBER(B195)),D195="",E195="",F195="",G195="",H195="",COUNTIFS('Impostazioni'!$J$6:$J$25,F195)&lt;&gt;1),"Completa dati / elenchi",IF(OR(AND(I195&lt;&gt;"Lordo manuale",I195&lt;&gt;"Netto manuale",I195&lt;&gt;"Esecuzioni"),AND(J195&lt;&gt;"Aperto",J195&lt;&gt;"Chiuso",J195&lt;&gt;"Annullato")),"Modalità / stato mancanti",IF(AND(J195&lt;&gt;"Aperto",OR(NOT(ISNUMBER(C195)),C195&lt;B195)),"Correggi data chiusura",IF(OR(AND(Q195&lt;&gt;"",OR(NOT(ISNUMBER(Q195)),Q195&lt;0)),AND(R195&lt;&gt;"",OR(NOT(ISNUMBER(R195)),R195&lt;0,R195&gt;1))),"Commissione non valida",IF(J195="Annullato","OK",IF(OR(NOT(ISNUMBER(Z195)),Z195&lt;0,AND(O195&lt;&gt;"",NOT(ISNUMBER(O195)))),"Inserisci rischio",IF(AND(I195="Esecuzioni",OR(W195=0,COUNTIFS('Esecuzioni'!$A$8:$A$1007,A195,'Esecuzioni'!$Q$8:$Q$1007,"&lt;&gt;OK")&gt;0)),"Correggi esecuzioni",IF(J195="Aperto","OK",IF(AND(I195="Esecuzioni",S195="Coperto",ABS(X195-Y195)&gt;'Impostazioni'!$B$11),"Copertura residua",IF(NOT(ISNUMBER(AC195)),"Completa risultato / esito",IF(AND(Z195=0,AC195&lt;&gt;0),"Rischio nullo con P/L","OK")))))))))))))</x:f>
      </x:c>
      <x:c r="AR195" s="20" t="str">
        <x:f>IF(OR(A195="",J195&lt;&gt;"Aperto",AQ195&lt;&gt;"OK"),"",IF(I195="Esecuzioni",SUMIFS('Esecuzioni'!$P$8:$P$1007,'Esecuzioni'!$A$8:$A$1007,A195,'Esecuzioni'!$B$8:$B$1007,_xlfn.MAXIFS('Esecuzioni'!$B$8:$B$1007,'Esecuzioni'!$A$8:$A$1007,A195)),IF(LEFT(U195,8)="FREEBET:",0,Z195)))</x:f>
      </x:c>
      <x:c r="AS195" s="48" t="str">
        <x:f>IF(OR(A195="",E195=""),"",IF(COUNTIFS($E$8:E195,E195)=1,COUNT($AS$7:AS194)+1,""))</x:f>
      </x:c>
    </x:row>
    <x:row r="196" ht="22" customHeight="1">
      <x:c r="A196" s="7"/>
      <x:c r="B196" s="19"/>
      <x:c r="C196" s="19"/>
      <x:c r="D196" s="7"/>
      <x:c r="E196" s="7"/>
      <x:c r="F196" s="7"/>
      <x:c r="G196" s="7"/>
      <x:c r="H196" s="7"/>
      <x:c r="I196" s="7"/>
      <x:c r="J196" s="7"/>
      <x:c r="K196" s="10"/>
      <x:c r="L196" s="7"/>
      <x:c r="M196" s="10"/>
      <x:c r="N196" s="7"/>
      <x:c r="O196" s="8"/>
      <x:c r="P196" s="8"/>
      <x:c r="Q196" s="8"/>
      <x:c r="R196" s="9"/>
      <x:c r="S196" s="7"/>
      <x:c r="T196" s="7"/>
      <x:c r="U196" s="7"/>
      <x:c r="V196" s="7"/>
      <x:c r="W196" s="22" t="str">
        <x:f>IF(A196="","",COUNTIFS('Esecuzioni'!$A$8:$A$1007,A196,'Esecuzioni'!$Q$8:$Q$1007,"OK"))</x:f>
      </x:c>
      <x:c r="X196" s="20" t="str">
        <x:f>IF(OR(A196="",I196&lt;&gt;"Esecuzioni",W196=0),"",SUMIFS('Esecuzioni'!$L$8:$L$1007,'Esecuzioni'!$A$8:$A$1007,A196))</x:f>
      </x:c>
      <x:c r="Y196" s="20" t="str">
        <x:f>IF(OR(A196="",I196&lt;&gt;"Esecuzioni",W196=0),"",SUMIFS('Esecuzioni'!$M$8:$M$1007,'Esecuzioni'!$A$8:$A$1007,A196))</x:f>
      </x:c>
      <x:c r="Z196" s="20" t="str">
        <x:f>IF(A196="","",IF(J196="Annullato",0,IF(ISNUMBER(O196),O196,IF(AND(I196="Esecuzioni",W196&gt;0),_xlfn.MAXIFS('Esecuzioni'!$P$8:$P$1007,'Esecuzioni'!$A$8:$A$1007,A196),""))))</x:f>
      </x:c>
      <x:c r="AA196" s="20" t="str">
        <x:f>IF(OR(A196="",J196="Aperto"),"",IF(J196="Annullato",0,IF(I196="Lordo manuale",IF(ISNUMBER(P196),P196,""),IF(I196="Netto manuale",IF(AND(ISNUMBER(P196),ISNUMBER(Q196)),P196+Q196,""),IF(OR(W196=0,COUNTIFS('Esecuzioni'!$A$8:$A$1007,A196,'Esecuzioni'!$Q$8:$Q$1007,"&lt;&gt;OK")&gt;0),"",IF(S196="Vince",X196,IF(S196="Perde",Y196,IF(AND(S196="Coperto",ABS(X196-Y196)&lt;='Impostazioni'!$B$11),ROUND((X196+Y196)/2,2),""))))))))</x:f>
      </x:c>
      <x:c r="AB196" s="20" t="str">
        <x:f>IF(NOT(ISNUMBER(AA196)),"",IF(J196="Annullato",0,IF(ISNUMBER(Q196),Q196,ROUND(MAX(0,AA196)*IF(ISNUMBER(R196),R196,'Impostazioni'!$B$8),2))))</x:f>
      </x:c>
      <x:c r="AC196" s="20" t="str">
        <x:f>IF(AND(ISNUMBER(AA196),ISNUMBER(AB196)),ROUND(AA196-AB196,2),"")</x:f>
      </x:c>
      <x:c r="AD196" s="18" t="str">
        <x:f>IF(A196="","",IF(AQ196&lt;&gt;"OK","Incompleto",IF(J196="Aperto","Aperto",IF(J196="Annullato","Annullato",IF(AC196&gt;0,"Green",IF(AC196&lt;0,"Red","Flat"))))))</x:f>
      </x:c>
      <x:c r="AE196" s="21" t="str">
        <x:f>IF(AND(AH196=1,Z196&gt;0),AC196/Z196,"")</x:f>
      </x:c>
      <x:c r="AF196" s="22" t="str">
        <x:f>IF(AH196&lt;&gt;1,"",COUNTIFS($C$8:$C$507,"&lt;"&amp;C196,$AH$8:$AH$507,1)+COUNTIFS($C$8:$C$507,C196,$A$8:$A$507,"&lt;="&amp;A196,$AH$8:$AH$507,1))</x:f>
      </x:c>
      <x:c r="AG196" s="20" t="str">
        <x:f>IF(AH196&lt;&gt;1,"",SUMIFS($AC$8:$AC$507,$C$8:$C$507,"&lt;"&amp;C196,$AH$8:$AH$507,1)+SUMIFS($AC$8:$AC$507,$C$8:$C$507,C196,$A$8:$A$507,"&lt;="&amp;A196,$AH$8:$AH$507,1))</x:f>
      </x:c>
      <x:c r="AH196" s="22" t="str">
        <x:f>IF(A196="","",IF(AND(J196="Chiuso",AQ196="OK",ISNUMBER(AC196)),1,0))</x:f>
      </x:c>
      <x:c r="AI196" s="20" t="str">
        <x:f>IF(AH196&lt;&gt;1,"",MAX(0,_xlfn.MAXIFS($AG$8:$AG$507,$AF$8:$AF$507,"&lt;="&amp;AF196,$AH$8:$AH$507,1)))</x:f>
      </x:c>
      <x:c r="AJ196" s="20" t="str">
        <x:f>IF(AH196&lt;&gt;1,"",MAX(0,AI196-AG196))</x:f>
      </x:c>
      <x:c r="AK196" s="21" t="str">
        <x:f>IF(OR(AH196&lt;&gt;1,NOT(ISNUMBER('Impostazioni'!$B$6)),'Impostazioni'!$B$6+AI196&lt;=0),"",AJ196/('Impostazioni'!$B$6+AI196))</x:f>
      </x:c>
      <x:c r="AL196" s="22" t="str">
        <x:f>IF(AH196&lt;&gt;1,"",IF(AC196&gt;0,AF196-_xlfn.MAXIFS($AF$8:$AF$507,$AF$8:$AF$507,"&lt;="&amp;AF196,$AC$8:$AC$507,"&lt;=0",$AH$8:$AH$507,1),0))</x:f>
      </x:c>
      <x:c r="AM196" s="22" t="str">
        <x:f>IF(AH196&lt;&gt;1,"",IF(AC196&lt;0,AF196-_xlfn.MAXIFS($AF$8:$AF$507,$AF$8:$AF$507,"&lt;="&amp;AF196,$AC$8:$AC$507,"&gt;=0",$AH$8:$AH$507,1),0))</x:f>
      </x:c>
      <x:c r="AN196" s="20" t="str">
        <x:f>IF(OR(A196="",NOT(ISNUMBER(B196)),NOT(ISNUMBER('Impostazioni'!$B$6))),"",'Impostazioni'!$B$6+SUMIFS($AC$8:$AC$507,$C$8:$C$507,"&lt;"&amp;B196,$AH$8:$AH$507,1)+SUMIFS('Cassa'!$F$8:$F$307,'Cassa'!$A$8:$A$307,"&lt;="&amp;B196,'Cassa'!$G$8:$G$307,"OK"))</x:f>
      </x:c>
      <x:c r="AO196" s="21" t="str">
        <x:f>IF(AND(ISNUMBER(Z196),ISNUMBER(AN196),AN196&gt;0),Z196/AN196,"")</x:f>
      </x:c>
      <x:c r="AP196" s="18" t="str">
        <x:f>IF(NOT(ISNUMBER(AO196)),"",IF(AO196&gt;'Impostazioni'!$B$7,"Oltre soglia personale","Nella soglia personale"))</x:f>
      </x:c>
      <x:c r="AQ196" s="18" t="str">
        <x:f>IF(A196="",IF(COUNTA(B196:V196)=0,"","Inserisci ID"),IF(COUNTIFS($A$8:$A$507,A196)&lt;&gt;1,"ID duplicato",IF(OR(NOT(ISNUMBER(B196)),D196="",E196="",F196="",G196="",H196="",COUNTIFS('Impostazioni'!$J$6:$J$25,F196)&lt;&gt;1),"Completa dati / elenchi",IF(OR(AND(I196&lt;&gt;"Lordo manuale",I196&lt;&gt;"Netto manuale",I196&lt;&gt;"Esecuzioni"),AND(J196&lt;&gt;"Aperto",J196&lt;&gt;"Chiuso",J196&lt;&gt;"Annullato")),"Modalità / stato mancanti",IF(AND(J196&lt;&gt;"Aperto",OR(NOT(ISNUMBER(C196)),C196&lt;B196)),"Correggi data chiusura",IF(OR(AND(Q196&lt;&gt;"",OR(NOT(ISNUMBER(Q196)),Q196&lt;0)),AND(R196&lt;&gt;"",OR(NOT(ISNUMBER(R196)),R196&lt;0,R196&gt;1))),"Commissione non valida",IF(J196="Annullato","OK",IF(OR(NOT(ISNUMBER(Z196)),Z196&lt;0,AND(O196&lt;&gt;"",NOT(ISNUMBER(O196)))),"Inserisci rischio",IF(AND(I196="Esecuzioni",OR(W196=0,COUNTIFS('Esecuzioni'!$A$8:$A$1007,A196,'Esecuzioni'!$Q$8:$Q$1007,"&lt;&gt;OK")&gt;0)),"Correggi esecuzioni",IF(J196="Aperto","OK",IF(AND(I196="Esecuzioni",S196="Coperto",ABS(X196-Y196)&gt;'Impostazioni'!$B$11),"Copertura residua",IF(NOT(ISNUMBER(AC196)),"Completa risultato / esito",IF(AND(Z196=0,AC196&lt;&gt;0),"Rischio nullo con P/L","OK")))))))))))))</x:f>
      </x:c>
      <x:c r="AR196" s="20" t="str">
        <x:f>IF(OR(A196="",J196&lt;&gt;"Aperto",AQ196&lt;&gt;"OK"),"",IF(I196="Esecuzioni",SUMIFS('Esecuzioni'!$P$8:$P$1007,'Esecuzioni'!$A$8:$A$1007,A196,'Esecuzioni'!$B$8:$B$1007,_xlfn.MAXIFS('Esecuzioni'!$B$8:$B$1007,'Esecuzioni'!$A$8:$A$1007,A196)),IF(LEFT(U196,8)="FREEBET:",0,Z196)))</x:f>
      </x:c>
      <x:c r="AS196" s="48" t="str">
        <x:f>IF(OR(A196="",E196=""),"",IF(COUNTIFS($E$8:E196,E196)=1,COUNT($AS$7:AS195)+1,""))</x:f>
      </x:c>
    </x:row>
    <x:row r="197" ht="22" customHeight="1">
      <x:c r="A197" s="7"/>
      <x:c r="B197" s="19"/>
      <x:c r="C197" s="19"/>
      <x:c r="D197" s="7"/>
      <x:c r="E197" s="7"/>
      <x:c r="F197" s="7"/>
      <x:c r="G197" s="7"/>
      <x:c r="H197" s="7"/>
      <x:c r="I197" s="7"/>
      <x:c r="J197" s="7"/>
      <x:c r="K197" s="10"/>
      <x:c r="L197" s="7"/>
      <x:c r="M197" s="10"/>
      <x:c r="N197" s="7"/>
      <x:c r="O197" s="8"/>
      <x:c r="P197" s="8"/>
      <x:c r="Q197" s="8"/>
      <x:c r="R197" s="9"/>
      <x:c r="S197" s="7"/>
      <x:c r="T197" s="7"/>
      <x:c r="U197" s="7"/>
      <x:c r="V197" s="7"/>
      <x:c r="W197" s="22" t="str">
        <x:f>IF(A197="","",COUNTIFS('Esecuzioni'!$A$8:$A$1007,A197,'Esecuzioni'!$Q$8:$Q$1007,"OK"))</x:f>
      </x:c>
      <x:c r="X197" s="20" t="str">
        <x:f>IF(OR(A197="",I197&lt;&gt;"Esecuzioni",W197=0),"",SUMIFS('Esecuzioni'!$L$8:$L$1007,'Esecuzioni'!$A$8:$A$1007,A197))</x:f>
      </x:c>
      <x:c r="Y197" s="20" t="str">
        <x:f>IF(OR(A197="",I197&lt;&gt;"Esecuzioni",W197=0),"",SUMIFS('Esecuzioni'!$M$8:$M$1007,'Esecuzioni'!$A$8:$A$1007,A197))</x:f>
      </x:c>
      <x:c r="Z197" s="20" t="str">
        <x:f>IF(A197="","",IF(J197="Annullato",0,IF(ISNUMBER(O197),O197,IF(AND(I197="Esecuzioni",W197&gt;0),_xlfn.MAXIFS('Esecuzioni'!$P$8:$P$1007,'Esecuzioni'!$A$8:$A$1007,A197),""))))</x:f>
      </x:c>
      <x:c r="AA197" s="20" t="str">
        <x:f>IF(OR(A197="",J197="Aperto"),"",IF(J197="Annullato",0,IF(I197="Lordo manuale",IF(ISNUMBER(P197),P197,""),IF(I197="Netto manuale",IF(AND(ISNUMBER(P197),ISNUMBER(Q197)),P197+Q197,""),IF(OR(W197=0,COUNTIFS('Esecuzioni'!$A$8:$A$1007,A197,'Esecuzioni'!$Q$8:$Q$1007,"&lt;&gt;OK")&gt;0),"",IF(S197="Vince",X197,IF(S197="Perde",Y197,IF(AND(S197="Coperto",ABS(X197-Y197)&lt;='Impostazioni'!$B$11),ROUND((X197+Y197)/2,2),""))))))))</x:f>
      </x:c>
      <x:c r="AB197" s="20" t="str">
        <x:f>IF(NOT(ISNUMBER(AA197)),"",IF(J197="Annullato",0,IF(ISNUMBER(Q197),Q197,ROUND(MAX(0,AA197)*IF(ISNUMBER(R197),R197,'Impostazioni'!$B$8),2))))</x:f>
      </x:c>
      <x:c r="AC197" s="20" t="str">
        <x:f>IF(AND(ISNUMBER(AA197),ISNUMBER(AB197)),ROUND(AA197-AB197,2),"")</x:f>
      </x:c>
      <x:c r="AD197" s="18" t="str">
        <x:f>IF(A197="","",IF(AQ197&lt;&gt;"OK","Incompleto",IF(J197="Aperto","Aperto",IF(J197="Annullato","Annullato",IF(AC197&gt;0,"Green",IF(AC197&lt;0,"Red","Flat"))))))</x:f>
      </x:c>
      <x:c r="AE197" s="21" t="str">
        <x:f>IF(AND(AH197=1,Z197&gt;0),AC197/Z197,"")</x:f>
      </x:c>
      <x:c r="AF197" s="22" t="str">
        <x:f>IF(AH197&lt;&gt;1,"",COUNTIFS($C$8:$C$507,"&lt;"&amp;C197,$AH$8:$AH$507,1)+COUNTIFS($C$8:$C$507,C197,$A$8:$A$507,"&lt;="&amp;A197,$AH$8:$AH$507,1))</x:f>
      </x:c>
      <x:c r="AG197" s="20" t="str">
        <x:f>IF(AH197&lt;&gt;1,"",SUMIFS($AC$8:$AC$507,$C$8:$C$507,"&lt;"&amp;C197,$AH$8:$AH$507,1)+SUMIFS($AC$8:$AC$507,$C$8:$C$507,C197,$A$8:$A$507,"&lt;="&amp;A197,$AH$8:$AH$507,1))</x:f>
      </x:c>
      <x:c r="AH197" s="22" t="str">
        <x:f>IF(A197="","",IF(AND(J197="Chiuso",AQ197="OK",ISNUMBER(AC197)),1,0))</x:f>
      </x:c>
      <x:c r="AI197" s="20" t="str">
        <x:f>IF(AH197&lt;&gt;1,"",MAX(0,_xlfn.MAXIFS($AG$8:$AG$507,$AF$8:$AF$507,"&lt;="&amp;AF197,$AH$8:$AH$507,1)))</x:f>
      </x:c>
      <x:c r="AJ197" s="20" t="str">
        <x:f>IF(AH197&lt;&gt;1,"",MAX(0,AI197-AG197))</x:f>
      </x:c>
      <x:c r="AK197" s="21" t="str">
        <x:f>IF(OR(AH197&lt;&gt;1,NOT(ISNUMBER('Impostazioni'!$B$6)),'Impostazioni'!$B$6+AI197&lt;=0),"",AJ197/('Impostazioni'!$B$6+AI197))</x:f>
      </x:c>
      <x:c r="AL197" s="22" t="str">
        <x:f>IF(AH197&lt;&gt;1,"",IF(AC197&gt;0,AF197-_xlfn.MAXIFS($AF$8:$AF$507,$AF$8:$AF$507,"&lt;="&amp;AF197,$AC$8:$AC$507,"&lt;=0",$AH$8:$AH$507,1),0))</x:f>
      </x:c>
      <x:c r="AM197" s="22" t="str">
        <x:f>IF(AH197&lt;&gt;1,"",IF(AC197&lt;0,AF197-_xlfn.MAXIFS($AF$8:$AF$507,$AF$8:$AF$507,"&lt;="&amp;AF197,$AC$8:$AC$507,"&gt;=0",$AH$8:$AH$507,1),0))</x:f>
      </x:c>
      <x:c r="AN197" s="20" t="str">
        <x:f>IF(OR(A197="",NOT(ISNUMBER(B197)),NOT(ISNUMBER('Impostazioni'!$B$6))),"",'Impostazioni'!$B$6+SUMIFS($AC$8:$AC$507,$C$8:$C$507,"&lt;"&amp;B197,$AH$8:$AH$507,1)+SUMIFS('Cassa'!$F$8:$F$307,'Cassa'!$A$8:$A$307,"&lt;="&amp;B197,'Cassa'!$G$8:$G$307,"OK"))</x:f>
      </x:c>
      <x:c r="AO197" s="21" t="str">
        <x:f>IF(AND(ISNUMBER(Z197),ISNUMBER(AN197),AN197&gt;0),Z197/AN197,"")</x:f>
      </x:c>
      <x:c r="AP197" s="18" t="str">
        <x:f>IF(NOT(ISNUMBER(AO197)),"",IF(AO197&gt;'Impostazioni'!$B$7,"Oltre soglia personale","Nella soglia personale"))</x:f>
      </x:c>
      <x:c r="AQ197" s="18" t="str">
        <x:f>IF(A197="",IF(COUNTA(B197:V197)=0,"","Inserisci ID"),IF(COUNTIFS($A$8:$A$507,A197)&lt;&gt;1,"ID duplicato",IF(OR(NOT(ISNUMBER(B197)),D197="",E197="",F197="",G197="",H197="",COUNTIFS('Impostazioni'!$J$6:$J$25,F197)&lt;&gt;1),"Completa dati / elenchi",IF(OR(AND(I197&lt;&gt;"Lordo manuale",I197&lt;&gt;"Netto manuale",I197&lt;&gt;"Esecuzioni"),AND(J197&lt;&gt;"Aperto",J197&lt;&gt;"Chiuso",J197&lt;&gt;"Annullato")),"Modalità / stato mancanti",IF(AND(J197&lt;&gt;"Aperto",OR(NOT(ISNUMBER(C197)),C197&lt;B197)),"Correggi data chiusura",IF(OR(AND(Q197&lt;&gt;"",OR(NOT(ISNUMBER(Q197)),Q197&lt;0)),AND(R197&lt;&gt;"",OR(NOT(ISNUMBER(R197)),R197&lt;0,R197&gt;1))),"Commissione non valida",IF(J197="Annullato","OK",IF(OR(NOT(ISNUMBER(Z197)),Z197&lt;0,AND(O197&lt;&gt;"",NOT(ISNUMBER(O197)))),"Inserisci rischio",IF(AND(I197="Esecuzioni",OR(W197=0,COUNTIFS('Esecuzioni'!$A$8:$A$1007,A197,'Esecuzioni'!$Q$8:$Q$1007,"&lt;&gt;OK")&gt;0)),"Correggi esecuzioni",IF(J197="Aperto","OK",IF(AND(I197="Esecuzioni",S197="Coperto",ABS(X197-Y197)&gt;'Impostazioni'!$B$11),"Copertura residua",IF(NOT(ISNUMBER(AC197)),"Completa risultato / esito",IF(AND(Z197=0,AC197&lt;&gt;0),"Rischio nullo con P/L","OK")))))))))))))</x:f>
      </x:c>
      <x:c r="AR197" s="20" t="str">
        <x:f>IF(OR(A197="",J197&lt;&gt;"Aperto",AQ197&lt;&gt;"OK"),"",IF(I197="Esecuzioni",SUMIFS('Esecuzioni'!$P$8:$P$1007,'Esecuzioni'!$A$8:$A$1007,A197,'Esecuzioni'!$B$8:$B$1007,_xlfn.MAXIFS('Esecuzioni'!$B$8:$B$1007,'Esecuzioni'!$A$8:$A$1007,A197)),IF(LEFT(U197,8)="FREEBET:",0,Z197)))</x:f>
      </x:c>
      <x:c r="AS197" s="48" t="str">
        <x:f>IF(OR(A197="",E197=""),"",IF(COUNTIFS($E$8:E197,E197)=1,COUNT($AS$7:AS196)+1,""))</x:f>
      </x:c>
    </x:row>
    <x:row r="198" ht="22" customHeight="1">
      <x:c r="A198" s="7"/>
      <x:c r="B198" s="19"/>
      <x:c r="C198" s="19"/>
      <x:c r="D198" s="7"/>
      <x:c r="E198" s="7"/>
      <x:c r="F198" s="7"/>
      <x:c r="G198" s="7"/>
      <x:c r="H198" s="7"/>
      <x:c r="I198" s="7"/>
      <x:c r="J198" s="7"/>
      <x:c r="K198" s="10"/>
      <x:c r="L198" s="7"/>
      <x:c r="M198" s="10"/>
      <x:c r="N198" s="7"/>
      <x:c r="O198" s="8"/>
      <x:c r="P198" s="8"/>
      <x:c r="Q198" s="8"/>
      <x:c r="R198" s="9"/>
      <x:c r="S198" s="7"/>
      <x:c r="T198" s="7"/>
      <x:c r="U198" s="7"/>
      <x:c r="V198" s="7"/>
      <x:c r="W198" s="22" t="str">
        <x:f>IF(A198="","",COUNTIFS('Esecuzioni'!$A$8:$A$1007,A198,'Esecuzioni'!$Q$8:$Q$1007,"OK"))</x:f>
      </x:c>
      <x:c r="X198" s="20" t="str">
        <x:f>IF(OR(A198="",I198&lt;&gt;"Esecuzioni",W198=0),"",SUMIFS('Esecuzioni'!$L$8:$L$1007,'Esecuzioni'!$A$8:$A$1007,A198))</x:f>
      </x:c>
      <x:c r="Y198" s="20" t="str">
        <x:f>IF(OR(A198="",I198&lt;&gt;"Esecuzioni",W198=0),"",SUMIFS('Esecuzioni'!$M$8:$M$1007,'Esecuzioni'!$A$8:$A$1007,A198))</x:f>
      </x:c>
      <x:c r="Z198" s="20" t="str">
        <x:f>IF(A198="","",IF(J198="Annullato",0,IF(ISNUMBER(O198),O198,IF(AND(I198="Esecuzioni",W198&gt;0),_xlfn.MAXIFS('Esecuzioni'!$P$8:$P$1007,'Esecuzioni'!$A$8:$A$1007,A198),""))))</x:f>
      </x:c>
      <x:c r="AA198" s="20" t="str">
        <x:f>IF(OR(A198="",J198="Aperto"),"",IF(J198="Annullato",0,IF(I198="Lordo manuale",IF(ISNUMBER(P198),P198,""),IF(I198="Netto manuale",IF(AND(ISNUMBER(P198),ISNUMBER(Q198)),P198+Q198,""),IF(OR(W198=0,COUNTIFS('Esecuzioni'!$A$8:$A$1007,A198,'Esecuzioni'!$Q$8:$Q$1007,"&lt;&gt;OK")&gt;0),"",IF(S198="Vince",X198,IF(S198="Perde",Y198,IF(AND(S198="Coperto",ABS(X198-Y198)&lt;='Impostazioni'!$B$11),ROUND((X198+Y198)/2,2),""))))))))</x:f>
      </x:c>
      <x:c r="AB198" s="20" t="str">
        <x:f>IF(NOT(ISNUMBER(AA198)),"",IF(J198="Annullato",0,IF(ISNUMBER(Q198),Q198,ROUND(MAX(0,AA198)*IF(ISNUMBER(R198),R198,'Impostazioni'!$B$8),2))))</x:f>
      </x:c>
      <x:c r="AC198" s="20" t="str">
        <x:f>IF(AND(ISNUMBER(AA198),ISNUMBER(AB198)),ROUND(AA198-AB198,2),"")</x:f>
      </x:c>
      <x:c r="AD198" s="18" t="str">
        <x:f>IF(A198="","",IF(AQ198&lt;&gt;"OK","Incompleto",IF(J198="Aperto","Aperto",IF(J198="Annullato","Annullato",IF(AC198&gt;0,"Green",IF(AC198&lt;0,"Red","Flat"))))))</x:f>
      </x:c>
      <x:c r="AE198" s="21" t="str">
        <x:f>IF(AND(AH198=1,Z198&gt;0),AC198/Z198,"")</x:f>
      </x:c>
      <x:c r="AF198" s="22" t="str">
        <x:f>IF(AH198&lt;&gt;1,"",COUNTIFS($C$8:$C$507,"&lt;"&amp;C198,$AH$8:$AH$507,1)+COUNTIFS($C$8:$C$507,C198,$A$8:$A$507,"&lt;="&amp;A198,$AH$8:$AH$507,1))</x:f>
      </x:c>
      <x:c r="AG198" s="20" t="str">
        <x:f>IF(AH198&lt;&gt;1,"",SUMIFS($AC$8:$AC$507,$C$8:$C$507,"&lt;"&amp;C198,$AH$8:$AH$507,1)+SUMIFS($AC$8:$AC$507,$C$8:$C$507,C198,$A$8:$A$507,"&lt;="&amp;A198,$AH$8:$AH$507,1))</x:f>
      </x:c>
      <x:c r="AH198" s="22" t="str">
        <x:f>IF(A198="","",IF(AND(J198="Chiuso",AQ198="OK",ISNUMBER(AC198)),1,0))</x:f>
      </x:c>
      <x:c r="AI198" s="20" t="str">
        <x:f>IF(AH198&lt;&gt;1,"",MAX(0,_xlfn.MAXIFS($AG$8:$AG$507,$AF$8:$AF$507,"&lt;="&amp;AF198,$AH$8:$AH$507,1)))</x:f>
      </x:c>
      <x:c r="AJ198" s="20" t="str">
        <x:f>IF(AH198&lt;&gt;1,"",MAX(0,AI198-AG198))</x:f>
      </x:c>
      <x:c r="AK198" s="21" t="str">
        <x:f>IF(OR(AH198&lt;&gt;1,NOT(ISNUMBER('Impostazioni'!$B$6)),'Impostazioni'!$B$6+AI198&lt;=0),"",AJ198/('Impostazioni'!$B$6+AI198))</x:f>
      </x:c>
      <x:c r="AL198" s="22" t="str">
        <x:f>IF(AH198&lt;&gt;1,"",IF(AC198&gt;0,AF198-_xlfn.MAXIFS($AF$8:$AF$507,$AF$8:$AF$507,"&lt;="&amp;AF198,$AC$8:$AC$507,"&lt;=0",$AH$8:$AH$507,1),0))</x:f>
      </x:c>
      <x:c r="AM198" s="22" t="str">
        <x:f>IF(AH198&lt;&gt;1,"",IF(AC198&lt;0,AF198-_xlfn.MAXIFS($AF$8:$AF$507,$AF$8:$AF$507,"&lt;="&amp;AF198,$AC$8:$AC$507,"&gt;=0",$AH$8:$AH$507,1),0))</x:f>
      </x:c>
      <x:c r="AN198" s="20" t="str">
        <x:f>IF(OR(A198="",NOT(ISNUMBER(B198)),NOT(ISNUMBER('Impostazioni'!$B$6))),"",'Impostazioni'!$B$6+SUMIFS($AC$8:$AC$507,$C$8:$C$507,"&lt;"&amp;B198,$AH$8:$AH$507,1)+SUMIFS('Cassa'!$F$8:$F$307,'Cassa'!$A$8:$A$307,"&lt;="&amp;B198,'Cassa'!$G$8:$G$307,"OK"))</x:f>
      </x:c>
      <x:c r="AO198" s="21" t="str">
        <x:f>IF(AND(ISNUMBER(Z198),ISNUMBER(AN198),AN198&gt;0),Z198/AN198,"")</x:f>
      </x:c>
      <x:c r="AP198" s="18" t="str">
        <x:f>IF(NOT(ISNUMBER(AO198)),"",IF(AO198&gt;'Impostazioni'!$B$7,"Oltre soglia personale","Nella soglia personale"))</x:f>
      </x:c>
      <x:c r="AQ198" s="18" t="str">
        <x:f>IF(A198="",IF(COUNTA(B198:V198)=0,"","Inserisci ID"),IF(COUNTIFS($A$8:$A$507,A198)&lt;&gt;1,"ID duplicato",IF(OR(NOT(ISNUMBER(B198)),D198="",E198="",F198="",G198="",H198="",COUNTIFS('Impostazioni'!$J$6:$J$25,F198)&lt;&gt;1),"Completa dati / elenchi",IF(OR(AND(I198&lt;&gt;"Lordo manuale",I198&lt;&gt;"Netto manuale",I198&lt;&gt;"Esecuzioni"),AND(J198&lt;&gt;"Aperto",J198&lt;&gt;"Chiuso",J198&lt;&gt;"Annullato")),"Modalità / stato mancanti",IF(AND(J198&lt;&gt;"Aperto",OR(NOT(ISNUMBER(C198)),C198&lt;B198)),"Correggi data chiusura",IF(OR(AND(Q198&lt;&gt;"",OR(NOT(ISNUMBER(Q198)),Q198&lt;0)),AND(R198&lt;&gt;"",OR(NOT(ISNUMBER(R198)),R198&lt;0,R198&gt;1))),"Commissione non valida",IF(J198="Annullato","OK",IF(OR(NOT(ISNUMBER(Z198)),Z198&lt;0,AND(O198&lt;&gt;"",NOT(ISNUMBER(O198)))),"Inserisci rischio",IF(AND(I198="Esecuzioni",OR(W198=0,COUNTIFS('Esecuzioni'!$A$8:$A$1007,A198,'Esecuzioni'!$Q$8:$Q$1007,"&lt;&gt;OK")&gt;0)),"Correggi esecuzioni",IF(J198="Aperto","OK",IF(AND(I198="Esecuzioni",S198="Coperto",ABS(X198-Y198)&gt;'Impostazioni'!$B$11),"Copertura residua",IF(NOT(ISNUMBER(AC198)),"Completa risultato / esito",IF(AND(Z198=0,AC198&lt;&gt;0),"Rischio nullo con P/L","OK")))))))))))))</x:f>
      </x:c>
      <x:c r="AR198" s="20" t="str">
        <x:f>IF(OR(A198="",J198&lt;&gt;"Aperto",AQ198&lt;&gt;"OK"),"",IF(I198="Esecuzioni",SUMIFS('Esecuzioni'!$P$8:$P$1007,'Esecuzioni'!$A$8:$A$1007,A198,'Esecuzioni'!$B$8:$B$1007,_xlfn.MAXIFS('Esecuzioni'!$B$8:$B$1007,'Esecuzioni'!$A$8:$A$1007,A198)),IF(LEFT(U198,8)="FREEBET:",0,Z198)))</x:f>
      </x:c>
      <x:c r="AS198" s="48" t="str">
        <x:f>IF(OR(A198="",E198=""),"",IF(COUNTIFS($E$8:E198,E198)=1,COUNT($AS$7:AS197)+1,""))</x:f>
      </x:c>
    </x:row>
    <x:row r="199" ht="22" customHeight="1">
      <x:c r="A199" s="7"/>
      <x:c r="B199" s="19"/>
      <x:c r="C199" s="19"/>
      <x:c r="D199" s="7"/>
      <x:c r="E199" s="7"/>
      <x:c r="F199" s="7"/>
      <x:c r="G199" s="7"/>
      <x:c r="H199" s="7"/>
      <x:c r="I199" s="7"/>
      <x:c r="J199" s="7"/>
      <x:c r="K199" s="10"/>
      <x:c r="L199" s="7"/>
      <x:c r="M199" s="10"/>
      <x:c r="N199" s="7"/>
      <x:c r="O199" s="8"/>
      <x:c r="P199" s="8"/>
      <x:c r="Q199" s="8"/>
      <x:c r="R199" s="9"/>
      <x:c r="S199" s="7"/>
      <x:c r="T199" s="7"/>
      <x:c r="U199" s="7"/>
      <x:c r="V199" s="7"/>
      <x:c r="W199" s="22" t="str">
        <x:f>IF(A199="","",COUNTIFS('Esecuzioni'!$A$8:$A$1007,A199,'Esecuzioni'!$Q$8:$Q$1007,"OK"))</x:f>
      </x:c>
      <x:c r="X199" s="20" t="str">
        <x:f>IF(OR(A199="",I199&lt;&gt;"Esecuzioni",W199=0),"",SUMIFS('Esecuzioni'!$L$8:$L$1007,'Esecuzioni'!$A$8:$A$1007,A199))</x:f>
      </x:c>
      <x:c r="Y199" s="20" t="str">
        <x:f>IF(OR(A199="",I199&lt;&gt;"Esecuzioni",W199=0),"",SUMIFS('Esecuzioni'!$M$8:$M$1007,'Esecuzioni'!$A$8:$A$1007,A199))</x:f>
      </x:c>
      <x:c r="Z199" s="20" t="str">
        <x:f>IF(A199="","",IF(J199="Annullato",0,IF(ISNUMBER(O199),O199,IF(AND(I199="Esecuzioni",W199&gt;0),_xlfn.MAXIFS('Esecuzioni'!$P$8:$P$1007,'Esecuzioni'!$A$8:$A$1007,A199),""))))</x:f>
      </x:c>
      <x:c r="AA199" s="20" t="str">
        <x:f>IF(OR(A199="",J199="Aperto"),"",IF(J199="Annullato",0,IF(I199="Lordo manuale",IF(ISNUMBER(P199),P199,""),IF(I199="Netto manuale",IF(AND(ISNUMBER(P199),ISNUMBER(Q199)),P199+Q199,""),IF(OR(W199=0,COUNTIFS('Esecuzioni'!$A$8:$A$1007,A199,'Esecuzioni'!$Q$8:$Q$1007,"&lt;&gt;OK")&gt;0),"",IF(S199="Vince",X199,IF(S199="Perde",Y199,IF(AND(S199="Coperto",ABS(X199-Y199)&lt;='Impostazioni'!$B$11),ROUND((X199+Y199)/2,2),""))))))))</x:f>
      </x:c>
      <x:c r="AB199" s="20" t="str">
        <x:f>IF(NOT(ISNUMBER(AA199)),"",IF(J199="Annullato",0,IF(ISNUMBER(Q199),Q199,ROUND(MAX(0,AA199)*IF(ISNUMBER(R199),R199,'Impostazioni'!$B$8),2))))</x:f>
      </x:c>
      <x:c r="AC199" s="20" t="str">
        <x:f>IF(AND(ISNUMBER(AA199),ISNUMBER(AB199)),ROUND(AA199-AB199,2),"")</x:f>
      </x:c>
      <x:c r="AD199" s="18" t="str">
        <x:f>IF(A199="","",IF(AQ199&lt;&gt;"OK","Incompleto",IF(J199="Aperto","Aperto",IF(J199="Annullato","Annullato",IF(AC199&gt;0,"Green",IF(AC199&lt;0,"Red","Flat"))))))</x:f>
      </x:c>
      <x:c r="AE199" s="21" t="str">
        <x:f>IF(AND(AH199=1,Z199&gt;0),AC199/Z199,"")</x:f>
      </x:c>
      <x:c r="AF199" s="22" t="str">
        <x:f>IF(AH199&lt;&gt;1,"",COUNTIFS($C$8:$C$507,"&lt;"&amp;C199,$AH$8:$AH$507,1)+COUNTIFS($C$8:$C$507,C199,$A$8:$A$507,"&lt;="&amp;A199,$AH$8:$AH$507,1))</x:f>
      </x:c>
      <x:c r="AG199" s="20" t="str">
        <x:f>IF(AH199&lt;&gt;1,"",SUMIFS($AC$8:$AC$507,$C$8:$C$507,"&lt;"&amp;C199,$AH$8:$AH$507,1)+SUMIFS($AC$8:$AC$507,$C$8:$C$507,C199,$A$8:$A$507,"&lt;="&amp;A199,$AH$8:$AH$507,1))</x:f>
      </x:c>
      <x:c r="AH199" s="22" t="str">
        <x:f>IF(A199="","",IF(AND(J199="Chiuso",AQ199="OK",ISNUMBER(AC199)),1,0))</x:f>
      </x:c>
      <x:c r="AI199" s="20" t="str">
        <x:f>IF(AH199&lt;&gt;1,"",MAX(0,_xlfn.MAXIFS($AG$8:$AG$507,$AF$8:$AF$507,"&lt;="&amp;AF199,$AH$8:$AH$507,1)))</x:f>
      </x:c>
      <x:c r="AJ199" s="20" t="str">
        <x:f>IF(AH199&lt;&gt;1,"",MAX(0,AI199-AG199))</x:f>
      </x:c>
      <x:c r="AK199" s="21" t="str">
        <x:f>IF(OR(AH199&lt;&gt;1,NOT(ISNUMBER('Impostazioni'!$B$6)),'Impostazioni'!$B$6+AI199&lt;=0),"",AJ199/('Impostazioni'!$B$6+AI199))</x:f>
      </x:c>
      <x:c r="AL199" s="22" t="str">
        <x:f>IF(AH199&lt;&gt;1,"",IF(AC199&gt;0,AF199-_xlfn.MAXIFS($AF$8:$AF$507,$AF$8:$AF$507,"&lt;="&amp;AF199,$AC$8:$AC$507,"&lt;=0",$AH$8:$AH$507,1),0))</x:f>
      </x:c>
      <x:c r="AM199" s="22" t="str">
        <x:f>IF(AH199&lt;&gt;1,"",IF(AC199&lt;0,AF199-_xlfn.MAXIFS($AF$8:$AF$507,$AF$8:$AF$507,"&lt;="&amp;AF199,$AC$8:$AC$507,"&gt;=0",$AH$8:$AH$507,1),0))</x:f>
      </x:c>
      <x:c r="AN199" s="20" t="str">
        <x:f>IF(OR(A199="",NOT(ISNUMBER(B199)),NOT(ISNUMBER('Impostazioni'!$B$6))),"",'Impostazioni'!$B$6+SUMIFS($AC$8:$AC$507,$C$8:$C$507,"&lt;"&amp;B199,$AH$8:$AH$507,1)+SUMIFS('Cassa'!$F$8:$F$307,'Cassa'!$A$8:$A$307,"&lt;="&amp;B199,'Cassa'!$G$8:$G$307,"OK"))</x:f>
      </x:c>
      <x:c r="AO199" s="21" t="str">
        <x:f>IF(AND(ISNUMBER(Z199),ISNUMBER(AN199),AN199&gt;0),Z199/AN199,"")</x:f>
      </x:c>
      <x:c r="AP199" s="18" t="str">
        <x:f>IF(NOT(ISNUMBER(AO199)),"",IF(AO199&gt;'Impostazioni'!$B$7,"Oltre soglia personale","Nella soglia personale"))</x:f>
      </x:c>
      <x:c r="AQ199" s="18" t="str">
        <x:f>IF(A199="",IF(COUNTA(B199:V199)=0,"","Inserisci ID"),IF(COUNTIFS($A$8:$A$507,A199)&lt;&gt;1,"ID duplicato",IF(OR(NOT(ISNUMBER(B199)),D199="",E199="",F199="",G199="",H199="",COUNTIFS('Impostazioni'!$J$6:$J$25,F199)&lt;&gt;1),"Completa dati / elenchi",IF(OR(AND(I199&lt;&gt;"Lordo manuale",I199&lt;&gt;"Netto manuale",I199&lt;&gt;"Esecuzioni"),AND(J199&lt;&gt;"Aperto",J199&lt;&gt;"Chiuso",J199&lt;&gt;"Annullato")),"Modalità / stato mancanti",IF(AND(J199&lt;&gt;"Aperto",OR(NOT(ISNUMBER(C199)),C199&lt;B199)),"Correggi data chiusura",IF(OR(AND(Q199&lt;&gt;"",OR(NOT(ISNUMBER(Q199)),Q199&lt;0)),AND(R199&lt;&gt;"",OR(NOT(ISNUMBER(R199)),R199&lt;0,R199&gt;1))),"Commissione non valida",IF(J199="Annullato","OK",IF(OR(NOT(ISNUMBER(Z199)),Z199&lt;0,AND(O199&lt;&gt;"",NOT(ISNUMBER(O199)))),"Inserisci rischio",IF(AND(I199="Esecuzioni",OR(W199=0,COUNTIFS('Esecuzioni'!$A$8:$A$1007,A199,'Esecuzioni'!$Q$8:$Q$1007,"&lt;&gt;OK")&gt;0)),"Correggi esecuzioni",IF(J199="Aperto","OK",IF(AND(I199="Esecuzioni",S199="Coperto",ABS(X199-Y199)&gt;'Impostazioni'!$B$11),"Copertura residua",IF(NOT(ISNUMBER(AC199)),"Completa risultato / esito",IF(AND(Z199=0,AC199&lt;&gt;0),"Rischio nullo con P/L","OK")))))))))))))</x:f>
      </x:c>
      <x:c r="AR199" s="20" t="str">
        <x:f>IF(OR(A199="",J199&lt;&gt;"Aperto",AQ199&lt;&gt;"OK"),"",IF(I199="Esecuzioni",SUMIFS('Esecuzioni'!$P$8:$P$1007,'Esecuzioni'!$A$8:$A$1007,A199,'Esecuzioni'!$B$8:$B$1007,_xlfn.MAXIFS('Esecuzioni'!$B$8:$B$1007,'Esecuzioni'!$A$8:$A$1007,A199)),IF(LEFT(U199,8)="FREEBET:",0,Z199)))</x:f>
      </x:c>
      <x:c r="AS199" s="48" t="str">
        <x:f>IF(OR(A199="",E199=""),"",IF(COUNTIFS($E$8:E199,E199)=1,COUNT($AS$7:AS198)+1,""))</x:f>
      </x:c>
    </x:row>
    <x:row r="200" ht="22" customHeight="1">
      <x:c r="A200" s="7"/>
      <x:c r="B200" s="19"/>
      <x:c r="C200" s="19"/>
      <x:c r="D200" s="7"/>
      <x:c r="E200" s="7"/>
      <x:c r="F200" s="7"/>
      <x:c r="G200" s="7"/>
      <x:c r="H200" s="7"/>
      <x:c r="I200" s="7"/>
      <x:c r="J200" s="7"/>
      <x:c r="K200" s="10"/>
      <x:c r="L200" s="7"/>
      <x:c r="M200" s="10"/>
      <x:c r="N200" s="7"/>
      <x:c r="O200" s="8"/>
      <x:c r="P200" s="8"/>
      <x:c r="Q200" s="8"/>
      <x:c r="R200" s="9"/>
      <x:c r="S200" s="7"/>
      <x:c r="T200" s="7"/>
      <x:c r="U200" s="7"/>
      <x:c r="V200" s="7"/>
      <x:c r="W200" s="22" t="str">
        <x:f>IF(A200="","",COUNTIFS('Esecuzioni'!$A$8:$A$1007,A200,'Esecuzioni'!$Q$8:$Q$1007,"OK"))</x:f>
      </x:c>
      <x:c r="X200" s="20" t="str">
        <x:f>IF(OR(A200="",I200&lt;&gt;"Esecuzioni",W200=0),"",SUMIFS('Esecuzioni'!$L$8:$L$1007,'Esecuzioni'!$A$8:$A$1007,A200))</x:f>
      </x:c>
      <x:c r="Y200" s="20" t="str">
        <x:f>IF(OR(A200="",I200&lt;&gt;"Esecuzioni",W200=0),"",SUMIFS('Esecuzioni'!$M$8:$M$1007,'Esecuzioni'!$A$8:$A$1007,A200))</x:f>
      </x:c>
      <x:c r="Z200" s="20" t="str">
        <x:f>IF(A200="","",IF(J200="Annullato",0,IF(ISNUMBER(O200),O200,IF(AND(I200="Esecuzioni",W200&gt;0),_xlfn.MAXIFS('Esecuzioni'!$P$8:$P$1007,'Esecuzioni'!$A$8:$A$1007,A200),""))))</x:f>
      </x:c>
      <x:c r="AA200" s="20" t="str">
        <x:f>IF(OR(A200="",J200="Aperto"),"",IF(J200="Annullato",0,IF(I200="Lordo manuale",IF(ISNUMBER(P200),P200,""),IF(I200="Netto manuale",IF(AND(ISNUMBER(P200),ISNUMBER(Q200)),P200+Q200,""),IF(OR(W200=0,COUNTIFS('Esecuzioni'!$A$8:$A$1007,A200,'Esecuzioni'!$Q$8:$Q$1007,"&lt;&gt;OK")&gt;0),"",IF(S200="Vince",X200,IF(S200="Perde",Y200,IF(AND(S200="Coperto",ABS(X200-Y200)&lt;='Impostazioni'!$B$11),ROUND((X200+Y200)/2,2),""))))))))</x:f>
      </x:c>
      <x:c r="AB200" s="20" t="str">
        <x:f>IF(NOT(ISNUMBER(AA200)),"",IF(J200="Annullato",0,IF(ISNUMBER(Q200),Q200,ROUND(MAX(0,AA200)*IF(ISNUMBER(R200),R200,'Impostazioni'!$B$8),2))))</x:f>
      </x:c>
      <x:c r="AC200" s="20" t="str">
        <x:f>IF(AND(ISNUMBER(AA200),ISNUMBER(AB200)),ROUND(AA200-AB200,2),"")</x:f>
      </x:c>
      <x:c r="AD200" s="18" t="str">
        <x:f>IF(A200="","",IF(AQ200&lt;&gt;"OK","Incompleto",IF(J200="Aperto","Aperto",IF(J200="Annullato","Annullato",IF(AC200&gt;0,"Green",IF(AC200&lt;0,"Red","Flat"))))))</x:f>
      </x:c>
      <x:c r="AE200" s="21" t="str">
        <x:f>IF(AND(AH200=1,Z200&gt;0),AC200/Z200,"")</x:f>
      </x:c>
      <x:c r="AF200" s="22" t="str">
        <x:f>IF(AH200&lt;&gt;1,"",COUNTIFS($C$8:$C$507,"&lt;"&amp;C200,$AH$8:$AH$507,1)+COUNTIFS($C$8:$C$507,C200,$A$8:$A$507,"&lt;="&amp;A200,$AH$8:$AH$507,1))</x:f>
      </x:c>
      <x:c r="AG200" s="20" t="str">
        <x:f>IF(AH200&lt;&gt;1,"",SUMIFS($AC$8:$AC$507,$C$8:$C$507,"&lt;"&amp;C200,$AH$8:$AH$507,1)+SUMIFS($AC$8:$AC$507,$C$8:$C$507,C200,$A$8:$A$507,"&lt;="&amp;A200,$AH$8:$AH$507,1))</x:f>
      </x:c>
      <x:c r="AH200" s="22" t="str">
        <x:f>IF(A200="","",IF(AND(J200="Chiuso",AQ200="OK",ISNUMBER(AC200)),1,0))</x:f>
      </x:c>
      <x:c r="AI200" s="20" t="str">
        <x:f>IF(AH200&lt;&gt;1,"",MAX(0,_xlfn.MAXIFS($AG$8:$AG$507,$AF$8:$AF$507,"&lt;="&amp;AF200,$AH$8:$AH$507,1)))</x:f>
      </x:c>
      <x:c r="AJ200" s="20" t="str">
        <x:f>IF(AH200&lt;&gt;1,"",MAX(0,AI200-AG200))</x:f>
      </x:c>
      <x:c r="AK200" s="21" t="str">
        <x:f>IF(OR(AH200&lt;&gt;1,NOT(ISNUMBER('Impostazioni'!$B$6)),'Impostazioni'!$B$6+AI200&lt;=0),"",AJ200/('Impostazioni'!$B$6+AI200))</x:f>
      </x:c>
      <x:c r="AL200" s="22" t="str">
        <x:f>IF(AH200&lt;&gt;1,"",IF(AC200&gt;0,AF200-_xlfn.MAXIFS($AF$8:$AF$507,$AF$8:$AF$507,"&lt;="&amp;AF200,$AC$8:$AC$507,"&lt;=0",$AH$8:$AH$507,1),0))</x:f>
      </x:c>
      <x:c r="AM200" s="22" t="str">
        <x:f>IF(AH200&lt;&gt;1,"",IF(AC200&lt;0,AF200-_xlfn.MAXIFS($AF$8:$AF$507,$AF$8:$AF$507,"&lt;="&amp;AF200,$AC$8:$AC$507,"&gt;=0",$AH$8:$AH$507,1),0))</x:f>
      </x:c>
      <x:c r="AN200" s="20" t="str">
        <x:f>IF(OR(A200="",NOT(ISNUMBER(B200)),NOT(ISNUMBER('Impostazioni'!$B$6))),"",'Impostazioni'!$B$6+SUMIFS($AC$8:$AC$507,$C$8:$C$507,"&lt;"&amp;B200,$AH$8:$AH$507,1)+SUMIFS('Cassa'!$F$8:$F$307,'Cassa'!$A$8:$A$307,"&lt;="&amp;B200,'Cassa'!$G$8:$G$307,"OK"))</x:f>
      </x:c>
      <x:c r="AO200" s="21" t="str">
        <x:f>IF(AND(ISNUMBER(Z200),ISNUMBER(AN200),AN200&gt;0),Z200/AN200,"")</x:f>
      </x:c>
      <x:c r="AP200" s="18" t="str">
        <x:f>IF(NOT(ISNUMBER(AO200)),"",IF(AO200&gt;'Impostazioni'!$B$7,"Oltre soglia personale","Nella soglia personale"))</x:f>
      </x:c>
      <x:c r="AQ200" s="18" t="str">
        <x:f>IF(A200="",IF(COUNTA(B200:V200)=0,"","Inserisci ID"),IF(COUNTIFS($A$8:$A$507,A200)&lt;&gt;1,"ID duplicato",IF(OR(NOT(ISNUMBER(B200)),D200="",E200="",F200="",G200="",H200="",COUNTIFS('Impostazioni'!$J$6:$J$25,F200)&lt;&gt;1),"Completa dati / elenchi",IF(OR(AND(I200&lt;&gt;"Lordo manuale",I200&lt;&gt;"Netto manuale",I200&lt;&gt;"Esecuzioni"),AND(J200&lt;&gt;"Aperto",J200&lt;&gt;"Chiuso",J200&lt;&gt;"Annullato")),"Modalità / stato mancanti",IF(AND(J200&lt;&gt;"Aperto",OR(NOT(ISNUMBER(C200)),C200&lt;B200)),"Correggi data chiusura",IF(OR(AND(Q200&lt;&gt;"",OR(NOT(ISNUMBER(Q200)),Q200&lt;0)),AND(R200&lt;&gt;"",OR(NOT(ISNUMBER(R200)),R200&lt;0,R200&gt;1))),"Commissione non valida",IF(J200="Annullato","OK",IF(OR(NOT(ISNUMBER(Z200)),Z200&lt;0,AND(O200&lt;&gt;"",NOT(ISNUMBER(O200)))),"Inserisci rischio",IF(AND(I200="Esecuzioni",OR(W200=0,COUNTIFS('Esecuzioni'!$A$8:$A$1007,A200,'Esecuzioni'!$Q$8:$Q$1007,"&lt;&gt;OK")&gt;0)),"Correggi esecuzioni",IF(J200="Aperto","OK",IF(AND(I200="Esecuzioni",S200="Coperto",ABS(X200-Y200)&gt;'Impostazioni'!$B$11),"Copertura residua",IF(NOT(ISNUMBER(AC200)),"Completa risultato / esito",IF(AND(Z200=0,AC200&lt;&gt;0),"Rischio nullo con P/L","OK")))))))))))))</x:f>
      </x:c>
      <x:c r="AR200" s="20" t="str">
        <x:f>IF(OR(A200="",J200&lt;&gt;"Aperto",AQ200&lt;&gt;"OK"),"",IF(I200="Esecuzioni",SUMIFS('Esecuzioni'!$P$8:$P$1007,'Esecuzioni'!$A$8:$A$1007,A200,'Esecuzioni'!$B$8:$B$1007,_xlfn.MAXIFS('Esecuzioni'!$B$8:$B$1007,'Esecuzioni'!$A$8:$A$1007,A200)),IF(LEFT(U200,8)="FREEBET:",0,Z200)))</x:f>
      </x:c>
      <x:c r="AS200" s="48" t="str">
        <x:f>IF(OR(A200="",E200=""),"",IF(COUNTIFS($E$8:E200,E200)=1,COUNT($AS$7:AS199)+1,""))</x:f>
      </x:c>
    </x:row>
    <x:row r="201" ht="22" customHeight="1">
      <x:c r="A201" s="7"/>
      <x:c r="B201" s="19"/>
      <x:c r="C201" s="19"/>
      <x:c r="D201" s="7"/>
      <x:c r="E201" s="7"/>
      <x:c r="F201" s="7"/>
      <x:c r="G201" s="7"/>
      <x:c r="H201" s="7"/>
      <x:c r="I201" s="7"/>
      <x:c r="J201" s="7"/>
      <x:c r="K201" s="10"/>
      <x:c r="L201" s="7"/>
      <x:c r="M201" s="10"/>
      <x:c r="N201" s="7"/>
      <x:c r="O201" s="8"/>
      <x:c r="P201" s="8"/>
      <x:c r="Q201" s="8"/>
      <x:c r="R201" s="9"/>
      <x:c r="S201" s="7"/>
      <x:c r="T201" s="7"/>
      <x:c r="U201" s="7"/>
      <x:c r="V201" s="7"/>
      <x:c r="W201" s="22" t="str">
        <x:f>IF(A201="","",COUNTIFS('Esecuzioni'!$A$8:$A$1007,A201,'Esecuzioni'!$Q$8:$Q$1007,"OK"))</x:f>
      </x:c>
      <x:c r="X201" s="20" t="str">
        <x:f>IF(OR(A201="",I201&lt;&gt;"Esecuzioni",W201=0),"",SUMIFS('Esecuzioni'!$L$8:$L$1007,'Esecuzioni'!$A$8:$A$1007,A201))</x:f>
      </x:c>
      <x:c r="Y201" s="20" t="str">
        <x:f>IF(OR(A201="",I201&lt;&gt;"Esecuzioni",W201=0),"",SUMIFS('Esecuzioni'!$M$8:$M$1007,'Esecuzioni'!$A$8:$A$1007,A201))</x:f>
      </x:c>
      <x:c r="Z201" s="20" t="str">
        <x:f>IF(A201="","",IF(J201="Annullato",0,IF(ISNUMBER(O201),O201,IF(AND(I201="Esecuzioni",W201&gt;0),_xlfn.MAXIFS('Esecuzioni'!$P$8:$P$1007,'Esecuzioni'!$A$8:$A$1007,A201),""))))</x:f>
      </x:c>
      <x:c r="AA201" s="20" t="str">
        <x:f>IF(OR(A201="",J201="Aperto"),"",IF(J201="Annullato",0,IF(I201="Lordo manuale",IF(ISNUMBER(P201),P201,""),IF(I201="Netto manuale",IF(AND(ISNUMBER(P201),ISNUMBER(Q201)),P201+Q201,""),IF(OR(W201=0,COUNTIFS('Esecuzioni'!$A$8:$A$1007,A201,'Esecuzioni'!$Q$8:$Q$1007,"&lt;&gt;OK")&gt;0),"",IF(S201="Vince",X201,IF(S201="Perde",Y201,IF(AND(S201="Coperto",ABS(X201-Y201)&lt;='Impostazioni'!$B$11),ROUND((X201+Y201)/2,2),""))))))))</x:f>
      </x:c>
      <x:c r="AB201" s="20" t="str">
        <x:f>IF(NOT(ISNUMBER(AA201)),"",IF(J201="Annullato",0,IF(ISNUMBER(Q201),Q201,ROUND(MAX(0,AA201)*IF(ISNUMBER(R201),R201,'Impostazioni'!$B$8),2))))</x:f>
      </x:c>
      <x:c r="AC201" s="20" t="str">
        <x:f>IF(AND(ISNUMBER(AA201),ISNUMBER(AB201)),ROUND(AA201-AB201,2),"")</x:f>
      </x:c>
      <x:c r="AD201" s="18" t="str">
        <x:f>IF(A201="","",IF(AQ201&lt;&gt;"OK","Incompleto",IF(J201="Aperto","Aperto",IF(J201="Annullato","Annullato",IF(AC201&gt;0,"Green",IF(AC201&lt;0,"Red","Flat"))))))</x:f>
      </x:c>
      <x:c r="AE201" s="21" t="str">
        <x:f>IF(AND(AH201=1,Z201&gt;0),AC201/Z201,"")</x:f>
      </x:c>
      <x:c r="AF201" s="22" t="str">
        <x:f>IF(AH201&lt;&gt;1,"",COUNTIFS($C$8:$C$507,"&lt;"&amp;C201,$AH$8:$AH$507,1)+COUNTIFS($C$8:$C$507,C201,$A$8:$A$507,"&lt;="&amp;A201,$AH$8:$AH$507,1))</x:f>
      </x:c>
      <x:c r="AG201" s="20" t="str">
        <x:f>IF(AH201&lt;&gt;1,"",SUMIFS($AC$8:$AC$507,$C$8:$C$507,"&lt;"&amp;C201,$AH$8:$AH$507,1)+SUMIFS($AC$8:$AC$507,$C$8:$C$507,C201,$A$8:$A$507,"&lt;="&amp;A201,$AH$8:$AH$507,1))</x:f>
      </x:c>
      <x:c r="AH201" s="22" t="str">
        <x:f>IF(A201="","",IF(AND(J201="Chiuso",AQ201="OK",ISNUMBER(AC201)),1,0))</x:f>
      </x:c>
      <x:c r="AI201" s="20" t="str">
        <x:f>IF(AH201&lt;&gt;1,"",MAX(0,_xlfn.MAXIFS($AG$8:$AG$507,$AF$8:$AF$507,"&lt;="&amp;AF201,$AH$8:$AH$507,1)))</x:f>
      </x:c>
      <x:c r="AJ201" s="20" t="str">
        <x:f>IF(AH201&lt;&gt;1,"",MAX(0,AI201-AG201))</x:f>
      </x:c>
      <x:c r="AK201" s="21" t="str">
        <x:f>IF(OR(AH201&lt;&gt;1,NOT(ISNUMBER('Impostazioni'!$B$6)),'Impostazioni'!$B$6+AI201&lt;=0),"",AJ201/('Impostazioni'!$B$6+AI201))</x:f>
      </x:c>
      <x:c r="AL201" s="22" t="str">
        <x:f>IF(AH201&lt;&gt;1,"",IF(AC201&gt;0,AF201-_xlfn.MAXIFS($AF$8:$AF$507,$AF$8:$AF$507,"&lt;="&amp;AF201,$AC$8:$AC$507,"&lt;=0",$AH$8:$AH$507,1),0))</x:f>
      </x:c>
      <x:c r="AM201" s="22" t="str">
        <x:f>IF(AH201&lt;&gt;1,"",IF(AC201&lt;0,AF201-_xlfn.MAXIFS($AF$8:$AF$507,$AF$8:$AF$507,"&lt;="&amp;AF201,$AC$8:$AC$507,"&gt;=0",$AH$8:$AH$507,1),0))</x:f>
      </x:c>
      <x:c r="AN201" s="20" t="str">
        <x:f>IF(OR(A201="",NOT(ISNUMBER(B201)),NOT(ISNUMBER('Impostazioni'!$B$6))),"",'Impostazioni'!$B$6+SUMIFS($AC$8:$AC$507,$C$8:$C$507,"&lt;"&amp;B201,$AH$8:$AH$507,1)+SUMIFS('Cassa'!$F$8:$F$307,'Cassa'!$A$8:$A$307,"&lt;="&amp;B201,'Cassa'!$G$8:$G$307,"OK"))</x:f>
      </x:c>
      <x:c r="AO201" s="21" t="str">
        <x:f>IF(AND(ISNUMBER(Z201),ISNUMBER(AN201),AN201&gt;0),Z201/AN201,"")</x:f>
      </x:c>
      <x:c r="AP201" s="18" t="str">
        <x:f>IF(NOT(ISNUMBER(AO201)),"",IF(AO201&gt;'Impostazioni'!$B$7,"Oltre soglia personale","Nella soglia personale"))</x:f>
      </x:c>
      <x:c r="AQ201" s="18" t="str">
        <x:f>IF(A201="",IF(COUNTA(B201:V201)=0,"","Inserisci ID"),IF(COUNTIFS($A$8:$A$507,A201)&lt;&gt;1,"ID duplicato",IF(OR(NOT(ISNUMBER(B201)),D201="",E201="",F201="",G201="",H201="",COUNTIFS('Impostazioni'!$J$6:$J$25,F201)&lt;&gt;1),"Completa dati / elenchi",IF(OR(AND(I201&lt;&gt;"Lordo manuale",I201&lt;&gt;"Netto manuale",I201&lt;&gt;"Esecuzioni"),AND(J201&lt;&gt;"Aperto",J201&lt;&gt;"Chiuso",J201&lt;&gt;"Annullato")),"Modalità / stato mancanti",IF(AND(J201&lt;&gt;"Aperto",OR(NOT(ISNUMBER(C201)),C201&lt;B201)),"Correggi data chiusura",IF(OR(AND(Q201&lt;&gt;"",OR(NOT(ISNUMBER(Q201)),Q201&lt;0)),AND(R201&lt;&gt;"",OR(NOT(ISNUMBER(R201)),R201&lt;0,R201&gt;1))),"Commissione non valida",IF(J201="Annullato","OK",IF(OR(NOT(ISNUMBER(Z201)),Z201&lt;0,AND(O201&lt;&gt;"",NOT(ISNUMBER(O201)))),"Inserisci rischio",IF(AND(I201="Esecuzioni",OR(W201=0,COUNTIFS('Esecuzioni'!$A$8:$A$1007,A201,'Esecuzioni'!$Q$8:$Q$1007,"&lt;&gt;OK")&gt;0)),"Correggi esecuzioni",IF(J201="Aperto","OK",IF(AND(I201="Esecuzioni",S201="Coperto",ABS(X201-Y201)&gt;'Impostazioni'!$B$11),"Copertura residua",IF(NOT(ISNUMBER(AC201)),"Completa risultato / esito",IF(AND(Z201=0,AC201&lt;&gt;0),"Rischio nullo con P/L","OK")))))))))))))</x:f>
      </x:c>
      <x:c r="AR201" s="20" t="str">
        <x:f>IF(OR(A201="",J201&lt;&gt;"Aperto",AQ201&lt;&gt;"OK"),"",IF(I201="Esecuzioni",SUMIFS('Esecuzioni'!$P$8:$P$1007,'Esecuzioni'!$A$8:$A$1007,A201,'Esecuzioni'!$B$8:$B$1007,_xlfn.MAXIFS('Esecuzioni'!$B$8:$B$1007,'Esecuzioni'!$A$8:$A$1007,A201)),IF(LEFT(U201,8)="FREEBET:",0,Z201)))</x:f>
      </x:c>
      <x:c r="AS201" s="48" t="str">
        <x:f>IF(OR(A201="",E201=""),"",IF(COUNTIFS($E$8:E201,E201)=1,COUNT($AS$7:AS200)+1,""))</x:f>
      </x:c>
    </x:row>
    <x:row r="202" ht="22" customHeight="1">
      <x:c r="A202" s="7"/>
      <x:c r="B202" s="19"/>
      <x:c r="C202" s="19"/>
      <x:c r="D202" s="7"/>
      <x:c r="E202" s="7"/>
      <x:c r="F202" s="7"/>
      <x:c r="G202" s="7"/>
      <x:c r="H202" s="7"/>
      <x:c r="I202" s="7"/>
      <x:c r="J202" s="7"/>
      <x:c r="K202" s="10"/>
      <x:c r="L202" s="7"/>
      <x:c r="M202" s="10"/>
      <x:c r="N202" s="7"/>
      <x:c r="O202" s="8"/>
      <x:c r="P202" s="8"/>
      <x:c r="Q202" s="8"/>
      <x:c r="R202" s="9"/>
      <x:c r="S202" s="7"/>
      <x:c r="T202" s="7"/>
      <x:c r="U202" s="7"/>
      <x:c r="V202" s="7"/>
      <x:c r="W202" s="22" t="str">
        <x:f>IF(A202="","",COUNTIFS('Esecuzioni'!$A$8:$A$1007,A202,'Esecuzioni'!$Q$8:$Q$1007,"OK"))</x:f>
      </x:c>
      <x:c r="X202" s="20" t="str">
        <x:f>IF(OR(A202="",I202&lt;&gt;"Esecuzioni",W202=0),"",SUMIFS('Esecuzioni'!$L$8:$L$1007,'Esecuzioni'!$A$8:$A$1007,A202))</x:f>
      </x:c>
      <x:c r="Y202" s="20" t="str">
        <x:f>IF(OR(A202="",I202&lt;&gt;"Esecuzioni",W202=0),"",SUMIFS('Esecuzioni'!$M$8:$M$1007,'Esecuzioni'!$A$8:$A$1007,A202))</x:f>
      </x:c>
      <x:c r="Z202" s="20" t="str">
        <x:f>IF(A202="","",IF(J202="Annullato",0,IF(ISNUMBER(O202),O202,IF(AND(I202="Esecuzioni",W202&gt;0),_xlfn.MAXIFS('Esecuzioni'!$P$8:$P$1007,'Esecuzioni'!$A$8:$A$1007,A202),""))))</x:f>
      </x:c>
      <x:c r="AA202" s="20" t="str">
        <x:f>IF(OR(A202="",J202="Aperto"),"",IF(J202="Annullato",0,IF(I202="Lordo manuale",IF(ISNUMBER(P202),P202,""),IF(I202="Netto manuale",IF(AND(ISNUMBER(P202),ISNUMBER(Q202)),P202+Q202,""),IF(OR(W202=0,COUNTIFS('Esecuzioni'!$A$8:$A$1007,A202,'Esecuzioni'!$Q$8:$Q$1007,"&lt;&gt;OK")&gt;0),"",IF(S202="Vince",X202,IF(S202="Perde",Y202,IF(AND(S202="Coperto",ABS(X202-Y202)&lt;='Impostazioni'!$B$11),ROUND((X202+Y202)/2,2),""))))))))</x:f>
      </x:c>
      <x:c r="AB202" s="20" t="str">
        <x:f>IF(NOT(ISNUMBER(AA202)),"",IF(J202="Annullato",0,IF(ISNUMBER(Q202),Q202,ROUND(MAX(0,AA202)*IF(ISNUMBER(R202),R202,'Impostazioni'!$B$8),2))))</x:f>
      </x:c>
      <x:c r="AC202" s="20" t="str">
        <x:f>IF(AND(ISNUMBER(AA202),ISNUMBER(AB202)),ROUND(AA202-AB202,2),"")</x:f>
      </x:c>
      <x:c r="AD202" s="18" t="str">
        <x:f>IF(A202="","",IF(AQ202&lt;&gt;"OK","Incompleto",IF(J202="Aperto","Aperto",IF(J202="Annullato","Annullato",IF(AC202&gt;0,"Green",IF(AC202&lt;0,"Red","Flat"))))))</x:f>
      </x:c>
      <x:c r="AE202" s="21" t="str">
        <x:f>IF(AND(AH202=1,Z202&gt;0),AC202/Z202,"")</x:f>
      </x:c>
      <x:c r="AF202" s="22" t="str">
        <x:f>IF(AH202&lt;&gt;1,"",COUNTIFS($C$8:$C$507,"&lt;"&amp;C202,$AH$8:$AH$507,1)+COUNTIFS($C$8:$C$507,C202,$A$8:$A$507,"&lt;="&amp;A202,$AH$8:$AH$507,1))</x:f>
      </x:c>
      <x:c r="AG202" s="20" t="str">
        <x:f>IF(AH202&lt;&gt;1,"",SUMIFS($AC$8:$AC$507,$C$8:$C$507,"&lt;"&amp;C202,$AH$8:$AH$507,1)+SUMIFS($AC$8:$AC$507,$C$8:$C$507,C202,$A$8:$A$507,"&lt;="&amp;A202,$AH$8:$AH$507,1))</x:f>
      </x:c>
      <x:c r="AH202" s="22" t="str">
        <x:f>IF(A202="","",IF(AND(J202="Chiuso",AQ202="OK",ISNUMBER(AC202)),1,0))</x:f>
      </x:c>
      <x:c r="AI202" s="20" t="str">
        <x:f>IF(AH202&lt;&gt;1,"",MAX(0,_xlfn.MAXIFS($AG$8:$AG$507,$AF$8:$AF$507,"&lt;="&amp;AF202,$AH$8:$AH$507,1)))</x:f>
      </x:c>
      <x:c r="AJ202" s="20" t="str">
        <x:f>IF(AH202&lt;&gt;1,"",MAX(0,AI202-AG202))</x:f>
      </x:c>
      <x:c r="AK202" s="21" t="str">
        <x:f>IF(OR(AH202&lt;&gt;1,NOT(ISNUMBER('Impostazioni'!$B$6)),'Impostazioni'!$B$6+AI202&lt;=0),"",AJ202/('Impostazioni'!$B$6+AI202))</x:f>
      </x:c>
      <x:c r="AL202" s="22" t="str">
        <x:f>IF(AH202&lt;&gt;1,"",IF(AC202&gt;0,AF202-_xlfn.MAXIFS($AF$8:$AF$507,$AF$8:$AF$507,"&lt;="&amp;AF202,$AC$8:$AC$507,"&lt;=0",$AH$8:$AH$507,1),0))</x:f>
      </x:c>
      <x:c r="AM202" s="22" t="str">
        <x:f>IF(AH202&lt;&gt;1,"",IF(AC202&lt;0,AF202-_xlfn.MAXIFS($AF$8:$AF$507,$AF$8:$AF$507,"&lt;="&amp;AF202,$AC$8:$AC$507,"&gt;=0",$AH$8:$AH$507,1),0))</x:f>
      </x:c>
      <x:c r="AN202" s="20" t="str">
        <x:f>IF(OR(A202="",NOT(ISNUMBER(B202)),NOT(ISNUMBER('Impostazioni'!$B$6))),"",'Impostazioni'!$B$6+SUMIFS($AC$8:$AC$507,$C$8:$C$507,"&lt;"&amp;B202,$AH$8:$AH$507,1)+SUMIFS('Cassa'!$F$8:$F$307,'Cassa'!$A$8:$A$307,"&lt;="&amp;B202,'Cassa'!$G$8:$G$307,"OK"))</x:f>
      </x:c>
      <x:c r="AO202" s="21" t="str">
        <x:f>IF(AND(ISNUMBER(Z202),ISNUMBER(AN202),AN202&gt;0),Z202/AN202,"")</x:f>
      </x:c>
      <x:c r="AP202" s="18" t="str">
        <x:f>IF(NOT(ISNUMBER(AO202)),"",IF(AO202&gt;'Impostazioni'!$B$7,"Oltre soglia personale","Nella soglia personale"))</x:f>
      </x:c>
      <x:c r="AQ202" s="18" t="str">
        <x:f>IF(A202="",IF(COUNTA(B202:V202)=0,"","Inserisci ID"),IF(COUNTIFS($A$8:$A$507,A202)&lt;&gt;1,"ID duplicato",IF(OR(NOT(ISNUMBER(B202)),D202="",E202="",F202="",G202="",H202="",COUNTIFS('Impostazioni'!$J$6:$J$25,F202)&lt;&gt;1),"Completa dati / elenchi",IF(OR(AND(I202&lt;&gt;"Lordo manuale",I202&lt;&gt;"Netto manuale",I202&lt;&gt;"Esecuzioni"),AND(J202&lt;&gt;"Aperto",J202&lt;&gt;"Chiuso",J202&lt;&gt;"Annullato")),"Modalità / stato mancanti",IF(AND(J202&lt;&gt;"Aperto",OR(NOT(ISNUMBER(C202)),C202&lt;B202)),"Correggi data chiusura",IF(OR(AND(Q202&lt;&gt;"",OR(NOT(ISNUMBER(Q202)),Q202&lt;0)),AND(R202&lt;&gt;"",OR(NOT(ISNUMBER(R202)),R202&lt;0,R202&gt;1))),"Commissione non valida",IF(J202="Annullato","OK",IF(OR(NOT(ISNUMBER(Z202)),Z202&lt;0,AND(O202&lt;&gt;"",NOT(ISNUMBER(O202)))),"Inserisci rischio",IF(AND(I202="Esecuzioni",OR(W202=0,COUNTIFS('Esecuzioni'!$A$8:$A$1007,A202,'Esecuzioni'!$Q$8:$Q$1007,"&lt;&gt;OK")&gt;0)),"Correggi esecuzioni",IF(J202="Aperto","OK",IF(AND(I202="Esecuzioni",S202="Coperto",ABS(X202-Y202)&gt;'Impostazioni'!$B$11),"Copertura residua",IF(NOT(ISNUMBER(AC202)),"Completa risultato / esito",IF(AND(Z202=0,AC202&lt;&gt;0),"Rischio nullo con P/L","OK")))))))))))))</x:f>
      </x:c>
      <x:c r="AR202" s="20" t="str">
        <x:f>IF(OR(A202="",J202&lt;&gt;"Aperto",AQ202&lt;&gt;"OK"),"",IF(I202="Esecuzioni",SUMIFS('Esecuzioni'!$P$8:$P$1007,'Esecuzioni'!$A$8:$A$1007,A202,'Esecuzioni'!$B$8:$B$1007,_xlfn.MAXIFS('Esecuzioni'!$B$8:$B$1007,'Esecuzioni'!$A$8:$A$1007,A202)),IF(LEFT(U202,8)="FREEBET:",0,Z202)))</x:f>
      </x:c>
      <x:c r="AS202" s="48" t="str">
        <x:f>IF(OR(A202="",E202=""),"",IF(COUNTIFS($E$8:E202,E202)=1,COUNT($AS$7:AS201)+1,""))</x:f>
      </x:c>
    </x:row>
    <x:row r="203" ht="22" customHeight="1">
      <x:c r="A203" s="7"/>
      <x:c r="B203" s="19"/>
      <x:c r="C203" s="19"/>
      <x:c r="D203" s="7"/>
      <x:c r="E203" s="7"/>
      <x:c r="F203" s="7"/>
      <x:c r="G203" s="7"/>
      <x:c r="H203" s="7"/>
      <x:c r="I203" s="7"/>
      <x:c r="J203" s="7"/>
      <x:c r="K203" s="10"/>
      <x:c r="L203" s="7"/>
      <x:c r="M203" s="10"/>
      <x:c r="N203" s="7"/>
      <x:c r="O203" s="8"/>
      <x:c r="P203" s="8"/>
      <x:c r="Q203" s="8"/>
      <x:c r="R203" s="9"/>
      <x:c r="S203" s="7"/>
      <x:c r="T203" s="7"/>
      <x:c r="U203" s="7"/>
      <x:c r="V203" s="7"/>
      <x:c r="W203" s="22" t="str">
        <x:f>IF(A203="","",COUNTIFS('Esecuzioni'!$A$8:$A$1007,A203,'Esecuzioni'!$Q$8:$Q$1007,"OK"))</x:f>
      </x:c>
      <x:c r="X203" s="20" t="str">
        <x:f>IF(OR(A203="",I203&lt;&gt;"Esecuzioni",W203=0),"",SUMIFS('Esecuzioni'!$L$8:$L$1007,'Esecuzioni'!$A$8:$A$1007,A203))</x:f>
      </x:c>
      <x:c r="Y203" s="20" t="str">
        <x:f>IF(OR(A203="",I203&lt;&gt;"Esecuzioni",W203=0),"",SUMIFS('Esecuzioni'!$M$8:$M$1007,'Esecuzioni'!$A$8:$A$1007,A203))</x:f>
      </x:c>
      <x:c r="Z203" s="20" t="str">
        <x:f>IF(A203="","",IF(J203="Annullato",0,IF(ISNUMBER(O203),O203,IF(AND(I203="Esecuzioni",W203&gt;0),_xlfn.MAXIFS('Esecuzioni'!$P$8:$P$1007,'Esecuzioni'!$A$8:$A$1007,A203),""))))</x:f>
      </x:c>
      <x:c r="AA203" s="20" t="str">
        <x:f>IF(OR(A203="",J203="Aperto"),"",IF(J203="Annullato",0,IF(I203="Lordo manuale",IF(ISNUMBER(P203),P203,""),IF(I203="Netto manuale",IF(AND(ISNUMBER(P203),ISNUMBER(Q203)),P203+Q203,""),IF(OR(W203=0,COUNTIFS('Esecuzioni'!$A$8:$A$1007,A203,'Esecuzioni'!$Q$8:$Q$1007,"&lt;&gt;OK")&gt;0),"",IF(S203="Vince",X203,IF(S203="Perde",Y203,IF(AND(S203="Coperto",ABS(X203-Y203)&lt;='Impostazioni'!$B$11),ROUND((X203+Y203)/2,2),""))))))))</x:f>
      </x:c>
      <x:c r="AB203" s="20" t="str">
        <x:f>IF(NOT(ISNUMBER(AA203)),"",IF(J203="Annullato",0,IF(ISNUMBER(Q203),Q203,ROUND(MAX(0,AA203)*IF(ISNUMBER(R203),R203,'Impostazioni'!$B$8),2))))</x:f>
      </x:c>
      <x:c r="AC203" s="20" t="str">
        <x:f>IF(AND(ISNUMBER(AA203),ISNUMBER(AB203)),ROUND(AA203-AB203,2),"")</x:f>
      </x:c>
      <x:c r="AD203" s="18" t="str">
        <x:f>IF(A203="","",IF(AQ203&lt;&gt;"OK","Incompleto",IF(J203="Aperto","Aperto",IF(J203="Annullato","Annullato",IF(AC203&gt;0,"Green",IF(AC203&lt;0,"Red","Flat"))))))</x:f>
      </x:c>
      <x:c r="AE203" s="21" t="str">
        <x:f>IF(AND(AH203=1,Z203&gt;0),AC203/Z203,"")</x:f>
      </x:c>
      <x:c r="AF203" s="22" t="str">
        <x:f>IF(AH203&lt;&gt;1,"",COUNTIFS($C$8:$C$507,"&lt;"&amp;C203,$AH$8:$AH$507,1)+COUNTIFS($C$8:$C$507,C203,$A$8:$A$507,"&lt;="&amp;A203,$AH$8:$AH$507,1))</x:f>
      </x:c>
      <x:c r="AG203" s="20" t="str">
        <x:f>IF(AH203&lt;&gt;1,"",SUMIFS($AC$8:$AC$507,$C$8:$C$507,"&lt;"&amp;C203,$AH$8:$AH$507,1)+SUMIFS($AC$8:$AC$507,$C$8:$C$507,C203,$A$8:$A$507,"&lt;="&amp;A203,$AH$8:$AH$507,1))</x:f>
      </x:c>
      <x:c r="AH203" s="22" t="str">
        <x:f>IF(A203="","",IF(AND(J203="Chiuso",AQ203="OK",ISNUMBER(AC203)),1,0))</x:f>
      </x:c>
      <x:c r="AI203" s="20" t="str">
        <x:f>IF(AH203&lt;&gt;1,"",MAX(0,_xlfn.MAXIFS($AG$8:$AG$507,$AF$8:$AF$507,"&lt;="&amp;AF203,$AH$8:$AH$507,1)))</x:f>
      </x:c>
      <x:c r="AJ203" s="20" t="str">
        <x:f>IF(AH203&lt;&gt;1,"",MAX(0,AI203-AG203))</x:f>
      </x:c>
      <x:c r="AK203" s="21" t="str">
        <x:f>IF(OR(AH203&lt;&gt;1,NOT(ISNUMBER('Impostazioni'!$B$6)),'Impostazioni'!$B$6+AI203&lt;=0),"",AJ203/('Impostazioni'!$B$6+AI203))</x:f>
      </x:c>
      <x:c r="AL203" s="22" t="str">
        <x:f>IF(AH203&lt;&gt;1,"",IF(AC203&gt;0,AF203-_xlfn.MAXIFS($AF$8:$AF$507,$AF$8:$AF$507,"&lt;="&amp;AF203,$AC$8:$AC$507,"&lt;=0",$AH$8:$AH$507,1),0))</x:f>
      </x:c>
      <x:c r="AM203" s="22" t="str">
        <x:f>IF(AH203&lt;&gt;1,"",IF(AC203&lt;0,AF203-_xlfn.MAXIFS($AF$8:$AF$507,$AF$8:$AF$507,"&lt;="&amp;AF203,$AC$8:$AC$507,"&gt;=0",$AH$8:$AH$507,1),0))</x:f>
      </x:c>
      <x:c r="AN203" s="20" t="str">
        <x:f>IF(OR(A203="",NOT(ISNUMBER(B203)),NOT(ISNUMBER('Impostazioni'!$B$6))),"",'Impostazioni'!$B$6+SUMIFS($AC$8:$AC$507,$C$8:$C$507,"&lt;"&amp;B203,$AH$8:$AH$507,1)+SUMIFS('Cassa'!$F$8:$F$307,'Cassa'!$A$8:$A$307,"&lt;="&amp;B203,'Cassa'!$G$8:$G$307,"OK"))</x:f>
      </x:c>
      <x:c r="AO203" s="21" t="str">
        <x:f>IF(AND(ISNUMBER(Z203),ISNUMBER(AN203),AN203&gt;0),Z203/AN203,"")</x:f>
      </x:c>
      <x:c r="AP203" s="18" t="str">
        <x:f>IF(NOT(ISNUMBER(AO203)),"",IF(AO203&gt;'Impostazioni'!$B$7,"Oltre soglia personale","Nella soglia personale"))</x:f>
      </x:c>
      <x:c r="AQ203" s="18" t="str">
        <x:f>IF(A203="",IF(COUNTA(B203:V203)=0,"","Inserisci ID"),IF(COUNTIFS($A$8:$A$507,A203)&lt;&gt;1,"ID duplicato",IF(OR(NOT(ISNUMBER(B203)),D203="",E203="",F203="",G203="",H203="",COUNTIFS('Impostazioni'!$J$6:$J$25,F203)&lt;&gt;1),"Completa dati / elenchi",IF(OR(AND(I203&lt;&gt;"Lordo manuale",I203&lt;&gt;"Netto manuale",I203&lt;&gt;"Esecuzioni"),AND(J203&lt;&gt;"Aperto",J203&lt;&gt;"Chiuso",J203&lt;&gt;"Annullato")),"Modalità / stato mancanti",IF(AND(J203&lt;&gt;"Aperto",OR(NOT(ISNUMBER(C203)),C203&lt;B203)),"Correggi data chiusura",IF(OR(AND(Q203&lt;&gt;"",OR(NOT(ISNUMBER(Q203)),Q203&lt;0)),AND(R203&lt;&gt;"",OR(NOT(ISNUMBER(R203)),R203&lt;0,R203&gt;1))),"Commissione non valida",IF(J203="Annullato","OK",IF(OR(NOT(ISNUMBER(Z203)),Z203&lt;0,AND(O203&lt;&gt;"",NOT(ISNUMBER(O203)))),"Inserisci rischio",IF(AND(I203="Esecuzioni",OR(W203=0,COUNTIFS('Esecuzioni'!$A$8:$A$1007,A203,'Esecuzioni'!$Q$8:$Q$1007,"&lt;&gt;OK")&gt;0)),"Correggi esecuzioni",IF(J203="Aperto","OK",IF(AND(I203="Esecuzioni",S203="Coperto",ABS(X203-Y203)&gt;'Impostazioni'!$B$11),"Copertura residua",IF(NOT(ISNUMBER(AC203)),"Completa risultato / esito",IF(AND(Z203=0,AC203&lt;&gt;0),"Rischio nullo con P/L","OK")))))))))))))</x:f>
      </x:c>
      <x:c r="AR203" s="20" t="str">
        <x:f>IF(OR(A203="",J203&lt;&gt;"Aperto",AQ203&lt;&gt;"OK"),"",IF(I203="Esecuzioni",SUMIFS('Esecuzioni'!$P$8:$P$1007,'Esecuzioni'!$A$8:$A$1007,A203,'Esecuzioni'!$B$8:$B$1007,_xlfn.MAXIFS('Esecuzioni'!$B$8:$B$1007,'Esecuzioni'!$A$8:$A$1007,A203)),IF(LEFT(U203,8)="FREEBET:",0,Z203)))</x:f>
      </x:c>
      <x:c r="AS203" s="48" t="str">
        <x:f>IF(OR(A203="",E203=""),"",IF(COUNTIFS($E$8:E203,E203)=1,COUNT($AS$7:AS202)+1,""))</x:f>
      </x:c>
    </x:row>
    <x:row r="204" ht="22" customHeight="1">
      <x:c r="A204" s="7"/>
      <x:c r="B204" s="19"/>
      <x:c r="C204" s="19"/>
      <x:c r="D204" s="7"/>
      <x:c r="E204" s="7"/>
      <x:c r="F204" s="7"/>
      <x:c r="G204" s="7"/>
      <x:c r="H204" s="7"/>
      <x:c r="I204" s="7"/>
      <x:c r="J204" s="7"/>
      <x:c r="K204" s="10"/>
      <x:c r="L204" s="7"/>
      <x:c r="M204" s="10"/>
      <x:c r="N204" s="7"/>
      <x:c r="O204" s="8"/>
      <x:c r="P204" s="8"/>
      <x:c r="Q204" s="8"/>
      <x:c r="R204" s="9"/>
      <x:c r="S204" s="7"/>
      <x:c r="T204" s="7"/>
      <x:c r="U204" s="7"/>
      <x:c r="V204" s="7"/>
      <x:c r="W204" s="22" t="str">
        <x:f>IF(A204="","",COUNTIFS('Esecuzioni'!$A$8:$A$1007,A204,'Esecuzioni'!$Q$8:$Q$1007,"OK"))</x:f>
      </x:c>
      <x:c r="X204" s="20" t="str">
        <x:f>IF(OR(A204="",I204&lt;&gt;"Esecuzioni",W204=0),"",SUMIFS('Esecuzioni'!$L$8:$L$1007,'Esecuzioni'!$A$8:$A$1007,A204))</x:f>
      </x:c>
      <x:c r="Y204" s="20" t="str">
        <x:f>IF(OR(A204="",I204&lt;&gt;"Esecuzioni",W204=0),"",SUMIFS('Esecuzioni'!$M$8:$M$1007,'Esecuzioni'!$A$8:$A$1007,A204))</x:f>
      </x:c>
      <x:c r="Z204" s="20" t="str">
        <x:f>IF(A204="","",IF(J204="Annullato",0,IF(ISNUMBER(O204),O204,IF(AND(I204="Esecuzioni",W204&gt;0),_xlfn.MAXIFS('Esecuzioni'!$P$8:$P$1007,'Esecuzioni'!$A$8:$A$1007,A204),""))))</x:f>
      </x:c>
      <x:c r="AA204" s="20" t="str">
        <x:f>IF(OR(A204="",J204="Aperto"),"",IF(J204="Annullato",0,IF(I204="Lordo manuale",IF(ISNUMBER(P204),P204,""),IF(I204="Netto manuale",IF(AND(ISNUMBER(P204),ISNUMBER(Q204)),P204+Q204,""),IF(OR(W204=0,COUNTIFS('Esecuzioni'!$A$8:$A$1007,A204,'Esecuzioni'!$Q$8:$Q$1007,"&lt;&gt;OK")&gt;0),"",IF(S204="Vince",X204,IF(S204="Perde",Y204,IF(AND(S204="Coperto",ABS(X204-Y204)&lt;='Impostazioni'!$B$11),ROUND((X204+Y204)/2,2),""))))))))</x:f>
      </x:c>
      <x:c r="AB204" s="20" t="str">
        <x:f>IF(NOT(ISNUMBER(AA204)),"",IF(J204="Annullato",0,IF(ISNUMBER(Q204),Q204,ROUND(MAX(0,AA204)*IF(ISNUMBER(R204),R204,'Impostazioni'!$B$8),2))))</x:f>
      </x:c>
      <x:c r="AC204" s="20" t="str">
        <x:f>IF(AND(ISNUMBER(AA204),ISNUMBER(AB204)),ROUND(AA204-AB204,2),"")</x:f>
      </x:c>
      <x:c r="AD204" s="18" t="str">
        <x:f>IF(A204="","",IF(AQ204&lt;&gt;"OK","Incompleto",IF(J204="Aperto","Aperto",IF(J204="Annullato","Annullato",IF(AC204&gt;0,"Green",IF(AC204&lt;0,"Red","Flat"))))))</x:f>
      </x:c>
      <x:c r="AE204" s="21" t="str">
        <x:f>IF(AND(AH204=1,Z204&gt;0),AC204/Z204,"")</x:f>
      </x:c>
      <x:c r="AF204" s="22" t="str">
        <x:f>IF(AH204&lt;&gt;1,"",COUNTIFS($C$8:$C$507,"&lt;"&amp;C204,$AH$8:$AH$507,1)+COUNTIFS($C$8:$C$507,C204,$A$8:$A$507,"&lt;="&amp;A204,$AH$8:$AH$507,1))</x:f>
      </x:c>
      <x:c r="AG204" s="20" t="str">
        <x:f>IF(AH204&lt;&gt;1,"",SUMIFS($AC$8:$AC$507,$C$8:$C$507,"&lt;"&amp;C204,$AH$8:$AH$507,1)+SUMIFS($AC$8:$AC$507,$C$8:$C$507,C204,$A$8:$A$507,"&lt;="&amp;A204,$AH$8:$AH$507,1))</x:f>
      </x:c>
      <x:c r="AH204" s="22" t="str">
        <x:f>IF(A204="","",IF(AND(J204="Chiuso",AQ204="OK",ISNUMBER(AC204)),1,0))</x:f>
      </x:c>
      <x:c r="AI204" s="20" t="str">
        <x:f>IF(AH204&lt;&gt;1,"",MAX(0,_xlfn.MAXIFS($AG$8:$AG$507,$AF$8:$AF$507,"&lt;="&amp;AF204,$AH$8:$AH$507,1)))</x:f>
      </x:c>
      <x:c r="AJ204" s="20" t="str">
        <x:f>IF(AH204&lt;&gt;1,"",MAX(0,AI204-AG204))</x:f>
      </x:c>
      <x:c r="AK204" s="21" t="str">
        <x:f>IF(OR(AH204&lt;&gt;1,NOT(ISNUMBER('Impostazioni'!$B$6)),'Impostazioni'!$B$6+AI204&lt;=0),"",AJ204/('Impostazioni'!$B$6+AI204))</x:f>
      </x:c>
      <x:c r="AL204" s="22" t="str">
        <x:f>IF(AH204&lt;&gt;1,"",IF(AC204&gt;0,AF204-_xlfn.MAXIFS($AF$8:$AF$507,$AF$8:$AF$507,"&lt;="&amp;AF204,$AC$8:$AC$507,"&lt;=0",$AH$8:$AH$507,1),0))</x:f>
      </x:c>
      <x:c r="AM204" s="22" t="str">
        <x:f>IF(AH204&lt;&gt;1,"",IF(AC204&lt;0,AF204-_xlfn.MAXIFS($AF$8:$AF$507,$AF$8:$AF$507,"&lt;="&amp;AF204,$AC$8:$AC$507,"&gt;=0",$AH$8:$AH$507,1),0))</x:f>
      </x:c>
      <x:c r="AN204" s="20" t="str">
        <x:f>IF(OR(A204="",NOT(ISNUMBER(B204)),NOT(ISNUMBER('Impostazioni'!$B$6))),"",'Impostazioni'!$B$6+SUMIFS($AC$8:$AC$507,$C$8:$C$507,"&lt;"&amp;B204,$AH$8:$AH$507,1)+SUMIFS('Cassa'!$F$8:$F$307,'Cassa'!$A$8:$A$307,"&lt;="&amp;B204,'Cassa'!$G$8:$G$307,"OK"))</x:f>
      </x:c>
      <x:c r="AO204" s="21" t="str">
        <x:f>IF(AND(ISNUMBER(Z204),ISNUMBER(AN204),AN204&gt;0),Z204/AN204,"")</x:f>
      </x:c>
      <x:c r="AP204" s="18" t="str">
        <x:f>IF(NOT(ISNUMBER(AO204)),"",IF(AO204&gt;'Impostazioni'!$B$7,"Oltre soglia personale","Nella soglia personale"))</x:f>
      </x:c>
      <x:c r="AQ204" s="18" t="str">
        <x:f>IF(A204="",IF(COUNTA(B204:V204)=0,"","Inserisci ID"),IF(COUNTIFS($A$8:$A$507,A204)&lt;&gt;1,"ID duplicato",IF(OR(NOT(ISNUMBER(B204)),D204="",E204="",F204="",G204="",H204="",COUNTIFS('Impostazioni'!$J$6:$J$25,F204)&lt;&gt;1),"Completa dati / elenchi",IF(OR(AND(I204&lt;&gt;"Lordo manuale",I204&lt;&gt;"Netto manuale",I204&lt;&gt;"Esecuzioni"),AND(J204&lt;&gt;"Aperto",J204&lt;&gt;"Chiuso",J204&lt;&gt;"Annullato")),"Modalità / stato mancanti",IF(AND(J204&lt;&gt;"Aperto",OR(NOT(ISNUMBER(C204)),C204&lt;B204)),"Correggi data chiusura",IF(OR(AND(Q204&lt;&gt;"",OR(NOT(ISNUMBER(Q204)),Q204&lt;0)),AND(R204&lt;&gt;"",OR(NOT(ISNUMBER(R204)),R204&lt;0,R204&gt;1))),"Commissione non valida",IF(J204="Annullato","OK",IF(OR(NOT(ISNUMBER(Z204)),Z204&lt;0,AND(O204&lt;&gt;"",NOT(ISNUMBER(O204)))),"Inserisci rischio",IF(AND(I204="Esecuzioni",OR(W204=0,COUNTIFS('Esecuzioni'!$A$8:$A$1007,A204,'Esecuzioni'!$Q$8:$Q$1007,"&lt;&gt;OK")&gt;0)),"Correggi esecuzioni",IF(J204="Aperto","OK",IF(AND(I204="Esecuzioni",S204="Coperto",ABS(X204-Y204)&gt;'Impostazioni'!$B$11),"Copertura residua",IF(NOT(ISNUMBER(AC204)),"Completa risultato / esito",IF(AND(Z204=0,AC204&lt;&gt;0),"Rischio nullo con P/L","OK")))))))))))))</x:f>
      </x:c>
      <x:c r="AR204" s="20" t="str">
        <x:f>IF(OR(A204="",J204&lt;&gt;"Aperto",AQ204&lt;&gt;"OK"),"",IF(I204="Esecuzioni",SUMIFS('Esecuzioni'!$P$8:$P$1007,'Esecuzioni'!$A$8:$A$1007,A204,'Esecuzioni'!$B$8:$B$1007,_xlfn.MAXIFS('Esecuzioni'!$B$8:$B$1007,'Esecuzioni'!$A$8:$A$1007,A204)),IF(LEFT(U204,8)="FREEBET:",0,Z204)))</x:f>
      </x:c>
      <x:c r="AS204" s="48" t="str">
        <x:f>IF(OR(A204="",E204=""),"",IF(COUNTIFS($E$8:E204,E204)=1,COUNT($AS$7:AS203)+1,""))</x:f>
      </x:c>
    </x:row>
    <x:row r="205" ht="22" customHeight="1">
      <x:c r="A205" s="7"/>
      <x:c r="B205" s="19"/>
      <x:c r="C205" s="19"/>
      <x:c r="D205" s="7"/>
      <x:c r="E205" s="7"/>
      <x:c r="F205" s="7"/>
      <x:c r="G205" s="7"/>
      <x:c r="H205" s="7"/>
      <x:c r="I205" s="7"/>
      <x:c r="J205" s="7"/>
      <x:c r="K205" s="10"/>
      <x:c r="L205" s="7"/>
      <x:c r="M205" s="10"/>
      <x:c r="N205" s="7"/>
      <x:c r="O205" s="8"/>
      <x:c r="P205" s="8"/>
      <x:c r="Q205" s="8"/>
      <x:c r="R205" s="9"/>
      <x:c r="S205" s="7"/>
      <x:c r="T205" s="7"/>
      <x:c r="U205" s="7"/>
      <x:c r="V205" s="7"/>
      <x:c r="W205" s="22" t="str">
        <x:f>IF(A205="","",COUNTIFS('Esecuzioni'!$A$8:$A$1007,A205,'Esecuzioni'!$Q$8:$Q$1007,"OK"))</x:f>
      </x:c>
      <x:c r="X205" s="20" t="str">
        <x:f>IF(OR(A205="",I205&lt;&gt;"Esecuzioni",W205=0),"",SUMIFS('Esecuzioni'!$L$8:$L$1007,'Esecuzioni'!$A$8:$A$1007,A205))</x:f>
      </x:c>
      <x:c r="Y205" s="20" t="str">
        <x:f>IF(OR(A205="",I205&lt;&gt;"Esecuzioni",W205=0),"",SUMIFS('Esecuzioni'!$M$8:$M$1007,'Esecuzioni'!$A$8:$A$1007,A205))</x:f>
      </x:c>
      <x:c r="Z205" s="20" t="str">
        <x:f>IF(A205="","",IF(J205="Annullato",0,IF(ISNUMBER(O205),O205,IF(AND(I205="Esecuzioni",W205&gt;0),_xlfn.MAXIFS('Esecuzioni'!$P$8:$P$1007,'Esecuzioni'!$A$8:$A$1007,A205),""))))</x:f>
      </x:c>
      <x:c r="AA205" s="20" t="str">
        <x:f>IF(OR(A205="",J205="Aperto"),"",IF(J205="Annullato",0,IF(I205="Lordo manuale",IF(ISNUMBER(P205),P205,""),IF(I205="Netto manuale",IF(AND(ISNUMBER(P205),ISNUMBER(Q205)),P205+Q205,""),IF(OR(W205=0,COUNTIFS('Esecuzioni'!$A$8:$A$1007,A205,'Esecuzioni'!$Q$8:$Q$1007,"&lt;&gt;OK")&gt;0),"",IF(S205="Vince",X205,IF(S205="Perde",Y205,IF(AND(S205="Coperto",ABS(X205-Y205)&lt;='Impostazioni'!$B$11),ROUND((X205+Y205)/2,2),""))))))))</x:f>
      </x:c>
      <x:c r="AB205" s="20" t="str">
        <x:f>IF(NOT(ISNUMBER(AA205)),"",IF(J205="Annullato",0,IF(ISNUMBER(Q205),Q205,ROUND(MAX(0,AA205)*IF(ISNUMBER(R205),R205,'Impostazioni'!$B$8),2))))</x:f>
      </x:c>
      <x:c r="AC205" s="20" t="str">
        <x:f>IF(AND(ISNUMBER(AA205),ISNUMBER(AB205)),ROUND(AA205-AB205,2),"")</x:f>
      </x:c>
      <x:c r="AD205" s="18" t="str">
        <x:f>IF(A205="","",IF(AQ205&lt;&gt;"OK","Incompleto",IF(J205="Aperto","Aperto",IF(J205="Annullato","Annullato",IF(AC205&gt;0,"Green",IF(AC205&lt;0,"Red","Flat"))))))</x:f>
      </x:c>
      <x:c r="AE205" s="21" t="str">
        <x:f>IF(AND(AH205=1,Z205&gt;0),AC205/Z205,"")</x:f>
      </x:c>
      <x:c r="AF205" s="22" t="str">
        <x:f>IF(AH205&lt;&gt;1,"",COUNTIFS($C$8:$C$507,"&lt;"&amp;C205,$AH$8:$AH$507,1)+COUNTIFS($C$8:$C$507,C205,$A$8:$A$507,"&lt;="&amp;A205,$AH$8:$AH$507,1))</x:f>
      </x:c>
      <x:c r="AG205" s="20" t="str">
        <x:f>IF(AH205&lt;&gt;1,"",SUMIFS($AC$8:$AC$507,$C$8:$C$507,"&lt;"&amp;C205,$AH$8:$AH$507,1)+SUMIFS($AC$8:$AC$507,$C$8:$C$507,C205,$A$8:$A$507,"&lt;="&amp;A205,$AH$8:$AH$507,1))</x:f>
      </x:c>
      <x:c r="AH205" s="22" t="str">
        <x:f>IF(A205="","",IF(AND(J205="Chiuso",AQ205="OK",ISNUMBER(AC205)),1,0))</x:f>
      </x:c>
      <x:c r="AI205" s="20" t="str">
        <x:f>IF(AH205&lt;&gt;1,"",MAX(0,_xlfn.MAXIFS($AG$8:$AG$507,$AF$8:$AF$507,"&lt;="&amp;AF205,$AH$8:$AH$507,1)))</x:f>
      </x:c>
      <x:c r="AJ205" s="20" t="str">
        <x:f>IF(AH205&lt;&gt;1,"",MAX(0,AI205-AG205))</x:f>
      </x:c>
      <x:c r="AK205" s="21" t="str">
        <x:f>IF(OR(AH205&lt;&gt;1,NOT(ISNUMBER('Impostazioni'!$B$6)),'Impostazioni'!$B$6+AI205&lt;=0),"",AJ205/('Impostazioni'!$B$6+AI205))</x:f>
      </x:c>
      <x:c r="AL205" s="22" t="str">
        <x:f>IF(AH205&lt;&gt;1,"",IF(AC205&gt;0,AF205-_xlfn.MAXIFS($AF$8:$AF$507,$AF$8:$AF$507,"&lt;="&amp;AF205,$AC$8:$AC$507,"&lt;=0",$AH$8:$AH$507,1),0))</x:f>
      </x:c>
      <x:c r="AM205" s="22" t="str">
        <x:f>IF(AH205&lt;&gt;1,"",IF(AC205&lt;0,AF205-_xlfn.MAXIFS($AF$8:$AF$507,$AF$8:$AF$507,"&lt;="&amp;AF205,$AC$8:$AC$507,"&gt;=0",$AH$8:$AH$507,1),0))</x:f>
      </x:c>
      <x:c r="AN205" s="20" t="str">
        <x:f>IF(OR(A205="",NOT(ISNUMBER(B205)),NOT(ISNUMBER('Impostazioni'!$B$6))),"",'Impostazioni'!$B$6+SUMIFS($AC$8:$AC$507,$C$8:$C$507,"&lt;"&amp;B205,$AH$8:$AH$507,1)+SUMIFS('Cassa'!$F$8:$F$307,'Cassa'!$A$8:$A$307,"&lt;="&amp;B205,'Cassa'!$G$8:$G$307,"OK"))</x:f>
      </x:c>
      <x:c r="AO205" s="21" t="str">
        <x:f>IF(AND(ISNUMBER(Z205),ISNUMBER(AN205),AN205&gt;0),Z205/AN205,"")</x:f>
      </x:c>
      <x:c r="AP205" s="18" t="str">
        <x:f>IF(NOT(ISNUMBER(AO205)),"",IF(AO205&gt;'Impostazioni'!$B$7,"Oltre soglia personale","Nella soglia personale"))</x:f>
      </x:c>
      <x:c r="AQ205" s="18" t="str">
        <x:f>IF(A205="",IF(COUNTA(B205:V205)=0,"","Inserisci ID"),IF(COUNTIFS($A$8:$A$507,A205)&lt;&gt;1,"ID duplicato",IF(OR(NOT(ISNUMBER(B205)),D205="",E205="",F205="",G205="",H205="",COUNTIFS('Impostazioni'!$J$6:$J$25,F205)&lt;&gt;1),"Completa dati / elenchi",IF(OR(AND(I205&lt;&gt;"Lordo manuale",I205&lt;&gt;"Netto manuale",I205&lt;&gt;"Esecuzioni"),AND(J205&lt;&gt;"Aperto",J205&lt;&gt;"Chiuso",J205&lt;&gt;"Annullato")),"Modalità / stato mancanti",IF(AND(J205&lt;&gt;"Aperto",OR(NOT(ISNUMBER(C205)),C205&lt;B205)),"Correggi data chiusura",IF(OR(AND(Q205&lt;&gt;"",OR(NOT(ISNUMBER(Q205)),Q205&lt;0)),AND(R205&lt;&gt;"",OR(NOT(ISNUMBER(R205)),R205&lt;0,R205&gt;1))),"Commissione non valida",IF(J205="Annullato","OK",IF(OR(NOT(ISNUMBER(Z205)),Z205&lt;0,AND(O205&lt;&gt;"",NOT(ISNUMBER(O205)))),"Inserisci rischio",IF(AND(I205="Esecuzioni",OR(W205=0,COUNTIFS('Esecuzioni'!$A$8:$A$1007,A205,'Esecuzioni'!$Q$8:$Q$1007,"&lt;&gt;OK")&gt;0)),"Correggi esecuzioni",IF(J205="Aperto","OK",IF(AND(I205="Esecuzioni",S205="Coperto",ABS(X205-Y205)&gt;'Impostazioni'!$B$11),"Copertura residua",IF(NOT(ISNUMBER(AC205)),"Completa risultato / esito",IF(AND(Z205=0,AC205&lt;&gt;0),"Rischio nullo con P/L","OK")))))))))))))</x:f>
      </x:c>
      <x:c r="AR205" s="20" t="str">
        <x:f>IF(OR(A205="",J205&lt;&gt;"Aperto",AQ205&lt;&gt;"OK"),"",IF(I205="Esecuzioni",SUMIFS('Esecuzioni'!$P$8:$P$1007,'Esecuzioni'!$A$8:$A$1007,A205,'Esecuzioni'!$B$8:$B$1007,_xlfn.MAXIFS('Esecuzioni'!$B$8:$B$1007,'Esecuzioni'!$A$8:$A$1007,A205)),IF(LEFT(U205,8)="FREEBET:",0,Z205)))</x:f>
      </x:c>
      <x:c r="AS205" s="48" t="str">
        <x:f>IF(OR(A205="",E205=""),"",IF(COUNTIFS($E$8:E205,E205)=1,COUNT($AS$7:AS204)+1,""))</x:f>
      </x:c>
    </x:row>
    <x:row r="206" ht="22" customHeight="1">
      <x:c r="A206" s="7"/>
      <x:c r="B206" s="19"/>
      <x:c r="C206" s="19"/>
      <x:c r="D206" s="7"/>
      <x:c r="E206" s="7"/>
      <x:c r="F206" s="7"/>
      <x:c r="G206" s="7"/>
      <x:c r="H206" s="7"/>
      <x:c r="I206" s="7"/>
      <x:c r="J206" s="7"/>
      <x:c r="K206" s="10"/>
      <x:c r="L206" s="7"/>
      <x:c r="M206" s="10"/>
      <x:c r="N206" s="7"/>
      <x:c r="O206" s="8"/>
      <x:c r="P206" s="8"/>
      <x:c r="Q206" s="8"/>
      <x:c r="R206" s="9"/>
      <x:c r="S206" s="7"/>
      <x:c r="T206" s="7"/>
      <x:c r="U206" s="7"/>
      <x:c r="V206" s="7"/>
      <x:c r="W206" s="22" t="str">
        <x:f>IF(A206="","",COUNTIFS('Esecuzioni'!$A$8:$A$1007,A206,'Esecuzioni'!$Q$8:$Q$1007,"OK"))</x:f>
      </x:c>
      <x:c r="X206" s="20" t="str">
        <x:f>IF(OR(A206="",I206&lt;&gt;"Esecuzioni",W206=0),"",SUMIFS('Esecuzioni'!$L$8:$L$1007,'Esecuzioni'!$A$8:$A$1007,A206))</x:f>
      </x:c>
      <x:c r="Y206" s="20" t="str">
        <x:f>IF(OR(A206="",I206&lt;&gt;"Esecuzioni",W206=0),"",SUMIFS('Esecuzioni'!$M$8:$M$1007,'Esecuzioni'!$A$8:$A$1007,A206))</x:f>
      </x:c>
      <x:c r="Z206" s="20" t="str">
        <x:f>IF(A206="","",IF(J206="Annullato",0,IF(ISNUMBER(O206),O206,IF(AND(I206="Esecuzioni",W206&gt;0),_xlfn.MAXIFS('Esecuzioni'!$P$8:$P$1007,'Esecuzioni'!$A$8:$A$1007,A206),""))))</x:f>
      </x:c>
      <x:c r="AA206" s="20" t="str">
        <x:f>IF(OR(A206="",J206="Aperto"),"",IF(J206="Annullato",0,IF(I206="Lordo manuale",IF(ISNUMBER(P206),P206,""),IF(I206="Netto manuale",IF(AND(ISNUMBER(P206),ISNUMBER(Q206)),P206+Q206,""),IF(OR(W206=0,COUNTIFS('Esecuzioni'!$A$8:$A$1007,A206,'Esecuzioni'!$Q$8:$Q$1007,"&lt;&gt;OK")&gt;0),"",IF(S206="Vince",X206,IF(S206="Perde",Y206,IF(AND(S206="Coperto",ABS(X206-Y206)&lt;='Impostazioni'!$B$11),ROUND((X206+Y206)/2,2),""))))))))</x:f>
      </x:c>
      <x:c r="AB206" s="20" t="str">
        <x:f>IF(NOT(ISNUMBER(AA206)),"",IF(J206="Annullato",0,IF(ISNUMBER(Q206),Q206,ROUND(MAX(0,AA206)*IF(ISNUMBER(R206),R206,'Impostazioni'!$B$8),2))))</x:f>
      </x:c>
      <x:c r="AC206" s="20" t="str">
        <x:f>IF(AND(ISNUMBER(AA206),ISNUMBER(AB206)),ROUND(AA206-AB206,2),"")</x:f>
      </x:c>
      <x:c r="AD206" s="18" t="str">
        <x:f>IF(A206="","",IF(AQ206&lt;&gt;"OK","Incompleto",IF(J206="Aperto","Aperto",IF(J206="Annullato","Annullato",IF(AC206&gt;0,"Green",IF(AC206&lt;0,"Red","Flat"))))))</x:f>
      </x:c>
      <x:c r="AE206" s="21" t="str">
        <x:f>IF(AND(AH206=1,Z206&gt;0),AC206/Z206,"")</x:f>
      </x:c>
      <x:c r="AF206" s="22" t="str">
        <x:f>IF(AH206&lt;&gt;1,"",COUNTIFS($C$8:$C$507,"&lt;"&amp;C206,$AH$8:$AH$507,1)+COUNTIFS($C$8:$C$507,C206,$A$8:$A$507,"&lt;="&amp;A206,$AH$8:$AH$507,1))</x:f>
      </x:c>
      <x:c r="AG206" s="20" t="str">
        <x:f>IF(AH206&lt;&gt;1,"",SUMIFS($AC$8:$AC$507,$C$8:$C$507,"&lt;"&amp;C206,$AH$8:$AH$507,1)+SUMIFS($AC$8:$AC$507,$C$8:$C$507,C206,$A$8:$A$507,"&lt;="&amp;A206,$AH$8:$AH$507,1))</x:f>
      </x:c>
      <x:c r="AH206" s="22" t="str">
        <x:f>IF(A206="","",IF(AND(J206="Chiuso",AQ206="OK",ISNUMBER(AC206)),1,0))</x:f>
      </x:c>
      <x:c r="AI206" s="20" t="str">
        <x:f>IF(AH206&lt;&gt;1,"",MAX(0,_xlfn.MAXIFS($AG$8:$AG$507,$AF$8:$AF$507,"&lt;="&amp;AF206,$AH$8:$AH$507,1)))</x:f>
      </x:c>
      <x:c r="AJ206" s="20" t="str">
        <x:f>IF(AH206&lt;&gt;1,"",MAX(0,AI206-AG206))</x:f>
      </x:c>
      <x:c r="AK206" s="21" t="str">
        <x:f>IF(OR(AH206&lt;&gt;1,NOT(ISNUMBER('Impostazioni'!$B$6)),'Impostazioni'!$B$6+AI206&lt;=0),"",AJ206/('Impostazioni'!$B$6+AI206))</x:f>
      </x:c>
      <x:c r="AL206" s="22" t="str">
        <x:f>IF(AH206&lt;&gt;1,"",IF(AC206&gt;0,AF206-_xlfn.MAXIFS($AF$8:$AF$507,$AF$8:$AF$507,"&lt;="&amp;AF206,$AC$8:$AC$507,"&lt;=0",$AH$8:$AH$507,1),0))</x:f>
      </x:c>
      <x:c r="AM206" s="22" t="str">
        <x:f>IF(AH206&lt;&gt;1,"",IF(AC206&lt;0,AF206-_xlfn.MAXIFS($AF$8:$AF$507,$AF$8:$AF$507,"&lt;="&amp;AF206,$AC$8:$AC$507,"&gt;=0",$AH$8:$AH$507,1),0))</x:f>
      </x:c>
      <x:c r="AN206" s="20" t="str">
        <x:f>IF(OR(A206="",NOT(ISNUMBER(B206)),NOT(ISNUMBER('Impostazioni'!$B$6))),"",'Impostazioni'!$B$6+SUMIFS($AC$8:$AC$507,$C$8:$C$507,"&lt;"&amp;B206,$AH$8:$AH$507,1)+SUMIFS('Cassa'!$F$8:$F$307,'Cassa'!$A$8:$A$307,"&lt;="&amp;B206,'Cassa'!$G$8:$G$307,"OK"))</x:f>
      </x:c>
      <x:c r="AO206" s="21" t="str">
        <x:f>IF(AND(ISNUMBER(Z206),ISNUMBER(AN206),AN206&gt;0),Z206/AN206,"")</x:f>
      </x:c>
      <x:c r="AP206" s="18" t="str">
        <x:f>IF(NOT(ISNUMBER(AO206)),"",IF(AO206&gt;'Impostazioni'!$B$7,"Oltre soglia personale","Nella soglia personale"))</x:f>
      </x:c>
      <x:c r="AQ206" s="18" t="str">
        <x:f>IF(A206="",IF(COUNTA(B206:V206)=0,"","Inserisci ID"),IF(COUNTIFS($A$8:$A$507,A206)&lt;&gt;1,"ID duplicato",IF(OR(NOT(ISNUMBER(B206)),D206="",E206="",F206="",G206="",H206="",COUNTIFS('Impostazioni'!$J$6:$J$25,F206)&lt;&gt;1),"Completa dati / elenchi",IF(OR(AND(I206&lt;&gt;"Lordo manuale",I206&lt;&gt;"Netto manuale",I206&lt;&gt;"Esecuzioni"),AND(J206&lt;&gt;"Aperto",J206&lt;&gt;"Chiuso",J206&lt;&gt;"Annullato")),"Modalità / stato mancanti",IF(AND(J206&lt;&gt;"Aperto",OR(NOT(ISNUMBER(C206)),C206&lt;B206)),"Correggi data chiusura",IF(OR(AND(Q206&lt;&gt;"",OR(NOT(ISNUMBER(Q206)),Q206&lt;0)),AND(R206&lt;&gt;"",OR(NOT(ISNUMBER(R206)),R206&lt;0,R206&gt;1))),"Commissione non valida",IF(J206="Annullato","OK",IF(OR(NOT(ISNUMBER(Z206)),Z206&lt;0,AND(O206&lt;&gt;"",NOT(ISNUMBER(O206)))),"Inserisci rischio",IF(AND(I206="Esecuzioni",OR(W206=0,COUNTIFS('Esecuzioni'!$A$8:$A$1007,A206,'Esecuzioni'!$Q$8:$Q$1007,"&lt;&gt;OK")&gt;0)),"Correggi esecuzioni",IF(J206="Aperto","OK",IF(AND(I206="Esecuzioni",S206="Coperto",ABS(X206-Y206)&gt;'Impostazioni'!$B$11),"Copertura residua",IF(NOT(ISNUMBER(AC206)),"Completa risultato / esito",IF(AND(Z206=0,AC206&lt;&gt;0),"Rischio nullo con P/L","OK")))))))))))))</x:f>
      </x:c>
      <x:c r="AR206" s="20" t="str">
        <x:f>IF(OR(A206="",J206&lt;&gt;"Aperto",AQ206&lt;&gt;"OK"),"",IF(I206="Esecuzioni",SUMIFS('Esecuzioni'!$P$8:$P$1007,'Esecuzioni'!$A$8:$A$1007,A206,'Esecuzioni'!$B$8:$B$1007,_xlfn.MAXIFS('Esecuzioni'!$B$8:$B$1007,'Esecuzioni'!$A$8:$A$1007,A206)),IF(LEFT(U206,8)="FREEBET:",0,Z206)))</x:f>
      </x:c>
      <x:c r="AS206" s="48" t="str">
        <x:f>IF(OR(A206="",E206=""),"",IF(COUNTIFS($E$8:E206,E206)=1,COUNT($AS$7:AS205)+1,""))</x:f>
      </x:c>
    </x:row>
    <x:row r="207" ht="22" customHeight="1">
      <x:c r="A207" s="7"/>
      <x:c r="B207" s="19"/>
      <x:c r="C207" s="19"/>
      <x:c r="D207" s="7"/>
      <x:c r="E207" s="7"/>
      <x:c r="F207" s="7"/>
      <x:c r="G207" s="7"/>
      <x:c r="H207" s="7"/>
      <x:c r="I207" s="7"/>
      <x:c r="J207" s="7"/>
      <x:c r="K207" s="10"/>
      <x:c r="L207" s="7"/>
      <x:c r="M207" s="10"/>
      <x:c r="N207" s="7"/>
      <x:c r="O207" s="8"/>
      <x:c r="P207" s="8"/>
      <x:c r="Q207" s="8"/>
      <x:c r="R207" s="9"/>
      <x:c r="S207" s="7"/>
      <x:c r="T207" s="7"/>
      <x:c r="U207" s="7"/>
      <x:c r="V207" s="7"/>
      <x:c r="W207" s="22" t="str">
        <x:f>IF(A207="","",COUNTIFS('Esecuzioni'!$A$8:$A$1007,A207,'Esecuzioni'!$Q$8:$Q$1007,"OK"))</x:f>
      </x:c>
      <x:c r="X207" s="20" t="str">
        <x:f>IF(OR(A207="",I207&lt;&gt;"Esecuzioni",W207=0),"",SUMIFS('Esecuzioni'!$L$8:$L$1007,'Esecuzioni'!$A$8:$A$1007,A207))</x:f>
      </x:c>
      <x:c r="Y207" s="20" t="str">
        <x:f>IF(OR(A207="",I207&lt;&gt;"Esecuzioni",W207=0),"",SUMIFS('Esecuzioni'!$M$8:$M$1007,'Esecuzioni'!$A$8:$A$1007,A207))</x:f>
      </x:c>
      <x:c r="Z207" s="20" t="str">
        <x:f>IF(A207="","",IF(J207="Annullato",0,IF(ISNUMBER(O207),O207,IF(AND(I207="Esecuzioni",W207&gt;0),_xlfn.MAXIFS('Esecuzioni'!$P$8:$P$1007,'Esecuzioni'!$A$8:$A$1007,A207),""))))</x:f>
      </x:c>
      <x:c r="AA207" s="20" t="str">
        <x:f>IF(OR(A207="",J207="Aperto"),"",IF(J207="Annullato",0,IF(I207="Lordo manuale",IF(ISNUMBER(P207),P207,""),IF(I207="Netto manuale",IF(AND(ISNUMBER(P207),ISNUMBER(Q207)),P207+Q207,""),IF(OR(W207=0,COUNTIFS('Esecuzioni'!$A$8:$A$1007,A207,'Esecuzioni'!$Q$8:$Q$1007,"&lt;&gt;OK")&gt;0),"",IF(S207="Vince",X207,IF(S207="Perde",Y207,IF(AND(S207="Coperto",ABS(X207-Y207)&lt;='Impostazioni'!$B$11),ROUND((X207+Y207)/2,2),""))))))))</x:f>
      </x:c>
      <x:c r="AB207" s="20" t="str">
        <x:f>IF(NOT(ISNUMBER(AA207)),"",IF(J207="Annullato",0,IF(ISNUMBER(Q207),Q207,ROUND(MAX(0,AA207)*IF(ISNUMBER(R207),R207,'Impostazioni'!$B$8),2))))</x:f>
      </x:c>
      <x:c r="AC207" s="20" t="str">
        <x:f>IF(AND(ISNUMBER(AA207),ISNUMBER(AB207)),ROUND(AA207-AB207,2),"")</x:f>
      </x:c>
      <x:c r="AD207" s="18" t="str">
        <x:f>IF(A207="","",IF(AQ207&lt;&gt;"OK","Incompleto",IF(J207="Aperto","Aperto",IF(J207="Annullato","Annullato",IF(AC207&gt;0,"Green",IF(AC207&lt;0,"Red","Flat"))))))</x:f>
      </x:c>
      <x:c r="AE207" s="21" t="str">
        <x:f>IF(AND(AH207=1,Z207&gt;0),AC207/Z207,"")</x:f>
      </x:c>
      <x:c r="AF207" s="22" t="str">
        <x:f>IF(AH207&lt;&gt;1,"",COUNTIFS($C$8:$C$507,"&lt;"&amp;C207,$AH$8:$AH$507,1)+COUNTIFS($C$8:$C$507,C207,$A$8:$A$507,"&lt;="&amp;A207,$AH$8:$AH$507,1))</x:f>
      </x:c>
      <x:c r="AG207" s="20" t="str">
        <x:f>IF(AH207&lt;&gt;1,"",SUMIFS($AC$8:$AC$507,$C$8:$C$507,"&lt;"&amp;C207,$AH$8:$AH$507,1)+SUMIFS($AC$8:$AC$507,$C$8:$C$507,C207,$A$8:$A$507,"&lt;="&amp;A207,$AH$8:$AH$507,1))</x:f>
      </x:c>
      <x:c r="AH207" s="22" t="str">
        <x:f>IF(A207="","",IF(AND(J207="Chiuso",AQ207="OK",ISNUMBER(AC207)),1,0))</x:f>
      </x:c>
      <x:c r="AI207" s="20" t="str">
        <x:f>IF(AH207&lt;&gt;1,"",MAX(0,_xlfn.MAXIFS($AG$8:$AG$507,$AF$8:$AF$507,"&lt;="&amp;AF207,$AH$8:$AH$507,1)))</x:f>
      </x:c>
      <x:c r="AJ207" s="20" t="str">
        <x:f>IF(AH207&lt;&gt;1,"",MAX(0,AI207-AG207))</x:f>
      </x:c>
      <x:c r="AK207" s="21" t="str">
        <x:f>IF(OR(AH207&lt;&gt;1,NOT(ISNUMBER('Impostazioni'!$B$6)),'Impostazioni'!$B$6+AI207&lt;=0),"",AJ207/('Impostazioni'!$B$6+AI207))</x:f>
      </x:c>
      <x:c r="AL207" s="22" t="str">
        <x:f>IF(AH207&lt;&gt;1,"",IF(AC207&gt;0,AF207-_xlfn.MAXIFS($AF$8:$AF$507,$AF$8:$AF$507,"&lt;="&amp;AF207,$AC$8:$AC$507,"&lt;=0",$AH$8:$AH$507,1),0))</x:f>
      </x:c>
      <x:c r="AM207" s="22" t="str">
        <x:f>IF(AH207&lt;&gt;1,"",IF(AC207&lt;0,AF207-_xlfn.MAXIFS($AF$8:$AF$507,$AF$8:$AF$507,"&lt;="&amp;AF207,$AC$8:$AC$507,"&gt;=0",$AH$8:$AH$507,1),0))</x:f>
      </x:c>
      <x:c r="AN207" s="20" t="str">
        <x:f>IF(OR(A207="",NOT(ISNUMBER(B207)),NOT(ISNUMBER('Impostazioni'!$B$6))),"",'Impostazioni'!$B$6+SUMIFS($AC$8:$AC$507,$C$8:$C$507,"&lt;"&amp;B207,$AH$8:$AH$507,1)+SUMIFS('Cassa'!$F$8:$F$307,'Cassa'!$A$8:$A$307,"&lt;="&amp;B207,'Cassa'!$G$8:$G$307,"OK"))</x:f>
      </x:c>
      <x:c r="AO207" s="21" t="str">
        <x:f>IF(AND(ISNUMBER(Z207),ISNUMBER(AN207),AN207&gt;0),Z207/AN207,"")</x:f>
      </x:c>
      <x:c r="AP207" s="18" t="str">
        <x:f>IF(NOT(ISNUMBER(AO207)),"",IF(AO207&gt;'Impostazioni'!$B$7,"Oltre soglia personale","Nella soglia personale"))</x:f>
      </x:c>
      <x:c r="AQ207" s="18" t="str">
        <x:f>IF(A207="",IF(COUNTA(B207:V207)=0,"","Inserisci ID"),IF(COUNTIFS($A$8:$A$507,A207)&lt;&gt;1,"ID duplicato",IF(OR(NOT(ISNUMBER(B207)),D207="",E207="",F207="",G207="",H207="",COUNTIFS('Impostazioni'!$J$6:$J$25,F207)&lt;&gt;1),"Completa dati / elenchi",IF(OR(AND(I207&lt;&gt;"Lordo manuale",I207&lt;&gt;"Netto manuale",I207&lt;&gt;"Esecuzioni"),AND(J207&lt;&gt;"Aperto",J207&lt;&gt;"Chiuso",J207&lt;&gt;"Annullato")),"Modalità / stato mancanti",IF(AND(J207&lt;&gt;"Aperto",OR(NOT(ISNUMBER(C207)),C207&lt;B207)),"Correggi data chiusura",IF(OR(AND(Q207&lt;&gt;"",OR(NOT(ISNUMBER(Q207)),Q207&lt;0)),AND(R207&lt;&gt;"",OR(NOT(ISNUMBER(R207)),R207&lt;0,R207&gt;1))),"Commissione non valida",IF(J207="Annullato","OK",IF(OR(NOT(ISNUMBER(Z207)),Z207&lt;0,AND(O207&lt;&gt;"",NOT(ISNUMBER(O207)))),"Inserisci rischio",IF(AND(I207="Esecuzioni",OR(W207=0,COUNTIFS('Esecuzioni'!$A$8:$A$1007,A207,'Esecuzioni'!$Q$8:$Q$1007,"&lt;&gt;OK")&gt;0)),"Correggi esecuzioni",IF(J207="Aperto","OK",IF(AND(I207="Esecuzioni",S207="Coperto",ABS(X207-Y207)&gt;'Impostazioni'!$B$11),"Copertura residua",IF(NOT(ISNUMBER(AC207)),"Completa risultato / esito",IF(AND(Z207=0,AC207&lt;&gt;0),"Rischio nullo con P/L","OK")))))))))))))</x:f>
      </x:c>
      <x:c r="AR207" s="20" t="str">
        <x:f>IF(OR(A207="",J207&lt;&gt;"Aperto",AQ207&lt;&gt;"OK"),"",IF(I207="Esecuzioni",SUMIFS('Esecuzioni'!$P$8:$P$1007,'Esecuzioni'!$A$8:$A$1007,A207,'Esecuzioni'!$B$8:$B$1007,_xlfn.MAXIFS('Esecuzioni'!$B$8:$B$1007,'Esecuzioni'!$A$8:$A$1007,A207)),IF(LEFT(U207,8)="FREEBET:",0,Z207)))</x:f>
      </x:c>
      <x:c r="AS207" s="48" t="str">
        <x:f>IF(OR(A207="",E207=""),"",IF(COUNTIFS($E$8:E207,E207)=1,COUNT($AS$7:AS206)+1,""))</x:f>
      </x:c>
    </x:row>
    <x:row r="208" ht="22" customHeight="1">
      <x:c r="A208" s="7"/>
      <x:c r="B208" s="19"/>
      <x:c r="C208" s="19"/>
      <x:c r="D208" s="7"/>
      <x:c r="E208" s="7"/>
      <x:c r="F208" s="7"/>
      <x:c r="G208" s="7"/>
      <x:c r="H208" s="7"/>
      <x:c r="I208" s="7"/>
      <x:c r="J208" s="7"/>
      <x:c r="K208" s="10"/>
      <x:c r="L208" s="7"/>
      <x:c r="M208" s="10"/>
      <x:c r="N208" s="7"/>
      <x:c r="O208" s="8"/>
      <x:c r="P208" s="8"/>
      <x:c r="Q208" s="8"/>
      <x:c r="R208" s="9"/>
      <x:c r="S208" s="7"/>
      <x:c r="T208" s="7"/>
      <x:c r="U208" s="7"/>
      <x:c r="V208" s="7"/>
      <x:c r="W208" s="22" t="str">
        <x:f>IF(A208="","",COUNTIFS('Esecuzioni'!$A$8:$A$1007,A208,'Esecuzioni'!$Q$8:$Q$1007,"OK"))</x:f>
      </x:c>
      <x:c r="X208" s="20" t="str">
        <x:f>IF(OR(A208="",I208&lt;&gt;"Esecuzioni",W208=0),"",SUMIFS('Esecuzioni'!$L$8:$L$1007,'Esecuzioni'!$A$8:$A$1007,A208))</x:f>
      </x:c>
      <x:c r="Y208" s="20" t="str">
        <x:f>IF(OR(A208="",I208&lt;&gt;"Esecuzioni",W208=0),"",SUMIFS('Esecuzioni'!$M$8:$M$1007,'Esecuzioni'!$A$8:$A$1007,A208))</x:f>
      </x:c>
      <x:c r="Z208" s="20" t="str">
        <x:f>IF(A208="","",IF(J208="Annullato",0,IF(ISNUMBER(O208),O208,IF(AND(I208="Esecuzioni",W208&gt;0),_xlfn.MAXIFS('Esecuzioni'!$P$8:$P$1007,'Esecuzioni'!$A$8:$A$1007,A208),""))))</x:f>
      </x:c>
      <x:c r="AA208" s="20" t="str">
        <x:f>IF(OR(A208="",J208="Aperto"),"",IF(J208="Annullato",0,IF(I208="Lordo manuale",IF(ISNUMBER(P208),P208,""),IF(I208="Netto manuale",IF(AND(ISNUMBER(P208),ISNUMBER(Q208)),P208+Q208,""),IF(OR(W208=0,COUNTIFS('Esecuzioni'!$A$8:$A$1007,A208,'Esecuzioni'!$Q$8:$Q$1007,"&lt;&gt;OK")&gt;0),"",IF(S208="Vince",X208,IF(S208="Perde",Y208,IF(AND(S208="Coperto",ABS(X208-Y208)&lt;='Impostazioni'!$B$11),ROUND((X208+Y208)/2,2),""))))))))</x:f>
      </x:c>
      <x:c r="AB208" s="20" t="str">
        <x:f>IF(NOT(ISNUMBER(AA208)),"",IF(J208="Annullato",0,IF(ISNUMBER(Q208),Q208,ROUND(MAX(0,AA208)*IF(ISNUMBER(R208),R208,'Impostazioni'!$B$8),2))))</x:f>
      </x:c>
      <x:c r="AC208" s="20" t="str">
        <x:f>IF(AND(ISNUMBER(AA208),ISNUMBER(AB208)),ROUND(AA208-AB208,2),"")</x:f>
      </x:c>
      <x:c r="AD208" s="18" t="str">
        <x:f>IF(A208="","",IF(AQ208&lt;&gt;"OK","Incompleto",IF(J208="Aperto","Aperto",IF(J208="Annullato","Annullato",IF(AC208&gt;0,"Green",IF(AC208&lt;0,"Red","Flat"))))))</x:f>
      </x:c>
      <x:c r="AE208" s="21" t="str">
        <x:f>IF(AND(AH208=1,Z208&gt;0),AC208/Z208,"")</x:f>
      </x:c>
      <x:c r="AF208" s="22" t="str">
        <x:f>IF(AH208&lt;&gt;1,"",COUNTIFS($C$8:$C$507,"&lt;"&amp;C208,$AH$8:$AH$507,1)+COUNTIFS($C$8:$C$507,C208,$A$8:$A$507,"&lt;="&amp;A208,$AH$8:$AH$507,1))</x:f>
      </x:c>
      <x:c r="AG208" s="20" t="str">
        <x:f>IF(AH208&lt;&gt;1,"",SUMIFS($AC$8:$AC$507,$C$8:$C$507,"&lt;"&amp;C208,$AH$8:$AH$507,1)+SUMIFS($AC$8:$AC$507,$C$8:$C$507,C208,$A$8:$A$507,"&lt;="&amp;A208,$AH$8:$AH$507,1))</x:f>
      </x:c>
      <x:c r="AH208" s="22" t="str">
        <x:f>IF(A208="","",IF(AND(J208="Chiuso",AQ208="OK",ISNUMBER(AC208)),1,0))</x:f>
      </x:c>
      <x:c r="AI208" s="20" t="str">
        <x:f>IF(AH208&lt;&gt;1,"",MAX(0,_xlfn.MAXIFS($AG$8:$AG$507,$AF$8:$AF$507,"&lt;="&amp;AF208,$AH$8:$AH$507,1)))</x:f>
      </x:c>
      <x:c r="AJ208" s="20" t="str">
        <x:f>IF(AH208&lt;&gt;1,"",MAX(0,AI208-AG208))</x:f>
      </x:c>
      <x:c r="AK208" s="21" t="str">
        <x:f>IF(OR(AH208&lt;&gt;1,NOT(ISNUMBER('Impostazioni'!$B$6)),'Impostazioni'!$B$6+AI208&lt;=0),"",AJ208/('Impostazioni'!$B$6+AI208))</x:f>
      </x:c>
      <x:c r="AL208" s="22" t="str">
        <x:f>IF(AH208&lt;&gt;1,"",IF(AC208&gt;0,AF208-_xlfn.MAXIFS($AF$8:$AF$507,$AF$8:$AF$507,"&lt;="&amp;AF208,$AC$8:$AC$507,"&lt;=0",$AH$8:$AH$507,1),0))</x:f>
      </x:c>
      <x:c r="AM208" s="22" t="str">
        <x:f>IF(AH208&lt;&gt;1,"",IF(AC208&lt;0,AF208-_xlfn.MAXIFS($AF$8:$AF$507,$AF$8:$AF$507,"&lt;="&amp;AF208,$AC$8:$AC$507,"&gt;=0",$AH$8:$AH$507,1),0))</x:f>
      </x:c>
      <x:c r="AN208" s="20" t="str">
        <x:f>IF(OR(A208="",NOT(ISNUMBER(B208)),NOT(ISNUMBER('Impostazioni'!$B$6))),"",'Impostazioni'!$B$6+SUMIFS($AC$8:$AC$507,$C$8:$C$507,"&lt;"&amp;B208,$AH$8:$AH$507,1)+SUMIFS('Cassa'!$F$8:$F$307,'Cassa'!$A$8:$A$307,"&lt;="&amp;B208,'Cassa'!$G$8:$G$307,"OK"))</x:f>
      </x:c>
      <x:c r="AO208" s="21" t="str">
        <x:f>IF(AND(ISNUMBER(Z208),ISNUMBER(AN208),AN208&gt;0),Z208/AN208,"")</x:f>
      </x:c>
      <x:c r="AP208" s="18" t="str">
        <x:f>IF(NOT(ISNUMBER(AO208)),"",IF(AO208&gt;'Impostazioni'!$B$7,"Oltre soglia personale","Nella soglia personale"))</x:f>
      </x:c>
      <x:c r="AQ208" s="18" t="str">
        <x:f>IF(A208="",IF(COUNTA(B208:V208)=0,"","Inserisci ID"),IF(COUNTIFS($A$8:$A$507,A208)&lt;&gt;1,"ID duplicato",IF(OR(NOT(ISNUMBER(B208)),D208="",E208="",F208="",G208="",H208="",COUNTIFS('Impostazioni'!$J$6:$J$25,F208)&lt;&gt;1),"Completa dati / elenchi",IF(OR(AND(I208&lt;&gt;"Lordo manuale",I208&lt;&gt;"Netto manuale",I208&lt;&gt;"Esecuzioni"),AND(J208&lt;&gt;"Aperto",J208&lt;&gt;"Chiuso",J208&lt;&gt;"Annullato")),"Modalità / stato mancanti",IF(AND(J208&lt;&gt;"Aperto",OR(NOT(ISNUMBER(C208)),C208&lt;B208)),"Correggi data chiusura",IF(OR(AND(Q208&lt;&gt;"",OR(NOT(ISNUMBER(Q208)),Q208&lt;0)),AND(R208&lt;&gt;"",OR(NOT(ISNUMBER(R208)),R208&lt;0,R208&gt;1))),"Commissione non valida",IF(J208="Annullato","OK",IF(OR(NOT(ISNUMBER(Z208)),Z208&lt;0,AND(O208&lt;&gt;"",NOT(ISNUMBER(O208)))),"Inserisci rischio",IF(AND(I208="Esecuzioni",OR(W208=0,COUNTIFS('Esecuzioni'!$A$8:$A$1007,A208,'Esecuzioni'!$Q$8:$Q$1007,"&lt;&gt;OK")&gt;0)),"Correggi esecuzioni",IF(J208="Aperto","OK",IF(AND(I208="Esecuzioni",S208="Coperto",ABS(X208-Y208)&gt;'Impostazioni'!$B$11),"Copertura residua",IF(NOT(ISNUMBER(AC208)),"Completa risultato / esito",IF(AND(Z208=0,AC208&lt;&gt;0),"Rischio nullo con P/L","OK")))))))))))))</x:f>
      </x:c>
      <x:c r="AR208" s="20" t="str">
        <x:f>IF(OR(A208="",J208&lt;&gt;"Aperto",AQ208&lt;&gt;"OK"),"",IF(I208="Esecuzioni",SUMIFS('Esecuzioni'!$P$8:$P$1007,'Esecuzioni'!$A$8:$A$1007,A208,'Esecuzioni'!$B$8:$B$1007,_xlfn.MAXIFS('Esecuzioni'!$B$8:$B$1007,'Esecuzioni'!$A$8:$A$1007,A208)),IF(LEFT(U208,8)="FREEBET:",0,Z208)))</x:f>
      </x:c>
      <x:c r="AS208" s="48" t="str">
        <x:f>IF(OR(A208="",E208=""),"",IF(COUNTIFS($E$8:E208,E208)=1,COUNT($AS$7:AS207)+1,""))</x:f>
      </x:c>
    </x:row>
    <x:row r="209" ht="22" customHeight="1">
      <x:c r="A209" s="7"/>
      <x:c r="B209" s="19"/>
      <x:c r="C209" s="19"/>
      <x:c r="D209" s="7"/>
      <x:c r="E209" s="7"/>
      <x:c r="F209" s="7"/>
      <x:c r="G209" s="7"/>
      <x:c r="H209" s="7"/>
      <x:c r="I209" s="7"/>
      <x:c r="J209" s="7"/>
      <x:c r="K209" s="10"/>
      <x:c r="L209" s="7"/>
      <x:c r="M209" s="10"/>
      <x:c r="N209" s="7"/>
      <x:c r="O209" s="8"/>
      <x:c r="P209" s="8"/>
      <x:c r="Q209" s="8"/>
      <x:c r="R209" s="9"/>
      <x:c r="S209" s="7"/>
      <x:c r="T209" s="7"/>
      <x:c r="U209" s="7"/>
      <x:c r="V209" s="7"/>
      <x:c r="W209" s="22" t="str">
        <x:f>IF(A209="","",COUNTIFS('Esecuzioni'!$A$8:$A$1007,A209,'Esecuzioni'!$Q$8:$Q$1007,"OK"))</x:f>
      </x:c>
      <x:c r="X209" s="20" t="str">
        <x:f>IF(OR(A209="",I209&lt;&gt;"Esecuzioni",W209=0),"",SUMIFS('Esecuzioni'!$L$8:$L$1007,'Esecuzioni'!$A$8:$A$1007,A209))</x:f>
      </x:c>
      <x:c r="Y209" s="20" t="str">
        <x:f>IF(OR(A209="",I209&lt;&gt;"Esecuzioni",W209=0),"",SUMIFS('Esecuzioni'!$M$8:$M$1007,'Esecuzioni'!$A$8:$A$1007,A209))</x:f>
      </x:c>
      <x:c r="Z209" s="20" t="str">
        <x:f>IF(A209="","",IF(J209="Annullato",0,IF(ISNUMBER(O209),O209,IF(AND(I209="Esecuzioni",W209&gt;0),_xlfn.MAXIFS('Esecuzioni'!$P$8:$P$1007,'Esecuzioni'!$A$8:$A$1007,A209),""))))</x:f>
      </x:c>
      <x:c r="AA209" s="20" t="str">
        <x:f>IF(OR(A209="",J209="Aperto"),"",IF(J209="Annullato",0,IF(I209="Lordo manuale",IF(ISNUMBER(P209),P209,""),IF(I209="Netto manuale",IF(AND(ISNUMBER(P209),ISNUMBER(Q209)),P209+Q209,""),IF(OR(W209=0,COUNTIFS('Esecuzioni'!$A$8:$A$1007,A209,'Esecuzioni'!$Q$8:$Q$1007,"&lt;&gt;OK")&gt;0),"",IF(S209="Vince",X209,IF(S209="Perde",Y209,IF(AND(S209="Coperto",ABS(X209-Y209)&lt;='Impostazioni'!$B$11),ROUND((X209+Y209)/2,2),""))))))))</x:f>
      </x:c>
      <x:c r="AB209" s="20" t="str">
        <x:f>IF(NOT(ISNUMBER(AA209)),"",IF(J209="Annullato",0,IF(ISNUMBER(Q209),Q209,ROUND(MAX(0,AA209)*IF(ISNUMBER(R209),R209,'Impostazioni'!$B$8),2))))</x:f>
      </x:c>
      <x:c r="AC209" s="20" t="str">
        <x:f>IF(AND(ISNUMBER(AA209),ISNUMBER(AB209)),ROUND(AA209-AB209,2),"")</x:f>
      </x:c>
      <x:c r="AD209" s="18" t="str">
        <x:f>IF(A209="","",IF(AQ209&lt;&gt;"OK","Incompleto",IF(J209="Aperto","Aperto",IF(J209="Annullato","Annullato",IF(AC209&gt;0,"Green",IF(AC209&lt;0,"Red","Flat"))))))</x:f>
      </x:c>
      <x:c r="AE209" s="21" t="str">
        <x:f>IF(AND(AH209=1,Z209&gt;0),AC209/Z209,"")</x:f>
      </x:c>
      <x:c r="AF209" s="22" t="str">
        <x:f>IF(AH209&lt;&gt;1,"",COUNTIFS($C$8:$C$507,"&lt;"&amp;C209,$AH$8:$AH$507,1)+COUNTIFS($C$8:$C$507,C209,$A$8:$A$507,"&lt;="&amp;A209,$AH$8:$AH$507,1))</x:f>
      </x:c>
      <x:c r="AG209" s="20" t="str">
        <x:f>IF(AH209&lt;&gt;1,"",SUMIFS($AC$8:$AC$507,$C$8:$C$507,"&lt;"&amp;C209,$AH$8:$AH$507,1)+SUMIFS($AC$8:$AC$507,$C$8:$C$507,C209,$A$8:$A$507,"&lt;="&amp;A209,$AH$8:$AH$507,1))</x:f>
      </x:c>
      <x:c r="AH209" s="22" t="str">
        <x:f>IF(A209="","",IF(AND(J209="Chiuso",AQ209="OK",ISNUMBER(AC209)),1,0))</x:f>
      </x:c>
      <x:c r="AI209" s="20" t="str">
        <x:f>IF(AH209&lt;&gt;1,"",MAX(0,_xlfn.MAXIFS($AG$8:$AG$507,$AF$8:$AF$507,"&lt;="&amp;AF209,$AH$8:$AH$507,1)))</x:f>
      </x:c>
      <x:c r="AJ209" s="20" t="str">
        <x:f>IF(AH209&lt;&gt;1,"",MAX(0,AI209-AG209))</x:f>
      </x:c>
      <x:c r="AK209" s="21" t="str">
        <x:f>IF(OR(AH209&lt;&gt;1,NOT(ISNUMBER('Impostazioni'!$B$6)),'Impostazioni'!$B$6+AI209&lt;=0),"",AJ209/('Impostazioni'!$B$6+AI209))</x:f>
      </x:c>
      <x:c r="AL209" s="22" t="str">
        <x:f>IF(AH209&lt;&gt;1,"",IF(AC209&gt;0,AF209-_xlfn.MAXIFS($AF$8:$AF$507,$AF$8:$AF$507,"&lt;="&amp;AF209,$AC$8:$AC$507,"&lt;=0",$AH$8:$AH$507,1),0))</x:f>
      </x:c>
      <x:c r="AM209" s="22" t="str">
        <x:f>IF(AH209&lt;&gt;1,"",IF(AC209&lt;0,AF209-_xlfn.MAXIFS($AF$8:$AF$507,$AF$8:$AF$507,"&lt;="&amp;AF209,$AC$8:$AC$507,"&gt;=0",$AH$8:$AH$507,1),0))</x:f>
      </x:c>
      <x:c r="AN209" s="20" t="str">
        <x:f>IF(OR(A209="",NOT(ISNUMBER(B209)),NOT(ISNUMBER('Impostazioni'!$B$6))),"",'Impostazioni'!$B$6+SUMIFS($AC$8:$AC$507,$C$8:$C$507,"&lt;"&amp;B209,$AH$8:$AH$507,1)+SUMIFS('Cassa'!$F$8:$F$307,'Cassa'!$A$8:$A$307,"&lt;="&amp;B209,'Cassa'!$G$8:$G$307,"OK"))</x:f>
      </x:c>
      <x:c r="AO209" s="21" t="str">
        <x:f>IF(AND(ISNUMBER(Z209),ISNUMBER(AN209),AN209&gt;0),Z209/AN209,"")</x:f>
      </x:c>
      <x:c r="AP209" s="18" t="str">
        <x:f>IF(NOT(ISNUMBER(AO209)),"",IF(AO209&gt;'Impostazioni'!$B$7,"Oltre soglia personale","Nella soglia personale"))</x:f>
      </x:c>
      <x:c r="AQ209" s="18" t="str">
        <x:f>IF(A209="",IF(COUNTA(B209:V209)=0,"","Inserisci ID"),IF(COUNTIFS($A$8:$A$507,A209)&lt;&gt;1,"ID duplicato",IF(OR(NOT(ISNUMBER(B209)),D209="",E209="",F209="",G209="",H209="",COUNTIFS('Impostazioni'!$J$6:$J$25,F209)&lt;&gt;1),"Completa dati / elenchi",IF(OR(AND(I209&lt;&gt;"Lordo manuale",I209&lt;&gt;"Netto manuale",I209&lt;&gt;"Esecuzioni"),AND(J209&lt;&gt;"Aperto",J209&lt;&gt;"Chiuso",J209&lt;&gt;"Annullato")),"Modalità / stato mancanti",IF(AND(J209&lt;&gt;"Aperto",OR(NOT(ISNUMBER(C209)),C209&lt;B209)),"Correggi data chiusura",IF(OR(AND(Q209&lt;&gt;"",OR(NOT(ISNUMBER(Q209)),Q209&lt;0)),AND(R209&lt;&gt;"",OR(NOT(ISNUMBER(R209)),R209&lt;0,R209&gt;1))),"Commissione non valida",IF(J209="Annullato","OK",IF(OR(NOT(ISNUMBER(Z209)),Z209&lt;0,AND(O209&lt;&gt;"",NOT(ISNUMBER(O209)))),"Inserisci rischio",IF(AND(I209="Esecuzioni",OR(W209=0,COUNTIFS('Esecuzioni'!$A$8:$A$1007,A209,'Esecuzioni'!$Q$8:$Q$1007,"&lt;&gt;OK")&gt;0)),"Correggi esecuzioni",IF(J209="Aperto","OK",IF(AND(I209="Esecuzioni",S209="Coperto",ABS(X209-Y209)&gt;'Impostazioni'!$B$11),"Copertura residua",IF(NOT(ISNUMBER(AC209)),"Completa risultato / esito",IF(AND(Z209=0,AC209&lt;&gt;0),"Rischio nullo con P/L","OK")))))))))))))</x:f>
      </x:c>
      <x:c r="AR209" s="20" t="str">
        <x:f>IF(OR(A209="",J209&lt;&gt;"Aperto",AQ209&lt;&gt;"OK"),"",IF(I209="Esecuzioni",SUMIFS('Esecuzioni'!$P$8:$P$1007,'Esecuzioni'!$A$8:$A$1007,A209,'Esecuzioni'!$B$8:$B$1007,_xlfn.MAXIFS('Esecuzioni'!$B$8:$B$1007,'Esecuzioni'!$A$8:$A$1007,A209)),IF(LEFT(U209,8)="FREEBET:",0,Z209)))</x:f>
      </x:c>
      <x:c r="AS209" s="48" t="str">
        <x:f>IF(OR(A209="",E209=""),"",IF(COUNTIFS($E$8:E209,E209)=1,COUNT($AS$7:AS208)+1,""))</x:f>
      </x:c>
    </x:row>
    <x:row r="210" ht="22" customHeight="1">
      <x:c r="A210" s="7"/>
      <x:c r="B210" s="19"/>
      <x:c r="C210" s="19"/>
      <x:c r="D210" s="7"/>
      <x:c r="E210" s="7"/>
      <x:c r="F210" s="7"/>
      <x:c r="G210" s="7"/>
      <x:c r="H210" s="7"/>
      <x:c r="I210" s="7"/>
      <x:c r="J210" s="7"/>
      <x:c r="K210" s="10"/>
      <x:c r="L210" s="7"/>
      <x:c r="M210" s="10"/>
      <x:c r="N210" s="7"/>
      <x:c r="O210" s="8"/>
      <x:c r="P210" s="8"/>
      <x:c r="Q210" s="8"/>
      <x:c r="R210" s="9"/>
      <x:c r="S210" s="7"/>
      <x:c r="T210" s="7"/>
      <x:c r="U210" s="7"/>
      <x:c r="V210" s="7"/>
      <x:c r="W210" s="22" t="str">
        <x:f>IF(A210="","",COUNTIFS('Esecuzioni'!$A$8:$A$1007,A210,'Esecuzioni'!$Q$8:$Q$1007,"OK"))</x:f>
      </x:c>
      <x:c r="X210" s="20" t="str">
        <x:f>IF(OR(A210="",I210&lt;&gt;"Esecuzioni",W210=0),"",SUMIFS('Esecuzioni'!$L$8:$L$1007,'Esecuzioni'!$A$8:$A$1007,A210))</x:f>
      </x:c>
      <x:c r="Y210" s="20" t="str">
        <x:f>IF(OR(A210="",I210&lt;&gt;"Esecuzioni",W210=0),"",SUMIFS('Esecuzioni'!$M$8:$M$1007,'Esecuzioni'!$A$8:$A$1007,A210))</x:f>
      </x:c>
      <x:c r="Z210" s="20" t="str">
        <x:f>IF(A210="","",IF(J210="Annullato",0,IF(ISNUMBER(O210),O210,IF(AND(I210="Esecuzioni",W210&gt;0),_xlfn.MAXIFS('Esecuzioni'!$P$8:$P$1007,'Esecuzioni'!$A$8:$A$1007,A210),""))))</x:f>
      </x:c>
      <x:c r="AA210" s="20" t="str">
        <x:f>IF(OR(A210="",J210="Aperto"),"",IF(J210="Annullato",0,IF(I210="Lordo manuale",IF(ISNUMBER(P210),P210,""),IF(I210="Netto manuale",IF(AND(ISNUMBER(P210),ISNUMBER(Q210)),P210+Q210,""),IF(OR(W210=0,COUNTIFS('Esecuzioni'!$A$8:$A$1007,A210,'Esecuzioni'!$Q$8:$Q$1007,"&lt;&gt;OK")&gt;0),"",IF(S210="Vince",X210,IF(S210="Perde",Y210,IF(AND(S210="Coperto",ABS(X210-Y210)&lt;='Impostazioni'!$B$11),ROUND((X210+Y210)/2,2),""))))))))</x:f>
      </x:c>
      <x:c r="AB210" s="20" t="str">
        <x:f>IF(NOT(ISNUMBER(AA210)),"",IF(J210="Annullato",0,IF(ISNUMBER(Q210),Q210,ROUND(MAX(0,AA210)*IF(ISNUMBER(R210),R210,'Impostazioni'!$B$8),2))))</x:f>
      </x:c>
      <x:c r="AC210" s="20" t="str">
        <x:f>IF(AND(ISNUMBER(AA210),ISNUMBER(AB210)),ROUND(AA210-AB210,2),"")</x:f>
      </x:c>
      <x:c r="AD210" s="18" t="str">
        <x:f>IF(A210="","",IF(AQ210&lt;&gt;"OK","Incompleto",IF(J210="Aperto","Aperto",IF(J210="Annullato","Annullato",IF(AC210&gt;0,"Green",IF(AC210&lt;0,"Red","Flat"))))))</x:f>
      </x:c>
      <x:c r="AE210" s="21" t="str">
        <x:f>IF(AND(AH210=1,Z210&gt;0),AC210/Z210,"")</x:f>
      </x:c>
      <x:c r="AF210" s="22" t="str">
        <x:f>IF(AH210&lt;&gt;1,"",COUNTIFS($C$8:$C$507,"&lt;"&amp;C210,$AH$8:$AH$507,1)+COUNTIFS($C$8:$C$507,C210,$A$8:$A$507,"&lt;="&amp;A210,$AH$8:$AH$507,1))</x:f>
      </x:c>
      <x:c r="AG210" s="20" t="str">
        <x:f>IF(AH210&lt;&gt;1,"",SUMIFS($AC$8:$AC$507,$C$8:$C$507,"&lt;"&amp;C210,$AH$8:$AH$507,1)+SUMIFS($AC$8:$AC$507,$C$8:$C$507,C210,$A$8:$A$507,"&lt;="&amp;A210,$AH$8:$AH$507,1))</x:f>
      </x:c>
      <x:c r="AH210" s="22" t="str">
        <x:f>IF(A210="","",IF(AND(J210="Chiuso",AQ210="OK",ISNUMBER(AC210)),1,0))</x:f>
      </x:c>
      <x:c r="AI210" s="20" t="str">
        <x:f>IF(AH210&lt;&gt;1,"",MAX(0,_xlfn.MAXIFS($AG$8:$AG$507,$AF$8:$AF$507,"&lt;="&amp;AF210,$AH$8:$AH$507,1)))</x:f>
      </x:c>
      <x:c r="AJ210" s="20" t="str">
        <x:f>IF(AH210&lt;&gt;1,"",MAX(0,AI210-AG210))</x:f>
      </x:c>
      <x:c r="AK210" s="21" t="str">
        <x:f>IF(OR(AH210&lt;&gt;1,NOT(ISNUMBER('Impostazioni'!$B$6)),'Impostazioni'!$B$6+AI210&lt;=0),"",AJ210/('Impostazioni'!$B$6+AI210))</x:f>
      </x:c>
      <x:c r="AL210" s="22" t="str">
        <x:f>IF(AH210&lt;&gt;1,"",IF(AC210&gt;0,AF210-_xlfn.MAXIFS($AF$8:$AF$507,$AF$8:$AF$507,"&lt;="&amp;AF210,$AC$8:$AC$507,"&lt;=0",$AH$8:$AH$507,1),0))</x:f>
      </x:c>
      <x:c r="AM210" s="22" t="str">
        <x:f>IF(AH210&lt;&gt;1,"",IF(AC210&lt;0,AF210-_xlfn.MAXIFS($AF$8:$AF$507,$AF$8:$AF$507,"&lt;="&amp;AF210,$AC$8:$AC$507,"&gt;=0",$AH$8:$AH$507,1),0))</x:f>
      </x:c>
      <x:c r="AN210" s="20" t="str">
        <x:f>IF(OR(A210="",NOT(ISNUMBER(B210)),NOT(ISNUMBER('Impostazioni'!$B$6))),"",'Impostazioni'!$B$6+SUMIFS($AC$8:$AC$507,$C$8:$C$507,"&lt;"&amp;B210,$AH$8:$AH$507,1)+SUMIFS('Cassa'!$F$8:$F$307,'Cassa'!$A$8:$A$307,"&lt;="&amp;B210,'Cassa'!$G$8:$G$307,"OK"))</x:f>
      </x:c>
      <x:c r="AO210" s="21" t="str">
        <x:f>IF(AND(ISNUMBER(Z210),ISNUMBER(AN210),AN210&gt;0),Z210/AN210,"")</x:f>
      </x:c>
      <x:c r="AP210" s="18" t="str">
        <x:f>IF(NOT(ISNUMBER(AO210)),"",IF(AO210&gt;'Impostazioni'!$B$7,"Oltre soglia personale","Nella soglia personale"))</x:f>
      </x:c>
      <x:c r="AQ210" s="18" t="str">
        <x:f>IF(A210="",IF(COUNTA(B210:V210)=0,"","Inserisci ID"),IF(COUNTIFS($A$8:$A$507,A210)&lt;&gt;1,"ID duplicato",IF(OR(NOT(ISNUMBER(B210)),D210="",E210="",F210="",G210="",H210="",COUNTIFS('Impostazioni'!$J$6:$J$25,F210)&lt;&gt;1),"Completa dati / elenchi",IF(OR(AND(I210&lt;&gt;"Lordo manuale",I210&lt;&gt;"Netto manuale",I210&lt;&gt;"Esecuzioni"),AND(J210&lt;&gt;"Aperto",J210&lt;&gt;"Chiuso",J210&lt;&gt;"Annullato")),"Modalità / stato mancanti",IF(AND(J210&lt;&gt;"Aperto",OR(NOT(ISNUMBER(C210)),C210&lt;B210)),"Correggi data chiusura",IF(OR(AND(Q210&lt;&gt;"",OR(NOT(ISNUMBER(Q210)),Q210&lt;0)),AND(R210&lt;&gt;"",OR(NOT(ISNUMBER(R210)),R210&lt;0,R210&gt;1))),"Commissione non valida",IF(J210="Annullato","OK",IF(OR(NOT(ISNUMBER(Z210)),Z210&lt;0,AND(O210&lt;&gt;"",NOT(ISNUMBER(O210)))),"Inserisci rischio",IF(AND(I210="Esecuzioni",OR(W210=0,COUNTIFS('Esecuzioni'!$A$8:$A$1007,A210,'Esecuzioni'!$Q$8:$Q$1007,"&lt;&gt;OK")&gt;0)),"Correggi esecuzioni",IF(J210="Aperto","OK",IF(AND(I210="Esecuzioni",S210="Coperto",ABS(X210-Y210)&gt;'Impostazioni'!$B$11),"Copertura residua",IF(NOT(ISNUMBER(AC210)),"Completa risultato / esito",IF(AND(Z210=0,AC210&lt;&gt;0),"Rischio nullo con P/L","OK")))))))))))))</x:f>
      </x:c>
      <x:c r="AR210" s="20" t="str">
        <x:f>IF(OR(A210="",J210&lt;&gt;"Aperto",AQ210&lt;&gt;"OK"),"",IF(I210="Esecuzioni",SUMIFS('Esecuzioni'!$P$8:$P$1007,'Esecuzioni'!$A$8:$A$1007,A210,'Esecuzioni'!$B$8:$B$1007,_xlfn.MAXIFS('Esecuzioni'!$B$8:$B$1007,'Esecuzioni'!$A$8:$A$1007,A210)),IF(LEFT(U210,8)="FREEBET:",0,Z210)))</x:f>
      </x:c>
      <x:c r="AS210" s="48" t="str">
        <x:f>IF(OR(A210="",E210=""),"",IF(COUNTIFS($E$8:E210,E210)=1,COUNT($AS$7:AS209)+1,""))</x:f>
      </x:c>
    </x:row>
    <x:row r="211" ht="22" customHeight="1">
      <x:c r="A211" s="7"/>
      <x:c r="B211" s="19"/>
      <x:c r="C211" s="19"/>
      <x:c r="D211" s="7"/>
      <x:c r="E211" s="7"/>
      <x:c r="F211" s="7"/>
      <x:c r="G211" s="7"/>
      <x:c r="H211" s="7"/>
      <x:c r="I211" s="7"/>
      <x:c r="J211" s="7"/>
      <x:c r="K211" s="10"/>
      <x:c r="L211" s="7"/>
      <x:c r="M211" s="10"/>
      <x:c r="N211" s="7"/>
      <x:c r="O211" s="8"/>
      <x:c r="P211" s="8"/>
      <x:c r="Q211" s="8"/>
      <x:c r="R211" s="9"/>
      <x:c r="S211" s="7"/>
      <x:c r="T211" s="7"/>
      <x:c r="U211" s="7"/>
      <x:c r="V211" s="7"/>
      <x:c r="W211" s="22" t="str">
        <x:f>IF(A211="","",COUNTIFS('Esecuzioni'!$A$8:$A$1007,A211,'Esecuzioni'!$Q$8:$Q$1007,"OK"))</x:f>
      </x:c>
      <x:c r="X211" s="20" t="str">
        <x:f>IF(OR(A211="",I211&lt;&gt;"Esecuzioni",W211=0),"",SUMIFS('Esecuzioni'!$L$8:$L$1007,'Esecuzioni'!$A$8:$A$1007,A211))</x:f>
      </x:c>
      <x:c r="Y211" s="20" t="str">
        <x:f>IF(OR(A211="",I211&lt;&gt;"Esecuzioni",W211=0),"",SUMIFS('Esecuzioni'!$M$8:$M$1007,'Esecuzioni'!$A$8:$A$1007,A211))</x:f>
      </x:c>
      <x:c r="Z211" s="20" t="str">
        <x:f>IF(A211="","",IF(J211="Annullato",0,IF(ISNUMBER(O211),O211,IF(AND(I211="Esecuzioni",W211&gt;0),_xlfn.MAXIFS('Esecuzioni'!$P$8:$P$1007,'Esecuzioni'!$A$8:$A$1007,A211),""))))</x:f>
      </x:c>
      <x:c r="AA211" s="20" t="str">
        <x:f>IF(OR(A211="",J211="Aperto"),"",IF(J211="Annullato",0,IF(I211="Lordo manuale",IF(ISNUMBER(P211),P211,""),IF(I211="Netto manuale",IF(AND(ISNUMBER(P211),ISNUMBER(Q211)),P211+Q211,""),IF(OR(W211=0,COUNTIFS('Esecuzioni'!$A$8:$A$1007,A211,'Esecuzioni'!$Q$8:$Q$1007,"&lt;&gt;OK")&gt;0),"",IF(S211="Vince",X211,IF(S211="Perde",Y211,IF(AND(S211="Coperto",ABS(X211-Y211)&lt;='Impostazioni'!$B$11),ROUND((X211+Y211)/2,2),""))))))))</x:f>
      </x:c>
      <x:c r="AB211" s="20" t="str">
        <x:f>IF(NOT(ISNUMBER(AA211)),"",IF(J211="Annullato",0,IF(ISNUMBER(Q211),Q211,ROUND(MAX(0,AA211)*IF(ISNUMBER(R211),R211,'Impostazioni'!$B$8),2))))</x:f>
      </x:c>
      <x:c r="AC211" s="20" t="str">
        <x:f>IF(AND(ISNUMBER(AA211),ISNUMBER(AB211)),ROUND(AA211-AB211,2),"")</x:f>
      </x:c>
      <x:c r="AD211" s="18" t="str">
        <x:f>IF(A211="","",IF(AQ211&lt;&gt;"OK","Incompleto",IF(J211="Aperto","Aperto",IF(J211="Annullato","Annullato",IF(AC211&gt;0,"Green",IF(AC211&lt;0,"Red","Flat"))))))</x:f>
      </x:c>
      <x:c r="AE211" s="21" t="str">
        <x:f>IF(AND(AH211=1,Z211&gt;0),AC211/Z211,"")</x:f>
      </x:c>
      <x:c r="AF211" s="22" t="str">
        <x:f>IF(AH211&lt;&gt;1,"",COUNTIFS($C$8:$C$507,"&lt;"&amp;C211,$AH$8:$AH$507,1)+COUNTIFS($C$8:$C$507,C211,$A$8:$A$507,"&lt;="&amp;A211,$AH$8:$AH$507,1))</x:f>
      </x:c>
      <x:c r="AG211" s="20" t="str">
        <x:f>IF(AH211&lt;&gt;1,"",SUMIFS($AC$8:$AC$507,$C$8:$C$507,"&lt;"&amp;C211,$AH$8:$AH$507,1)+SUMIFS($AC$8:$AC$507,$C$8:$C$507,C211,$A$8:$A$507,"&lt;="&amp;A211,$AH$8:$AH$507,1))</x:f>
      </x:c>
      <x:c r="AH211" s="22" t="str">
        <x:f>IF(A211="","",IF(AND(J211="Chiuso",AQ211="OK",ISNUMBER(AC211)),1,0))</x:f>
      </x:c>
      <x:c r="AI211" s="20" t="str">
        <x:f>IF(AH211&lt;&gt;1,"",MAX(0,_xlfn.MAXIFS($AG$8:$AG$507,$AF$8:$AF$507,"&lt;="&amp;AF211,$AH$8:$AH$507,1)))</x:f>
      </x:c>
      <x:c r="AJ211" s="20" t="str">
        <x:f>IF(AH211&lt;&gt;1,"",MAX(0,AI211-AG211))</x:f>
      </x:c>
      <x:c r="AK211" s="21" t="str">
        <x:f>IF(OR(AH211&lt;&gt;1,NOT(ISNUMBER('Impostazioni'!$B$6)),'Impostazioni'!$B$6+AI211&lt;=0),"",AJ211/('Impostazioni'!$B$6+AI211))</x:f>
      </x:c>
      <x:c r="AL211" s="22" t="str">
        <x:f>IF(AH211&lt;&gt;1,"",IF(AC211&gt;0,AF211-_xlfn.MAXIFS($AF$8:$AF$507,$AF$8:$AF$507,"&lt;="&amp;AF211,$AC$8:$AC$507,"&lt;=0",$AH$8:$AH$507,1),0))</x:f>
      </x:c>
      <x:c r="AM211" s="22" t="str">
        <x:f>IF(AH211&lt;&gt;1,"",IF(AC211&lt;0,AF211-_xlfn.MAXIFS($AF$8:$AF$507,$AF$8:$AF$507,"&lt;="&amp;AF211,$AC$8:$AC$507,"&gt;=0",$AH$8:$AH$507,1),0))</x:f>
      </x:c>
      <x:c r="AN211" s="20" t="str">
        <x:f>IF(OR(A211="",NOT(ISNUMBER(B211)),NOT(ISNUMBER('Impostazioni'!$B$6))),"",'Impostazioni'!$B$6+SUMIFS($AC$8:$AC$507,$C$8:$C$507,"&lt;"&amp;B211,$AH$8:$AH$507,1)+SUMIFS('Cassa'!$F$8:$F$307,'Cassa'!$A$8:$A$307,"&lt;="&amp;B211,'Cassa'!$G$8:$G$307,"OK"))</x:f>
      </x:c>
      <x:c r="AO211" s="21" t="str">
        <x:f>IF(AND(ISNUMBER(Z211),ISNUMBER(AN211),AN211&gt;0),Z211/AN211,"")</x:f>
      </x:c>
      <x:c r="AP211" s="18" t="str">
        <x:f>IF(NOT(ISNUMBER(AO211)),"",IF(AO211&gt;'Impostazioni'!$B$7,"Oltre soglia personale","Nella soglia personale"))</x:f>
      </x:c>
      <x:c r="AQ211" s="18" t="str">
        <x:f>IF(A211="",IF(COUNTA(B211:V211)=0,"","Inserisci ID"),IF(COUNTIFS($A$8:$A$507,A211)&lt;&gt;1,"ID duplicato",IF(OR(NOT(ISNUMBER(B211)),D211="",E211="",F211="",G211="",H211="",COUNTIFS('Impostazioni'!$J$6:$J$25,F211)&lt;&gt;1),"Completa dati / elenchi",IF(OR(AND(I211&lt;&gt;"Lordo manuale",I211&lt;&gt;"Netto manuale",I211&lt;&gt;"Esecuzioni"),AND(J211&lt;&gt;"Aperto",J211&lt;&gt;"Chiuso",J211&lt;&gt;"Annullato")),"Modalità / stato mancanti",IF(AND(J211&lt;&gt;"Aperto",OR(NOT(ISNUMBER(C211)),C211&lt;B211)),"Correggi data chiusura",IF(OR(AND(Q211&lt;&gt;"",OR(NOT(ISNUMBER(Q211)),Q211&lt;0)),AND(R211&lt;&gt;"",OR(NOT(ISNUMBER(R211)),R211&lt;0,R211&gt;1))),"Commissione non valida",IF(J211="Annullato","OK",IF(OR(NOT(ISNUMBER(Z211)),Z211&lt;0,AND(O211&lt;&gt;"",NOT(ISNUMBER(O211)))),"Inserisci rischio",IF(AND(I211="Esecuzioni",OR(W211=0,COUNTIFS('Esecuzioni'!$A$8:$A$1007,A211,'Esecuzioni'!$Q$8:$Q$1007,"&lt;&gt;OK")&gt;0)),"Correggi esecuzioni",IF(J211="Aperto","OK",IF(AND(I211="Esecuzioni",S211="Coperto",ABS(X211-Y211)&gt;'Impostazioni'!$B$11),"Copertura residua",IF(NOT(ISNUMBER(AC211)),"Completa risultato / esito",IF(AND(Z211=0,AC211&lt;&gt;0),"Rischio nullo con P/L","OK")))))))))))))</x:f>
      </x:c>
      <x:c r="AR211" s="20" t="str">
        <x:f>IF(OR(A211="",J211&lt;&gt;"Aperto",AQ211&lt;&gt;"OK"),"",IF(I211="Esecuzioni",SUMIFS('Esecuzioni'!$P$8:$P$1007,'Esecuzioni'!$A$8:$A$1007,A211,'Esecuzioni'!$B$8:$B$1007,_xlfn.MAXIFS('Esecuzioni'!$B$8:$B$1007,'Esecuzioni'!$A$8:$A$1007,A211)),IF(LEFT(U211,8)="FREEBET:",0,Z211)))</x:f>
      </x:c>
      <x:c r="AS211" s="48" t="str">
        <x:f>IF(OR(A211="",E211=""),"",IF(COUNTIFS($E$8:E211,E211)=1,COUNT($AS$7:AS210)+1,""))</x:f>
      </x:c>
    </x:row>
    <x:row r="212" ht="22" customHeight="1">
      <x:c r="A212" s="7"/>
      <x:c r="B212" s="19"/>
      <x:c r="C212" s="19"/>
      <x:c r="D212" s="7"/>
      <x:c r="E212" s="7"/>
      <x:c r="F212" s="7"/>
      <x:c r="G212" s="7"/>
      <x:c r="H212" s="7"/>
      <x:c r="I212" s="7"/>
      <x:c r="J212" s="7"/>
      <x:c r="K212" s="10"/>
      <x:c r="L212" s="7"/>
      <x:c r="M212" s="10"/>
      <x:c r="N212" s="7"/>
      <x:c r="O212" s="8"/>
      <x:c r="P212" s="8"/>
      <x:c r="Q212" s="8"/>
      <x:c r="R212" s="9"/>
      <x:c r="S212" s="7"/>
      <x:c r="T212" s="7"/>
      <x:c r="U212" s="7"/>
      <x:c r="V212" s="7"/>
      <x:c r="W212" s="22" t="str">
        <x:f>IF(A212="","",COUNTIFS('Esecuzioni'!$A$8:$A$1007,A212,'Esecuzioni'!$Q$8:$Q$1007,"OK"))</x:f>
      </x:c>
      <x:c r="X212" s="20" t="str">
        <x:f>IF(OR(A212="",I212&lt;&gt;"Esecuzioni",W212=0),"",SUMIFS('Esecuzioni'!$L$8:$L$1007,'Esecuzioni'!$A$8:$A$1007,A212))</x:f>
      </x:c>
      <x:c r="Y212" s="20" t="str">
        <x:f>IF(OR(A212="",I212&lt;&gt;"Esecuzioni",W212=0),"",SUMIFS('Esecuzioni'!$M$8:$M$1007,'Esecuzioni'!$A$8:$A$1007,A212))</x:f>
      </x:c>
      <x:c r="Z212" s="20" t="str">
        <x:f>IF(A212="","",IF(J212="Annullato",0,IF(ISNUMBER(O212),O212,IF(AND(I212="Esecuzioni",W212&gt;0),_xlfn.MAXIFS('Esecuzioni'!$P$8:$P$1007,'Esecuzioni'!$A$8:$A$1007,A212),""))))</x:f>
      </x:c>
      <x:c r="AA212" s="20" t="str">
        <x:f>IF(OR(A212="",J212="Aperto"),"",IF(J212="Annullato",0,IF(I212="Lordo manuale",IF(ISNUMBER(P212),P212,""),IF(I212="Netto manuale",IF(AND(ISNUMBER(P212),ISNUMBER(Q212)),P212+Q212,""),IF(OR(W212=0,COUNTIFS('Esecuzioni'!$A$8:$A$1007,A212,'Esecuzioni'!$Q$8:$Q$1007,"&lt;&gt;OK")&gt;0),"",IF(S212="Vince",X212,IF(S212="Perde",Y212,IF(AND(S212="Coperto",ABS(X212-Y212)&lt;='Impostazioni'!$B$11),ROUND((X212+Y212)/2,2),""))))))))</x:f>
      </x:c>
      <x:c r="AB212" s="20" t="str">
        <x:f>IF(NOT(ISNUMBER(AA212)),"",IF(J212="Annullato",0,IF(ISNUMBER(Q212),Q212,ROUND(MAX(0,AA212)*IF(ISNUMBER(R212),R212,'Impostazioni'!$B$8),2))))</x:f>
      </x:c>
      <x:c r="AC212" s="20" t="str">
        <x:f>IF(AND(ISNUMBER(AA212),ISNUMBER(AB212)),ROUND(AA212-AB212,2),"")</x:f>
      </x:c>
      <x:c r="AD212" s="18" t="str">
        <x:f>IF(A212="","",IF(AQ212&lt;&gt;"OK","Incompleto",IF(J212="Aperto","Aperto",IF(J212="Annullato","Annullato",IF(AC212&gt;0,"Green",IF(AC212&lt;0,"Red","Flat"))))))</x:f>
      </x:c>
      <x:c r="AE212" s="21" t="str">
        <x:f>IF(AND(AH212=1,Z212&gt;0),AC212/Z212,"")</x:f>
      </x:c>
      <x:c r="AF212" s="22" t="str">
        <x:f>IF(AH212&lt;&gt;1,"",COUNTIFS($C$8:$C$507,"&lt;"&amp;C212,$AH$8:$AH$507,1)+COUNTIFS($C$8:$C$507,C212,$A$8:$A$507,"&lt;="&amp;A212,$AH$8:$AH$507,1))</x:f>
      </x:c>
      <x:c r="AG212" s="20" t="str">
        <x:f>IF(AH212&lt;&gt;1,"",SUMIFS($AC$8:$AC$507,$C$8:$C$507,"&lt;"&amp;C212,$AH$8:$AH$507,1)+SUMIFS($AC$8:$AC$507,$C$8:$C$507,C212,$A$8:$A$507,"&lt;="&amp;A212,$AH$8:$AH$507,1))</x:f>
      </x:c>
      <x:c r="AH212" s="22" t="str">
        <x:f>IF(A212="","",IF(AND(J212="Chiuso",AQ212="OK",ISNUMBER(AC212)),1,0))</x:f>
      </x:c>
      <x:c r="AI212" s="20" t="str">
        <x:f>IF(AH212&lt;&gt;1,"",MAX(0,_xlfn.MAXIFS($AG$8:$AG$507,$AF$8:$AF$507,"&lt;="&amp;AF212,$AH$8:$AH$507,1)))</x:f>
      </x:c>
      <x:c r="AJ212" s="20" t="str">
        <x:f>IF(AH212&lt;&gt;1,"",MAX(0,AI212-AG212))</x:f>
      </x:c>
      <x:c r="AK212" s="21" t="str">
        <x:f>IF(OR(AH212&lt;&gt;1,NOT(ISNUMBER('Impostazioni'!$B$6)),'Impostazioni'!$B$6+AI212&lt;=0),"",AJ212/('Impostazioni'!$B$6+AI212))</x:f>
      </x:c>
      <x:c r="AL212" s="22" t="str">
        <x:f>IF(AH212&lt;&gt;1,"",IF(AC212&gt;0,AF212-_xlfn.MAXIFS($AF$8:$AF$507,$AF$8:$AF$507,"&lt;="&amp;AF212,$AC$8:$AC$507,"&lt;=0",$AH$8:$AH$507,1),0))</x:f>
      </x:c>
      <x:c r="AM212" s="22" t="str">
        <x:f>IF(AH212&lt;&gt;1,"",IF(AC212&lt;0,AF212-_xlfn.MAXIFS($AF$8:$AF$507,$AF$8:$AF$507,"&lt;="&amp;AF212,$AC$8:$AC$507,"&gt;=0",$AH$8:$AH$507,1),0))</x:f>
      </x:c>
      <x:c r="AN212" s="20" t="str">
        <x:f>IF(OR(A212="",NOT(ISNUMBER(B212)),NOT(ISNUMBER('Impostazioni'!$B$6))),"",'Impostazioni'!$B$6+SUMIFS($AC$8:$AC$507,$C$8:$C$507,"&lt;"&amp;B212,$AH$8:$AH$507,1)+SUMIFS('Cassa'!$F$8:$F$307,'Cassa'!$A$8:$A$307,"&lt;="&amp;B212,'Cassa'!$G$8:$G$307,"OK"))</x:f>
      </x:c>
      <x:c r="AO212" s="21" t="str">
        <x:f>IF(AND(ISNUMBER(Z212),ISNUMBER(AN212),AN212&gt;0),Z212/AN212,"")</x:f>
      </x:c>
      <x:c r="AP212" s="18" t="str">
        <x:f>IF(NOT(ISNUMBER(AO212)),"",IF(AO212&gt;'Impostazioni'!$B$7,"Oltre soglia personale","Nella soglia personale"))</x:f>
      </x:c>
      <x:c r="AQ212" s="18" t="str">
        <x:f>IF(A212="",IF(COUNTA(B212:V212)=0,"","Inserisci ID"),IF(COUNTIFS($A$8:$A$507,A212)&lt;&gt;1,"ID duplicato",IF(OR(NOT(ISNUMBER(B212)),D212="",E212="",F212="",G212="",H212="",COUNTIFS('Impostazioni'!$J$6:$J$25,F212)&lt;&gt;1),"Completa dati / elenchi",IF(OR(AND(I212&lt;&gt;"Lordo manuale",I212&lt;&gt;"Netto manuale",I212&lt;&gt;"Esecuzioni"),AND(J212&lt;&gt;"Aperto",J212&lt;&gt;"Chiuso",J212&lt;&gt;"Annullato")),"Modalità / stato mancanti",IF(AND(J212&lt;&gt;"Aperto",OR(NOT(ISNUMBER(C212)),C212&lt;B212)),"Correggi data chiusura",IF(OR(AND(Q212&lt;&gt;"",OR(NOT(ISNUMBER(Q212)),Q212&lt;0)),AND(R212&lt;&gt;"",OR(NOT(ISNUMBER(R212)),R212&lt;0,R212&gt;1))),"Commissione non valida",IF(J212="Annullato","OK",IF(OR(NOT(ISNUMBER(Z212)),Z212&lt;0,AND(O212&lt;&gt;"",NOT(ISNUMBER(O212)))),"Inserisci rischio",IF(AND(I212="Esecuzioni",OR(W212=0,COUNTIFS('Esecuzioni'!$A$8:$A$1007,A212,'Esecuzioni'!$Q$8:$Q$1007,"&lt;&gt;OK")&gt;0)),"Correggi esecuzioni",IF(J212="Aperto","OK",IF(AND(I212="Esecuzioni",S212="Coperto",ABS(X212-Y212)&gt;'Impostazioni'!$B$11),"Copertura residua",IF(NOT(ISNUMBER(AC212)),"Completa risultato / esito",IF(AND(Z212=0,AC212&lt;&gt;0),"Rischio nullo con P/L","OK")))))))))))))</x:f>
      </x:c>
      <x:c r="AR212" s="20" t="str">
        <x:f>IF(OR(A212="",J212&lt;&gt;"Aperto",AQ212&lt;&gt;"OK"),"",IF(I212="Esecuzioni",SUMIFS('Esecuzioni'!$P$8:$P$1007,'Esecuzioni'!$A$8:$A$1007,A212,'Esecuzioni'!$B$8:$B$1007,_xlfn.MAXIFS('Esecuzioni'!$B$8:$B$1007,'Esecuzioni'!$A$8:$A$1007,A212)),IF(LEFT(U212,8)="FREEBET:",0,Z212)))</x:f>
      </x:c>
      <x:c r="AS212" s="48" t="str">
        <x:f>IF(OR(A212="",E212=""),"",IF(COUNTIFS($E$8:E212,E212)=1,COUNT($AS$7:AS211)+1,""))</x:f>
      </x:c>
    </x:row>
    <x:row r="213" ht="22" customHeight="1">
      <x:c r="A213" s="7"/>
      <x:c r="B213" s="19"/>
      <x:c r="C213" s="19"/>
      <x:c r="D213" s="7"/>
      <x:c r="E213" s="7"/>
      <x:c r="F213" s="7"/>
      <x:c r="G213" s="7"/>
      <x:c r="H213" s="7"/>
      <x:c r="I213" s="7"/>
      <x:c r="J213" s="7"/>
      <x:c r="K213" s="10"/>
      <x:c r="L213" s="7"/>
      <x:c r="M213" s="10"/>
      <x:c r="N213" s="7"/>
      <x:c r="O213" s="8"/>
      <x:c r="P213" s="8"/>
      <x:c r="Q213" s="8"/>
      <x:c r="R213" s="9"/>
      <x:c r="S213" s="7"/>
      <x:c r="T213" s="7"/>
      <x:c r="U213" s="7"/>
      <x:c r="V213" s="7"/>
      <x:c r="W213" s="22" t="str">
        <x:f>IF(A213="","",COUNTIFS('Esecuzioni'!$A$8:$A$1007,A213,'Esecuzioni'!$Q$8:$Q$1007,"OK"))</x:f>
      </x:c>
      <x:c r="X213" s="20" t="str">
        <x:f>IF(OR(A213="",I213&lt;&gt;"Esecuzioni",W213=0),"",SUMIFS('Esecuzioni'!$L$8:$L$1007,'Esecuzioni'!$A$8:$A$1007,A213))</x:f>
      </x:c>
      <x:c r="Y213" s="20" t="str">
        <x:f>IF(OR(A213="",I213&lt;&gt;"Esecuzioni",W213=0),"",SUMIFS('Esecuzioni'!$M$8:$M$1007,'Esecuzioni'!$A$8:$A$1007,A213))</x:f>
      </x:c>
      <x:c r="Z213" s="20" t="str">
        <x:f>IF(A213="","",IF(J213="Annullato",0,IF(ISNUMBER(O213),O213,IF(AND(I213="Esecuzioni",W213&gt;0),_xlfn.MAXIFS('Esecuzioni'!$P$8:$P$1007,'Esecuzioni'!$A$8:$A$1007,A213),""))))</x:f>
      </x:c>
      <x:c r="AA213" s="20" t="str">
        <x:f>IF(OR(A213="",J213="Aperto"),"",IF(J213="Annullato",0,IF(I213="Lordo manuale",IF(ISNUMBER(P213),P213,""),IF(I213="Netto manuale",IF(AND(ISNUMBER(P213),ISNUMBER(Q213)),P213+Q213,""),IF(OR(W213=0,COUNTIFS('Esecuzioni'!$A$8:$A$1007,A213,'Esecuzioni'!$Q$8:$Q$1007,"&lt;&gt;OK")&gt;0),"",IF(S213="Vince",X213,IF(S213="Perde",Y213,IF(AND(S213="Coperto",ABS(X213-Y213)&lt;='Impostazioni'!$B$11),ROUND((X213+Y213)/2,2),""))))))))</x:f>
      </x:c>
      <x:c r="AB213" s="20" t="str">
        <x:f>IF(NOT(ISNUMBER(AA213)),"",IF(J213="Annullato",0,IF(ISNUMBER(Q213),Q213,ROUND(MAX(0,AA213)*IF(ISNUMBER(R213),R213,'Impostazioni'!$B$8),2))))</x:f>
      </x:c>
      <x:c r="AC213" s="20" t="str">
        <x:f>IF(AND(ISNUMBER(AA213),ISNUMBER(AB213)),ROUND(AA213-AB213,2),"")</x:f>
      </x:c>
      <x:c r="AD213" s="18" t="str">
        <x:f>IF(A213="","",IF(AQ213&lt;&gt;"OK","Incompleto",IF(J213="Aperto","Aperto",IF(J213="Annullato","Annullato",IF(AC213&gt;0,"Green",IF(AC213&lt;0,"Red","Flat"))))))</x:f>
      </x:c>
      <x:c r="AE213" s="21" t="str">
        <x:f>IF(AND(AH213=1,Z213&gt;0),AC213/Z213,"")</x:f>
      </x:c>
      <x:c r="AF213" s="22" t="str">
        <x:f>IF(AH213&lt;&gt;1,"",COUNTIFS($C$8:$C$507,"&lt;"&amp;C213,$AH$8:$AH$507,1)+COUNTIFS($C$8:$C$507,C213,$A$8:$A$507,"&lt;="&amp;A213,$AH$8:$AH$507,1))</x:f>
      </x:c>
      <x:c r="AG213" s="20" t="str">
        <x:f>IF(AH213&lt;&gt;1,"",SUMIFS($AC$8:$AC$507,$C$8:$C$507,"&lt;"&amp;C213,$AH$8:$AH$507,1)+SUMIFS($AC$8:$AC$507,$C$8:$C$507,C213,$A$8:$A$507,"&lt;="&amp;A213,$AH$8:$AH$507,1))</x:f>
      </x:c>
      <x:c r="AH213" s="22" t="str">
        <x:f>IF(A213="","",IF(AND(J213="Chiuso",AQ213="OK",ISNUMBER(AC213)),1,0))</x:f>
      </x:c>
      <x:c r="AI213" s="20" t="str">
        <x:f>IF(AH213&lt;&gt;1,"",MAX(0,_xlfn.MAXIFS($AG$8:$AG$507,$AF$8:$AF$507,"&lt;="&amp;AF213,$AH$8:$AH$507,1)))</x:f>
      </x:c>
      <x:c r="AJ213" s="20" t="str">
        <x:f>IF(AH213&lt;&gt;1,"",MAX(0,AI213-AG213))</x:f>
      </x:c>
      <x:c r="AK213" s="21" t="str">
        <x:f>IF(OR(AH213&lt;&gt;1,NOT(ISNUMBER('Impostazioni'!$B$6)),'Impostazioni'!$B$6+AI213&lt;=0),"",AJ213/('Impostazioni'!$B$6+AI213))</x:f>
      </x:c>
      <x:c r="AL213" s="22" t="str">
        <x:f>IF(AH213&lt;&gt;1,"",IF(AC213&gt;0,AF213-_xlfn.MAXIFS($AF$8:$AF$507,$AF$8:$AF$507,"&lt;="&amp;AF213,$AC$8:$AC$507,"&lt;=0",$AH$8:$AH$507,1),0))</x:f>
      </x:c>
      <x:c r="AM213" s="22" t="str">
        <x:f>IF(AH213&lt;&gt;1,"",IF(AC213&lt;0,AF213-_xlfn.MAXIFS($AF$8:$AF$507,$AF$8:$AF$507,"&lt;="&amp;AF213,$AC$8:$AC$507,"&gt;=0",$AH$8:$AH$507,1),0))</x:f>
      </x:c>
      <x:c r="AN213" s="20" t="str">
        <x:f>IF(OR(A213="",NOT(ISNUMBER(B213)),NOT(ISNUMBER('Impostazioni'!$B$6))),"",'Impostazioni'!$B$6+SUMIFS($AC$8:$AC$507,$C$8:$C$507,"&lt;"&amp;B213,$AH$8:$AH$507,1)+SUMIFS('Cassa'!$F$8:$F$307,'Cassa'!$A$8:$A$307,"&lt;="&amp;B213,'Cassa'!$G$8:$G$307,"OK"))</x:f>
      </x:c>
      <x:c r="AO213" s="21" t="str">
        <x:f>IF(AND(ISNUMBER(Z213),ISNUMBER(AN213),AN213&gt;0),Z213/AN213,"")</x:f>
      </x:c>
      <x:c r="AP213" s="18" t="str">
        <x:f>IF(NOT(ISNUMBER(AO213)),"",IF(AO213&gt;'Impostazioni'!$B$7,"Oltre soglia personale","Nella soglia personale"))</x:f>
      </x:c>
      <x:c r="AQ213" s="18" t="str">
        <x:f>IF(A213="",IF(COUNTA(B213:V213)=0,"","Inserisci ID"),IF(COUNTIFS($A$8:$A$507,A213)&lt;&gt;1,"ID duplicato",IF(OR(NOT(ISNUMBER(B213)),D213="",E213="",F213="",G213="",H213="",COUNTIFS('Impostazioni'!$J$6:$J$25,F213)&lt;&gt;1),"Completa dati / elenchi",IF(OR(AND(I213&lt;&gt;"Lordo manuale",I213&lt;&gt;"Netto manuale",I213&lt;&gt;"Esecuzioni"),AND(J213&lt;&gt;"Aperto",J213&lt;&gt;"Chiuso",J213&lt;&gt;"Annullato")),"Modalità / stato mancanti",IF(AND(J213&lt;&gt;"Aperto",OR(NOT(ISNUMBER(C213)),C213&lt;B213)),"Correggi data chiusura",IF(OR(AND(Q213&lt;&gt;"",OR(NOT(ISNUMBER(Q213)),Q213&lt;0)),AND(R213&lt;&gt;"",OR(NOT(ISNUMBER(R213)),R213&lt;0,R213&gt;1))),"Commissione non valida",IF(J213="Annullato","OK",IF(OR(NOT(ISNUMBER(Z213)),Z213&lt;0,AND(O213&lt;&gt;"",NOT(ISNUMBER(O213)))),"Inserisci rischio",IF(AND(I213="Esecuzioni",OR(W213=0,COUNTIFS('Esecuzioni'!$A$8:$A$1007,A213,'Esecuzioni'!$Q$8:$Q$1007,"&lt;&gt;OK")&gt;0)),"Correggi esecuzioni",IF(J213="Aperto","OK",IF(AND(I213="Esecuzioni",S213="Coperto",ABS(X213-Y213)&gt;'Impostazioni'!$B$11),"Copertura residua",IF(NOT(ISNUMBER(AC213)),"Completa risultato / esito",IF(AND(Z213=0,AC213&lt;&gt;0),"Rischio nullo con P/L","OK")))))))))))))</x:f>
      </x:c>
      <x:c r="AR213" s="20" t="str">
        <x:f>IF(OR(A213="",J213&lt;&gt;"Aperto",AQ213&lt;&gt;"OK"),"",IF(I213="Esecuzioni",SUMIFS('Esecuzioni'!$P$8:$P$1007,'Esecuzioni'!$A$8:$A$1007,A213,'Esecuzioni'!$B$8:$B$1007,_xlfn.MAXIFS('Esecuzioni'!$B$8:$B$1007,'Esecuzioni'!$A$8:$A$1007,A213)),IF(LEFT(U213,8)="FREEBET:",0,Z213)))</x:f>
      </x:c>
      <x:c r="AS213" s="48" t="str">
        <x:f>IF(OR(A213="",E213=""),"",IF(COUNTIFS($E$8:E213,E213)=1,COUNT($AS$7:AS212)+1,""))</x:f>
      </x:c>
    </x:row>
    <x:row r="214" ht="22" customHeight="1">
      <x:c r="A214" s="7"/>
      <x:c r="B214" s="19"/>
      <x:c r="C214" s="19"/>
      <x:c r="D214" s="7"/>
      <x:c r="E214" s="7"/>
      <x:c r="F214" s="7"/>
      <x:c r="G214" s="7"/>
      <x:c r="H214" s="7"/>
      <x:c r="I214" s="7"/>
      <x:c r="J214" s="7"/>
      <x:c r="K214" s="10"/>
      <x:c r="L214" s="7"/>
      <x:c r="M214" s="10"/>
      <x:c r="N214" s="7"/>
      <x:c r="O214" s="8"/>
      <x:c r="P214" s="8"/>
      <x:c r="Q214" s="8"/>
      <x:c r="R214" s="9"/>
      <x:c r="S214" s="7"/>
      <x:c r="T214" s="7"/>
      <x:c r="U214" s="7"/>
      <x:c r="V214" s="7"/>
      <x:c r="W214" s="22" t="str">
        <x:f>IF(A214="","",COUNTIFS('Esecuzioni'!$A$8:$A$1007,A214,'Esecuzioni'!$Q$8:$Q$1007,"OK"))</x:f>
      </x:c>
      <x:c r="X214" s="20" t="str">
        <x:f>IF(OR(A214="",I214&lt;&gt;"Esecuzioni",W214=0),"",SUMIFS('Esecuzioni'!$L$8:$L$1007,'Esecuzioni'!$A$8:$A$1007,A214))</x:f>
      </x:c>
      <x:c r="Y214" s="20" t="str">
        <x:f>IF(OR(A214="",I214&lt;&gt;"Esecuzioni",W214=0),"",SUMIFS('Esecuzioni'!$M$8:$M$1007,'Esecuzioni'!$A$8:$A$1007,A214))</x:f>
      </x:c>
      <x:c r="Z214" s="20" t="str">
        <x:f>IF(A214="","",IF(J214="Annullato",0,IF(ISNUMBER(O214),O214,IF(AND(I214="Esecuzioni",W214&gt;0),_xlfn.MAXIFS('Esecuzioni'!$P$8:$P$1007,'Esecuzioni'!$A$8:$A$1007,A214),""))))</x:f>
      </x:c>
      <x:c r="AA214" s="20" t="str">
        <x:f>IF(OR(A214="",J214="Aperto"),"",IF(J214="Annullato",0,IF(I214="Lordo manuale",IF(ISNUMBER(P214),P214,""),IF(I214="Netto manuale",IF(AND(ISNUMBER(P214),ISNUMBER(Q214)),P214+Q214,""),IF(OR(W214=0,COUNTIFS('Esecuzioni'!$A$8:$A$1007,A214,'Esecuzioni'!$Q$8:$Q$1007,"&lt;&gt;OK")&gt;0),"",IF(S214="Vince",X214,IF(S214="Perde",Y214,IF(AND(S214="Coperto",ABS(X214-Y214)&lt;='Impostazioni'!$B$11),ROUND((X214+Y214)/2,2),""))))))))</x:f>
      </x:c>
      <x:c r="AB214" s="20" t="str">
        <x:f>IF(NOT(ISNUMBER(AA214)),"",IF(J214="Annullato",0,IF(ISNUMBER(Q214),Q214,ROUND(MAX(0,AA214)*IF(ISNUMBER(R214),R214,'Impostazioni'!$B$8),2))))</x:f>
      </x:c>
      <x:c r="AC214" s="20" t="str">
        <x:f>IF(AND(ISNUMBER(AA214),ISNUMBER(AB214)),ROUND(AA214-AB214,2),"")</x:f>
      </x:c>
      <x:c r="AD214" s="18" t="str">
        <x:f>IF(A214="","",IF(AQ214&lt;&gt;"OK","Incompleto",IF(J214="Aperto","Aperto",IF(J214="Annullato","Annullato",IF(AC214&gt;0,"Green",IF(AC214&lt;0,"Red","Flat"))))))</x:f>
      </x:c>
      <x:c r="AE214" s="21" t="str">
        <x:f>IF(AND(AH214=1,Z214&gt;0),AC214/Z214,"")</x:f>
      </x:c>
      <x:c r="AF214" s="22" t="str">
        <x:f>IF(AH214&lt;&gt;1,"",COUNTIFS($C$8:$C$507,"&lt;"&amp;C214,$AH$8:$AH$507,1)+COUNTIFS($C$8:$C$507,C214,$A$8:$A$507,"&lt;="&amp;A214,$AH$8:$AH$507,1))</x:f>
      </x:c>
      <x:c r="AG214" s="20" t="str">
        <x:f>IF(AH214&lt;&gt;1,"",SUMIFS($AC$8:$AC$507,$C$8:$C$507,"&lt;"&amp;C214,$AH$8:$AH$507,1)+SUMIFS($AC$8:$AC$507,$C$8:$C$507,C214,$A$8:$A$507,"&lt;="&amp;A214,$AH$8:$AH$507,1))</x:f>
      </x:c>
      <x:c r="AH214" s="22" t="str">
        <x:f>IF(A214="","",IF(AND(J214="Chiuso",AQ214="OK",ISNUMBER(AC214)),1,0))</x:f>
      </x:c>
      <x:c r="AI214" s="20" t="str">
        <x:f>IF(AH214&lt;&gt;1,"",MAX(0,_xlfn.MAXIFS($AG$8:$AG$507,$AF$8:$AF$507,"&lt;="&amp;AF214,$AH$8:$AH$507,1)))</x:f>
      </x:c>
      <x:c r="AJ214" s="20" t="str">
        <x:f>IF(AH214&lt;&gt;1,"",MAX(0,AI214-AG214))</x:f>
      </x:c>
      <x:c r="AK214" s="21" t="str">
        <x:f>IF(OR(AH214&lt;&gt;1,NOT(ISNUMBER('Impostazioni'!$B$6)),'Impostazioni'!$B$6+AI214&lt;=0),"",AJ214/('Impostazioni'!$B$6+AI214))</x:f>
      </x:c>
      <x:c r="AL214" s="22" t="str">
        <x:f>IF(AH214&lt;&gt;1,"",IF(AC214&gt;0,AF214-_xlfn.MAXIFS($AF$8:$AF$507,$AF$8:$AF$507,"&lt;="&amp;AF214,$AC$8:$AC$507,"&lt;=0",$AH$8:$AH$507,1),0))</x:f>
      </x:c>
      <x:c r="AM214" s="22" t="str">
        <x:f>IF(AH214&lt;&gt;1,"",IF(AC214&lt;0,AF214-_xlfn.MAXIFS($AF$8:$AF$507,$AF$8:$AF$507,"&lt;="&amp;AF214,$AC$8:$AC$507,"&gt;=0",$AH$8:$AH$507,1),0))</x:f>
      </x:c>
      <x:c r="AN214" s="20" t="str">
        <x:f>IF(OR(A214="",NOT(ISNUMBER(B214)),NOT(ISNUMBER('Impostazioni'!$B$6))),"",'Impostazioni'!$B$6+SUMIFS($AC$8:$AC$507,$C$8:$C$507,"&lt;"&amp;B214,$AH$8:$AH$507,1)+SUMIFS('Cassa'!$F$8:$F$307,'Cassa'!$A$8:$A$307,"&lt;="&amp;B214,'Cassa'!$G$8:$G$307,"OK"))</x:f>
      </x:c>
      <x:c r="AO214" s="21" t="str">
        <x:f>IF(AND(ISNUMBER(Z214),ISNUMBER(AN214),AN214&gt;0),Z214/AN214,"")</x:f>
      </x:c>
      <x:c r="AP214" s="18" t="str">
        <x:f>IF(NOT(ISNUMBER(AO214)),"",IF(AO214&gt;'Impostazioni'!$B$7,"Oltre soglia personale","Nella soglia personale"))</x:f>
      </x:c>
      <x:c r="AQ214" s="18" t="str">
        <x:f>IF(A214="",IF(COUNTA(B214:V214)=0,"","Inserisci ID"),IF(COUNTIFS($A$8:$A$507,A214)&lt;&gt;1,"ID duplicato",IF(OR(NOT(ISNUMBER(B214)),D214="",E214="",F214="",G214="",H214="",COUNTIFS('Impostazioni'!$J$6:$J$25,F214)&lt;&gt;1),"Completa dati / elenchi",IF(OR(AND(I214&lt;&gt;"Lordo manuale",I214&lt;&gt;"Netto manuale",I214&lt;&gt;"Esecuzioni"),AND(J214&lt;&gt;"Aperto",J214&lt;&gt;"Chiuso",J214&lt;&gt;"Annullato")),"Modalità / stato mancanti",IF(AND(J214&lt;&gt;"Aperto",OR(NOT(ISNUMBER(C214)),C214&lt;B214)),"Correggi data chiusura",IF(OR(AND(Q214&lt;&gt;"",OR(NOT(ISNUMBER(Q214)),Q214&lt;0)),AND(R214&lt;&gt;"",OR(NOT(ISNUMBER(R214)),R214&lt;0,R214&gt;1))),"Commissione non valida",IF(J214="Annullato","OK",IF(OR(NOT(ISNUMBER(Z214)),Z214&lt;0,AND(O214&lt;&gt;"",NOT(ISNUMBER(O214)))),"Inserisci rischio",IF(AND(I214="Esecuzioni",OR(W214=0,COUNTIFS('Esecuzioni'!$A$8:$A$1007,A214,'Esecuzioni'!$Q$8:$Q$1007,"&lt;&gt;OK")&gt;0)),"Correggi esecuzioni",IF(J214="Aperto","OK",IF(AND(I214="Esecuzioni",S214="Coperto",ABS(X214-Y214)&gt;'Impostazioni'!$B$11),"Copertura residua",IF(NOT(ISNUMBER(AC214)),"Completa risultato / esito",IF(AND(Z214=0,AC214&lt;&gt;0),"Rischio nullo con P/L","OK")))))))))))))</x:f>
      </x:c>
      <x:c r="AR214" s="20" t="str">
        <x:f>IF(OR(A214="",J214&lt;&gt;"Aperto",AQ214&lt;&gt;"OK"),"",IF(I214="Esecuzioni",SUMIFS('Esecuzioni'!$P$8:$P$1007,'Esecuzioni'!$A$8:$A$1007,A214,'Esecuzioni'!$B$8:$B$1007,_xlfn.MAXIFS('Esecuzioni'!$B$8:$B$1007,'Esecuzioni'!$A$8:$A$1007,A214)),IF(LEFT(U214,8)="FREEBET:",0,Z214)))</x:f>
      </x:c>
      <x:c r="AS214" s="48" t="str">
        <x:f>IF(OR(A214="",E214=""),"",IF(COUNTIFS($E$8:E214,E214)=1,COUNT($AS$7:AS213)+1,""))</x:f>
      </x:c>
    </x:row>
    <x:row r="215" ht="22" customHeight="1">
      <x:c r="A215" s="7"/>
      <x:c r="B215" s="19"/>
      <x:c r="C215" s="19"/>
      <x:c r="D215" s="7"/>
      <x:c r="E215" s="7"/>
      <x:c r="F215" s="7"/>
      <x:c r="G215" s="7"/>
      <x:c r="H215" s="7"/>
      <x:c r="I215" s="7"/>
      <x:c r="J215" s="7"/>
      <x:c r="K215" s="10"/>
      <x:c r="L215" s="7"/>
      <x:c r="M215" s="10"/>
      <x:c r="N215" s="7"/>
      <x:c r="O215" s="8"/>
      <x:c r="P215" s="8"/>
      <x:c r="Q215" s="8"/>
      <x:c r="R215" s="9"/>
      <x:c r="S215" s="7"/>
      <x:c r="T215" s="7"/>
      <x:c r="U215" s="7"/>
      <x:c r="V215" s="7"/>
      <x:c r="W215" s="22" t="str">
        <x:f>IF(A215="","",COUNTIFS('Esecuzioni'!$A$8:$A$1007,A215,'Esecuzioni'!$Q$8:$Q$1007,"OK"))</x:f>
      </x:c>
      <x:c r="X215" s="20" t="str">
        <x:f>IF(OR(A215="",I215&lt;&gt;"Esecuzioni",W215=0),"",SUMIFS('Esecuzioni'!$L$8:$L$1007,'Esecuzioni'!$A$8:$A$1007,A215))</x:f>
      </x:c>
      <x:c r="Y215" s="20" t="str">
        <x:f>IF(OR(A215="",I215&lt;&gt;"Esecuzioni",W215=0),"",SUMIFS('Esecuzioni'!$M$8:$M$1007,'Esecuzioni'!$A$8:$A$1007,A215))</x:f>
      </x:c>
      <x:c r="Z215" s="20" t="str">
        <x:f>IF(A215="","",IF(J215="Annullato",0,IF(ISNUMBER(O215),O215,IF(AND(I215="Esecuzioni",W215&gt;0),_xlfn.MAXIFS('Esecuzioni'!$P$8:$P$1007,'Esecuzioni'!$A$8:$A$1007,A215),""))))</x:f>
      </x:c>
      <x:c r="AA215" s="20" t="str">
        <x:f>IF(OR(A215="",J215="Aperto"),"",IF(J215="Annullato",0,IF(I215="Lordo manuale",IF(ISNUMBER(P215),P215,""),IF(I215="Netto manuale",IF(AND(ISNUMBER(P215),ISNUMBER(Q215)),P215+Q215,""),IF(OR(W215=0,COUNTIFS('Esecuzioni'!$A$8:$A$1007,A215,'Esecuzioni'!$Q$8:$Q$1007,"&lt;&gt;OK")&gt;0),"",IF(S215="Vince",X215,IF(S215="Perde",Y215,IF(AND(S215="Coperto",ABS(X215-Y215)&lt;='Impostazioni'!$B$11),ROUND((X215+Y215)/2,2),""))))))))</x:f>
      </x:c>
      <x:c r="AB215" s="20" t="str">
        <x:f>IF(NOT(ISNUMBER(AA215)),"",IF(J215="Annullato",0,IF(ISNUMBER(Q215),Q215,ROUND(MAX(0,AA215)*IF(ISNUMBER(R215),R215,'Impostazioni'!$B$8),2))))</x:f>
      </x:c>
      <x:c r="AC215" s="20" t="str">
        <x:f>IF(AND(ISNUMBER(AA215),ISNUMBER(AB215)),ROUND(AA215-AB215,2),"")</x:f>
      </x:c>
      <x:c r="AD215" s="18" t="str">
        <x:f>IF(A215="","",IF(AQ215&lt;&gt;"OK","Incompleto",IF(J215="Aperto","Aperto",IF(J215="Annullato","Annullato",IF(AC215&gt;0,"Green",IF(AC215&lt;0,"Red","Flat"))))))</x:f>
      </x:c>
      <x:c r="AE215" s="21" t="str">
        <x:f>IF(AND(AH215=1,Z215&gt;0),AC215/Z215,"")</x:f>
      </x:c>
      <x:c r="AF215" s="22" t="str">
        <x:f>IF(AH215&lt;&gt;1,"",COUNTIFS($C$8:$C$507,"&lt;"&amp;C215,$AH$8:$AH$507,1)+COUNTIFS($C$8:$C$507,C215,$A$8:$A$507,"&lt;="&amp;A215,$AH$8:$AH$507,1))</x:f>
      </x:c>
      <x:c r="AG215" s="20" t="str">
        <x:f>IF(AH215&lt;&gt;1,"",SUMIFS($AC$8:$AC$507,$C$8:$C$507,"&lt;"&amp;C215,$AH$8:$AH$507,1)+SUMIFS($AC$8:$AC$507,$C$8:$C$507,C215,$A$8:$A$507,"&lt;="&amp;A215,$AH$8:$AH$507,1))</x:f>
      </x:c>
      <x:c r="AH215" s="22" t="str">
        <x:f>IF(A215="","",IF(AND(J215="Chiuso",AQ215="OK",ISNUMBER(AC215)),1,0))</x:f>
      </x:c>
      <x:c r="AI215" s="20" t="str">
        <x:f>IF(AH215&lt;&gt;1,"",MAX(0,_xlfn.MAXIFS($AG$8:$AG$507,$AF$8:$AF$507,"&lt;="&amp;AF215,$AH$8:$AH$507,1)))</x:f>
      </x:c>
      <x:c r="AJ215" s="20" t="str">
        <x:f>IF(AH215&lt;&gt;1,"",MAX(0,AI215-AG215))</x:f>
      </x:c>
      <x:c r="AK215" s="21" t="str">
        <x:f>IF(OR(AH215&lt;&gt;1,NOT(ISNUMBER('Impostazioni'!$B$6)),'Impostazioni'!$B$6+AI215&lt;=0),"",AJ215/('Impostazioni'!$B$6+AI215))</x:f>
      </x:c>
      <x:c r="AL215" s="22" t="str">
        <x:f>IF(AH215&lt;&gt;1,"",IF(AC215&gt;0,AF215-_xlfn.MAXIFS($AF$8:$AF$507,$AF$8:$AF$507,"&lt;="&amp;AF215,$AC$8:$AC$507,"&lt;=0",$AH$8:$AH$507,1),0))</x:f>
      </x:c>
      <x:c r="AM215" s="22" t="str">
        <x:f>IF(AH215&lt;&gt;1,"",IF(AC215&lt;0,AF215-_xlfn.MAXIFS($AF$8:$AF$507,$AF$8:$AF$507,"&lt;="&amp;AF215,$AC$8:$AC$507,"&gt;=0",$AH$8:$AH$507,1),0))</x:f>
      </x:c>
      <x:c r="AN215" s="20" t="str">
        <x:f>IF(OR(A215="",NOT(ISNUMBER(B215)),NOT(ISNUMBER('Impostazioni'!$B$6))),"",'Impostazioni'!$B$6+SUMIFS($AC$8:$AC$507,$C$8:$C$507,"&lt;"&amp;B215,$AH$8:$AH$507,1)+SUMIFS('Cassa'!$F$8:$F$307,'Cassa'!$A$8:$A$307,"&lt;="&amp;B215,'Cassa'!$G$8:$G$307,"OK"))</x:f>
      </x:c>
      <x:c r="AO215" s="21" t="str">
        <x:f>IF(AND(ISNUMBER(Z215),ISNUMBER(AN215),AN215&gt;0),Z215/AN215,"")</x:f>
      </x:c>
      <x:c r="AP215" s="18" t="str">
        <x:f>IF(NOT(ISNUMBER(AO215)),"",IF(AO215&gt;'Impostazioni'!$B$7,"Oltre soglia personale","Nella soglia personale"))</x:f>
      </x:c>
      <x:c r="AQ215" s="18" t="str">
        <x:f>IF(A215="",IF(COUNTA(B215:V215)=0,"","Inserisci ID"),IF(COUNTIFS($A$8:$A$507,A215)&lt;&gt;1,"ID duplicato",IF(OR(NOT(ISNUMBER(B215)),D215="",E215="",F215="",G215="",H215="",COUNTIFS('Impostazioni'!$J$6:$J$25,F215)&lt;&gt;1),"Completa dati / elenchi",IF(OR(AND(I215&lt;&gt;"Lordo manuale",I215&lt;&gt;"Netto manuale",I215&lt;&gt;"Esecuzioni"),AND(J215&lt;&gt;"Aperto",J215&lt;&gt;"Chiuso",J215&lt;&gt;"Annullato")),"Modalità / stato mancanti",IF(AND(J215&lt;&gt;"Aperto",OR(NOT(ISNUMBER(C215)),C215&lt;B215)),"Correggi data chiusura",IF(OR(AND(Q215&lt;&gt;"",OR(NOT(ISNUMBER(Q215)),Q215&lt;0)),AND(R215&lt;&gt;"",OR(NOT(ISNUMBER(R215)),R215&lt;0,R215&gt;1))),"Commissione non valida",IF(J215="Annullato","OK",IF(OR(NOT(ISNUMBER(Z215)),Z215&lt;0,AND(O215&lt;&gt;"",NOT(ISNUMBER(O215)))),"Inserisci rischio",IF(AND(I215="Esecuzioni",OR(W215=0,COUNTIFS('Esecuzioni'!$A$8:$A$1007,A215,'Esecuzioni'!$Q$8:$Q$1007,"&lt;&gt;OK")&gt;0)),"Correggi esecuzioni",IF(J215="Aperto","OK",IF(AND(I215="Esecuzioni",S215="Coperto",ABS(X215-Y215)&gt;'Impostazioni'!$B$11),"Copertura residua",IF(NOT(ISNUMBER(AC215)),"Completa risultato / esito",IF(AND(Z215=0,AC215&lt;&gt;0),"Rischio nullo con P/L","OK")))))))))))))</x:f>
      </x:c>
      <x:c r="AR215" s="20" t="str">
        <x:f>IF(OR(A215="",J215&lt;&gt;"Aperto",AQ215&lt;&gt;"OK"),"",IF(I215="Esecuzioni",SUMIFS('Esecuzioni'!$P$8:$P$1007,'Esecuzioni'!$A$8:$A$1007,A215,'Esecuzioni'!$B$8:$B$1007,_xlfn.MAXIFS('Esecuzioni'!$B$8:$B$1007,'Esecuzioni'!$A$8:$A$1007,A215)),IF(LEFT(U215,8)="FREEBET:",0,Z215)))</x:f>
      </x:c>
      <x:c r="AS215" s="48" t="str">
        <x:f>IF(OR(A215="",E215=""),"",IF(COUNTIFS($E$8:E215,E215)=1,COUNT($AS$7:AS214)+1,""))</x:f>
      </x:c>
    </x:row>
    <x:row r="216" ht="22" customHeight="1">
      <x:c r="A216" s="7"/>
      <x:c r="B216" s="19"/>
      <x:c r="C216" s="19"/>
      <x:c r="D216" s="7"/>
      <x:c r="E216" s="7"/>
      <x:c r="F216" s="7"/>
      <x:c r="G216" s="7"/>
      <x:c r="H216" s="7"/>
      <x:c r="I216" s="7"/>
      <x:c r="J216" s="7"/>
      <x:c r="K216" s="10"/>
      <x:c r="L216" s="7"/>
      <x:c r="M216" s="10"/>
      <x:c r="N216" s="7"/>
      <x:c r="O216" s="8"/>
      <x:c r="P216" s="8"/>
      <x:c r="Q216" s="8"/>
      <x:c r="R216" s="9"/>
      <x:c r="S216" s="7"/>
      <x:c r="T216" s="7"/>
      <x:c r="U216" s="7"/>
      <x:c r="V216" s="7"/>
      <x:c r="W216" s="22" t="str">
        <x:f>IF(A216="","",COUNTIFS('Esecuzioni'!$A$8:$A$1007,A216,'Esecuzioni'!$Q$8:$Q$1007,"OK"))</x:f>
      </x:c>
      <x:c r="X216" s="20" t="str">
        <x:f>IF(OR(A216="",I216&lt;&gt;"Esecuzioni",W216=0),"",SUMIFS('Esecuzioni'!$L$8:$L$1007,'Esecuzioni'!$A$8:$A$1007,A216))</x:f>
      </x:c>
      <x:c r="Y216" s="20" t="str">
        <x:f>IF(OR(A216="",I216&lt;&gt;"Esecuzioni",W216=0),"",SUMIFS('Esecuzioni'!$M$8:$M$1007,'Esecuzioni'!$A$8:$A$1007,A216))</x:f>
      </x:c>
      <x:c r="Z216" s="20" t="str">
        <x:f>IF(A216="","",IF(J216="Annullato",0,IF(ISNUMBER(O216),O216,IF(AND(I216="Esecuzioni",W216&gt;0),_xlfn.MAXIFS('Esecuzioni'!$P$8:$P$1007,'Esecuzioni'!$A$8:$A$1007,A216),""))))</x:f>
      </x:c>
      <x:c r="AA216" s="20" t="str">
        <x:f>IF(OR(A216="",J216="Aperto"),"",IF(J216="Annullato",0,IF(I216="Lordo manuale",IF(ISNUMBER(P216),P216,""),IF(I216="Netto manuale",IF(AND(ISNUMBER(P216),ISNUMBER(Q216)),P216+Q216,""),IF(OR(W216=0,COUNTIFS('Esecuzioni'!$A$8:$A$1007,A216,'Esecuzioni'!$Q$8:$Q$1007,"&lt;&gt;OK")&gt;0),"",IF(S216="Vince",X216,IF(S216="Perde",Y216,IF(AND(S216="Coperto",ABS(X216-Y216)&lt;='Impostazioni'!$B$11),ROUND((X216+Y216)/2,2),""))))))))</x:f>
      </x:c>
      <x:c r="AB216" s="20" t="str">
        <x:f>IF(NOT(ISNUMBER(AA216)),"",IF(J216="Annullato",0,IF(ISNUMBER(Q216),Q216,ROUND(MAX(0,AA216)*IF(ISNUMBER(R216),R216,'Impostazioni'!$B$8),2))))</x:f>
      </x:c>
      <x:c r="AC216" s="20" t="str">
        <x:f>IF(AND(ISNUMBER(AA216),ISNUMBER(AB216)),ROUND(AA216-AB216,2),"")</x:f>
      </x:c>
      <x:c r="AD216" s="18" t="str">
        <x:f>IF(A216="","",IF(AQ216&lt;&gt;"OK","Incompleto",IF(J216="Aperto","Aperto",IF(J216="Annullato","Annullato",IF(AC216&gt;0,"Green",IF(AC216&lt;0,"Red","Flat"))))))</x:f>
      </x:c>
      <x:c r="AE216" s="21" t="str">
        <x:f>IF(AND(AH216=1,Z216&gt;0),AC216/Z216,"")</x:f>
      </x:c>
      <x:c r="AF216" s="22" t="str">
        <x:f>IF(AH216&lt;&gt;1,"",COUNTIFS($C$8:$C$507,"&lt;"&amp;C216,$AH$8:$AH$507,1)+COUNTIFS($C$8:$C$507,C216,$A$8:$A$507,"&lt;="&amp;A216,$AH$8:$AH$507,1))</x:f>
      </x:c>
      <x:c r="AG216" s="20" t="str">
        <x:f>IF(AH216&lt;&gt;1,"",SUMIFS($AC$8:$AC$507,$C$8:$C$507,"&lt;"&amp;C216,$AH$8:$AH$507,1)+SUMIFS($AC$8:$AC$507,$C$8:$C$507,C216,$A$8:$A$507,"&lt;="&amp;A216,$AH$8:$AH$507,1))</x:f>
      </x:c>
      <x:c r="AH216" s="22" t="str">
        <x:f>IF(A216="","",IF(AND(J216="Chiuso",AQ216="OK",ISNUMBER(AC216)),1,0))</x:f>
      </x:c>
      <x:c r="AI216" s="20" t="str">
        <x:f>IF(AH216&lt;&gt;1,"",MAX(0,_xlfn.MAXIFS($AG$8:$AG$507,$AF$8:$AF$507,"&lt;="&amp;AF216,$AH$8:$AH$507,1)))</x:f>
      </x:c>
      <x:c r="AJ216" s="20" t="str">
        <x:f>IF(AH216&lt;&gt;1,"",MAX(0,AI216-AG216))</x:f>
      </x:c>
      <x:c r="AK216" s="21" t="str">
        <x:f>IF(OR(AH216&lt;&gt;1,NOT(ISNUMBER('Impostazioni'!$B$6)),'Impostazioni'!$B$6+AI216&lt;=0),"",AJ216/('Impostazioni'!$B$6+AI216))</x:f>
      </x:c>
      <x:c r="AL216" s="22" t="str">
        <x:f>IF(AH216&lt;&gt;1,"",IF(AC216&gt;0,AF216-_xlfn.MAXIFS($AF$8:$AF$507,$AF$8:$AF$507,"&lt;="&amp;AF216,$AC$8:$AC$507,"&lt;=0",$AH$8:$AH$507,1),0))</x:f>
      </x:c>
      <x:c r="AM216" s="22" t="str">
        <x:f>IF(AH216&lt;&gt;1,"",IF(AC216&lt;0,AF216-_xlfn.MAXIFS($AF$8:$AF$507,$AF$8:$AF$507,"&lt;="&amp;AF216,$AC$8:$AC$507,"&gt;=0",$AH$8:$AH$507,1),0))</x:f>
      </x:c>
      <x:c r="AN216" s="20" t="str">
        <x:f>IF(OR(A216="",NOT(ISNUMBER(B216)),NOT(ISNUMBER('Impostazioni'!$B$6))),"",'Impostazioni'!$B$6+SUMIFS($AC$8:$AC$507,$C$8:$C$507,"&lt;"&amp;B216,$AH$8:$AH$507,1)+SUMIFS('Cassa'!$F$8:$F$307,'Cassa'!$A$8:$A$307,"&lt;="&amp;B216,'Cassa'!$G$8:$G$307,"OK"))</x:f>
      </x:c>
      <x:c r="AO216" s="21" t="str">
        <x:f>IF(AND(ISNUMBER(Z216),ISNUMBER(AN216),AN216&gt;0),Z216/AN216,"")</x:f>
      </x:c>
      <x:c r="AP216" s="18" t="str">
        <x:f>IF(NOT(ISNUMBER(AO216)),"",IF(AO216&gt;'Impostazioni'!$B$7,"Oltre soglia personale","Nella soglia personale"))</x:f>
      </x:c>
      <x:c r="AQ216" s="18" t="str">
        <x:f>IF(A216="",IF(COUNTA(B216:V216)=0,"","Inserisci ID"),IF(COUNTIFS($A$8:$A$507,A216)&lt;&gt;1,"ID duplicato",IF(OR(NOT(ISNUMBER(B216)),D216="",E216="",F216="",G216="",H216="",COUNTIFS('Impostazioni'!$J$6:$J$25,F216)&lt;&gt;1),"Completa dati / elenchi",IF(OR(AND(I216&lt;&gt;"Lordo manuale",I216&lt;&gt;"Netto manuale",I216&lt;&gt;"Esecuzioni"),AND(J216&lt;&gt;"Aperto",J216&lt;&gt;"Chiuso",J216&lt;&gt;"Annullato")),"Modalità / stato mancanti",IF(AND(J216&lt;&gt;"Aperto",OR(NOT(ISNUMBER(C216)),C216&lt;B216)),"Correggi data chiusura",IF(OR(AND(Q216&lt;&gt;"",OR(NOT(ISNUMBER(Q216)),Q216&lt;0)),AND(R216&lt;&gt;"",OR(NOT(ISNUMBER(R216)),R216&lt;0,R216&gt;1))),"Commissione non valida",IF(J216="Annullato","OK",IF(OR(NOT(ISNUMBER(Z216)),Z216&lt;0,AND(O216&lt;&gt;"",NOT(ISNUMBER(O216)))),"Inserisci rischio",IF(AND(I216="Esecuzioni",OR(W216=0,COUNTIFS('Esecuzioni'!$A$8:$A$1007,A216,'Esecuzioni'!$Q$8:$Q$1007,"&lt;&gt;OK")&gt;0)),"Correggi esecuzioni",IF(J216="Aperto","OK",IF(AND(I216="Esecuzioni",S216="Coperto",ABS(X216-Y216)&gt;'Impostazioni'!$B$11),"Copertura residua",IF(NOT(ISNUMBER(AC216)),"Completa risultato / esito",IF(AND(Z216=0,AC216&lt;&gt;0),"Rischio nullo con P/L","OK")))))))))))))</x:f>
      </x:c>
      <x:c r="AR216" s="20" t="str">
        <x:f>IF(OR(A216="",J216&lt;&gt;"Aperto",AQ216&lt;&gt;"OK"),"",IF(I216="Esecuzioni",SUMIFS('Esecuzioni'!$P$8:$P$1007,'Esecuzioni'!$A$8:$A$1007,A216,'Esecuzioni'!$B$8:$B$1007,_xlfn.MAXIFS('Esecuzioni'!$B$8:$B$1007,'Esecuzioni'!$A$8:$A$1007,A216)),IF(LEFT(U216,8)="FREEBET:",0,Z216)))</x:f>
      </x:c>
      <x:c r="AS216" s="48" t="str">
        <x:f>IF(OR(A216="",E216=""),"",IF(COUNTIFS($E$8:E216,E216)=1,COUNT($AS$7:AS215)+1,""))</x:f>
      </x:c>
    </x:row>
    <x:row r="217" ht="22" customHeight="1">
      <x:c r="A217" s="7"/>
      <x:c r="B217" s="19"/>
      <x:c r="C217" s="19"/>
      <x:c r="D217" s="7"/>
      <x:c r="E217" s="7"/>
      <x:c r="F217" s="7"/>
      <x:c r="G217" s="7"/>
      <x:c r="H217" s="7"/>
      <x:c r="I217" s="7"/>
      <x:c r="J217" s="7"/>
      <x:c r="K217" s="10"/>
      <x:c r="L217" s="7"/>
      <x:c r="M217" s="10"/>
      <x:c r="N217" s="7"/>
      <x:c r="O217" s="8"/>
      <x:c r="P217" s="8"/>
      <x:c r="Q217" s="8"/>
      <x:c r="R217" s="9"/>
      <x:c r="S217" s="7"/>
      <x:c r="T217" s="7"/>
      <x:c r="U217" s="7"/>
      <x:c r="V217" s="7"/>
      <x:c r="W217" s="22" t="str">
        <x:f>IF(A217="","",COUNTIFS('Esecuzioni'!$A$8:$A$1007,A217,'Esecuzioni'!$Q$8:$Q$1007,"OK"))</x:f>
      </x:c>
      <x:c r="X217" s="20" t="str">
        <x:f>IF(OR(A217="",I217&lt;&gt;"Esecuzioni",W217=0),"",SUMIFS('Esecuzioni'!$L$8:$L$1007,'Esecuzioni'!$A$8:$A$1007,A217))</x:f>
      </x:c>
      <x:c r="Y217" s="20" t="str">
        <x:f>IF(OR(A217="",I217&lt;&gt;"Esecuzioni",W217=0),"",SUMIFS('Esecuzioni'!$M$8:$M$1007,'Esecuzioni'!$A$8:$A$1007,A217))</x:f>
      </x:c>
      <x:c r="Z217" s="20" t="str">
        <x:f>IF(A217="","",IF(J217="Annullato",0,IF(ISNUMBER(O217),O217,IF(AND(I217="Esecuzioni",W217&gt;0),_xlfn.MAXIFS('Esecuzioni'!$P$8:$P$1007,'Esecuzioni'!$A$8:$A$1007,A217),""))))</x:f>
      </x:c>
      <x:c r="AA217" s="20" t="str">
        <x:f>IF(OR(A217="",J217="Aperto"),"",IF(J217="Annullato",0,IF(I217="Lordo manuale",IF(ISNUMBER(P217),P217,""),IF(I217="Netto manuale",IF(AND(ISNUMBER(P217),ISNUMBER(Q217)),P217+Q217,""),IF(OR(W217=0,COUNTIFS('Esecuzioni'!$A$8:$A$1007,A217,'Esecuzioni'!$Q$8:$Q$1007,"&lt;&gt;OK")&gt;0),"",IF(S217="Vince",X217,IF(S217="Perde",Y217,IF(AND(S217="Coperto",ABS(X217-Y217)&lt;='Impostazioni'!$B$11),ROUND((X217+Y217)/2,2),""))))))))</x:f>
      </x:c>
      <x:c r="AB217" s="20" t="str">
        <x:f>IF(NOT(ISNUMBER(AA217)),"",IF(J217="Annullato",0,IF(ISNUMBER(Q217),Q217,ROUND(MAX(0,AA217)*IF(ISNUMBER(R217),R217,'Impostazioni'!$B$8),2))))</x:f>
      </x:c>
      <x:c r="AC217" s="20" t="str">
        <x:f>IF(AND(ISNUMBER(AA217),ISNUMBER(AB217)),ROUND(AA217-AB217,2),"")</x:f>
      </x:c>
      <x:c r="AD217" s="18" t="str">
        <x:f>IF(A217="","",IF(AQ217&lt;&gt;"OK","Incompleto",IF(J217="Aperto","Aperto",IF(J217="Annullato","Annullato",IF(AC217&gt;0,"Green",IF(AC217&lt;0,"Red","Flat"))))))</x:f>
      </x:c>
      <x:c r="AE217" s="21" t="str">
        <x:f>IF(AND(AH217=1,Z217&gt;0),AC217/Z217,"")</x:f>
      </x:c>
      <x:c r="AF217" s="22" t="str">
        <x:f>IF(AH217&lt;&gt;1,"",COUNTIFS($C$8:$C$507,"&lt;"&amp;C217,$AH$8:$AH$507,1)+COUNTIFS($C$8:$C$507,C217,$A$8:$A$507,"&lt;="&amp;A217,$AH$8:$AH$507,1))</x:f>
      </x:c>
      <x:c r="AG217" s="20" t="str">
        <x:f>IF(AH217&lt;&gt;1,"",SUMIFS($AC$8:$AC$507,$C$8:$C$507,"&lt;"&amp;C217,$AH$8:$AH$507,1)+SUMIFS($AC$8:$AC$507,$C$8:$C$507,C217,$A$8:$A$507,"&lt;="&amp;A217,$AH$8:$AH$507,1))</x:f>
      </x:c>
      <x:c r="AH217" s="22" t="str">
        <x:f>IF(A217="","",IF(AND(J217="Chiuso",AQ217="OK",ISNUMBER(AC217)),1,0))</x:f>
      </x:c>
      <x:c r="AI217" s="20" t="str">
        <x:f>IF(AH217&lt;&gt;1,"",MAX(0,_xlfn.MAXIFS($AG$8:$AG$507,$AF$8:$AF$507,"&lt;="&amp;AF217,$AH$8:$AH$507,1)))</x:f>
      </x:c>
      <x:c r="AJ217" s="20" t="str">
        <x:f>IF(AH217&lt;&gt;1,"",MAX(0,AI217-AG217))</x:f>
      </x:c>
      <x:c r="AK217" s="21" t="str">
        <x:f>IF(OR(AH217&lt;&gt;1,NOT(ISNUMBER('Impostazioni'!$B$6)),'Impostazioni'!$B$6+AI217&lt;=0),"",AJ217/('Impostazioni'!$B$6+AI217))</x:f>
      </x:c>
      <x:c r="AL217" s="22" t="str">
        <x:f>IF(AH217&lt;&gt;1,"",IF(AC217&gt;0,AF217-_xlfn.MAXIFS($AF$8:$AF$507,$AF$8:$AF$507,"&lt;="&amp;AF217,$AC$8:$AC$507,"&lt;=0",$AH$8:$AH$507,1),0))</x:f>
      </x:c>
      <x:c r="AM217" s="22" t="str">
        <x:f>IF(AH217&lt;&gt;1,"",IF(AC217&lt;0,AF217-_xlfn.MAXIFS($AF$8:$AF$507,$AF$8:$AF$507,"&lt;="&amp;AF217,$AC$8:$AC$507,"&gt;=0",$AH$8:$AH$507,1),0))</x:f>
      </x:c>
      <x:c r="AN217" s="20" t="str">
        <x:f>IF(OR(A217="",NOT(ISNUMBER(B217)),NOT(ISNUMBER('Impostazioni'!$B$6))),"",'Impostazioni'!$B$6+SUMIFS($AC$8:$AC$507,$C$8:$C$507,"&lt;"&amp;B217,$AH$8:$AH$507,1)+SUMIFS('Cassa'!$F$8:$F$307,'Cassa'!$A$8:$A$307,"&lt;="&amp;B217,'Cassa'!$G$8:$G$307,"OK"))</x:f>
      </x:c>
      <x:c r="AO217" s="21" t="str">
        <x:f>IF(AND(ISNUMBER(Z217),ISNUMBER(AN217),AN217&gt;0),Z217/AN217,"")</x:f>
      </x:c>
      <x:c r="AP217" s="18" t="str">
        <x:f>IF(NOT(ISNUMBER(AO217)),"",IF(AO217&gt;'Impostazioni'!$B$7,"Oltre soglia personale","Nella soglia personale"))</x:f>
      </x:c>
      <x:c r="AQ217" s="18" t="str">
        <x:f>IF(A217="",IF(COUNTA(B217:V217)=0,"","Inserisci ID"),IF(COUNTIFS($A$8:$A$507,A217)&lt;&gt;1,"ID duplicato",IF(OR(NOT(ISNUMBER(B217)),D217="",E217="",F217="",G217="",H217="",COUNTIFS('Impostazioni'!$J$6:$J$25,F217)&lt;&gt;1),"Completa dati / elenchi",IF(OR(AND(I217&lt;&gt;"Lordo manuale",I217&lt;&gt;"Netto manuale",I217&lt;&gt;"Esecuzioni"),AND(J217&lt;&gt;"Aperto",J217&lt;&gt;"Chiuso",J217&lt;&gt;"Annullato")),"Modalità / stato mancanti",IF(AND(J217&lt;&gt;"Aperto",OR(NOT(ISNUMBER(C217)),C217&lt;B217)),"Correggi data chiusura",IF(OR(AND(Q217&lt;&gt;"",OR(NOT(ISNUMBER(Q217)),Q217&lt;0)),AND(R217&lt;&gt;"",OR(NOT(ISNUMBER(R217)),R217&lt;0,R217&gt;1))),"Commissione non valida",IF(J217="Annullato","OK",IF(OR(NOT(ISNUMBER(Z217)),Z217&lt;0,AND(O217&lt;&gt;"",NOT(ISNUMBER(O217)))),"Inserisci rischio",IF(AND(I217="Esecuzioni",OR(W217=0,COUNTIFS('Esecuzioni'!$A$8:$A$1007,A217,'Esecuzioni'!$Q$8:$Q$1007,"&lt;&gt;OK")&gt;0)),"Correggi esecuzioni",IF(J217="Aperto","OK",IF(AND(I217="Esecuzioni",S217="Coperto",ABS(X217-Y217)&gt;'Impostazioni'!$B$11),"Copertura residua",IF(NOT(ISNUMBER(AC217)),"Completa risultato / esito",IF(AND(Z217=0,AC217&lt;&gt;0),"Rischio nullo con P/L","OK")))))))))))))</x:f>
      </x:c>
      <x:c r="AR217" s="20" t="str">
        <x:f>IF(OR(A217="",J217&lt;&gt;"Aperto",AQ217&lt;&gt;"OK"),"",IF(I217="Esecuzioni",SUMIFS('Esecuzioni'!$P$8:$P$1007,'Esecuzioni'!$A$8:$A$1007,A217,'Esecuzioni'!$B$8:$B$1007,_xlfn.MAXIFS('Esecuzioni'!$B$8:$B$1007,'Esecuzioni'!$A$8:$A$1007,A217)),IF(LEFT(U217,8)="FREEBET:",0,Z217)))</x:f>
      </x:c>
      <x:c r="AS217" s="48" t="str">
        <x:f>IF(OR(A217="",E217=""),"",IF(COUNTIFS($E$8:E217,E217)=1,COUNT($AS$7:AS216)+1,""))</x:f>
      </x:c>
    </x:row>
    <x:row r="218" ht="22" customHeight="1">
      <x:c r="A218" s="7"/>
      <x:c r="B218" s="19"/>
      <x:c r="C218" s="19"/>
      <x:c r="D218" s="7"/>
      <x:c r="E218" s="7"/>
      <x:c r="F218" s="7"/>
      <x:c r="G218" s="7"/>
      <x:c r="H218" s="7"/>
      <x:c r="I218" s="7"/>
      <x:c r="J218" s="7"/>
      <x:c r="K218" s="10"/>
      <x:c r="L218" s="7"/>
      <x:c r="M218" s="10"/>
      <x:c r="N218" s="7"/>
      <x:c r="O218" s="8"/>
      <x:c r="P218" s="8"/>
      <x:c r="Q218" s="8"/>
      <x:c r="R218" s="9"/>
      <x:c r="S218" s="7"/>
      <x:c r="T218" s="7"/>
      <x:c r="U218" s="7"/>
      <x:c r="V218" s="7"/>
      <x:c r="W218" s="22" t="str">
        <x:f>IF(A218="","",COUNTIFS('Esecuzioni'!$A$8:$A$1007,A218,'Esecuzioni'!$Q$8:$Q$1007,"OK"))</x:f>
      </x:c>
      <x:c r="X218" s="20" t="str">
        <x:f>IF(OR(A218="",I218&lt;&gt;"Esecuzioni",W218=0),"",SUMIFS('Esecuzioni'!$L$8:$L$1007,'Esecuzioni'!$A$8:$A$1007,A218))</x:f>
      </x:c>
      <x:c r="Y218" s="20" t="str">
        <x:f>IF(OR(A218="",I218&lt;&gt;"Esecuzioni",W218=0),"",SUMIFS('Esecuzioni'!$M$8:$M$1007,'Esecuzioni'!$A$8:$A$1007,A218))</x:f>
      </x:c>
      <x:c r="Z218" s="20" t="str">
        <x:f>IF(A218="","",IF(J218="Annullato",0,IF(ISNUMBER(O218),O218,IF(AND(I218="Esecuzioni",W218&gt;0),_xlfn.MAXIFS('Esecuzioni'!$P$8:$P$1007,'Esecuzioni'!$A$8:$A$1007,A218),""))))</x:f>
      </x:c>
      <x:c r="AA218" s="20" t="str">
        <x:f>IF(OR(A218="",J218="Aperto"),"",IF(J218="Annullato",0,IF(I218="Lordo manuale",IF(ISNUMBER(P218),P218,""),IF(I218="Netto manuale",IF(AND(ISNUMBER(P218),ISNUMBER(Q218)),P218+Q218,""),IF(OR(W218=0,COUNTIFS('Esecuzioni'!$A$8:$A$1007,A218,'Esecuzioni'!$Q$8:$Q$1007,"&lt;&gt;OK")&gt;0),"",IF(S218="Vince",X218,IF(S218="Perde",Y218,IF(AND(S218="Coperto",ABS(X218-Y218)&lt;='Impostazioni'!$B$11),ROUND((X218+Y218)/2,2),""))))))))</x:f>
      </x:c>
      <x:c r="AB218" s="20" t="str">
        <x:f>IF(NOT(ISNUMBER(AA218)),"",IF(J218="Annullato",0,IF(ISNUMBER(Q218),Q218,ROUND(MAX(0,AA218)*IF(ISNUMBER(R218),R218,'Impostazioni'!$B$8),2))))</x:f>
      </x:c>
      <x:c r="AC218" s="20" t="str">
        <x:f>IF(AND(ISNUMBER(AA218),ISNUMBER(AB218)),ROUND(AA218-AB218,2),"")</x:f>
      </x:c>
      <x:c r="AD218" s="18" t="str">
        <x:f>IF(A218="","",IF(AQ218&lt;&gt;"OK","Incompleto",IF(J218="Aperto","Aperto",IF(J218="Annullato","Annullato",IF(AC218&gt;0,"Green",IF(AC218&lt;0,"Red","Flat"))))))</x:f>
      </x:c>
      <x:c r="AE218" s="21" t="str">
        <x:f>IF(AND(AH218=1,Z218&gt;0),AC218/Z218,"")</x:f>
      </x:c>
      <x:c r="AF218" s="22" t="str">
        <x:f>IF(AH218&lt;&gt;1,"",COUNTIFS($C$8:$C$507,"&lt;"&amp;C218,$AH$8:$AH$507,1)+COUNTIFS($C$8:$C$507,C218,$A$8:$A$507,"&lt;="&amp;A218,$AH$8:$AH$507,1))</x:f>
      </x:c>
      <x:c r="AG218" s="20" t="str">
        <x:f>IF(AH218&lt;&gt;1,"",SUMIFS($AC$8:$AC$507,$C$8:$C$507,"&lt;"&amp;C218,$AH$8:$AH$507,1)+SUMIFS($AC$8:$AC$507,$C$8:$C$507,C218,$A$8:$A$507,"&lt;="&amp;A218,$AH$8:$AH$507,1))</x:f>
      </x:c>
      <x:c r="AH218" s="22" t="str">
        <x:f>IF(A218="","",IF(AND(J218="Chiuso",AQ218="OK",ISNUMBER(AC218)),1,0))</x:f>
      </x:c>
      <x:c r="AI218" s="20" t="str">
        <x:f>IF(AH218&lt;&gt;1,"",MAX(0,_xlfn.MAXIFS($AG$8:$AG$507,$AF$8:$AF$507,"&lt;="&amp;AF218,$AH$8:$AH$507,1)))</x:f>
      </x:c>
      <x:c r="AJ218" s="20" t="str">
        <x:f>IF(AH218&lt;&gt;1,"",MAX(0,AI218-AG218))</x:f>
      </x:c>
      <x:c r="AK218" s="21" t="str">
        <x:f>IF(OR(AH218&lt;&gt;1,NOT(ISNUMBER('Impostazioni'!$B$6)),'Impostazioni'!$B$6+AI218&lt;=0),"",AJ218/('Impostazioni'!$B$6+AI218))</x:f>
      </x:c>
      <x:c r="AL218" s="22" t="str">
        <x:f>IF(AH218&lt;&gt;1,"",IF(AC218&gt;0,AF218-_xlfn.MAXIFS($AF$8:$AF$507,$AF$8:$AF$507,"&lt;="&amp;AF218,$AC$8:$AC$507,"&lt;=0",$AH$8:$AH$507,1),0))</x:f>
      </x:c>
      <x:c r="AM218" s="22" t="str">
        <x:f>IF(AH218&lt;&gt;1,"",IF(AC218&lt;0,AF218-_xlfn.MAXIFS($AF$8:$AF$507,$AF$8:$AF$507,"&lt;="&amp;AF218,$AC$8:$AC$507,"&gt;=0",$AH$8:$AH$507,1),0))</x:f>
      </x:c>
      <x:c r="AN218" s="20" t="str">
        <x:f>IF(OR(A218="",NOT(ISNUMBER(B218)),NOT(ISNUMBER('Impostazioni'!$B$6))),"",'Impostazioni'!$B$6+SUMIFS($AC$8:$AC$507,$C$8:$C$507,"&lt;"&amp;B218,$AH$8:$AH$507,1)+SUMIFS('Cassa'!$F$8:$F$307,'Cassa'!$A$8:$A$307,"&lt;="&amp;B218,'Cassa'!$G$8:$G$307,"OK"))</x:f>
      </x:c>
      <x:c r="AO218" s="21" t="str">
        <x:f>IF(AND(ISNUMBER(Z218),ISNUMBER(AN218),AN218&gt;0),Z218/AN218,"")</x:f>
      </x:c>
      <x:c r="AP218" s="18" t="str">
        <x:f>IF(NOT(ISNUMBER(AO218)),"",IF(AO218&gt;'Impostazioni'!$B$7,"Oltre soglia personale","Nella soglia personale"))</x:f>
      </x:c>
      <x:c r="AQ218" s="18" t="str">
        <x:f>IF(A218="",IF(COUNTA(B218:V218)=0,"","Inserisci ID"),IF(COUNTIFS($A$8:$A$507,A218)&lt;&gt;1,"ID duplicato",IF(OR(NOT(ISNUMBER(B218)),D218="",E218="",F218="",G218="",H218="",COUNTIFS('Impostazioni'!$J$6:$J$25,F218)&lt;&gt;1),"Completa dati / elenchi",IF(OR(AND(I218&lt;&gt;"Lordo manuale",I218&lt;&gt;"Netto manuale",I218&lt;&gt;"Esecuzioni"),AND(J218&lt;&gt;"Aperto",J218&lt;&gt;"Chiuso",J218&lt;&gt;"Annullato")),"Modalità / stato mancanti",IF(AND(J218&lt;&gt;"Aperto",OR(NOT(ISNUMBER(C218)),C218&lt;B218)),"Correggi data chiusura",IF(OR(AND(Q218&lt;&gt;"",OR(NOT(ISNUMBER(Q218)),Q218&lt;0)),AND(R218&lt;&gt;"",OR(NOT(ISNUMBER(R218)),R218&lt;0,R218&gt;1))),"Commissione non valida",IF(J218="Annullato","OK",IF(OR(NOT(ISNUMBER(Z218)),Z218&lt;0,AND(O218&lt;&gt;"",NOT(ISNUMBER(O218)))),"Inserisci rischio",IF(AND(I218="Esecuzioni",OR(W218=0,COUNTIFS('Esecuzioni'!$A$8:$A$1007,A218,'Esecuzioni'!$Q$8:$Q$1007,"&lt;&gt;OK")&gt;0)),"Correggi esecuzioni",IF(J218="Aperto","OK",IF(AND(I218="Esecuzioni",S218="Coperto",ABS(X218-Y218)&gt;'Impostazioni'!$B$11),"Copertura residua",IF(NOT(ISNUMBER(AC218)),"Completa risultato / esito",IF(AND(Z218=0,AC218&lt;&gt;0),"Rischio nullo con P/L","OK")))))))))))))</x:f>
      </x:c>
      <x:c r="AR218" s="20" t="str">
        <x:f>IF(OR(A218="",J218&lt;&gt;"Aperto",AQ218&lt;&gt;"OK"),"",IF(I218="Esecuzioni",SUMIFS('Esecuzioni'!$P$8:$P$1007,'Esecuzioni'!$A$8:$A$1007,A218,'Esecuzioni'!$B$8:$B$1007,_xlfn.MAXIFS('Esecuzioni'!$B$8:$B$1007,'Esecuzioni'!$A$8:$A$1007,A218)),IF(LEFT(U218,8)="FREEBET:",0,Z218)))</x:f>
      </x:c>
      <x:c r="AS218" s="48" t="str">
        <x:f>IF(OR(A218="",E218=""),"",IF(COUNTIFS($E$8:E218,E218)=1,COUNT($AS$7:AS217)+1,""))</x:f>
      </x:c>
    </x:row>
    <x:row r="219" ht="22" customHeight="1">
      <x:c r="A219" s="7"/>
      <x:c r="B219" s="19"/>
      <x:c r="C219" s="19"/>
      <x:c r="D219" s="7"/>
      <x:c r="E219" s="7"/>
      <x:c r="F219" s="7"/>
      <x:c r="G219" s="7"/>
      <x:c r="H219" s="7"/>
      <x:c r="I219" s="7"/>
      <x:c r="J219" s="7"/>
      <x:c r="K219" s="10"/>
      <x:c r="L219" s="7"/>
      <x:c r="M219" s="10"/>
      <x:c r="N219" s="7"/>
      <x:c r="O219" s="8"/>
      <x:c r="P219" s="8"/>
      <x:c r="Q219" s="8"/>
      <x:c r="R219" s="9"/>
      <x:c r="S219" s="7"/>
      <x:c r="T219" s="7"/>
      <x:c r="U219" s="7"/>
      <x:c r="V219" s="7"/>
      <x:c r="W219" s="22" t="str">
        <x:f>IF(A219="","",COUNTIFS('Esecuzioni'!$A$8:$A$1007,A219,'Esecuzioni'!$Q$8:$Q$1007,"OK"))</x:f>
      </x:c>
      <x:c r="X219" s="20" t="str">
        <x:f>IF(OR(A219="",I219&lt;&gt;"Esecuzioni",W219=0),"",SUMIFS('Esecuzioni'!$L$8:$L$1007,'Esecuzioni'!$A$8:$A$1007,A219))</x:f>
      </x:c>
      <x:c r="Y219" s="20" t="str">
        <x:f>IF(OR(A219="",I219&lt;&gt;"Esecuzioni",W219=0),"",SUMIFS('Esecuzioni'!$M$8:$M$1007,'Esecuzioni'!$A$8:$A$1007,A219))</x:f>
      </x:c>
      <x:c r="Z219" s="20" t="str">
        <x:f>IF(A219="","",IF(J219="Annullato",0,IF(ISNUMBER(O219),O219,IF(AND(I219="Esecuzioni",W219&gt;0),_xlfn.MAXIFS('Esecuzioni'!$P$8:$P$1007,'Esecuzioni'!$A$8:$A$1007,A219),""))))</x:f>
      </x:c>
      <x:c r="AA219" s="20" t="str">
        <x:f>IF(OR(A219="",J219="Aperto"),"",IF(J219="Annullato",0,IF(I219="Lordo manuale",IF(ISNUMBER(P219),P219,""),IF(I219="Netto manuale",IF(AND(ISNUMBER(P219),ISNUMBER(Q219)),P219+Q219,""),IF(OR(W219=0,COUNTIFS('Esecuzioni'!$A$8:$A$1007,A219,'Esecuzioni'!$Q$8:$Q$1007,"&lt;&gt;OK")&gt;0),"",IF(S219="Vince",X219,IF(S219="Perde",Y219,IF(AND(S219="Coperto",ABS(X219-Y219)&lt;='Impostazioni'!$B$11),ROUND((X219+Y219)/2,2),""))))))))</x:f>
      </x:c>
      <x:c r="AB219" s="20" t="str">
        <x:f>IF(NOT(ISNUMBER(AA219)),"",IF(J219="Annullato",0,IF(ISNUMBER(Q219),Q219,ROUND(MAX(0,AA219)*IF(ISNUMBER(R219),R219,'Impostazioni'!$B$8),2))))</x:f>
      </x:c>
      <x:c r="AC219" s="20" t="str">
        <x:f>IF(AND(ISNUMBER(AA219),ISNUMBER(AB219)),ROUND(AA219-AB219,2),"")</x:f>
      </x:c>
      <x:c r="AD219" s="18" t="str">
        <x:f>IF(A219="","",IF(AQ219&lt;&gt;"OK","Incompleto",IF(J219="Aperto","Aperto",IF(J219="Annullato","Annullato",IF(AC219&gt;0,"Green",IF(AC219&lt;0,"Red","Flat"))))))</x:f>
      </x:c>
      <x:c r="AE219" s="21" t="str">
        <x:f>IF(AND(AH219=1,Z219&gt;0),AC219/Z219,"")</x:f>
      </x:c>
      <x:c r="AF219" s="22" t="str">
        <x:f>IF(AH219&lt;&gt;1,"",COUNTIFS($C$8:$C$507,"&lt;"&amp;C219,$AH$8:$AH$507,1)+COUNTIFS($C$8:$C$507,C219,$A$8:$A$507,"&lt;="&amp;A219,$AH$8:$AH$507,1))</x:f>
      </x:c>
      <x:c r="AG219" s="20" t="str">
        <x:f>IF(AH219&lt;&gt;1,"",SUMIFS($AC$8:$AC$507,$C$8:$C$507,"&lt;"&amp;C219,$AH$8:$AH$507,1)+SUMIFS($AC$8:$AC$507,$C$8:$C$507,C219,$A$8:$A$507,"&lt;="&amp;A219,$AH$8:$AH$507,1))</x:f>
      </x:c>
      <x:c r="AH219" s="22" t="str">
        <x:f>IF(A219="","",IF(AND(J219="Chiuso",AQ219="OK",ISNUMBER(AC219)),1,0))</x:f>
      </x:c>
      <x:c r="AI219" s="20" t="str">
        <x:f>IF(AH219&lt;&gt;1,"",MAX(0,_xlfn.MAXIFS($AG$8:$AG$507,$AF$8:$AF$507,"&lt;="&amp;AF219,$AH$8:$AH$507,1)))</x:f>
      </x:c>
      <x:c r="AJ219" s="20" t="str">
        <x:f>IF(AH219&lt;&gt;1,"",MAX(0,AI219-AG219))</x:f>
      </x:c>
      <x:c r="AK219" s="21" t="str">
        <x:f>IF(OR(AH219&lt;&gt;1,NOT(ISNUMBER('Impostazioni'!$B$6)),'Impostazioni'!$B$6+AI219&lt;=0),"",AJ219/('Impostazioni'!$B$6+AI219))</x:f>
      </x:c>
      <x:c r="AL219" s="22" t="str">
        <x:f>IF(AH219&lt;&gt;1,"",IF(AC219&gt;0,AF219-_xlfn.MAXIFS($AF$8:$AF$507,$AF$8:$AF$507,"&lt;="&amp;AF219,$AC$8:$AC$507,"&lt;=0",$AH$8:$AH$507,1),0))</x:f>
      </x:c>
      <x:c r="AM219" s="22" t="str">
        <x:f>IF(AH219&lt;&gt;1,"",IF(AC219&lt;0,AF219-_xlfn.MAXIFS($AF$8:$AF$507,$AF$8:$AF$507,"&lt;="&amp;AF219,$AC$8:$AC$507,"&gt;=0",$AH$8:$AH$507,1),0))</x:f>
      </x:c>
      <x:c r="AN219" s="20" t="str">
        <x:f>IF(OR(A219="",NOT(ISNUMBER(B219)),NOT(ISNUMBER('Impostazioni'!$B$6))),"",'Impostazioni'!$B$6+SUMIFS($AC$8:$AC$507,$C$8:$C$507,"&lt;"&amp;B219,$AH$8:$AH$507,1)+SUMIFS('Cassa'!$F$8:$F$307,'Cassa'!$A$8:$A$307,"&lt;="&amp;B219,'Cassa'!$G$8:$G$307,"OK"))</x:f>
      </x:c>
      <x:c r="AO219" s="21" t="str">
        <x:f>IF(AND(ISNUMBER(Z219),ISNUMBER(AN219),AN219&gt;0),Z219/AN219,"")</x:f>
      </x:c>
      <x:c r="AP219" s="18" t="str">
        <x:f>IF(NOT(ISNUMBER(AO219)),"",IF(AO219&gt;'Impostazioni'!$B$7,"Oltre soglia personale","Nella soglia personale"))</x:f>
      </x:c>
      <x:c r="AQ219" s="18" t="str">
        <x:f>IF(A219="",IF(COUNTA(B219:V219)=0,"","Inserisci ID"),IF(COUNTIFS($A$8:$A$507,A219)&lt;&gt;1,"ID duplicato",IF(OR(NOT(ISNUMBER(B219)),D219="",E219="",F219="",G219="",H219="",COUNTIFS('Impostazioni'!$J$6:$J$25,F219)&lt;&gt;1),"Completa dati / elenchi",IF(OR(AND(I219&lt;&gt;"Lordo manuale",I219&lt;&gt;"Netto manuale",I219&lt;&gt;"Esecuzioni"),AND(J219&lt;&gt;"Aperto",J219&lt;&gt;"Chiuso",J219&lt;&gt;"Annullato")),"Modalità / stato mancanti",IF(AND(J219&lt;&gt;"Aperto",OR(NOT(ISNUMBER(C219)),C219&lt;B219)),"Correggi data chiusura",IF(OR(AND(Q219&lt;&gt;"",OR(NOT(ISNUMBER(Q219)),Q219&lt;0)),AND(R219&lt;&gt;"",OR(NOT(ISNUMBER(R219)),R219&lt;0,R219&gt;1))),"Commissione non valida",IF(J219="Annullato","OK",IF(OR(NOT(ISNUMBER(Z219)),Z219&lt;0,AND(O219&lt;&gt;"",NOT(ISNUMBER(O219)))),"Inserisci rischio",IF(AND(I219="Esecuzioni",OR(W219=0,COUNTIFS('Esecuzioni'!$A$8:$A$1007,A219,'Esecuzioni'!$Q$8:$Q$1007,"&lt;&gt;OK")&gt;0)),"Correggi esecuzioni",IF(J219="Aperto","OK",IF(AND(I219="Esecuzioni",S219="Coperto",ABS(X219-Y219)&gt;'Impostazioni'!$B$11),"Copertura residua",IF(NOT(ISNUMBER(AC219)),"Completa risultato / esito",IF(AND(Z219=0,AC219&lt;&gt;0),"Rischio nullo con P/L","OK")))))))))))))</x:f>
      </x:c>
      <x:c r="AR219" s="20" t="str">
        <x:f>IF(OR(A219="",J219&lt;&gt;"Aperto",AQ219&lt;&gt;"OK"),"",IF(I219="Esecuzioni",SUMIFS('Esecuzioni'!$P$8:$P$1007,'Esecuzioni'!$A$8:$A$1007,A219,'Esecuzioni'!$B$8:$B$1007,_xlfn.MAXIFS('Esecuzioni'!$B$8:$B$1007,'Esecuzioni'!$A$8:$A$1007,A219)),IF(LEFT(U219,8)="FREEBET:",0,Z219)))</x:f>
      </x:c>
      <x:c r="AS219" s="48" t="str">
        <x:f>IF(OR(A219="",E219=""),"",IF(COUNTIFS($E$8:E219,E219)=1,COUNT($AS$7:AS218)+1,""))</x:f>
      </x:c>
    </x:row>
    <x:row r="220" ht="22" customHeight="1">
      <x:c r="A220" s="7"/>
      <x:c r="B220" s="19"/>
      <x:c r="C220" s="19"/>
      <x:c r="D220" s="7"/>
      <x:c r="E220" s="7"/>
      <x:c r="F220" s="7"/>
      <x:c r="G220" s="7"/>
      <x:c r="H220" s="7"/>
      <x:c r="I220" s="7"/>
      <x:c r="J220" s="7"/>
      <x:c r="K220" s="10"/>
      <x:c r="L220" s="7"/>
      <x:c r="M220" s="10"/>
      <x:c r="N220" s="7"/>
      <x:c r="O220" s="8"/>
      <x:c r="P220" s="8"/>
      <x:c r="Q220" s="8"/>
      <x:c r="R220" s="9"/>
      <x:c r="S220" s="7"/>
      <x:c r="T220" s="7"/>
      <x:c r="U220" s="7"/>
      <x:c r="V220" s="7"/>
      <x:c r="W220" s="22" t="str">
        <x:f>IF(A220="","",COUNTIFS('Esecuzioni'!$A$8:$A$1007,A220,'Esecuzioni'!$Q$8:$Q$1007,"OK"))</x:f>
      </x:c>
      <x:c r="X220" s="20" t="str">
        <x:f>IF(OR(A220="",I220&lt;&gt;"Esecuzioni",W220=0),"",SUMIFS('Esecuzioni'!$L$8:$L$1007,'Esecuzioni'!$A$8:$A$1007,A220))</x:f>
      </x:c>
      <x:c r="Y220" s="20" t="str">
        <x:f>IF(OR(A220="",I220&lt;&gt;"Esecuzioni",W220=0),"",SUMIFS('Esecuzioni'!$M$8:$M$1007,'Esecuzioni'!$A$8:$A$1007,A220))</x:f>
      </x:c>
      <x:c r="Z220" s="20" t="str">
        <x:f>IF(A220="","",IF(J220="Annullato",0,IF(ISNUMBER(O220),O220,IF(AND(I220="Esecuzioni",W220&gt;0),_xlfn.MAXIFS('Esecuzioni'!$P$8:$P$1007,'Esecuzioni'!$A$8:$A$1007,A220),""))))</x:f>
      </x:c>
      <x:c r="AA220" s="20" t="str">
        <x:f>IF(OR(A220="",J220="Aperto"),"",IF(J220="Annullato",0,IF(I220="Lordo manuale",IF(ISNUMBER(P220),P220,""),IF(I220="Netto manuale",IF(AND(ISNUMBER(P220),ISNUMBER(Q220)),P220+Q220,""),IF(OR(W220=0,COUNTIFS('Esecuzioni'!$A$8:$A$1007,A220,'Esecuzioni'!$Q$8:$Q$1007,"&lt;&gt;OK")&gt;0),"",IF(S220="Vince",X220,IF(S220="Perde",Y220,IF(AND(S220="Coperto",ABS(X220-Y220)&lt;='Impostazioni'!$B$11),ROUND((X220+Y220)/2,2),""))))))))</x:f>
      </x:c>
      <x:c r="AB220" s="20" t="str">
        <x:f>IF(NOT(ISNUMBER(AA220)),"",IF(J220="Annullato",0,IF(ISNUMBER(Q220),Q220,ROUND(MAX(0,AA220)*IF(ISNUMBER(R220),R220,'Impostazioni'!$B$8),2))))</x:f>
      </x:c>
      <x:c r="AC220" s="20" t="str">
        <x:f>IF(AND(ISNUMBER(AA220),ISNUMBER(AB220)),ROUND(AA220-AB220,2),"")</x:f>
      </x:c>
      <x:c r="AD220" s="18" t="str">
        <x:f>IF(A220="","",IF(AQ220&lt;&gt;"OK","Incompleto",IF(J220="Aperto","Aperto",IF(J220="Annullato","Annullato",IF(AC220&gt;0,"Green",IF(AC220&lt;0,"Red","Flat"))))))</x:f>
      </x:c>
      <x:c r="AE220" s="21" t="str">
        <x:f>IF(AND(AH220=1,Z220&gt;0),AC220/Z220,"")</x:f>
      </x:c>
      <x:c r="AF220" s="22" t="str">
        <x:f>IF(AH220&lt;&gt;1,"",COUNTIFS($C$8:$C$507,"&lt;"&amp;C220,$AH$8:$AH$507,1)+COUNTIFS($C$8:$C$507,C220,$A$8:$A$507,"&lt;="&amp;A220,$AH$8:$AH$507,1))</x:f>
      </x:c>
      <x:c r="AG220" s="20" t="str">
        <x:f>IF(AH220&lt;&gt;1,"",SUMIFS($AC$8:$AC$507,$C$8:$C$507,"&lt;"&amp;C220,$AH$8:$AH$507,1)+SUMIFS($AC$8:$AC$507,$C$8:$C$507,C220,$A$8:$A$507,"&lt;="&amp;A220,$AH$8:$AH$507,1))</x:f>
      </x:c>
      <x:c r="AH220" s="22" t="str">
        <x:f>IF(A220="","",IF(AND(J220="Chiuso",AQ220="OK",ISNUMBER(AC220)),1,0))</x:f>
      </x:c>
      <x:c r="AI220" s="20" t="str">
        <x:f>IF(AH220&lt;&gt;1,"",MAX(0,_xlfn.MAXIFS($AG$8:$AG$507,$AF$8:$AF$507,"&lt;="&amp;AF220,$AH$8:$AH$507,1)))</x:f>
      </x:c>
      <x:c r="AJ220" s="20" t="str">
        <x:f>IF(AH220&lt;&gt;1,"",MAX(0,AI220-AG220))</x:f>
      </x:c>
      <x:c r="AK220" s="21" t="str">
        <x:f>IF(OR(AH220&lt;&gt;1,NOT(ISNUMBER('Impostazioni'!$B$6)),'Impostazioni'!$B$6+AI220&lt;=0),"",AJ220/('Impostazioni'!$B$6+AI220))</x:f>
      </x:c>
      <x:c r="AL220" s="22" t="str">
        <x:f>IF(AH220&lt;&gt;1,"",IF(AC220&gt;0,AF220-_xlfn.MAXIFS($AF$8:$AF$507,$AF$8:$AF$507,"&lt;="&amp;AF220,$AC$8:$AC$507,"&lt;=0",$AH$8:$AH$507,1),0))</x:f>
      </x:c>
      <x:c r="AM220" s="22" t="str">
        <x:f>IF(AH220&lt;&gt;1,"",IF(AC220&lt;0,AF220-_xlfn.MAXIFS($AF$8:$AF$507,$AF$8:$AF$507,"&lt;="&amp;AF220,$AC$8:$AC$507,"&gt;=0",$AH$8:$AH$507,1),0))</x:f>
      </x:c>
      <x:c r="AN220" s="20" t="str">
        <x:f>IF(OR(A220="",NOT(ISNUMBER(B220)),NOT(ISNUMBER('Impostazioni'!$B$6))),"",'Impostazioni'!$B$6+SUMIFS($AC$8:$AC$507,$C$8:$C$507,"&lt;"&amp;B220,$AH$8:$AH$507,1)+SUMIFS('Cassa'!$F$8:$F$307,'Cassa'!$A$8:$A$307,"&lt;="&amp;B220,'Cassa'!$G$8:$G$307,"OK"))</x:f>
      </x:c>
      <x:c r="AO220" s="21" t="str">
        <x:f>IF(AND(ISNUMBER(Z220),ISNUMBER(AN220),AN220&gt;0),Z220/AN220,"")</x:f>
      </x:c>
      <x:c r="AP220" s="18" t="str">
        <x:f>IF(NOT(ISNUMBER(AO220)),"",IF(AO220&gt;'Impostazioni'!$B$7,"Oltre soglia personale","Nella soglia personale"))</x:f>
      </x:c>
      <x:c r="AQ220" s="18" t="str">
        <x:f>IF(A220="",IF(COUNTA(B220:V220)=0,"","Inserisci ID"),IF(COUNTIFS($A$8:$A$507,A220)&lt;&gt;1,"ID duplicato",IF(OR(NOT(ISNUMBER(B220)),D220="",E220="",F220="",G220="",H220="",COUNTIFS('Impostazioni'!$J$6:$J$25,F220)&lt;&gt;1),"Completa dati / elenchi",IF(OR(AND(I220&lt;&gt;"Lordo manuale",I220&lt;&gt;"Netto manuale",I220&lt;&gt;"Esecuzioni"),AND(J220&lt;&gt;"Aperto",J220&lt;&gt;"Chiuso",J220&lt;&gt;"Annullato")),"Modalità / stato mancanti",IF(AND(J220&lt;&gt;"Aperto",OR(NOT(ISNUMBER(C220)),C220&lt;B220)),"Correggi data chiusura",IF(OR(AND(Q220&lt;&gt;"",OR(NOT(ISNUMBER(Q220)),Q220&lt;0)),AND(R220&lt;&gt;"",OR(NOT(ISNUMBER(R220)),R220&lt;0,R220&gt;1))),"Commissione non valida",IF(J220="Annullato","OK",IF(OR(NOT(ISNUMBER(Z220)),Z220&lt;0,AND(O220&lt;&gt;"",NOT(ISNUMBER(O220)))),"Inserisci rischio",IF(AND(I220="Esecuzioni",OR(W220=0,COUNTIFS('Esecuzioni'!$A$8:$A$1007,A220,'Esecuzioni'!$Q$8:$Q$1007,"&lt;&gt;OK")&gt;0)),"Correggi esecuzioni",IF(J220="Aperto","OK",IF(AND(I220="Esecuzioni",S220="Coperto",ABS(X220-Y220)&gt;'Impostazioni'!$B$11),"Copertura residua",IF(NOT(ISNUMBER(AC220)),"Completa risultato / esito",IF(AND(Z220=0,AC220&lt;&gt;0),"Rischio nullo con P/L","OK")))))))))))))</x:f>
      </x:c>
      <x:c r="AR220" s="20" t="str">
        <x:f>IF(OR(A220="",J220&lt;&gt;"Aperto",AQ220&lt;&gt;"OK"),"",IF(I220="Esecuzioni",SUMIFS('Esecuzioni'!$P$8:$P$1007,'Esecuzioni'!$A$8:$A$1007,A220,'Esecuzioni'!$B$8:$B$1007,_xlfn.MAXIFS('Esecuzioni'!$B$8:$B$1007,'Esecuzioni'!$A$8:$A$1007,A220)),IF(LEFT(U220,8)="FREEBET:",0,Z220)))</x:f>
      </x:c>
      <x:c r="AS220" s="48" t="str">
        <x:f>IF(OR(A220="",E220=""),"",IF(COUNTIFS($E$8:E220,E220)=1,COUNT($AS$7:AS219)+1,""))</x:f>
      </x:c>
    </x:row>
    <x:row r="221" ht="22" customHeight="1">
      <x:c r="A221" s="7"/>
      <x:c r="B221" s="19"/>
      <x:c r="C221" s="19"/>
      <x:c r="D221" s="7"/>
      <x:c r="E221" s="7"/>
      <x:c r="F221" s="7"/>
      <x:c r="G221" s="7"/>
      <x:c r="H221" s="7"/>
      <x:c r="I221" s="7"/>
      <x:c r="J221" s="7"/>
      <x:c r="K221" s="10"/>
      <x:c r="L221" s="7"/>
      <x:c r="M221" s="10"/>
      <x:c r="N221" s="7"/>
      <x:c r="O221" s="8"/>
      <x:c r="P221" s="8"/>
      <x:c r="Q221" s="8"/>
      <x:c r="R221" s="9"/>
      <x:c r="S221" s="7"/>
      <x:c r="T221" s="7"/>
      <x:c r="U221" s="7"/>
      <x:c r="V221" s="7"/>
      <x:c r="W221" s="22" t="str">
        <x:f>IF(A221="","",COUNTIFS('Esecuzioni'!$A$8:$A$1007,A221,'Esecuzioni'!$Q$8:$Q$1007,"OK"))</x:f>
      </x:c>
      <x:c r="X221" s="20" t="str">
        <x:f>IF(OR(A221="",I221&lt;&gt;"Esecuzioni",W221=0),"",SUMIFS('Esecuzioni'!$L$8:$L$1007,'Esecuzioni'!$A$8:$A$1007,A221))</x:f>
      </x:c>
      <x:c r="Y221" s="20" t="str">
        <x:f>IF(OR(A221="",I221&lt;&gt;"Esecuzioni",W221=0),"",SUMIFS('Esecuzioni'!$M$8:$M$1007,'Esecuzioni'!$A$8:$A$1007,A221))</x:f>
      </x:c>
      <x:c r="Z221" s="20" t="str">
        <x:f>IF(A221="","",IF(J221="Annullato",0,IF(ISNUMBER(O221),O221,IF(AND(I221="Esecuzioni",W221&gt;0),_xlfn.MAXIFS('Esecuzioni'!$P$8:$P$1007,'Esecuzioni'!$A$8:$A$1007,A221),""))))</x:f>
      </x:c>
      <x:c r="AA221" s="20" t="str">
        <x:f>IF(OR(A221="",J221="Aperto"),"",IF(J221="Annullato",0,IF(I221="Lordo manuale",IF(ISNUMBER(P221),P221,""),IF(I221="Netto manuale",IF(AND(ISNUMBER(P221),ISNUMBER(Q221)),P221+Q221,""),IF(OR(W221=0,COUNTIFS('Esecuzioni'!$A$8:$A$1007,A221,'Esecuzioni'!$Q$8:$Q$1007,"&lt;&gt;OK")&gt;0),"",IF(S221="Vince",X221,IF(S221="Perde",Y221,IF(AND(S221="Coperto",ABS(X221-Y221)&lt;='Impostazioni'!$B$11),ROUND((X221+Y221)/2,2),""))))))))</x:f>
      </x:c>
      <x:c r="AB221" s="20" t="str">
        <x:f>IF(NOT(ISNUMBER(AA221)),"",IF(J221="Annullato",0,IF(ISNUMBER(Q221),Q221,ROUND(MAX(0,AA221)*IF(ISNUMBER(R221),R221,'Impostazioni'!$B$8),2))))</x:f>
      </x:c>
      <x:c r="AC221" s="20" t="str">
        <x:f>IF(AND(ISNUMBER(AA221),ISNUMBER(AB221)),ROUND(AA221-AB221,2),"")</x:f>
      </x:c>
      <x:c r="AD221" s="18" t="str">
        <x:f>IF(A221="","",IF(AQ221&lt;&gt;"OK","Incompleto",IF(J221="Aperto","Aperto",IF(J221="Annullato","Annullato",IF(AC221&gt;0,"Green",IF(AC221&lt;0,"Red","Flat"))))))</x:f>
      </x:c>
      <x:c r="AE221" s="21" t="str">
        <x:f>IF(AND(AH221=1,Z221&gt;0),AC221/Z221,"")</x:f>
      </x:c>
      <x:c r="AF221" s="22" t="str">
        <x:f>IF(AH221&lt;&gt;1,"",COUNTIFS($C$8:$C$507,"&lt;"&amp;C221,$AH$8:$AH$507,1)+COUNTIFS($C$8:$C$507,C221,$A$8:$A$507,"&lt;="&amp;A221,$AH$8:$AH$507,1))</x:f>
      </x:c>
      <x:c r="AG221" s="20" t="str">
        <x:f>IF(AH221&lt;&gt;1,"",SUMIFS($AC$8:$AC$507,$C$8:$C$507,"&lt;"&amp;C221,$AH$8:$AH$507,1)+SUMIFS($AC$8:$AC$507,$C$8:$C$507,C221,$A$8:$A$507,"&lt;="&amp;A221,$AH$8:$AH$507,1))</x:f>
      </x:c>
      <x:c r="AH221" s="22" t="str">
        <x:f>IF(A221="","",IF(AND(J221="Chiuso",AQ221="OK",ISNUMBER(AC221)),1,0))</x:f>
      </x:c>
      <x:c r="AI221" s="20" t="str">
        <x:f>IF(AH221&lt;&gt;1,"",MAX(0,_xlfn.MAXIFS($AG$8:$AG$507,$AF$8:$AF$507,"&lt;="&amp;AF221,$AH$8:$AH$507,1)))</x:f>
      </x:c>
      <x:c r="AJ221" s="20" t="str">
        <x:f>IF(AH221&lt;&gt;1,"",MAX(0,AI221-AG221))</x:f>
      </x:c>
      <x:c r="AK221" s="21" t="str">
        <x:f>IF(OR(AH221&lt;&gt;1,NOT(ISNUMBER('Impostazioni'!$B$6)),'Impostazioni'!$B$6+AI221&lt;=0),"",AJ221/('Impostazioni'!$B$6+AI221))</x:f>
      </x:c>
      <x:c r="AL221" s="22" t="str">
        <x:f>IF(AH221&lt;&gt;1,"",IF(AC221&gt;0,AF221-_xlfn.MAXIFS($AF$8:$AF$507,$AF$8:$AF$507,"&lt;="&amp;AF221,$AC$8:$AC$507,"&lt;=0",$AH$8:$AH$507,1),0))</x:f>
      </x:c>
      <x:c r="AM221" s="22" t="str">
        <x:f>IF(AH221&lt;&gt;1,"",IF(AC221&lt;0,AF221-_xlfn.MAXIFS($AF$8:$AF$507,$AF$8:$AF$507,"&lt;="&amp;AF221,$AC$8:$AC$507,"&gt;=0",$AH$8:$AH$507,1),0))</x:f>
      </x:c>
      <x:c r="AN221" s="20" t="str">
        <x:f>IF(OR(A221="",NOT(ISNUMBER(B221)),NOT(ISNUMBER('Impostazioni'!$B$6))),"",'Impostazioni'!$B$6+SUMIFS($AC$8:$AC$507,$C$8:$C$507,"&lt;"&amp;B221,$AH$8:$AH$507,1)+SUMIFS('Cassa'!$F$8:$F$307,'Cassa'!$A$8:$A$307,"&lt;="&amp;B221,'Cassa'!$G$8:$G$307,"OK"))</x:f>
      </x:c>
      <x:c r="AO221" s="21" t="str">
        <x:f>IF(AND(ISNUMBER(Z221),ISNUMBER(AN221),AN221&gt;0),Z221/AN221,"")</x:f>
      </x:c>
      <x:c r="AP221" s="18" t="str">
        <x:f>IF(NOT(ISNUMBER(AO221)),"",IF(AO221&gt;'Impostazioni'!$B$7,"Oltre soglia personale","Nella soglia personale"))</x:f>
      </x:c>
      <x:c r="AQ221" s="18" t="str">
        <x:f>IF(A221="",IF(COUNTA(B221:V221)=0,"","Inserisci ID"),IF(COUNTIFS($A$8:$A$507,A221)&lt;&gt;1,"ID duplicato",IF(OR(NOT(ISNUMBER(B221)),D221="",E221="",F221="",G221="",H221="",COUNTIFS('Impostazioni'!$J$6:$J$25,F221)&lt;&gt;1),"Completa dati / elenchi",IF(OR(AND(I221&lt;&gt;"Lordo manuale",I221&lt;&gt;"Netto manuale",I221&lt;&gt;"Esecuzioni"),AND(J221&lt;&gt;"Aperto",J221&lt;&gt;"Chiuso",J221&lt;&gt;"Annullato")),"Modalità / stato mancanti",IF(AND(J221&lt;&gt;"Aperto",OR(NOT(ISNUMBER(C221)),C221&lt;B221)),"Correggi data chiusura",IF(OR(AND(Q221&lt;&gt;"",OR(NOT(ISNUMBER(Q221)),Q221&lt;0)),AND(R221&lt;&gt;"",OR(NOT(ISNUMBER(R221)),R221&lt;0,R221&gt;1))),"Commissione non valida",IF(J221="Annullato","OK",IF(OR(NOT(ISNUMBER(Z221)),Z221&lt;0,AND(O221&lt;&gt;"",NOT(ISNUMBER(O221)))),"Inserisci rischio",IF(AND(I221="Esecuzioni",OR(W221=0,COUNTIFS('Esecuzioni'!$A$8:$A$1007,A221,'Esecuzioni'!$Q$8:$Q$1007,"&lt;&gt;OK")&gt;0)),"Correggi esecuzioni",IF(J221="Aperto","OK",IF(AND(I221="Esecuzioni",S221="Coperto",ABS(X221-Y221)&gt;'Impostazioni'!$B$11),"Copertura residua",IF(NOT(ISNUMBER(AC221)),"Completa risultato / esito",IF(AND(Z221=0,AC221&lt;&gt;0),"Rischio nullo con P/L","OK")))))))))))))</x:f>
      </x:c>
      <x:c r="AR221" s="20" t="str">
        <x:f>IF(OR(A221="",J221&lt;&gt;"Aperto",AQ221&lt;&gt;"OK"),"",IF(I221="Esecuzioni",SUMIFS('Esecuzioni'!$P$8:$P$1007,'Esecuzioni'!$A$8:$A$1007,A221,'Esecuzioni'!$B$8:$B$1007,_xlfn.MAXIFS('Esecuzioni'!$B$8:$B$1007,'Esecuzioni'!$A$8:$A$1007,A221)),IF(LEFT(U221,8)="FREEBET:",0,Z221)))</x:f>
      </x:c>
      <x:c r="AS221" s="48" t="str">
        <x:f>IF(OR(A221="",E221=""),"",IF(COUNTIFS($E$8:E221,E221)=1,COUNT($AS$7:AS220)+1,""))</x:f>
      </x:c>
    </x:row>
    <x:row r="222" ht="22" customHeight="1">
      <x:c r="A222" s="7"/>
      <x:c r="B222" s="19"/>
      <x:c r="C222" s="19"/>
      <x:c r="D222" s="7"/>
      <x:c r="E222" s="7"/>
      <x:c r="F222" s="7"/>
      <x:c r="G222" s="7"/>
      <x:c r="H222" s="7"/>
      <x:c r="I222" s="7"/>
      <x:c r="J222" s="7"/>
      <x:c r="K222" s="10"/>
      <x:c r="L222" s="7"/>
      <x:c r="M222" s="10"/>
      <x:c r="N222" s="7"/>
      <x:c r="O222" s="8"/>
      <x:c r="P222" s="8"/>
      <x:c r="Q222" s="8"/>
      <x:c r="R222" s="9"/>
      <x:c r="S222" s="7"/>
      <x:c r="T222" s="7"/>
      <x:c r="U222" s="7"/>
      <x:c r="V222" s="7"/>
      <x:c r="W222" s="22" t="str">
        <x:f>IF(A222="","",COUNTIFS('Esecuzioni'!$A$8:$A$1007,A222,'Esecuzioni'!$Q$8:$Q$1007,"OK"))</x:f>
      </x:c>
      <x:c r="X222" s="20" t="str">
        <x:f>IF(OR(A222="",I222&lt;&gt;"Esecuzioni",W222=0),"",SUMIFS('Esecuzioni'!$L$8:$L$1007,'Esecuzioni'!$A$8:$A$1007,A222))</x:f>
      </x:c>
      <x:c r="Y222" s="20" t="str">
        <x:f>IF(OR(A222="",I222&lt;&gt;"Esecuzioni",W222=0),"",SUMIFS('Esecuzioni'!$M$8:$M$1007,'Esecuzioni'!$A$8:$A$1007,A222))</x:f>
      </x:c>
      <x:c r="Z222" s="20" t="str">
        <x:f>IF(A222="","",IF(J222="Annullato",0,IF(ISNUMBER(O222),O222,IF(AND(I222="Esecuzioni",W222&gt;0),_xlfn.MAXIFS('Esecuzioni'!$P$8:$P$1007,'Esecuzioni'!$A$8:$A$1007,A222),""))))</x:f>
      </x:c>
      <x:c r="AA222" s="20" t="str">
        <x:f>IF(OR(A222="",J222="Aperto"),"",IF(J222="Annullato",0,IF(I222="Lordo manuale",IF(ISNUMBER(P222),P222,""),IF(I222="Netto manuale",IF(AND(ISNUMBER(P222),ISNUMBER(Q222)),P222+Q222,""),IF(OR(W222=0,COUNTIFS('Esecuzioni'!$A$8:$A$1007,A222,'Esecuzioni'!$Q$8:$Q$1007,"&lt;&gt;OK")&gt;0),"",IF(S222="Vince",X222,IF(S222="Perde",Y222,IF(AND(S222="Coperto",ABS(X222-Y222)&lt;='Impostazioni'!$B$11),ROUND((X222+Y222)/2,2),""))))))))</x:f>
      </x:c>
      <x:c r="AB222" s="20" t="str">
        <x:f>IF(NOT(ISNUMBER(AA222)),"",IF(J222="Annullato",0,IF(ISNUMBER(Q222),Q222,ROUND(MAX(0,AA222)*IF(ISNUMBER(R222),R222,'Impostazioni'!$B$8),2))))</x:f>
      </x:c>
      <x:c r="AC222" s="20" t="str">
        <x:f>IF(AND(ISNUMBER(AA222),ISNUMBER(AB222)),ROUND(AA222-AB222,2),"")</x:f>
      </x:c>
      <x:c r="AD222" s="18" t="str">
        <x:f>IF(A222="","",IF(AQ222&lt;&gt;"OK","Incompleto",IF(J222="Aperto","Aperto",IF(J222="Annullato","Annullato",IF(AC222&gt;0,"Green",IF(AC222&lt;0,"Red","Flat"))))))</x:f>
      </x:c>
      <x:c r="AE222" s="21" t="str">
        <x:f>IF(AND(AH222=1,Z222&gt;0),AC222/Z222,"")</x:f>
      </x:c>
      <x:c r="AF222" s="22" t="str">
        <x:f>IF(AH222&lt;&gt;1,"",COUNTIFS($C$8:$C$507,"&lt;"&amp;C222,$AH$8:$AH$507,1)+COUNTIFS($C$8:$C$507,C222,$A$8:$A$507,"&lt;="&amp;A222,$AH$8:$AH$507,1))</x:f>
      </x:c>
      <x:c r="AG222" s="20" t="str">
        <x:f>IF(AH222&lt;&gt;1,"",SUMIFS($AC$8:$AC$507,$C$8:$C$507,"&lt;"&amp;C222,$AH$8:$AH$507,1)+SUMIFS($AC$8:$AC$507,$C$8:$C$507,C222,$A$8:$A$507,"&lt;="&amp;A222,$AH$8:$AH$507,1))</x:f>
      </x:c>
      <x:c r="AH222" s="22" t="str">
        <x:f>IF(A222="","",IF(AND(J222="Chiuso",AQ222="OK",ISNUMBER(AC222)),1,0))</x:f>
      </x:c>
      <x:c r="AI222" s="20" t="str">
        <x:f>IF(AH222&lt;&gt;1,"",MAX(0,_xlfn.MAXIFS($AG$8:$AG$507,$AF$8:$AF$507,"&lt;="&amp;AF222,$AH$8:$AH$507,1)))</x:f>
      </x:c>
      <x:c r="AJ222" s="20" t="str">
        <x:f>IF(AH222&lt;&gt;1,"",MAX(0,AI222-AG222))</x:f>
      </x:c>
      <x:c r="AK222" s="21" t="str">
        <x:f>IF(OR(AH222&lt;&gt;1,NOT(ISNUMBER('Impostazioni'!$B$6)),'Impostazioni'!$B$6+AI222&lt;=0),"",AJ222/('Impostazioni'!$B$6+AI222))</x:f>
      </x:c>
      <x:c r="AL222" s="22" t="str">
        <x:f>IF(AH222&lt;&gt;1,"",IF(AC222&gt;0,AF222-_xlfn.MAXIFS($AF$8:$AF$507,$AF$8:$AF$507,"&lt;="&amp;AF222,$AC$8:$AC$507,"&lt;=0",$AH$8:$AH$507,1),0))</x:f>
      </x:c>
      <x:c r="AM222" s="22" t="str">
        <x:f>IF(AH222&lt;&gt;1,"",IF(AC222&lt;0,AF222-_xlfn.MAXIFS($AF$8:$AF$507,$AF$8:$AF$507,"&lt;="&amp;AF222,$AC$8:$AC$507,"&gt;=0",$AH$8:$AH$507,1),0))</x:f>
      </x:c>
      <x:c r="AN222" s="20" t="str">
        <x:f>IF(OR(A222="",NOT(ISNUMBER(B222)),NOT(ISNUMBER('Impostazioni'!$B$6))),"",'Impostazioni'!$B$6+SUMIFS($AC$8:$AC$507,$C$8:$C$507,"&lt;"&amp;B222,$AH$8:$AH$507,1)+SUMIFS('Cassa'!$F$8:$F$307,'Cassa'!$A$8:$A$307,"&lt;="&amp;B222,'Cassa'!$G$8:$G$307,"OK"))</x:f>
      </x:c>
      <x:c r="AO222" s="21" t="str">
        <x:f>IF(AND(ISNUMBER(Z222),ISNUMBER(AN222),AN222&gt;0),Z222/AN222,"")</x:f>
      </x:c>
      <x:c r="AP222" s="18" t="str">
        <x:f>IF(NOT(ISNUMBER(AO222)),"",IF(AO222&gt;'Impostazioni'!$B$7,"Oltre soglia personale","Nella soglia personale"))</x:f>
      </x:c>
      <x:c r="AQ222" s="18" t="str">
        <x:f>IF(A222="",IF(COUNTA(B222:V222)=0,"","Inserisci ID"),IF(COUNTIFS($A$8:$A$507,A222)&lt;&gt;1,"ID duplicato",IF(OR(NOT(ISNUMBER(B222)),D222="",E222="",F222="",G222="",H222="",COUNTIFS('Impostazioni'!$J$6:$J$25,F222)&lt;&gt;1),"Completa dati / elenchi",IF(OR(AND(I222&lt;&gt;"Lordo manuale",I222&lt;&gt;"Netto manuale",I222&lt;&gt;"Esecuzioni"),AND(J222&lt;&gt;"Aperto",J222&lt;&gt;"Chiuso",J222&lt;&gt;"Annullato")),"Modalità / stato mancanti",IF(AND(J222&lt;&gt;"Aperto",OR(NOT(ISNUMBER(C222)),C222&lt;B222)),"Correggi data chiusura",IF(OR(AND(Q222&lt;&gt;"",OR(NOT(ISNUMBER(Q222)),Q222&lt;0)),AND(R222&lt;&gt;"",OR(NOT(ISNUMBER(R222)),R222&lt;0,R222&gt;1))),"Commissione non valida",IF(J222="Annullato","OK",IF(OR(NOT(ISNUMBER(Z222)),Z222&lt;0,AND(O222&lt;&gt;"",NOT(ISNUMBER(O222)))),"Inserisci rischio",IF(AND(I222="Esecuzioni",OR(W222=0,COUNTIFS('Esecuzioni'!$A$8:$A$1007,A222,'Esecuzioni'!$Q$8:$Q$1007,"&lt;&gt;OK")&gt;0)),"Correggi esecuzioni",IF(J222="Aperto","OK",IF(AND(I222="Esecuzioni",S222="Coperto",ABS(X222-Y222)&gt;'Impostazioni'!$B$11),"Copertura residua",IF(NOT(ISNUMBER(AC222)),"Completa risultato / esito",IF(AND(Z222=0,AC222&lt;&gt;0),"Rischio nullo con P/L","OK")))))))))))))</x:f>
      </x:c>
      <x:c r="AR222" s="20" t="str">
        <x:f>IF(OR(A222="",J222&lt;&gt;"Aperto",AQ222&lt;&gt;"OK"),"",IF(I222="Esecuzioni",SUMIFS('Esecuzioni'!$P$8:$P$1007,'Esecuzioni'!$A$8:$A$1007,A222,'Esecuzioni'!$B$8:$B$1007,_xlfn.MAXIFS('Esecuzioni'!$B$8:$B$1007,'Esecuzioni'!$A$8:$A$1007,A222)),IF(LEFT(U222,8)="FREEBET:",0,Z222)))</x:f>
      </x:c>
      <x:c r="AS222" s="48" t="str">
        <x:f>IF(OR(A222="",E222=""),"",IF(COUNTIFS($E$8:E222,E222)=1,COUNT($AS$7:AS221)+1,""))</x:f>
      </x:c>
    </x:row>
    <x:row r="223" ht="22" customHeight="1">
      <x:c r="A223" s="7"/>
      <x:c r="B223" s="19"/>
      <x:c r="C223" s="19"/>
      <x:c r="D223" s="7"/>
      <x:c r="E223" s="7"/>
      <x:c r="F223" s="7"/>
      <x:c r="G223" s="7"/>
      <x:c r="H223" s="7"/>
      <x:c r="I223" s="7"/>
      <x:c r="J223" s="7"/>
      <x:c r="K223" s="10"/>
      <x:c r="L223" s="7"/>
      <x:c r="M223" s="10"/>
      <x:c r="N223" s="7"/>
      <x:c r="O223" s="8"/>
      <x:c r="P223" s="8"/>
      <x:c r="Q223" s="8"/>
      <x:c r="R223" s="9"/>
      <x:c r="S223" s="7"/>
      <x:c r="T223" s="7"/>
      <x:c r="U223" s="7"/>
      <x:c r="V223" s="7"/>
      <x:c r="W223" s="22" t="str">
        <x:f>IF(A223="","",COUNTIFS('Esecuzioni'!$A$8:$A$1007,A223,'Esecuzioni'!$Q$8:$Q$1007,"OK"))</x:f>
      </x:c>
      <x:c r="X223" s="20" t="str">
        <x:f>IF(OR(A223="",I223&lt;&gt;"Esecuzioni",W223=0),"",SUMIFS('Esecuzioni'!$L$8:$L$1007,'Esecuzioni'!$A$8:$A$1007,A223))</x:f>
      </x:c>
      <x:c r="Y223" s="20" t="str">
        <x:f>IF(OR(A223="",I223&lt;&gt;"Esecuzioni",W223=0),"",SUMIFS('Esecuzioni'!$M$8:$M$1007,'Esecuzioni'!$A$8:$A$1007,A223))</x:f>
      </x:c>
      <x:c r="Z223" s="20" t="str">
        <x:f>IF(A223="","",IF(J223="Annullato",0,IF(ISNUMBER(O223),O223,IF(AND(I223="Esecuzioni",W223&gt;0),_xlfn.MAXIFS('Esecuzioni'!$P$8:$P$1007,'Esecuzioni'!$A$8:$A$1007,A223),""))))</x:f>
      </x:c>
      <x:c r="AA223" s="20" t="str">
        <x:f>IF(OR(A223="",J223="Aperto"),"",IF(J223="Annullato",0,IF(I223="Lordo manuale",IF(ISNUMBER(P223),P223,""),IF(I223="Netto manuale",IF(AND(ISNUMBER(P223),ISNUMBER(Q223)),P223+Q223,""),IF(OR(W223=0,COUNTIFS('Esecuzioni'!$A$8:$A$1007,A223,'Esecuzioni'!$Q$8:$Q$1007,"&lt;&gt;OK")&gt;0),"",IF(S223="Vince",X223,IF(S223="Perde",Y223,IF(AND(S223="Coperto",ABS(X223-Y223)&lt;='Impostazioni'!$B$11),ROUND((X223+Y223)/2,2),""))))))))</x:f>
      </x:c>
      <x:c r="AB223" s="20" t="str">
        <x:f>IF(NOT(ISNUMBER(AA223)),"",IF(J223="Annullato",0,IF(ISNUMBER(Q223),Q223,ROUND(MAX(0,AA223)*IF(ISNUMBER(R223),R223,'Impostazioni'!$B$8),2))))</x:f>
      </x:c>
      <x:c r="AC223" s="20" t="str">
        <x:f>IF(AND(ISNUMBER(AA223),ISNUMBER(AB223)),ROUND(AA223-AB223,2),"")</x:f>
      </x:c>
      <x:c r="AD223" s="18" t="str">
        <x:f>IF(A223="","",IF(AQ223&lt;&gt;"OK","Incompleto",IF(J223="Aperto","Aperto",IF(J223="Annullato","Annullato",IF(AC223&gt;0,"Green",IF(AC223&lt;0,"Red","Flat"))))))</x:f>
      </x:c>
      <x:c r="AE223" s="21" t="str">
        <x:f>IF(AND(AH223=1,Z223&gt;0),AC223/Z223,"")</x:f>
      </x:c>
      <x:c r="AF223" s="22" t="str">
        <x:f>IF(AH223&lt;&gt;1,"",COUNTIFS($C$8:$C$507,"&lt;"&amp;C223,$AH$8:$AH$507,1)+COUNTIFS($C$8:$C$507,C223,$A$8:$A$507,"&lt;="&amp;A223,$AH$8:$AH$507,1))</x:f>
      </x:c>
      <x:c r="AG223" s="20" t="str">
        <x:f>IF(AH223&lt;&gt;1,"",SUMIFS($AC$8:$AC$507,$C$8:$C$507,"&lt;"&amp;C223,$AH$8:$AH$507,1)+SUMIFS($AC$8:$AC$507,$C$8:$C$507,C223,$A$8:$A$507,"&lt;="&amp;A223,$AH$8:$AH$507,1))</x:f>
      </x:c>
      <x:c r="AH223" s="22" t="str">
        <x:f>IF(A223="","",IF(AND(J223="Chiuso",AQ223="OK",ISNUMBER(AC223)),1,0))</x:f>
      </x:c>
      <x:c r="AI223" s="20" t="str">
        <x:f>IF(AH223&lt;&gt;1,"",MAX(0,_xlfn.MAXIFS($AG$8:$AG$507,$AF$8:$AF$507,"&lt;="&amp;AF223,$AH$8:$AH$507,1)))</x:f>
      </x:c>
      <x:c r="AJ223" s="20" t="str">
        <x:f>IF(AH223&lt;&gt;1,"",MAX(0,AI223-AG223))</x:f>
      </x:c>
      <x:c r="AK223" s="21" t="str">
        <x:f>IF(OR(AH223&lt;&gt;1,NOT(ISNUMBER('Impostazioni'!$B$6)),'Impostazioni'!$B$6+AI223&lt;=0),"",AJ223/('Impostazioni'!$B$6+AI223))</x:f>
      </x:c>
      <x:c r="AL223" s="22" t="str">
        <x:f>IF(AH223&lt;&gt;1,"",IF(AC223&gt;0,AF223-_xlfn.MAXIFS($AF$8:$AF$507,$AF$8:$AF$507,"&lt;="&amp;AF223,$AC$8:$AC$507,"&lt;=0",$AH$8:$AH$507,1),0))</x:f>
      </x:c>
      <x:c r="AM223" s="22" t="str">
        <x:f>IF(AH223&lt;&gt;1,"",IF(AC223&lt;0,AF223-_xlfn.MAXIFS($AF$8:$AF$507,$AF$8:$AF$507,"&lt;="&amp;AF223,$AC$8:$AC$507,"&gt;=0",$AH$8:$AH$507,1),0))</x:f>
      </x:c>
      <x:c r="AN223" s="20" t="str">
        <x:f>IF(OR(A223="",NOT(ISNUMBER(B223)),NOT(ISNUMBER('Impostazioni'!$B$6))),"",'Impostazioni'!$B$6+SUMIFS($AC$8:$AC$507,$C$8:$C$507,"&lt;"&amp;B223,$AH$8:$AH$507,1)+SUMIFS('Cassa'!$F$8:$F$307,'Cassa'!$A$8:$A$307,"&lt;="&amp;B223,'Cassa'!$G$8:$G$307,"OK"))</x:f>
      </x:c>
      <x:c r="AO223" s="21" t="str">
        <x:f>IF(AND(ISNUMBER(Z223),ISNUMBER(AN223),AN223&gt;0),Z223/AN223,"")</x:f>
      </x:c>
      <x:c r="AP223" s="18" t="str">
        <x:f>IF(NOT(ISNUMBER(AO223)),"",IF(AO223&gt;'Impostazioni'!$B$7,"Oltre soglia personale","Nella soglia personale"))</x:f>
      </x:c>
      <x:c r="AQ223" s="18" t="str">
        <x:f>IF(A223="",IF(COUNTA(B223:V223)=0,"","Inserisci ID"),IF(COUNTIFS($A$8:$A$507,A223)&lt;&gt;1,"ID duplicato",IF(OR(NOT(ISNUMBER(B223)),D223="",E223="",F223="",G223="",H223="",COUNTIFS('Impostazioni'!$J$6:$J$25,F223)&lt;&gt;1),"Completa dati / elenchi",IF(OR(AND(I223&lt;&gt;"Lordo manuale",I223&lt;&gt;"Netto manuale",I223&lt;&gt;"Esecuzioni"),AND(J223&lt;&gt;"Aperto",J223&lt;&gt;"Chiuso",J223&lt;&gt;"Annullato")),"Modalità / stato mancanti",IF(AND(J223&lt;&gt;"Aperto",OR(NOT(ISNUMBER(C223)),C223&lt;B223)),"Correggi data chiusura",IF(OR(AND(Q223&lt;&gt;"",OR(NOT(ISNUMBER(Q223)),Q223&lt;0)),AND(R223&lt;&gt;"",OR(NOT(ISNUMBER(R223)),R223&lt;0,R223&gt;1))),"Commissione non valida",IF(J223="Annullato","OK",IF(OR(NOT(ISNUMBER(Z223)),Z223&lt;0,AND(O223&lt;&gt;"",NOT(ISNUMBER(O223)))),"Inserisci rischio",IF(AND(I223="Esecuzioni",OR(W223=0,COUNTIFS('Esecuzioni'!$A$8:$A$1007,A223,'Esecuzioni'!$Q$8:$Q$1007,"&lt;&gt;OK")&gt;0)),"Correggi esecuzioni",IF(J223="Aperto","OK",IF(AND(I223="Esecuzioni",S223="Coperto",ABS(X223-Y223)&gt;'Impostazioni'!$B$11),"Copertura residua",IF(NOT(ISNUMBER(AC223)),"Completa risultato / esito",IF(AND(Z223=0,AC223&lt;&gt;0),"Rischio nullo con P/L","OK")))))))))))))</x:f>
      </x:c>
      <x:c r="AR223" s="20" t="str">
        <x:f>IF(OR(A223="",J223&lt;&gt;"Aperto",AQ223&lt;&gt;"OK"),"",IF(I223="Esecuzioni",SUMIFS('Esecuzioni'!$P$8:$P$1007,'Esecuzioni'!$A$8:$A$1007,A223,'Esecuzioni'!$B$8:$B$1007,_xlfn.MAXIFS('Esecuzioni'!$B$8:$B$1007,'Esecuzioni'!$A$8:$A$1007,A223)),IF(LEFT(U223,8)="FREEBET:",0,Z223)))</x:f>
      </x:c>
      <x:c r="AS223" s="48" t="str">
        <x:f>IF(OR(A223="",E223=""),"",IF(COUNTIFS($E$8:E223,E223)=1,COUNT($AS$7:AS222)+1,""))</x:f>
      </x:c>
    </x:row>
    <x:row r="224" ht="22" customHeight="1">
      <x:c r="A224" s="7"/>
      <x:c r="B224" s="19"/>
      <x:c r="C224" s="19"/>
      <x:c r="D224" s="7"/>
      <x:c r="E224" s="7"/>
      <x:c r="F224" s="7"/>
      <x:c r="G224" s="7"/>
      <x:c r="H224" s="7"/>
      <x:c r="I224" s="7"/>
      <x:c r="J224" s="7"/>
      <x:c r="K224" s="10"/>
      <x:c r="L224" s="7"/>
      <x:c r="M224" s="10"/>
      <x:c r="N224" s="7"/>
      <x:c r="O224" s="8"/>
      <x:c r="P224" s="8"/>
      <x:c r="Q224" s="8"/>
      <x:c r="R224" s="9"/>
      <x:c r="S224" s="7"/>
      <x:c r="T224" s="7"/>
      <x:c r="U224" s="7"/>
      <x:c r="V224" s="7"/>
      <x:c r="W224" s="22" t="str">
        <x:f>IF(A224="","",COUNTIFS('Esecuzioni'!$A$8:$A$1007,A224,'Esecuzioni'!$Q$8:$Q$1007,"OK"))</x:f>
      </x:c>
      <x:c r="X224" s="20" t="str">
        <x:f>IF(OR(A224="",I224&lt;&gt;"Esecuzioni",W224=0),"",SUMIFS('Esecuzioni'!$L$8:$L$1007,'Esecuzioni'!$A$8:$A$1007,A224))</x:f>
      </x:c>
      <x:c r="Y224" s="20" t="str">
        <x:f>IF(OR(A224="",I224&lt;&gt;"Esecuzioni",W224=0),"",SUMIFS('Esecuzioni'!$M$8:$M$1007,'Esecuzioni'!$A$8:$A$1007,A224))</x:f>
      </x:c>
      <x:c r="Z224" s="20" t="str">
        <x:f>IF(A224="","",IF(J224="Annullato",0,IF(ISNUMBER(O224),O224,IF(AND(I224="Esecuzioni",W224&gt;0),_xlfn.MAXIFS('Esecuzioni'!$P$8:$P$1007,'Esecuzioni'!$A$8:$A$1007,A224),""))))</x:f>
      </x:c>
      <x:c r="AA224" s="20" t="str">
        <x:f>IF(OR(A224="",J224="Aperto"),"",IF(J224="Annullato",0,IF(I224="Lordo manuale",IF(ISNUMBER(P224),P224,""),IF(I224="Netto manuale",IF(AND(ISNUMBER(P224),ISNUMBER(Q224)),P224+Q224,""),IF(OR(W224=0,COUNTIFS('Esecuzioni'!$A$8:$A$1007,A224,'Esecuzioni'!$Q$8:$Q$1007,"&lt;&gt;OK")&gt;0),"",IF(S224="Vince",X224,IF(S224="Perde",Y224,IF(AND(S224="Coperto",ABS(X224-Y224)&lt;='Impostazioni'!$B$11),ROUND((X224+Y224)/2,2),""))))))))</x:f>
      </x:c>
      <x:c r="AB224" s="20" t="str">
        <x:f>IF(NOT(ISNUMBER(AA224)),"",IF(J224="Annullato",0,IF(ISNUMBER(Q224),Q224,ROUND(MAX(0,AA224)*IF(ISNUMBER(R224),R224,'Impostazioni'!$B$8),2))))</x:f>
      </x:c>
      <x:c r="AC224" s="20" t="str">
        <x:f>IF(AND(ISNUMBER(AA224),ISNUMBER(AB224)),ROUND(AA224-AB224,2),"")</x:f>
      </x:c>
      <x:c r="AD224" s="18" t="str">
        <x:f>IF(A224="","",IF(AQ224&lt;&gt;"OK","Incompleto",IF(J224="Aperto","Aperto",IF(J224="Annullato","Annullato",IF(AC224&gt;0,"Green",IF(AC224&lt;0,"Red","Flat"))))))</x:f>
      </x:c>
      <x:c r="AE224" s="21" t="str">
        <x:f>IF(AND(AH224=1,Z224&gt;0),AC224/Z224,"")</x:f>
      </x:c>
      <x:c r="AF224" s="22" t="str">
        <x:f>IF(AH224&lt;&gt;1,"",COUNTIFS($C$8:$C$507,"&lt;"&amp;C224,$AH$8:$AH$507,1)+COUNTIFS($C$8:$C$507,C224,$A$8:$A$507,"&lt;="&amp;A224,$AH$8:$AH$507,1))</x:f>
      </x:c>
      <x:c r="AG224" s="20" t="str">
        <x:f>IF(AH224&lt;&gt;1,"",SUMIFS($AC$8:$AC$507,$C$8:$C$507,"&lt;"&amp;C224,$AH$8:$AH$507,1)+SUMIFS($AC$8:$AC$507,$C$8:$C$507,C224,$A$8:$A$507,"&lt;="&amp;A224,$AH$8:$AH$507,1))</x:f>
      </x:c>
      <x:c r="AH224" s="22" t="str">
        <x:f>IF(A224="","",IF(AND(J224="Chiuso",AQ224="OK",ISNUMBER(AC224)),1,0))</x:f>
      </x:c>
      <x:c r="AI224" s="20" t="str">
        <x:f>IF(AH224&lt;&gt;1,"",MAX(0,_xlfn.MAXIFS($AG$8:$AG$507,$AF$8:$AF$507,"&lt;="&amp;AF224,$AH$8:$AH$507,1)))</x:f>
      </x:c>
      <x:c r="AJ224" s="20" t="str">
        <x:f>IF(AH224&lt;&gt;1,"",MAX(0,AI224-AG224))</x:f>
      </x:c>
      <x:c r="AK224" s="21" t="str">
        <x:f>IF(OR(AH224&lt;&gt;1,NOT(ISNUMBER('Impostazioni'!$B$6)),'Impostazioni'!$B$6+AI224&lt;=0),"",AJ224/('Impostazioni'!$B$6+AI224))</x:f>
      </x:c>
      <x:c r="AL224" s="22" t="str">
        <x:f>IF(AH224&lt;&gt;1,"",IF(AC224&gt;0,AF224-_xlfn.MAXIFS($AF$8:$AF$507,$AF$8:$AF$507,"&lt;="&amp;AF224,$AC$8:$AC$507,"&lt;=0",$AH$8:$AH$507,1),0))</x:f>
      </x:c>
      <x:c r="AM224" s="22" t="str">
        <x:f>IF(AH224&lt;&gt;1,"",IF(AC224&lt;0,AF224-_xlfn.MAXIFS($AF$8:$AF$507,$AF$8:$AF$507,"&lt;="&amp;AF224,$AC$8:$AC$507,"&gt;=0",$AH$8:$AH$507,1),0))</x:f>
      </x:c>
      <x:c r="AN224" s="20" t="str">
        <x:f>IF(OR(A224="",NOT(ISNUMBER(B224)),NOT(ISNUMBER('Impostazioni'!$B$6))),"",'Impostazioni'!$B$6+SUMIFS($AC$8:$AC$507,$C$8:$C$507,"&lt;"&amp;B224,$AH$8:$AH$507,1)+SUMIFS('Cassa'!$F$8:$F$307,'Cassa'!$A$8:$A$307,"&lt;="&amp;B224,'Cassa'!$G$8:$G$307,"OK"))</x:f>
      </x:c>
      <x:c r="AO224" s="21" t="str">
        <x:f>IF(AND(ISNUMBER(Z224),ISNUMBER(AN224),AN224&gt;0),Z224/AN224,"")</x:f>
      </x:c>
      <x:c r="AP224" s="18" t="str">
        <x:f>IF(NOT(ISNUMBER(AO224)),"",IF(AO224&gt;'Impostazioni'!$B$7,"Oltre soglia personale","Nella soglia personale"))</x:f>
      </x:c>
      <x:c r="AQ224" s="18" t="str">
        <x:f>IF(A224="",IF(COUNTA(B224:V224)=0,"","Inserisci ID"),IF(COUNTIFS($A$8:$A$507,A224)&lt;&gt;1,"ID duplicato",IF(OR(NOT(ISNUMBER(B224)),D224="",E224="",F224="",G224="",H224="",COUNTIFS('Impostazioni'!$J$6:$J$25,F224)&lt;&gt;1),"Completa dati / elenchi",IF(OR(AND(I224&lt;&gt;"Lordo manuale",I224&lt;&gt;"Netto manuale",I224&lt;&gt;"Esecuzioni"),AND(J224&lt;&gt;"Aperto",J224&lt;&gt;"Chiuso",J224&lt;&gt;"Annullato")),"Modalità / stato mancanti",IF(AND(J224&lt;&gt;"Aperto",OR(NOT(ISNUMBER(C224)),C224&lt;B224)),"Correggi data chiusura",IF(OR(AND(Q224&lt;&gt;"",OR(NOT(ISNUMBER(Q224)),Q224&lt;0)),AND(R224&lt;&gt;"",OR(NOT(ISNUMBER(R224)),R224&lt;0,R224&gt;1))),"Commissione non valida",IF(J224="Annullato","OK",IF(OR(NOT(ISNUMBER(Z224)),Z224&lt;0,AND(O224&lt;&gt;"",NOT(ISNUMBER(O224)))),"Inserisci rischio",IF(AND(I224="Esecuzioni",OR(W224=0,COUNTIFS('Esecuzioni'!$A$8:$A$1007,A224,'Esecuzioni'!$Q$8:$Q$1007,"&lt;&gt;OK")&gt;0)),"Correggi esecuzioni",IF(J224="Aperto","OK",IF(AND(I224="Esecuzioni",S224="Coperto",ABS(X224-Y224)&gt;'Impostazioni'!$B$11),"Copertura residua",IF(NOT(ISNUMBER(AC224)),"Completa risultato / esito",IF(AND(Z224=0,AC224&lt;&gt;0),"Rischio nullo con P/L","OK")))))))))))))</x:f>
      </x:c>
      <x:c r="AR224" s="20" t="str">
        <x:f>IF(OR(A224="",J224&lt;&gt;"Aperto",AQ224&lt;&gt;"OK"),"",IF(I224="Esecuzioni",SUMIFS('Esecuzioni'!$P$8:$P$1007,'Esecuzioni'!$A$8:$A$1007,A224,'Esecuzioni'!$B$8:$B$1007,_xlfn.MAXIFS('Esecuzioni'!$B$8:$B$1007,'Esecuzioni'!$A$8:$A$1007,A224)),IF(LEFT(U224,8)="FREEBET:",0,Z224)))</x:f>
      </x:c>
      <x:c r="AS224" s="48" t="str">
        <x:f>IF(OR(A224="",E224=""),"",IF(COUNTIFS($E$8:E224,E224)=1,COUNT($AS$7:AS223)+1,""))</x:f>
      </x:c>
    </x:row>
    <x:row r="225" ht="22" customHeight="1">
      <x:c r="A225" s="7"/>
      <x:c r="B225" s="19"/>
      <x:c r="C225" s="19"/>
      <x:c r="D225" s="7"/>
      <x:c r="E225" s="7"/>
      <x:c r="F225" s="7"/>
      <x:c r="G225" s="7"/>
      <x:c r="H225" s="7"/>
      <x:c r="I225" s="7"/>
      <x:c r="J225" s="7"/>
      <x:c r="K225" s="10"/>
      <x:c r="L225" s="7"/>
      <x:c r="M225" s="10"/>
      <x:c r="N225" s="7"/>
      <x:c r="O225" s="8"/>
      <x:c r="P225" s="8"/>
      <x:c r="Q225" s="8"/>
      <x:c r="R225" s="9"/>
      <x:c r="S225" s="7"/>
      <x:c r="T225" s="7"/>
      <x:c r="U225" s="7"/>
      <x:c r="V225" s="7"/>
      <x:c r="W225" s="22" t="str">
        <x:f>IF(A225="","",COUNTIFS('Esecuzioni'!$A$8:$A$1007,A225,'Esecuzioni'!$Q$8:$Q$1007,"OK"))</x:f>
      </x:c>
      <x:c r="X225" s="20" t="str">
        <x:f>IF(OR(A225="",I225&lt;&gt;"Esecuzioni",W225=0),"",SUMIFS('Esecuzioni'!$L$8:$L$1007,'Esecuzioni'!$A$8:$A$1007,A225))</x:f>
      </x:c>
      <x:c r="Y225" s="20" t="str">
        <x:f>IF(OR(A225="",I225&lt;&gt;"Esecuzioni",W225=0),"",SUMIFS('Esecuzioni'!$M$8:$M$1007,'Esecuzioni'!$A$8:$A$1007,A225))</x:f>
      </x:c>
      <x:c r="Z225" s="20" t="str">
        <x:f>IF(A225="","",IF(J225="Annullato",0,IF(ISNUMBER(O225),O225,IF(AND(I225="Esecuzioni",W225&gt;0),_xlfn.MAXIFS('Esecuzioni'!$P$8:$P$1007,'Esecuzioni'!$A$8:$A$1007,A225),""))))</x:f>
      </x:c>
      <x:c r="AA225" s="20" t="str">
        <x:f>IF(OR(A225="",J225="Aperto"),"",IF(J225="Annullato",0,IF(I225="Lordo manuale",IF(ISNUMBER(P225),P225,""),IF(I225="Netto manuale",IF(AND(ISNUMBER(P225),ISNUMBER(Q225)),P225+Q225,""),IF(OR(W225=0,COUNTIFS('Esecuzioni'!$A$8:$A$1007,A225,'Esecuzioni'!$Q$8:$Q$1007,"&lt;&gt;OK")&gt;0),"",IF(S225="Vince",X225,IF(S225="Perde",Y225,IF(AND(S225="Coperto",ABS(X225-Y225)&lt;='Impostazioni'!$B$11),ROUND((X225+Y225)/2,2),""))))))))</x:f>
      </x:c>
      <x:c r="AB225" s="20" t="str">
        <x:f>IF(NOT(ISNUMBER(AA225)),"",IF(J225="Annullato",0,IF(ISNUMBER(Q225),Q225,ROUND(MAX(0,AA225)*IF(ISNUMBER(R225),R225,'Impostazioni'!$B$8),2))))</x:f>
      </x:c>
      <x:c r="AC225" s="20" t="str">
        <x:f>IF(AND(ISNUMBER(AA225),ISNUMBER(AB225)),ROUND(AA225-AB225,2),"")</x:f>
      </x:c>
      <x:c r="AD225" s="18" t="str">
        <x:f>IF(A225="","",IF(AQ225&lt;&gt;"OK","Incompleto",IF(J225="Aperto","Aperto",IF(J225="Annullato","Annullato",IF(AC225&gt;0,"Green",IF(AC225&lt;0,"Red","Flat"))))))</x:f>
      </x:c>
      <x:c r="AE225" s="21" t="str">
        <x:f>IF(AND(AH225=1,Z225&gt;0),AC225/Z225,"")</x:f>
      </x:c>
      <x:c r="AF225" s="22" t="str">
        <x:f>IF(AH225&lt;&gt;1,"",COUNTIFS($C$8:$C$507,"&lt;"&amp;C225,$AH$8:$AH$507,1)+COUNTIFS($C$8:$C$507,C225,$A$8:$A$507,"&lt;="&amp;A225,$AH$8:$AH$507,1))</x:f>
      </x:c>
      <x:c r="AG225" s="20" t="str">
        <x:f>IF(AH225&lt;&gt;1,"",SUMIFS($AC$8:$AC$507,$C$8:$C$507,"&lt;"&amp;C225,$AH$8:$AH$507,1)+SUMIFS($AC$8:$AC$507,$C$8:$C$507,C225,$A$8:$A$507,"&lt;="&amp;A225,$AH$8:$AH$507,1))</x:f>
      </x:c>
      <x:c r="AH225" s="22" t="str">
        <x:f>IF(A225="","",IF(AND(J225="Chiuso",AQ225="OK",ISNUMBER(AC225)),1,0))</x:f>
      </x:c>
      <x:c r="AI225" s="20" t="str">
        <x:f>IF(AH225&lt;&gt;1,"",MAX(0,_xlfn.MAXIFS($AG$8:$AG$507,$AF$8:$AF$507,"&lt;="&amp;AF225,$AH$8:$AH$507,1)))</x:f>
      </x:c>
      <x:c r="AJ225" s="20" t="str">
        <x:f>IF(AH225&lt;&gt;1,"",MAX(0,AI225-AG225))</x:f>
      </x:c>
      <x:c r="AK225" s="21" t="str">
        <x:f>IF(OR(AH225&lt;&gt;1,NOT(ISNUMBER('Impostazioni'!$B$6)),'Impostazioni'!$B$6+AI225&lt;=0),"",AJ225/('Impostazioni'!$B$6+AI225))</x:f>
      </x:c>
      <x:c r="AL225" s="22" t="str">
        <x:f>IF(AH225&lt;&gt;1,"",IF(AC225&gt;0,AF225-_xlfn.MAXIFS($AF$8:$AF$507,$AF$8:$AF$507,"&lt;="&amp;AF225,$AC$8:$AC$507,"&lt;=0",$AH$8:$AH$507,1),0))</x:f>
      </x:c>
      <x:c r="AM225" s="22" t="str">
        <x:f>IF(AH225&lt;&gt;1,"",IF(AC225&lt;0,AF225-_xlfn.MAXIFS($AF$8:$AF$507,$AF$8:$AF$507,"&lt;="&amp;AF225,$AC$8:$AC$507,"&gt;=0",$AH$8:$AH$507,1),0))</x:f>
      </x:c>
      <x:c r="AN225" s="20" t="str">
        <x:f>IF(OR(A225="",NOT(ISNUMBER(B225)),NOT(ISNUMBER('Impostazioni'!$B$6))),"",'Impostazioni'!$B$6+SUMIFS($AC$8:$AC$507,$C$8:$C$507,"&lt;"&amp;B225,$AH$8:$AH$507,1)+SUMIFS('Cassa'!$F$8:$F$307,'Cassa'!$A$8:$A$307,"&lt;="&amp;B225,'Cassa'!$G$8:$G$307,"OK"))</x:f>
      </x:c>
      <x:c r="AO225" s="21" t="str">
        <x:f>IF(AND(ISNUMBER(Z225),ISNUMBER(AN225),AN225&gt;0),Z225/AN225,"")</x:f>
      </x:c>
      <x:c r="AP225" s="18" t="str">
        <x:f>IF(NOT(ISNUMBER(AO225)),"",IF(AO225&gt;'Impostazioni'!$B$7,"Oltre soglia personale","Nella soglia personale"))</x:f>
      </x:c>
      <x:c r="AQ225" s="18" t="str">
        <x:f>IF(A225="",IF(COUNTA(B225:V225)=0,"","Inserisci ID"),IF(COUNTIFS($A$8:$A$507,A225)&lt;&gt;1,"ID duplicato",IF(OR(NOT(ISNUMBER(B225)),D225="",E225="",F225="",G225="",H225="",COUNTIFS('Impostazioni'!$J$6:$J$25,F225)&lt;&gt;1),"Completa dati / elenchi",IF(OR(AND(I225&lt;&gt;"Lordo manuale",I225&lt;&gt;"Netto manuale",I225&lt;&gt;"Esecuzioni"),AND(J225&lt;&gt;"Aperto",J225&lt;&gt;"Chiuso",J225&lt;&gt;"Annullato")),"Modalità / stato mancanti",IF(AND(J225&lt;&gt;"Aperto",OR(NOT(ISNUMBER(C225)),C225&lt;B225)),"Correggi data chiusura",IF(OR(AND(Q225&lt;&gt;"",OR(NOT(ISNUMBER(Q225)),Q225&lt;0)),AND(R225&lt;&gt;"",OR(NOT(ISNUMBER(R225)),R225&lt;0,R225&gt;1))),"Commissione non valida",IF(J225="Annullato","OK",IF(OR(NOT(ISNUMBER(Z225)),Z225&lt;0,AND(O225&lt;&gt;"",NOT(ISNUMBER(O225)))),"Inserisci rischio",IF(AND(I225="Esecuzioni",OR(W225=0,COUNTIFS('Esecuzioni'!$A$8:$A$1007,A225,'Esecuzioni'!$Q$8:$Q$1007,"&lt;&gt;OK")&gt;0)),"Correggi esecuzioni",IF(J225="Aperto","OK",IF(AND(I225="Esecuzioni",S225="Coperto",ABS(X225-Y225)&gt;'Impostazioni'!$B$11),"Copertura residua",IF(NOT(ISNUMBER(AC225)),"Completa risultato / esito",IF(AND(Z225=0,AC225&lt;&gt;0),"Rischio nullo con P/L","OK")))))))))))))</x:f>
      </x:c>
      <x:c r="AR225" s="20" t="str">
        <x:f>IF(OR(A225="",J225&lt;&gt;"Aperto",AQ225&lt;&gt;"OK"),"",IF(I225="Esecuzioni",SUMIFS('Esecuzioni'!$P$8:$P$1007,'Esecuzioni'!$A$8:$A$1007,A225,'Esecuzioni'!$B$8:$B$1007,_xlfn.MAXIFS('Esecuzioni'!$B$8:$B$1007,'Esecuzioni'!$A$8:$A$1007,A225)),IF(LEFT(U225,8)="FREEBET:",0,Z225)))</x:f>
      </x:c>
      <x:c r="AS225" s="48" t="str">
        <x:f>IF(OR(A225="",E225=""),"",IF(COUNTIFS($E$8:E225,E225)=1,COUNT($AS$7:AS224)+1,""))</x:f>
      </x:c>
    </x:row>
    <x:row r="226" ht="22" customHeight="1">
      <x:c r="A226" s="7"/>
      <x:c r="B226" s="19"/>
      <x:c r="C226" s="19"/>
      <x:c r="D226" s="7"/>
      <x:c r="E226" s="7"/>
      <x:c r="F226" s="7"/>
      <x:c r="G226" s="7"/>
      <x:c r="H226" s="7"/>
      <x:c r="I226" s="7"/>
      <x:c r="J226" s="7"/>
      <x:c r="K226" s="10"/>
      <x:c r="L226" s="7"/>
      <x:c r="M226" s="10"/>
      <x:c r="N226" s="7"/>
      <x:c r="O226" s="8"/>
      <x:c r="P226" s="8"/>
      <x:c r="Q226" s="8"/>
      <x:c r="R226" s="9"/>
      <x:c r="S226" s="7"/>
      <x:c r="T226" s="7"/>
      <x:c r="U226" s="7"/>
      <x:c r="V226" s="7"/>
      <x:c r="W226" s="22" t="str">
        <x:f>IF(A226="","",COUNTIFS('Esecuzioni'!$A$8:$A$1007,A226,'Esecuzioni'!$Q$8:$Q$1007,"OK"))</x:f>
      </x:c>
      <x:c r="X226" s="20" t="str">
        <x:f>IF(OR(A226="",I226&lt;&gt;"Esecuzioni",W226=0),"",SUMIFS('Esecuzioni'!$L$8:$L$1007,'Esecuzioni'!$A$8:$A$1007,A226))</x:f>
      </x:c>
      <x:c r="Y226" s="20" t="str">
        <x:f>IF(OR(A226="",I226&lt;&gt;"Esecuzioni",W226=0),"",SUMIFS('Esecuzioni'!$M$8:$M$1007,'Esecuzioni'!$A$8:$A$1007,A226))</x:f>
      </x:c>
      <x:c r="Z226" s="20" t="str">
        <x:f>IF(A226="","",IF(J226="Annullato",0,IF(ISNUMBER(O226),O226,IF(AND(I226="Esecuzioni",W226&gt;0),_xlfn.MAXIFS('Esecuzioni'!$P$8:$P$1007,'Esecuzioni'!$A$8:$A$1007,A226),""))))</x:f>
      </x:c>
      <x:c r="AA226" s="20" t="str">
        <x:f>IF(OR(A226="",J226="Aperto"),"",IF(J226="Annullato",0,IF(I226="Lordo manuale",IF(ISNUMBER(P226),P226,""),IF(I226="Netto manuale",IF(AND(ISNUMBER(P226),ISNUMBER(Q226)),P226+Q226,""),IF(OR(W226=0,COUNTIFS('Esecuzioni'!$A$8:$A$1007,A226,'Esecuzioni'!$Q$8:$Q$1007,"&lt;&gt;OK")&gt;0),"",IF(S226="Vince",X226,IF(S226="Perde",Y226,IF(AND(S226="Coperto",ABS(X226-Y226)&lt;='Impostazioni'!$B$11),ROUND((X226+Y226)/2,2),""))))))))</x:f>
      </x:c>
      <x:c r="AB226" s="20" t="str">
        <x:f>IF(NOT(ISNUMBER(AA226)),"",IF(J226="Annullato",0,IF(ISNUMBER(Q226),Q226,ROUND(MAX(0,AA226)*IF(ISNUMBER(R226),R226,'Impostazioni'!$B$8),2))))</x:f>
      </x:c>
      <x:c r="AC226" s="20" t="str">
        <x:f>IF(AND(ISNUMBER(AA226),ISNUMBER(AB226)),ROUND(AA226-AB226,2),"")</x:f>
      </x:c>
      <x:c r="AD226" s="18" t="str">
        <x:f>IF(A226="","",IF(AQ226&lt;&gt;"OK","Incompleto",IF(J226="Aperto","Aperto",IF(J226="Annullato","Annullato",IF(AC226&gt;0,"Green",IF(AC226&lt;0,"Red","Flat"))))))</x:f>
      </x:c>
      <x:c r="AE226" s="21" t="str">
        <x:f>IF(AND(AH226=1,Z226&gt;0),AC226/Z226,"")</x:f>
      </x:c>
      <x:c r="AF226" s="22" t="str">
        <x:f>IF(AH226&lt;&gt;1,"",COUNTIFS($C$8:$C$507,"&lt;"&amp;C226,$AH$8:$AH$507,1)+COUNTIFS($C$8:$C$507,C226,$A$8:$A$507,"&lt;="&amp;A226,$AH$8:$AH$507,1))</x:f>
      </x:c>
      <x:c r="AG226" s="20" t="str">
        <x:f>IF(AH226&lt;&gt;1,"",SUMIFS($AC$8:$AC$507,$C$8:$C$507,"&lt;"&amp;C226,$AH$8:$AH$507,1)+SUMIFS($AC$8:$AC$507,$C$8:$C$507,C226,$A$8:$A$507,"&lt;="&amp;A226,$AH$8:$AH$507,1))</x:f>
      </x:c>
      <x:c r="AH226" s="22" t="str">
        <x:f>IF(A226="","",IF(AND(J226="Chiuso",AQ226="OK",ISNUMBER(AC226)),1,0))</x:f>
      </x:c>
      <x:c r="AI226" s="20" t="str">
        <x:f>IF(AH226&lt;&gt;1,"",MAX(0,_xlfn.MAXIFS($AG$8:$AG$507,$AF$8:$AF$507,"&lt;="&amp;AF226,$AH$8:$AH$507,1)))</x:f>
      </x:c>
      <x:c r="AJ226" s="20" t="str">
        <x:f>IF(AH226&lt;&gt;1,"",MAX(0,AI226-AG226))</x:f>
      </x:c>
      <x:c r="AK226" s="21" t="str">
        <x:f>IF(OR(AH226&lt;&gt;1,NOT(ISNUMBER('Impostazioni'!$B$6)),'Impostazioni'!$B$6+AI226&lt;=0),"",AJ226/('Impostazioni'!$B$6+AI226))</x:f>
      </x:c>
      <x:c r="AL226" s="22" t="str">
        <x:f>IF(AH226&lt;&gt;1,"",IF(AC226&gt;0,AF226-_xlfn.MAXIFS($AF$8:$AF$507,$AF$8:$AF$507,"&lt;="&amp;AF226,$AC$8:$AC$507,"&lt;=0",$AH$8:$AH$507,1),0))</x:f>
      </x:c>
      <x:c r="AM226" s="22" t="str">
        <x:f>IF(AH226&lt;&gt;1,"",IF(AC226&lt;0,AF226-_xlfn.MAXIFS($AF$8:$AF$507,$AF$8:$AF$507,"&lt;="&amp;AF226,$AC$8:$AC$507,"&gt;=0",$AH$8:$AH$507,1),0))</x:f>
      </x:c>
      <x:c r="AN226" s="20" t="str">
        <x:f>IF(OR(A226="",NOT(ISNUMBER(B226)),NOT(ISNUMBER('Impostazioni'!$B$6))),"",'Impostazioni'!$B$6+SUMIFS($AC$8:$AC$507,$C$8:$C$507,"&lt;"&amp;B226,$AH$8:$AH$507,1)+SUMIFS('Cassa'!$F$8:$F$307,'Cassa'!$A$8:$A$307,"&lt;="&amp;B226,'Cassa'!$G$8:$G$307,"OK"))</x:f>
      </x:c>
      <x:c r="AO226" s="21" t="str">
        <x:f>IF(AND(ISNUMBER(Z226),ISNUMBER(AN226),AN226&gt;0),Z226/AN226,"")</x:f>
      </x:c>
      <x:c r="AP226" s="18" t="str">
        <x:f>IF(NOT(ISNUMBER(AO226)),"",IF(AO226&gt;'Impostazioni'!$B$7,"Oltre soglia personale","Nella soglia personale"))</x:f>
      </x:c>
      <x:c r="AQ226" s="18" t="str">
        <x:f>IF(A226="",IF(COUNTA(B226:V226)=0,"","Inserisci ID"),IF(COUNTIFS($A$8:$A$507,A226)&lt;&gt;1,"ID duplicato",IF(OR(NOT(ISNUMBER(B226)),D226="",E226="",F226="",G226="",H226="",COUNTIFS('Impostazioni'!$J$6:$J$25,F226)&lt;&gt;1),"Completa dati / elenchi",IF(OR(AND(I226&lt;&gt;"Lordo manuale",I226&lt;&gt;"Netto manuale",I226&lt;&gt;"Esecuzioni"),AND(J226&lt;&gt;"Aperto",J226&lt;&gt;"Chiuso",J226&lt;&gt;"Annullato")),"Modalità / stato mancanti",IF(AND(J226&lt;&gt;"Aperto",OR(NOT(ISNUMBER(C226)),C226&lt;B226)),"Correggi data chiusura",IF(OR(AND(Q226&lt;&gt;"",OR(NOT(ISNUMBER(Q226)),Q226&lt;0)),AND(R226&lt;&gt;"",OR(NOT(ISNUMBER(R226)),R226&lt;0,R226&gt;1))),"Commissione non valida",IF(J226="Annullato","OK",IF(OR(NOT(ISNUMBER(Z226)),Z226&lt;0,AND(O226&lt;&gt;"",NOT(ISNUMBER(O226)))),"Inserisci rischio",IF(AND(I226="Esecuzioni",OR(W226=0,COUNTIFS('Esecuzioni'!$A$8:$A$1007,A226,'Esecuzioni'!$Q$8:$Q$1007,"&lt;&gt;OK")&gt;0)),"Correggi esecuzioni",IF(J226="Aperto","OK",IF(AND(I226="Esecuzioni",S226="Coperto",ABS(X226-Y226)&gt;'Impostazioni'!$B$11),"Copertura residua",IF(NOT(ISNUMBER(AC226)),"Completa risultato / esito",IF(AND(Z226=0,AC226&lt;&gt;0),"Rischio nullo con P/L","OK")))))))))))))</x:f>
      </x:c>
      <x:c r="AR226" s="20" t="str">
        <x:f>IF(OR(A226="",J226&lt;&gt;"Aperto",AQ226&lt;&gt;"OK"),"",IF(I226="Esecuzioni",SUMIFS('Esecuzioni'!$P$8:$P$1007,'Esecuzioni'!$A$8:$A$1007,A226,'Esecuzioni'!$B$8:$B$1007,_xlfn.MAXIFS('Esecuzioni'!$B$8:$B$1007,'Esecuzioni'!$A$8:$A$1007,A226)),IF(LEFT(U226,8)="FREEBET:",0,Z226)))</x:f>
      </x:c>
      <x:c r="AS226" s="48" t="str">
        <x:f>IF(OR(A226="",E226=""),"",IF(COUNTIFS($E$8:E226,E226)=1,COUNT($AS$7:AS225)+1,""))</x:f>
      </x:c>
    </x:row>
    <x:row r="227" ht="22" customHeight="1">
      <x:c r="A227" s="7"/>
      <x:c r="B227" s="19"/>
      <x:c r="C227" s="19"/>
      <x:c r="D227" s="7"/>
      <x:c r="E227" s="7"/>
      <x:c r="F227" s="7"/>
      <x:c r="G227" s="7"/>
      <x:c r="H227" s="7"/>
      <x:c r="I227" s="7"/>
      <x:c r="J227" s="7"/>
      <x:c r="K227" s="10"/>
      <x:c r="L227" s="7"/>
      <x:c r="M227" s="10"/>
      <x:c r="N227" s="7"/>
      <x:c r="O227" s="8"/>
      <x:c r="P227" s="8"/>
      <x:c r="Q227" s="8"/>
      <x:c r="R227" s="9"/>
      <x:c r="S227" s="7"/>
      <x:c r="T227" s="7"/>
      <x:c r="U227" s="7"/>
      <x:c r="V227" s="7"/>
      <x:c r="W227" s="22" t="str">
        <x:f>IF(A227="","",COUNTIFS('Esecuzioni'!$A$8:$A$1007,A227,'Esecuzioni'!$Q$8:$Q$1007,"OK"))</x:f>
      </x:c>
      <x:c r="X227" s="20" t="str">
        <x:f>IF(OR(A227="",I227&lt;&gt;"Esecuzioni",W227=0),"",SUMIFS('Esecuzioni'!$L$8:$L$1007,'Esecuzioni'!$A$8:$A$1007,A227))</x:f>
      </x:c>
      <x:c r="Y227" s="20" t="str">
        <x:f>IF(OR(A227="",I227&lt;&gt;"Esecuzioni",W227=0),"",SUMIFS('Esecuzioni'!$M$8:$M$1007,'Esecuzioni'!$A$8:$A$1007,A227))</x:f>
      </x:c>
      <x:c r="Z227" s="20" t="str">
        <x:f>IF(A227="","",IF(J227="Annullato",0,IF(ISNUMBER(O227),O227,IF(AND(I227="Esecuzioni",W227&gt;0),_xlfn.MAXIFS('Esecuzioni'!$P$8:$P$1007,'Esecuzioni'!$A$8:$A$1007,A227),""))))</x:f>
      </x:c>
      <x:c r="AA227" s="20" t="str">
        <x:f>IF(OR(A227="",J227="Aperto"),"",IF(J227="Annullato",0,IF(I227="Lordo manuale",IF(ISNUMBER(P227),P227,""),IF(I227="Netto manuale",IF(AND(ISNUMBER(P227),ISNUMBER(Q227)),P227+Q227,""),IF(OR(W227=0,COUNTIFS('Esecuzioni'!$A$8:$A$1007,A227,'Esecuzioni'!$Q$8:$Q$1007,"&lt;&gt;OK")&gt;0),"",IF(S227="Vince",X227,IF(S227="Perde",Y227,IF(AND(S227="Coperto",ABS(X227-Y227)&lt;='Impostazioni'!$B$11),ROUND((X227+Y227)/2,2),""))))))))</x:f>
      </x:c>
      <x:c r="AB227" s="20" t="str">
        <x:f>IF(NOT(ISNUMBER(AA227)),"",IF(J227="Annullato",0,IF(ISNUMBER(Q227),Q227,ROUND(MAX(0,AA227)*IF(ISNUMBER(R227),R227,'Impostazioni'!$B$8),2))))</x:f>
      </x:c>
      <x:c r="AC227" s="20" t="str">
        <x:f>IF(AND(ISNUMBER(AA227),ISNUMBER(AB227)),ROUND(AA227-AB227,2),"")</x:f>
      </x:c>
      <x:c r="AD227" s="18" t="str">
        <x:f>IF(A227="","",IF(AQ227&lt;&gt;"OK","Incompleto",IF(J227="Aperto","Aperto",IF(J227="Annullato","Annullato",IF(AC227&gt;0,"Green",IF(AC227&lt;0,"Red","Flat"))))))</x:f>
      </x:c>
      <x:c r="AE227" s="21" t="str">
        <x:f>IF(AND(AH227=1,Z227&gt;0),AC227/Z227,"")</x:f>
      </x:c>
      <x:c r="AF227" s="22" t="str">
        <x:f>IF(AH227&lt;&gt;1,"",COUNTIFS($C$8:$C$507,"&lt;"&amp;C227,$AH$8:$AH$507,1)+COUNTIFS($C$8:$C$507,C227,$A$8:$A$507,"&lt;="&amp;A227,$AH$8:$AH$507,1))</x:f>
      </x:c>
      <x:c r="AG227" s="20" t="str">
        <x:f>IF(AH227&lt;&gt;1,"",SUMIFS($AC$8:$AC$507,$C$8:$C$507,"&lt;"&amp;C227,$AH$8:$AH$507,1)+SUMIFS($AC$8:$AC$507,$C$8:$C$507,C227,$A$8:$A$507,"&lt;="&amp;A227,$AH$8:$AH$507,1))</x:f>
      </x:c>
      <x:c r="AH227" s="22" t="str">
        <x:f>IF(A227="","",IF(AND(J227="Chiuso",AQ227="OK",ISNUMBER(AC227)),1,0))</x:f>
      </x:c>
      <x:c r="AI227" s="20" t="str">
        <x:f>IF(AH227&lt;&gt;1,"",MAX(0,_xlfn.MAXIFS($AG$8:$AG$507,$AF$8:$AF$507,"&lt;="&amp;AF227,$AH$8:$AH$507,1)))</x:f>
      </x:c>
      <x:c r="AJ227" s="20" t="str">
        <x:f>IF(AH227&lt;&gt;1,"",MAX(0,AI227-AG227))</x:f>
      </x:c>
      <x:c r="AK227" s="21" t="str">
        <x:f>IF(OR(AH227&lt;&gt;1,NOT(ISNUMBER('Impostazioni'!$B$6)),'Impostazioni'!$B$6+AI227&lt;=0),"",AJ227/('Impostazioni'!$B$6+AI227))</x:f>
      </x:c>
      <x:c r="AL227" s="22" t="str">
        <x:f>IF(AH227&lt;&gt;1,"",IF(AC227&gt;0,AF227-_xlfn.MAXIFS($AF$8:$AF$507,$AF$8:$AF$507,"&lt;="&amp;AF227,$AC$8:$AC$507,"&lt;=0",$AH$8:$AH$507,1),0))</x:f>
      </x:c>
      <x:c r="AM227" s="22" t="str">
        <x:f>IF(AH227&lt;&gt;1,"",IF(AC227&lt;0,AF227-_xlfn.MAXIFS($AF$8:$AF$507,$AF$8:$AF$507,"&lt;="&amp;AF227,$AC$8:$AC$507,"&gt;=0",$AH$8:$AH$507,1),0))</x:f>
      </x:c>
      <x:c r="AN227" s="20" t="str">
        <x:f>IF(OR(A227="",NOT(ISNUMBER(B227)),NOT(ISNUMBER('Impostazioni'!$B$6))),"",'Impostazioni'!$B$6+SUMIFS($AC$8:$AC$507,$C$8:$C$507,"&lt;"&amp;B227,$AH$8:$AH$507,1)+SUMIFS('Cassa'!$F$8:$F$307,'Cassa'!$A$8:$A$307,"&lt;="&amp;B227,'Cassa'!$G$8:$G$307,"OK"))</x:f>
      </x:c>
      <x:c r="AO227" s="21" t="str">
        <x:f>IF(AND(ISNUMBER(Z227),ISNUMBER(AN227),AN227&gt;0),Z227/AN227,"")</x:f>
      </x:c>
      <x:c r="AP227" s="18" t="str">
        <x:f>IF(NOT(ISNUMBER(AO227)),"",IF(AO227&gt;'Impostazioni'!$B$7,"Oltre soglia personale","Nella soglia personale"))</x:f>
      </x:c>
      <x:c r="AQ227" s="18" t="str">
        <x:f>IF(A227="",IF(COUNTA(B227:V227)=0,"","Inserisci ID"),IF(COUNTIFS($A$8:$A$507,A227)&lt;&gt;1,"ID duplicato",IF(OR(NOT(ISNUMBER(B227)),D227="",E227="",F227="",G227="",H227="",COUNTIFS('Impostazioni'!$J$6:$J$25,F227)&lt;&gt;1),"Completa dati / elenchi",IF(OR(AND(I227&lt;&gt;"Lordo manuale",I227&lt;&gt;"Netto manuale",I227&lt;&gt;"Esecuzioni"),AND(J227&lt;&gt;"Aperto",J227&lt;&gt;"Chiuso",J227&lt;&gt;"Annullato")),"Modalità / stato mancanti",IF(AND(J227&lt;&gt;"Aperto",OR(NOT(ISNUMBER(C227)),C227&lt;B227)),"Correggi data chiusura",IF(OR(AND(Q227&lt;&gt;"",OR(NOT(ISNUMBER(Q227)),Q227&lt;0)),AND(R227&lt;&gt;"",OR(NOT(ISNUMBER(R227)),R227&lt;0,R227&gt;1))),"Commissione non valida",IF(J227="Annullato","OK",IF(OR(NOT(ISNUMBER(Z227)),Z227&lt;0,AND(O227&lt;&gt;"",NOT(ISNUMBER(O227)))),"Inserisci rischio",IF(AND(I227="Esecuzioni",OR(W227=0,COUNTIFS('Esecuzioni'!$A$8:$A$1007,A227,'Esecuzioni'!$Q$8:$Q$1007,"&lt;&gt;OK")&gt;0)),"Correggi esecuzioni",IF(J227="Aperto","OK",IF(AND(I227="Esecuzioni",S227="Coperto",ABS(X227-Y227)&gt;'Impostazioni'!$B$11),"Copertura residua",IF(NOT(ISNUMBER(AC227)),"Completa risultato / esito",IF(AND(Z227=0,AC227&lt;&gt;0),"Rischio nullo con P/L","OK")))))))))))))</x:f>
      </x:c>
      <x:c r="AR227" s="20" t="str">
        <x:f>IF(OR(A227="",J227&lt;&gt;"Aperto",AQ227&lt;&gt;"OK"),"",IF(I227="Esecuzioni",SUMIFS('Esecuzioni'!$P$8:$P$1007,'Esecuzioni'!$A$8:$A$1007,A227,'Esecuzioni'!$B$8:$B$1007,_xlfn.MAXIFS('Esecuzioni'!$B$8:$B$1007,'Esecuzioni'!$A$8:$A$1007,A227)),IF(LEFT(U227,8)="FREEBET:",0,Z227)))</x:f>
      </x:c>
      <x:c r="AS227" s="48" t="str">
        <x:f>IF(OR(A227="",E227=""),"",IF(COUNTIFS($E$8:E227,E227)=1,COUNT($AS$7:AS226)+1,""))</x:f>
      </x:c>
    </x:row>
    <x:row r="228" ht="22" customHeight="1">
      <x:c r="A228" s="7"/>
      <x:c r="B228" s="19"/>
      <x:c r="C228" s="19"/>
      <x:c r="D228" s="7"/>
      <x:c r="E228" s="7"/>
      <x:c r="F228" s="7"/>
      <x:c r="G228" s="7"/>
      <x:c r="H228" s="7"/>
      <x:c r="I228" s="7"/>
      <x:c r="J228" s="7"/>
      <x:c r="K228" s="10"/>
      <x:c r="L228" s="7"/>
      <x:c r="M228" s="10"/>
      <x:c r="N228" s="7"/>
      <x:c r="O228" s="8"/>
      <x:c r="P228" s="8"/>
      <x:c r="Q228" s="8"/>
      <x:c r="R228" s="9"/>
      <x:c r="S228" s="7"/>
      <x:c r="T228" s="7"/>
      <x:c r="U228" s="7"/>
      <x:c r="V228" s="7"/>
      <x:c r="W228" s="22" t="str">
        <x:f>IF(A228="","",COUNTIFS('Esecuzioni'!$A$8:$A$1007,A228,'Esecuzioni'!$Q$8:$Q$1007,"OK"))</x:f>
      </x:c>
      <x:c r="X228" s="20" t="str">
        <x:f>IF(OR(A228="",I228&lt;&gt;"Esecuzioni",W228=0),"",SUMIFS('Esecuzioni'!$L$8:$L$1007,'Esecuzioni'!$A$8:$A$1007,A228))</x:f>
      </x:c>
      <x:c r="Y228" s="20" t="str">
        <x:f>IF(OR(A228="",I228&lt;&gt;"Esecuzioni",W228=0),"",SUMIFS('Esecuzioni'!$M$8:$M$1007,'Esecuzioni'!$A$8:$A$1007,A228))</x:f>
      </x:c>
      <x:c r="Z228" s="20" t="str">
        <x:f>IF(A228="","",IF(J228="Annullato",0,IF(ISNUMBER(O228),O228,IF(AND(I228="Esecuzioni",W228&gt;0),_xlfn.MAXIFS('Esecuzioni'!$P$8:$P$1007,'Esecuzioni'!$A$8:$A$1007,A228),""))))</x:f>
      </x:c>
      <x:c r="AA228" s="20" t="str">
        <x:f>IF(OR(A228="",J228="Aperto"),"",IF(J228="Annullato",0,IF(I228="Lordo manuale",IF(ISNUMBER(P228),P228,""),IF(I228="Netto manuale",IF(AND(ISNUMBER(P228),ISNUMBER(Q228)),P228+Q228,""),IF(OR(W228=0,COUNTIFS('Esecuzioni'!$A$8:$A$1007,A228,'Esecuzioni'!$Q$8:$Q$1007,"&lt;&gt;OK")&gt;0),"",IF(S228="Vince",X228,IF(S228="Perde",Y228,IF(AND(S228="Coperto",ABS(X228-Y228)&lt;='Impostazioni'!$B$11),ROUND((X228+Y228)/2,2),""))))))))</x:f>
      </x:c>
      <x:c r="AB228" s="20" t="str">
        <x:f>IF(NOT(ISNUMBER(AA228)),"",IF(J228="Annullato",0,IF(ISNUMBER(Q228),Q228,ROUND(MAX(0,AA228)*IF(ISNUMBER(R228),R228,'Impostazioni'!$B$8),2))))</x:f>
      </x:c>
      <x:c r="AC228" s="20" t="str">
        <x:f>IF(AND(ISNUMBER(AA228),ISNUMBER(AB228)),ROUND(AA228-AB228,2),"")</x:f>
      </x:c>
      <x:c r="AD228" s="18" t="str">
        <x:f>IF(A228="","",IF(AQ228&lt;&gt;"OK","Incompleto",IF(J228="Aperto","Aperto",IF(J228="Annullato","Annullato",IF(AC228&gt;0,"Green",IF(AC228&lt;0,"Red","Flat"))))))</x:f>
      </x:c>
      <x:c r="AE228" s="21" t="str">
        <x:f>IF(AND(AH228=1,Z228&gt;0),AC228/Z228,"")</x:f>
      </x:c>
      <x:c r="AF228" s="22" t="str">
        <x:f>IF(AH228&lt;&gt;1,"",COUNTIFS($C$8:$C$507,"&lt;"&amp;C228,$AH$8:$AH$507,1)+COUNTIFS($C$8:$C$507,C228,$A$8:$A$507,"&lt;="&amp;A228,$AH$8:$AH$507,1))</x:f>
      </x:c>
      <x:c r="AG228" s="20" t="str">
        <x:f>IF(AH228&lt;&gt;1,"",SUMIFS($AC$8:$AC$507,$C$8:$C$507,"&lt;"&amp;C228,$AH$8:$AH$507,1)+SUMIFS($AC$8:$AC$507,$C$8:$C$507,C228,$A$8:$A$507,"&lt;="&amp;A228,$AH$8:$AH$507,1))</x:f>
      </x:c>
      <x:c r="AH228" s="22" t="str">
        <x:f>IF(A228="","",IF(AND(J228="Chiuso",AQ228="OK",ISNUMBER(AC228)),1,0))</x:f>
      </x:c>
      <x:c r="AI228" s="20" t="str">
        <x:f>IF(AH228&lt;&gt;1,"",MAX(0,_xlfn.MAXIFS($AG$8:$AG$507,$AF$8:$AF$507,"&lt;="&amp;AF228,$AH$8:$AH$507,1)))</x:f>
      </x:c>
      <x:c r="AJ228" s="20" t="str">
        <x:f>IF(AH228&lt;&gt;1,"",MAX(0,AI228-AG228))</x:f>
      </x:c>
      <x:c r="AK228" s="21" t="str">
        <x:f>IF(OR(AH228&lt;&gt;1,NOT(ISNUMBER('Impostazioni'!$B$6)),'Impostazioni'!$B$6+AI228&lt;=0),"",AJ228/('Impostazioni'!$B$6+AI228))</x:f>
      </x:c>
      <x:c r="AL228" s="22" t="str">
        <x:f>IF(AH228&lt;&gt;1,"",IF(AC228&gt;0,AF228-_xlfn.MAXIFS($AF$8:$AF$507,$AF$8:$AF$507,"&lt;="&amp;AF228,$AC$8:$AC$507,"&lt;=0",$AH$8:$AH$507,1),0))</x:f>
      </x:c>
      <x:c r="AM228" s="22" t="str">
        <x:f>IF(AH228&lt;&gt;1,"",IF(AC228&lt;0,AF228-_xlfn.MAXIFS($AF$8:$AF$507,$AF$8:$AF$507,"&lt;="&amp;AF228,$AC$8:$AC$507,"&gt;=0",$AH$8:$AH$507,1),0))</x:f>
      </x:c>
      <x:c r="AN228" s="20" t="str">
        <x:f>IF(OR(A228="",NOT(ISNUMBER(B228)),NOT(ISNUMBER('Impostazioni'!$B$6))),"",'Impostazioni'!$B$6+SUMIFS($AC$8:$AC$507,$C$8:$C$507,"&lt;"&amp;B228,$AH$8:$AH$507,1)+SUMIFS('Cassa'!$F$8:$F$307,'Cassa'!$A$8:$A$307,"&lt;="&amp;B228,'Cassa'!$G$8:$G$307,"OK"))</x:f>
      </x:c>
      <x:c r="AO228" s="21" t="str">
        <x:f>IF(AND(ISNUMBER(Z228),ISNUMBER(AN228),AN228&gt;0),Z228/AN228,"")</x:f>
      </x:c>
      <x:c r="AP228" s="18" t="str">
        <x:f>IF(NOT(ISNUMBER(AO228)),"",IF(AO228&gt;'Impostazioni'!$B$7,"Oltre soglia personale","Nella soglia personale"))</x:f>
      </x:c>
      <x:c r="AQ228" s="18" t="str">
        <x:f>IF(A228="",IF(COUNTA(B228:V228)=0,"","Inserisci ID"),IF(COUNTIFS($A$8:$A$507,A228)&lt;&gt;1,"ID duplicato",IF(OR(NOT(ISNUMBER(B228)),D228="",E228="",F228="",G228="",H228="",COUNTIFS('Impostazioni'!$J$6:$J$25,F228)&lt;&gt;1),"Completa dati / elenchi",IF(OR(AND(I228&lt;&gt;"Lordo manuale",I228&lt;&gt;"Netto manuale",I228&lt;&gt;"Esecuzioni"),AND(J228&lt;&gt;"Aperto",J228&lt;&gt;"Chiuso",J228&lt;&gt;"Annullato")),"Modalità / stato mancanti",IF(AND(J228&lt;&gt;"Aperto",OR(NOT(ISNUMBER(C228)),C228&lt;B228)),"Correggi data chiusura",IF(OR(AND(Q228&lt;&gt;"",OR(NOT(ISNUMBER(Q228)),Q228&lt;0)),AND(R228&lt;&gt;"",OR(NOT(ISNUMBER(R228)),R228&lt;0,R228&gt;1))),"Commissione non valida",IF(J228="Annullato","OK",IF(OR(NOT(ISNUMBER(Z228)),Z228&lt;0,AND(O228&lt;&gt;"",NOT(ISNUMBER(O228)))),"Inserisci rischio",IF(AND(I228="Esecuzioni",OR(W228=0,COUNTIFS('Esecuzioni'!$A$8:$A$1007,A228,'Esecuzioni'!$Q$8:$Q$1007,"&lt;&gt;OK")&gt;0)),"Correggi esecuzioni",IF(J228="Aperto","OK",IF(AND(I228="Esecuzioni",S228="Coperto",ABS(X228-Y228)&gt;'Impostazioni'!$B$11),"Copertura residua",IF(NOT(ISNUMBER(AC228)),"Completa risultato / esito",IF(AND(Z228=0,AC228&lt;&gt;0),"Rischio nullo con P/L","OK")))))))))))))</x:f>
      </x:c>
      <x:c r="AR228" s="20" t="str">
        <x:f>IF(OR(A228="",J228&lt;&gt;"Aperto",AQ228&lt;&gt;"OK"),"",IF(I228="Esecuzioni",SUMIFS('Esecuzioni'!$P$8:$P$1007,'Esecuzioni'!$A$8:$A$1007,A228,'Esecuzioni'!$B$8:$B$1007,_xlfn.MAXIFS('Esecuzioni'!$B$8:$B$1007,'Esecuzioni'!$A$8:$A$1007,A228)),IF(LEFT(U228,8)="FREEBET:",0,Z228)))</x:f>
      </x:c>
      <x:c r="AS228" s="48" t="str">
        <x:f>IF(OR(A228="",E228=""),"",IF(COUNTIFS($E$8:E228,E228)=1,COUNT($AS$7:AS227)+1,""))</x:f>
      </x:c>
    </x:row>
    <x:row r="229" ht="22" customHeight="1">
      <x:c r="A229" s="7"/>
      <x:c r="B229" s="19"/>
      <x:c r="C229" s="19"/>
      <x:c r="D229" s="7"/>
      <x:c r="E229" s="7"/>
      <x:c r="F229" s="7"/>
      <x:c r="G229" s="7"/>
      <x:c r="H229" s="7"/>
      <x:c r="I229" s="7"/>
      <x:c r="J229" s="7"/>
      <x:c r="K229" s="10"/>
      <x:c r="L229" s="7"/>
      <x:c r="M229" s="10"/>
      <x:c r="N229" s="7"/>
      <x:c r="O229" s="8"/>
      <x:c r="P229" s="8"/>
      <x:c r="Q229" s="8"/>
      <x:c r="R229" s="9"/>
      <x:c r="S229" s="7"/>
      <x:c r="T229" s="7"/>
      <x:c r="U229" s="7"/>
      <x:c r="V229" s="7"/>
      <x:c r="W229" s="22" t="str">
        <x:f>IF(A229="","",COUNTIFS('Esecuzioni'!$A$8:$A$1007,A229,'Esecuzioni'!$Q$8:$Q$1007,"OK"))</x:f>
      </x:c>
      <x:c r="X229" s="20" t="str">
        <x:f>IF(OR(A229="",I229&lt;&gt;"Esecuzioni",W229=0),"",SUMIFS('Esecuzioni'!$L$8:$L$1007,'Esecuzioni'!$A$8:$A$1007,A229))</x:f>
      </x:c>
      <x:c r="Y229" s="20" t="str">
        <x:f>IF(OR(A229="",I229&lt;&gt;"Esecuzioni",W229=0),"",SUMIFS('Esecuzioni'!$M$8:$M$1007,'Esecuzioni'!$A$8:$A$1007,A229))</x:f>
      </x:c>
      <x:c r="Z229" s="20" t="str">
        <x:f>IF(A229="","",IF(J229="Annullato",0,IF(ISNUMBER(O229),O229,IF(AND(I229="Esecuzioni",W229&gt;0),_xlfn.MAXIFS('Esecuzioni'!$P$8:$P$1007,'Esecuzioni'!$A$8:$A$1007,A229),""))))</x:f>
      </x:c>
      <x:c r="AA229" s="20" t="str">
        <x:f>IF(OR(A229="",J229="Aperto"),"",IF(J229="Annullato",0,IF(I229="Lordo manuale",IF(ISNUMBER(P229),P229,""),IF(I229="Netto manuale",IF(AND(ISNUMBER(P229),ISNUMBER(Q229)),P229+Q229,""),IF(OR(W229=0,COUNTIFS('Esecuzioni'!$A$8:$A$1007,A229,'Esecuzioni'!$Q$8:$Q$1007,"&lt;&gt;OK")&gt;0),"",IF(S229="Vince",X229,IF(S229="Perde",Y229,IF(AND(S229="Coperto",ABS(X229-Y229)&lt;='Impostazioni'!$B$11),ROUND((X229+Y229)/2,2),""))))))))</x:f>
      </x:c>
      <x:c r="AB229" s="20" t="str">
        <x:f>IF(NOT(ISNUMBER(AA229)),"",IF(J229="Annullato",0,IF(ISNUMBER(Q229),Q229,ROUND(MAX(0,AA229)*IF(ISNUMBER(R229),R229,'Impostazioni'!$B$8),2))))</x:f>
      </x:c>
      <x:c r="AC229" s="20" t="str">
        <x:f>IF(AND(ISNUMBER(AA229),ISNUMBER(AB229)),ROUND(AA229-AB229,2),"")</x:f>
      </x:c>
      <x:c r="AD229" s="18" t="str">
        <x:f>IF(A229="","",IF(AQ229&lt;&gt;"OK","Incompleto",IF(J229="Aperto","Aperto",IF(J229="Annullato","Annullato",IF(AC229&gt;0,"Green",IF(AC229&lt;0,"Red","Flat"))))))</x:f>
      </x:c>
      <x:c r="AE229" s="21" t="str">
        <x:f>IF(AND(AH229=1,Z229&gt;0),AC229/Z229,"")</x:f>
      </x:c>
      <x:c r="AF229" s="22" t="str">
        <x:f>IF(AH229&lt;&gt;1,"",COUNTIFS($C$8:$C$507,"&lt;"&amp;C229,$AH$8:$AH$507,1)+COUNTIFS($C$8:$C$507,C229,$A$8:$A$507,"&lt;="&amp;A229,$AH$8:$AH$507,1))</x:f>
      </x:c>
      <x:c r="AG229" s="20" t="str">
        <x:f>IF(AH229&lt;&gt;1,"",SUMIFS($AC$8:$AC$507,$C$8:$C$507,"&lt;"&amp;C229,$AH$8:$AH$507,1)+SUMIFS($AC$8:$AC$507,$C$8:$C$507,C229,$A$8:$A$507,"&lt;="&amp;A229,$AH$8:$AH$507,1))</x:f>
      </x:c>
      <x:c r="AH229" s="22" t="str">
        <x:f>IF(A229="","",IF(AND(J229="Chiuso",AQ229="OK",ISNUMBER(AC229)),1,0))</x:f>
      </x:c>
      <x:c r="AI229" s="20" t="str">
        <x:f>IF(AH229&lt;&gt;1,"",MAX(0,_xlfn.MAXIFS($AG$8:$AG$507,$AF$8:$AF$507,"&lt;="&amp;AF229,$AH$8:$AH$507,1)))</x:f>
      </x:c>
      <x:c r="AJ229" s="20" t="str">
        <x:f>IF(AH229&lt;&gt;1,"",MAX(0,AI229-AG229))</x:f>
      </x:c>
      <x:c r="AK229" s="21" t="str">
        <x:f>IF(OR(AH229&lt;&gt;1,NOT(ISNUMBER('Impostazioni'!$B$6)),'Impostazioni'!$B$6+AI229&lt;=0),"",AJ229/('Impostazioni'!$B$6+AI229))</x:f>
      </x:c>
      <x:c r="AL229" s="22" t="str">
        <x:f>IF(AH229&lt;&gt;1,"",IF(AC229&gt;0,AF229-_xlfn.MAXIFS($AF$8:$AF$507,$AF$8:$AF$507,"&lt;="&amp;AF229,$AC$8:$AC$507,"&lt;=0",$AH$8:$AH$507,1),0))</x:f>
      </x:c>
      <x:c r="AM229" s="22" t="str">
        <x:f>IF(AH229&lt;&gt;1,"",IF(AC229&lt;0,AF229-_xlfn.MAXIFS($AF$8:$AF$507,$AF$8:$AF$507,"&lt;="&amp;AF229,$AC$8:$AC$507,"&gt;=0",$AH$8:$AH$507,1),0))</x:f>
      </x:c>
      <x:c r="AN229" s="20" t="str">
        <x:f>IF(OR(A229="",NOT(ISNUMBER(B229)),NOT(ISNUMBER('Impostazioni'!$B$6))),"",'Impostazioni'!$B$6+SUMIFS($AC$8:$AC$507,$C$8:$C$507,"&lt;"&amp;B229,$AH$8:$AH$507,1)+SUMIFS('Cassa'!$F$8:$F$307,'Cassa'!$A$8:$A$307,"&lt;="&amp;B229,'Cassa'!$G$8:$G$307,"OK"))</x:f>
      </x:c>
      <x:c r="AO229" s="21" t="str">
        <x:f>IF(AND(ISNUMBER(Z229),ISNUMBER(AN229),AN229&gt;0),Z229/AN229,"")</x:f>
      </x:c>
      <x:c r="AP229" s="18" t="str">
        <x:f>IF(NOT(ISNUMBER(AO229)),"",IF(AO229&gt;'Impostazioni'!$B$7,"Oltre soglia personale","Nella soglia personale"))</x:f>
      </x:c>
      <x:c r="AQ229" s="18" t="str">
        <x:f>IF(A229="",IF(COUNTA(B229:V229)=0,"","Inserisci ID"),IF(COUNTIFS($A$8:$A$507,A229)&lt;&gt;1,"ID duplicato",IF(OR(NOT(ISNUMBER(B229)),D229="",E229="",F229="",G229="",H229="",COUNTIFS('Impostazioni'!$J$6:$J$25,F229)&lt;&gt;1),"Completa dati / elenchi",IF(OR(AND(I229&lt;&gt;"Lordo manuale",I229&lt;&gt;"Netto manuale",I229&lt;&gt;"Esecuzioni"),AND(J229&lt;&gt;"Aperto",J229&lt;&gt;"Chiuso",J229&lt;&gt;"Annullato")),"Modalità / stato mancanti",IF(AND(J229&lt;&gt;"Aperto",OR(NOT(ISNUMBER(C229)),C229&lt;B229)),"Correggi data chiusura",IF(OR(AND(Q229&lt;&gt;"",OR(NOT(ISNUMBER(Q229)),Q229&lt;0)),AND(R229&lt;&gt;"",OR(NOT(ISNUMBER(R229)),R229&lt;0,R229&gt;1))),"Commissione non valida",IF(J229="Annullato","OK",IF(OR(NOT(ISNUMBER(Z229)),Z229&lt;0,AND(O229&lt;&gt;"",NOT(ISNUMBER(O229)))),"Inserisci rischio",IF(AND(I229="Esecuzioni",OR(W229=0,COUNTIFS('Esecuzioni'!$A$8:$A$1007,A229,'Esecuzioni'!$Q$8:$Q$1007,"&lt;&gt;OK")&gt;0)),"Correggi esecuzioni",IF(J229="Aperto","OK",IF(AND(I229="Esecuzioni",S229="Coperto",ABS(X229-Y229)&gt;'Impostazioni'!$B$11),"Copertura residua",IF(NOT(ISNUMBER(AC229)),"Completa risultato / esito",IF(AND(Z229=0,AC229&lt;&gt;0),"Rischio nullo con P/L","OK")))))))))))))</x:f>
      </x:c>
      <x:c r="AR229" s="20" t="str">
        <x:f>IF(OR(A229="",J229&lt;&gt;"Aperto",AQ229&lt;&gt;"OK"),"",IF(I229="Esecuzioni",SUMIFS('Esecuzioni'!$P$8:$P$1007,'Esecuzioni'!$A$8:$A$1007,A229,'Esecuzioni'!$B$8:$B$1007,_xlfn.MAXIFS('Esecuzioni'!$B$8:$B$1007,'Esecuzioni'!$A$8:$A$1007,A229)),IF(LEFT(U229,8)="FREEBET:",0,Z229)))</x:f>
      </x:c>
      <x:c r="AS229" s="48" t="str">
        <x:f>IF(OR(A229="",E229=""),"",IF(COUNTIFS($E$8:E229,E229)=1,COUNT($AS$7:AS228)+1,""))</x:f>
      </x:c>
    </x:row>
    <x:row r="230" ht="22" customHeight="1">
      <x:c r="A230" s="7"/>
      <x:c r="B230" s="19"/>
      <x:c r="C230" s="19"/>
      <x:c r="D230" s="7"/>
      <x:c r="E230" s="7"/>
      <x:c r="F230" s="7"/>
      <x:c r="G230" s="7"/>
      <x:c r="H230" s="7"/>
      <x:c r="I230" s="7"/>
      <x:c r="J230" s="7"/>
      <x:c r="K230" s="10"/>
      <x:c r="L230" s="7"/>
      <x:c r="M230" s="10"/>
      <x:c r="N230" s="7"/>
      <x:c r="O230" s="8"/>
      <x:c r="P230" s="8"/>
      <x:c r="Q230" s="8"/>
      <x:c r="R230" s="9"/>
      <x:c r="S230" s="7"/>
      <x:c r="T230" s="7"/>
      <x:c r="U230" s="7"/>
      <x:c r="V230" s="7"/>
      <x:c r="W230" s="22" t="str">
        <x:f>IF(A230="","",COUNTIFS('Esecuzioni'!$A$8:$A$1007,A230,'Esecuzioni'!$Q$8:$Q$1007,"OK"))</x:f>
      </x:c>
      <x:c r="X230" s="20" t="str">
        <x:f>IF(OR(A230="",I230&lt;&gt;"Esecuzioni",W230=0),"",SUMIFS('Esecuzioni'!$L$8:$L$1007,'Esecuzioni'!$A$8:$A$1007,A230))</x:f>
      </x:c>
      <x:c r="Y230" s="20" t="str">
        <x:f>IF(OR(A230="",I230&lt;&gt;"Esecuzioni",W230=0),"",SUMIFS('Esecuzioni'!$M$8:$M$1007,'Esecuzioni'!$A$8:$A$1007,A230))</x:f>
      </x:c>
      <x:c r="Z230" s="20" t="str">
        <x:f>IF(A230="","",IF(J230="Annullato",0,IF(ISNUMBER(O230),O230,IF(AND(I230="Esecuzioni",W230&gt;0),_xlfn.MAXIFS('Esecuzioni'!$P$8:$P$1007,'Esecuzioni'!$A$8:$A$1007,A230),""))))</x:f>
      </x:c>
      <x:c r="AA230" s="20" t="str">
        <x:f>IF(OR(A230="",J230="Aperto"),"",IF(J230="Annullato",0,IF(I230="Lordo manuale",IF(ISNUMBER(P230),P230,""),IF(I230="Netto manuale",IF(AND(ISNUMBER(P230),ISNUMBER(Q230)),P230+Q230,""),IF(OR(W230=0,COUNTIFS('Esecuzioni'!$A$8:$A$1007,A230,'Esecuzioni'!$Q$8:$Q$1007,"&lt;&gt;OK")&gt;0),"",IF(S230="Vince",X230,IF(S230="Perde",Y230,IF(AND(S230="Coperto",ABS(X230-Y230)&lt;='Impostazioni'!$B$11),ROUND((X230+Y230)/2,2),""))))))))</x:f>
      </x:c>
      <x:c r="AB230" s="20" t="str">
        <x:f>IF(NOT(ISNUMBER(AA230)),"",IF(J230="Annullato",0,IF(ISNUMBER(Q230),Q230,ROUND(MAX(0,AA230)*IF(ISNUMBER(R230),R230,'Impostazioni'!$B$8),2))))</x:f>
      </x:c>
      <x:c r="AC230" s="20" t="str">
        <x:f>IF(AND(ISNUMBER(AA230),ISNUMBER(AB230)),ROUND(AA230-AB230,2),"")</x:f>
      </x:c>
      <x:c r="AD230" s="18" t="str">
        <x:f>IF(A230="","",IF(AQ230&lt;&gt;"OK","Incompleto",IF(J230="Aperto","Aperto",IF(J230="Annullato","Annullato",IF(AC230&gt;0,"Green",IF(AC230&lt;0,"Red","Flat"))))))</x:f>
      </x:c>
      <x:c r="AE230" s="21" t="str">
        <x:f>IF(AND(AH230=1,Z230&gt;0),AC230/Z230,"")</x:f>
      </x:c>
      <x:c r="AF230" s="22" t="str">
        <x:f>IF(AH230&lt;&gt;1,"",COUNTIFS($C$8:$C$507,"&lt;"&amp;C230,$AH$8:$AH$507,1)+COUNTIFS($C$8:$C$507,C230,$A$8:$A$507,"&lt;="&amp;A230,$AH$8:$AH$507,1))</x:f>
      </x:c>
      <x:c r="AG230" s="20" t="str">
        <x:f>IF(AH230&lt;&gt;1,"",SUMIFS($AC$8:$AC$507,$C$8:$C$507,"&lt;"&amp;C230,$AH$8:$AH$507,1)+SUMIFS($AC$8:$AC$507,$C$8:$C$507,C230,$A$8:$A$507,"&lt;="&amp;A230,$AH$8:$AH$507,1))</x:f>
      </x:c>
      <x:c r="AH230" s="22" t="str">
        <x:f>IF(A230="","",IF(AND(J230="Chiuso",AQ230="OK",ISNUMBER(AC230)),1,0))</x:f>
      </x:c>
      <x:c r="AI230" s="20" t="str">
        <x:f>IF(AH230&lt;&gt;1,"",MAX(0,_xlfn.MAXIFS($AG$8:$AG$507,$AF$8:$AF$507,"&lt;="&amp;AF230,$AH$8:$AH$507,1)))</x:f>
      </x:c>
      <x:c r="AJ230" s="20" t="str">
        <x:f>IF(AH230&lt;&gt;1,"",MAX(0,AI230-AG230))</x:f>
      </x:c>
      <x:c r="AK230" s="21" t="str">
        <x:f>IF(OR(AH230&lt;&gt;1,NOT(ISNUMBER('Impostazioni'!$B$6)),'Impostazioni'!$B$6+AI230&lt;=0),"",AJ230/('Impostazioni'!$B$6+AI230))</x:f>
      </x:c>
      <x:c r="AL230" s="22" t="str">
        <x:f>IF(AH230&lt;&gt;1,"",IF(AC230&gt;0,AF230-_xlfn.MAXIFS($AF$8:$AF$507,$AF$8:$AF$507,"&lt;="&amp;AF230,$AC$8:$AC$507,"&lt;=0",$AH$8:$AH$507,1),0))</x:f>
      </x:c>
      <x:c r="AM230" s="22" t="str">
        <x:f>IF(AH230&lt;&gt;1,"",IF(AC230&lt;0,AF230-_xlfn.MAXIFS($AF$8:$AF$507,$AF$8:$AF$507,"&lt;="&amp;AF230,$AC$8:$AC$507,"&gt;=0",$AH$8:$AH$507,1),0))</x:f>
      </x:c>
      <x:c r="AN230" s="20" t="str">
        <x:f>IF(OR(A230="",NOT(ISNUMBER(B230)),NOT(ISNUMBER('Impostazioni'!$B$6))),"",'Impostazioni'!$B$6+SUMIFS($AC$8:$AC$507,$C$8:$C$507,"&lt;"&amp;B230,$AH$8:$AH$507,1)+SUMIFS('Cassa'!$F$8:$F$307,'Cassa'!$A$8:$A$307,"&lt;="&amp;B230,'Cassa'!$G$8:$G$307,"OK"))</x:f>
      </x:c>
      <x:c r="AO230" s="21" t="str">
        <x:f>IF(AND(ISNUMBER(Z230),ISNUMBER(AN230),AN230&gt;0),Z230/AN230,"")</x:f>
      </x:c>
      <x:c r="AP230" s="18" t="str">
        <x:f>IF(NOT(ISNUMBER(AO230)),"",IF(AO230&gt;'Impostazioni'!$B$7,"Oltre soglia personale","Nella soglia personale"))</x:f>
      </x:c>
      <x:c r="AQ230" s="18" t="str">
        <x:f>IF(A230="",IF(COUNTA(B230:V230)=0,"","Inserisci ID"),IF(COUNTIFS($A$8:$A$507,A230)&lt;&gt;1,"ID duplicato",IF(OR(NOT(ISNUMBER(B230)),D230="",E230="",F230="",G230="",H230="",COUNTIFS('Impostazioni'!$J$6:$J$25,F230)&lt;&gt;1),"Completa dati / elenchi",IF(OR(AND(I230&lt;&gt;"Lordo manuale",I230&lt;&gt;"Netto manuale",I230&lt;&gt;"Esecuzioni"),AND(J230&lt;&gt;"Aperto",J230&lt;&gt;"Chiuso",J230&lt;&gt;"Annullato")),"Modalità / stato mancanti",IF(AND(J230&lt;&gt;"Aperto",OR(NOT(ISNUMBER(C230)),C230&lt;B230)),"Correggi data chiusura",IF(OR(AND(Q230&lt;&gt;"",OR(NOT(ISNUMBER(Q230)),Q230&lt;0)),AND(R230&lt;&gt;"",OR(NOT(ISNUMBER(R230)),R230&lt;0,R230&gt;1))),"Commissione non valida",IF(J230="Annullato","OK",IF(OR(NOT(ISNUMBER(Z230)),Z230&lt;0,AND(O230&lt;&gt;"",NOT(ISNUMBER(O230)))),"Inserisci rischio",IF(AND(I230="Esecuzioni",OR(W230=0,COUNTIFS('Esecuzioni'!$A$8:$A$1007,A230,'Esecuzioni'!$Q$8:$Q$1007,"&lt;&gt;OK")&gt;0)),"Correggi esecuzioni",IF(J230="Aperto","OK",IF(AND(I230="Esecuzioni",S230="Coperto",ABS(X230-Y230)&gt;'Impostazioni'!$B$11),"Copertura residua",IF(NOT(ISNUMBER(AC230)),"Completa risultato / esito",IF(AND(Z230=0,AC230&lt;&gt;0),"Rischio nullo con P/L","OK")))))))))))))</x:f>
      </x:c>
      <x:c r="AR230" s="20" t="str">
        <x:f>IF(OR(A230="",J230&lt;&gt;"Aperto",AQ230&lt;&gt;"OK"),"",IF(I230="Esecuzioni",SUMIFS('Esecuzioni'!$P$8:$P$1007,'Esecuzioni'!$A$8:$A$1007,A230,'Esecuzioni'!$B$8:$B$1007,_xlfn.MAXIFS('Esecuzioni'!$B$8:$B$1007,'Esecuzioni'!$A$8:$A$1007,A230)),IF(LEFT(U230,8)="FREEBET:",0,Z230)))</x:f>
      </x:c>
      <x:c r="AS230" s="48" t="str">
        <x:f>IF(OR(A230="",E230=""),"",IF(COUNTIFS($E$8:E230,E230)=1,COUNT($AS$7:AS229)+1,""))</x:f>
      </x:c>
    </x:row>
    <x:row r="231" ht="22" customHeight="1">
      <x:c r="A231" s="7"/>
      <x:c r="B231" s="19"/>
      <x:c r="C231" s="19"/>
      <x:c r="D231" s="7"/>
      <x:c r="E231" s="7"/>
      <x:c r="F231" s="7"/>
      <x:c r="G231" s="7"/>
      <x:c r="H231" s="7"/>
      <x:c r="I231" s="7"/>
      <x:c r="J231" s="7"/>
      <x:c r="K231" s="10"/>
      <x:c r="L231" s="7"/>
      <x:c r="M231" s="10"/>
      <x:c r="N231" s="7"/>
      <x:c r="O231" s="8"/>
      <x:c r="P231" s="8"/>
      <x:c r="Q231" s="8"/>
      <x:c r="R231" s="9"/>
      <x:c r="S231" s="7"/>
      <x:c r="T231" s="7"/>
      <x:c r="U231" s="7"/>
      <x:c r="V231" s="7"/>
      <x:c r="W231" s="22" t="str">
        <x:f>IF(A231="","",COUNTIFS('Esecuzioni'!$A$8:$A$1007,A231,'Esecuzioni'!$Q$8:$Q$1007,"OK"))</x:f>
      </x:c>
      <x:c r="X231" s="20" t="str">
        <x:f>IF(OR(A231="",I231&lt;&gt;"Esecuzioni",W231=0),"",SUMIFS('Esecuzioni'!$L$8:$L$1007,'Esecuzioni'!$A$8:$A$1007,A231))</x:f>
      </x:c>
      <x:c r="Y231" s="20" t="str">
        <x:f>IF(OR(A231="",I231&lt;&gt;"Esecuzioni",W231=0),"",SUMIFS('Esecuzioni'!$M$8:$M$1007,'Esecuzioni'!$A$8:$A$1007,A231))</x:f>
      </x:c>
      <x:c r="Z231" s="20" t="str">
        <x:f>IF(A231="","",IF(J231="Annullato",0,IF(ISNUMBER(O231),O231,IF(AND(I231="Esecuzioni",W231&gt;0),_xlfn.MAXIFS('Esecuzioni'!$P$8:$P$1007,'Esecuzioni'!$A$8:$A$1007,A231),""))))</x:f>
      </x:c>
      <x:c r="AA231" s="20" t="str">
        <x:f>IF(OR(A231="",J231="Aperto"),"",IF(J231="Annullato",0,IF(I231="Lordo manuale",IF(ISNUMBER(P231),P231,""),IF(I231="Netto manuale",IF(AND(ISNUMBER(P231),ISNUMBER(Q231)),P231+Q231,""),IF(OR(W231=0,COUNTIFS('Esecuzioni'!$A$8:$A$1007,A231,'Esecuzioni'!$Q$8:$Q$1007,"&lt;&gt;OK")&gt;0),"",IF(S231="Vince",X231,IF(S231="Perde",Y231,IF(AND(S231="Coperto",ABS(X231-Y231)&lt;='Impostazioni'!$B$11),ROUND((X231+Y231)/2,2),""))))))))</x:f>
      </x:c>
      <x:c r="AB231" s="20" t="str">
        <x:f>IF(NOT(ISNUMBER(AA231)),"",IF(J231="Annullato",0,IF(ISNUMBER(Q231),Q231,ROUND(MAX(0,AA231)*IF(ISNUMBER(R231),R231,'Impostazioni'!$B$8),2))))</x:f>
      </x:c>
      <x:c r="AC231" s="20" t="str">
        <x:f>IF(AND(ISNUMBER(AA231),ISNUMBER(AB231)),ROUND(AA231-AB231,2),"")</x:f>
      </x:c>
      <x:c r="AD231" s="18" t="str">
        <x:f>IF(A231="","",IF(AQ231&lt;&gt;"OK","Incompleto",IF(J231="Aperto","Aperto",IF(J231="Annullato","Annullato",IF(AC231&gt;0,"Green",IF(AC231&lt;0,"Red","Flat"))))))</x:f>
      </x:c>
      <x:c r="AE231" s="21" t="str">
        <x:f>IF(AND(AH231=1,Z231&gt;0),AC231/Z231,"")</x:f>
      </x:c>
      <x:c r="AF231" s="22" t="str">
        <x:f>IF(AH231&lt;&gt;1,"",COUNTIFS($C$8:$C$507,"&lt;"&amp;C231,$AH$8:$AH$507,1)+COUNTIFS($C$8:$C$507,C231,$A$8:$A$507,"&lt;="&amp;A231,$AH$8:$AH$507,1))</x:f>
      </x:c>
      <x:c r="AG231" s="20" t="str">
        <x:f>IF(AH231&lt;&gt;1,"",SUMIFS($AC$8:$AC$507,$C$8:$C$507,"&lt;"&amp;C231,$AH$8:$AH$507,1)+SUMIFS($AC$8:$AC$507,$C$8:$C$507,C231,$A$8:$A$507,"&lt;="&amp;A231,$AH$8:$AH$507,1))</x:f>
      </x:c>
      <x:c r="AH231" s="22" t="str">
        <x:f>IF(A231="","",IF(AND(J231="Chiuso",AQ231="OK",ISNUMBER(AC231)),1,0))</x:f>
      </x:c>
      <x:c r="AI231" s="20" t="str">
        <x:f>IF(AH231&lt;&gt;1,"",MAX(0,_xlfn.MAXIFS($AG$8:$AG$507,$AF$8:$AF$507,"&lt;="&amp;AF231,$AH$8:$AH$507,1)))</x:f>
      </x:c>
      <x:c r="AJ231" s="20" t="str">
        <x:f>IF(AH231&lt;&gt;1,"",MAX(0,AI231-AG231))</x:f>
      </x:c>
      <x:c r="AK231" s="21" t="str">
        <x:f>IF(OR(AH231&lt;&gt;1,NOT(ISNUMBER('Impostazioni'!$B$6)),'Impostazioni'!$B$6+AI231&lt;=0),"",AJ231/('Impostazioni'!$B$6+AI231))</x:f>
      </x:c>
      <x:c r="AL231" s="22" t="str">
        <x:f>IF(AH231&lt;&gt;1,"",IF(AC231&gt;0,AF231-_xlfn.MAXIFS($AF$8:$AF$507,$AF$8:$AF$507,"&lt;="&amp;AF231,$AC$8:$AC$507,"&lt;=0",$AH$8:$AH$507,1),0))</x:f>
      </x:c>
      <x:c r="AM231" s="22" t="str">
        <x:f>IF(AH231&lt;&gt;1,"",IF(AC231&lt;0,AF231-_xlfn.MAXIFS($AF$8:$AF$507,$AF$8:$AF$507,"&lt;="&amp;AF231,$AC$8:$AC$507,"&gt;=0",$AH$8:$AH$507,1),0))</x:f>
      </x:c>
      <x:c r="AN231" s="20" t="str">
        <x:f>IF(OR(A231="",NOT(ISNUMBER(B231)),NOT(ISNUMBER('Impostazioni'!$B$6))),"",'Impostazioni'!$B$6+SUMIFS($AC$8:$AC$507,$C$8:$C$507,"&lt;"&amp;B231,$AH$8:$AH$507,1)+SUMIFS('Cassa'!$F$8:$F$307,'Cassa'!$A$8:$A$307,"&lt;="&amp;B231,'Cassa'!$G$8:$G$307,"OK"))</x:f>
      </x:c>
      <x:c r="AO231" s="21" t="str">
        <x:f>IF(AND(ISNUMBER(Z231),ISNUMBER(AN231),AN231&gt;0),Z231/AN231,"")</x:f>
      </x:c>
      <x:c r="AP231" s="18" t="str">
        <x:f>IF(NOT(ISNUMBER(AO231)),"",IF(AO231&gt;'Impostazioni'!$B$7,"Oltre soglia personale","Nella soglia personale"))</x:f>
      </x:c>
      <x:c r="AQ231" s="18" t="str">
        <x:f>IF(A231="",IF(COUNTA(B231:V231)=0,"","Inserisci ID"),IF(COUNTIFS($A$8:$A$507,A231)&lt;&gt;1,"ID duplicato",IF(OR(NOT(ISNUMBER(B231)),D231="",E231="",F231="",G231="",H231="",COUNTIFS('Impostazioni'!$J$6:$J$25,F231)&lt;&gt;1),"Completa dati / elenchi",IF(OR(AND(I231&lt;&gt;"Lordo manuale",I231&lt;&gt;"Netto manuale",I231&lt;&gt;"Esecuzioni"),AND(J231&lt;&gt;"Aperto",J231&lt;&gt;"Chiuso",J231&lt;&gt;"Annullato")),"Modalità / stato mancanti",IF(AND(J231&lt;&gt;"Aperto",OR(NOT(ISNUMBER(C231)),C231&lt;B231)),"Correggi data chiusura",IF(OR(AND(Q231&lt;&gt;"",OR(NOT(ISNUMBER(Q231)),Q231&lt;0)),AND(R231&lt;&gt;"",OR(NOT(ISNUMBER(R231)),R231&lt;0,R231&gt;1))),"Commissione non valida",IF(J231="Annullato","OK",IF(OR(NOT(ISNUMBER(Z231)),Z231&lt;0,AND(O231&lt;&gt;"",NOT(ISNUMBER(O231)))),"Inserisci rischio",IF(AND(I231="Esecuzioni",OR(W231=0,COUNTIFS('Esecuzioni'!$A$8:$A$1007,A231,'Esecuzioni'!$Q$8:$Q$1007,"&lt;&gt;OK")&gt;0)),"Correggi esecuzioni",IF(J231="Aperto","OK",IF(AND(I231="Esecuzioni",S231="Coperto",ABS(X231-Y231)&gt;'Impostazioni'!$B$11),"Copertura residua",IF(NOT(ISNUMBER(AC231)),"Completa risultato / esito",IF(AND(Z231=0,AC231&lt;&gt;0),"Rischio nullo con P/L","OK")))))))))))))</x:f>
      </x:c>
      <x:c r="AR231" s="20" t="str">
        <x:f>IF(OR(A231="",J231&lt;&gt;"Aperto",AQ231&lt;&gt;"OK"),"",IF(I231="Esecuzioni",SUMIFS('Esecuzioni'!$P$8:$P$1007,'Esecuzioni'!$A$8:$A$1007,A231,'Esecuzioni'!$B$8:$B$1007,_xlfn.MAXIFS('Esecuzioni'!$B$8:$B$1007,'Esecuzioni'!$A$8:$A$1007,A231)),IF(LEFT(U231,8)="FREEBET:",0,Z231)))</x:f>
      </x:c>
      <x:c r="AS231" s="48" t="str">
        <x:f>IF(OR(A231="",E231=""),"",IF(COUNTIFS($E$8:E231,E231)=1,COUNT($AS$7:AS230)+1,""))</x:f>
      </x:c>
    </x:row>
    <x:row r="232" ht="22" customHeight="1">
      <x:c r="A232" s="7"/>
      <x:c r="B232" s="19"/>
      <x:c r="C232" s="19"/>
      <x:c r="D232" s="7"/>
      <x:c r="E232" s="7"/>
      <x:c r="F232" s="7"/>
      <x:c r="G232" s="7"/>
      <x:c r="H232" s="7"/>
      <x:c r="I232" s="7"/>
      <x:c r="J232" s="7"/>
      <x:c r="K232" s="10"/>
      <x:c r="L232" s="7"/>
      <x:c r="M232" s="10"/>
      <x:c r="N232" s="7"/>
      <x:c r="O232" s="8"/>
      <x:c r="P232" s="8"/>
      <x:c r="Q232" s="8"/>
      <x:c r="R232" s="9"/>
      <x:c r="S232" s="7"/>
      <x:c r="T232" s="7"/>
      <x:c r="U232" s="7"/>
      <x:c r="V232" s="7"/>
      <x:c r="W232" s="22" t="str">
        <x:f>IF(A232="","",COUNTIFS('Esecuzioni'!$A$8:$A$1007,A232,'Esecuzioni'!$Q$8:$Q$1007,"OK"))</x:f>
      </x:c>
      <x:c r="X232" s="20" t="str">
        <x:f>IF(OR(A232="",I232&lt;&gt;"Esecuzioni",W232=0),"",SUMIFS('Esecuzioni'!$L$8:$L$1007,'Esecuzioni'!$A$8:$A$1007,A232))</x:f>
      </x:c>
      <x:c r="Y232" s="20" t="str">
        <x:f>IF(OR(A232="",I232&lt;&gt;"Esecuzioni",W232=0),"",SUMIFS('Esecuzioni'!$M$8:$M$1007,'Esecuzioni'!$A$8:$A$1007,A232))</x:f>
      </x:c>
      <x:c r="Z232" s="20" t="str">
        <x:f>IF(A232="","",IF(J232="Annullato",0,IF(ISNUMBER(O232),O232,IF(AND(I232="Esecuzioni",W232&gt;0),_xlfn.MAXIFS('Esecuzioni'!$P$8:$P$1007,'Esecuzioni'!$A$8:$A$1007,A232),""))))</x:f>
      </x:c>
      <x:c r="AA232" s="20" t="str">
        <x:f>IF(OR(A232="",J232="Aperto"),"",IF(J232="Annullato",0,IF(I232="Lordo manuale",IF(ISNUMBER(P232),P232,""),IF(I232="Netto manuale",IF(AND(ISNUMBER(P232),ISNUMBER(Q232)),P232+Q232,""),IF(OR(W232=0,COUNTIFS('Esecuzioni'!$A$8:$A$1007,A232,'Esecuzioni'!$Q$8:$Q$1007,"&lt;&gt;OK")&gt;0),"",IF(S232="Vince",X232,IF(S232="Perde",Y232,IF(AND(S232="Coperto",ABS(X232-Y232)&lt;='Impostazioni'!$B$11),ROUND((X232+Y232)/2,2),""))))))))</x:f>
      </x:c>
      <x:c r="AB232" s="20" t="str">
        <x:f>IF(NOT(ISNUMBER(AA232)),"",IF(J232="Annullato",0,IF(ISNUMBER(Q232),Q232,ROUND(MAX(0,AA232)*IF(ISNUMBER(R232),R232,'Impostazioni'!$B$8),2))))</x:f>
      </x:c>
      <x:c r="AC232" s="20" t="str">
        <x:f>IF(AND(ISNUMBER(AA232),ISNUMBER(AB232)),ROUND(AA232-AB232,2),"")</x:f>
      </x:c>
      <x:c r="AD232" s="18" t="str">
        <x:f>IF(A232="","",IF(AQ232&lt;&gt;"OK","Incompleto",IF(J232="Aperto","Aperto",IF(J232="Annullato","Annullato",IF(AC232&gt;0,"Green",IF(AC232&lt;0,"Red","Flat"))))))</x:f>
      </x:c>
      <x:c r="AE232" s="21" t="str">
        <x:f>IF(AND(AH232=1,Z232&gt;0),AC232/Z232,"")</x:f>
      </x:c>
      <x:c r="AF232" s="22" t="str">
        <x:f>IF(AH232&lt;&gt;1,"",COUNTIFS($C$8:$C$507,"&lt;"&amp;C232,$AH$8:$AH$507,1)+COUNTIFS($C$8:$C$507,C232,$A$8:$A$507,"&lt;="&amp;A232,$AH$8:$AH$507,1))</x:f>
      </x:c>
      <x:c r="AG232" s="20" t="str">
        <x:f>IF(AH232&lt;&gt;1,"",SUMIFS($AC$8:$AC$507,$C$8:$C$507,"&lt;"&amp;C232,$AH$8:$AH$507,1)+SUMIFS($AC$8:$AC$507,$C$8:$C$507,C232,$A$8:$A$507,"&lt;="&amp;A232,$AH$8:$AH$507,1))</x:f>
      </x:c>
      <x:c r="AH232" s="22" t="str">
        <x:f>IF(A232="","",IF(AND(J232="Chiuso",AQ232="OK",ISNUMBER(AC232)),1,0))</x:f>
      </x:c>
      <x:c r="AI232" s="20" t="str">
        <x:f>IF(AH232&lt;&gt;1,"",MAX(0,_xlfn.MAXIFS($AG$8:$AG$507,$AF$8:$AF$507,"&lt;="&amp;AF232,$AH$8:$AH$507,1)))</x:f>
      </x:c>
      <x:c r="AJ232" s="20" t="str">
        <x:f>IF(AH232&lt;&gt;1,"",MAX(0,AI232-AG232))</x:f>
      </x:c>
      <x:c r="AK232" s="21" t="str">
        <x:f>IF(OR(AH232&lt;&gt;1,NOT(ISNUMBER('Impostazioni'!$B$6)),'Impostazioni'!$B$6+AI232&lt;=0),"",AJ232/('Impostazioni'!$B$6+AI232))</x:f>
      </x:c>
      <x:c r="AL232" s="22" t="str">
        <x:f>IF(AH232&lt;&gt;1,"",IF(AC232&gt;0,AF232-_xlfn.MAXIFS($AF$8:$AF$507,$AF$8:$AF$507,"&lt;="&amp;AF232,$AC$8:$AC$507,"&lt;=0",$AH$8:$AH$507,1),0))</x:f>
      </x:c>
      <x:c r="AM232" s="22" t="str">
        <x:f>IF(AH232&lt;&gt;1,"",IF(AC232&lt;0,AF232-_xlfn.MAXIFS($AF$8:$AF$507,$AF$8:$AF$507,"&lt;="&amp;AF232,$AC$8:$AC$507,"&gt;=0",$AH$8:$AH$507,1),0))</x:f>
      </x:c>
      <x:c r="AN232" s="20" t="str">
        <x:f>IF(OR(A232="",NOT(ISNUMBER(B232)),NOT(ISNUMBER('Impostazioni'!$B$6))),"",'Impostazioni'!$B$6+SUMIFS($AC$8:$AC$507,$C$8:$C$507,"&lt;"&amp;B232,$AH$8:$AH$507,1)+SUMIFS('Cassa'!$F$8:$F$307,'Cassa'!$A$8:$A$307,"&lt;="&amp;B232,'Cassa'!$G$8:$G$307,"OK"))</x:f>
      </x:c>
      <x:c r="AO232" s="21" t="str">
        <x:f>IF(AND(ISNUMBER(Z232),ISNUMBER(AN232),AN232&gt;0),Z232/AN232,"")</x:f>
      </x:c>
      <x:c r="AP232" s="18" t="str">
        <x:f>IF(NOT(ISNUMBER(AO232)),"",IF(AO232&gt;'Impostazioni'!$B$7,"Oltre soglia personale","Nella soglia personale"))</x:f>
      </x:c>
      <x:c r="AQ232" s="18" t="str">
        <x:f>IF(A232="",IF(COUNTA(B232:V232)=0,"","Inserisci ID"),IF(COUNTIFS($A$8:$A$507,A232)&lt;&gt;1,"ID duplicato",IF(OR(NOT(ISNUMBER(B232)),D232="",E232="",F232="",G232="",H232="",COUNTIFS('Impostazioni'!$J$6:$J$25,F232)&lt;&gt;1),"Completa dati / elenchi",IF(OR(AND(I232&lt;&gt;"Lordo manuale",I232&lt;&gt;"Netto manuale",I232&lt;&gt;"Esecuzioni"),AND(J232&lt;&gt;"Aperto",J232&lt;&gt;"Chiuso",J232&lt;&gt;"Annullato")),"Modalità / stato mancanti",IF(AND(J232&lt;&gt;"Aperto",OR(NOT(ISNUMBER(C232)),C232&lt;B232)),"Correggi data chiusura",IF(OR(AND(Q232&lt;&gt;"",OR(NOT(ISNUMBER(Q232)),Q232&lt;0)),AND(R232&lt;&gt;"",OR(NOT(ISNUMBER(R232)),R232&lt;0,R232&gt;1))),"Commissione non valida",IF(J232="Annullato","OK",IF(OR(NOT(ISNUMBER(Z232)),Z232&lt;0,AND(O232&lt;&gt;"",NOT(ISNUMBER(O232)))),"Inserisci rischio",IF(AND(I232="Esecuzioni",OR(W232=0,COUNTIFS('Esecuzioni'!$A$8:$A$1007,A232,'Esecuzioni'!$Q$8:$Q$1007,"&lt;&gt;OK")&gt;0)),"Correggi esecuzioni",IF(J232="Aperto","OK",IF(AND(I232="Esecuzioni",S232="Coperto",ABS(X232-Y232)&gt;'Impostazioni'!$B$11),"Copertura residua",IF(NOT(ISNUMBER(AC232)),"Completa risultato / esito",IF(AND(Z232=0,AC232&lt;&gt;0),"Rischio nullo con P/L","OK")))))))))))))</x:f>
      </x:c>
      <x:c r="AR232" s="20" t="str">
        <x:f>IF(OR(A232="",J232&lt;&gt;"Aperto",AQ232&lt;&gt;"OK"),"",IF(I232="Esecuzioni",SUMIFS('Esecuzioni'!$P$8:$P$1007,'Esecuzioni'!$A$8:$A$1007,A232,'Esecuzioni'!$B$8:$B$1007,_xlfn.MAXIFS('Esecuzioni'!$B$8:$B$1007,'Esecuzioni'!$A$8:$A$1007,A232)),IF(LEFT(U232,8)="FREEBET:",0,Z232)))</x:f>
      </x:c>
      <x:c r="AS232" s="48" t="str">
        <x:f>IF(OR(A232="",E232=""),"",IF(COUNTIFS($E$8:E232,E232)=1,COUNT($AS$7:AS231)+1,""))</x:f>
      </x:c>
    </x:row>
    <x:row r="233" ht="22" customHeight="1">
      <x:c r="A233" s="7"/>
      <x:c r="B233" s="19"/>
      <x:c r="C233" s="19"/>
      <x:c r="D233" s="7"/>
      <x:c r="E233" s="7"/>
      <x:c r="F233" s="7"/>
      <x:c r="G233" s="7"/>
      <x:c r="H233" s="7"/>
      <x:c r="I233" s="7"/>
      <x:c r="J233" s="7"/>
      <x:c r="K233" s="10"/>
      <x:c r="L233" s="7"/>
      <x:c r="M233" s="10"/>
      <x:c r="N233" s="7"/>
      <x:c r="O233" s="8"/>
      <x:c r="P233" s="8"/>
      <x:c r="Q233" s="8"/>
      <x:c r="R233" s="9"/>
      <x:c r="S233" s="7"/>
      <x:c r="T233" s="7"/>
      <x:c r="U233" s="7"/>
      <x:c r="V233" s="7"/>
      <x:c r="W233" s="22" t="str">
        <x:f>IF(A233="","",COUNTIFS('Esecuzioni'!$A$8:$A$1007,A233,'Esecuzioni'!$Q$8:$Q$1007,"OK"))</x:f>
      </x:c>
      <x:c r="X233" s="20" t="str">
        <x:f>IF(OR(A233="",I233&lt;&gt;"Esecuzioni",W233=0),"",SUMIFS('Esecuzioni'!$L$8:$L$1007,'Esecuzioni'!$A$8:$A$1007,A233))</x:f>
      </x:c>
      <x:c r="Y233" s="20" t="str">
        <x:f>IF(OR(A233="",I233&lt;&gt;"Esecuzioni",W233=0),"",SUMIFS('Esecuzioni'!$M$8:$M$1007,'Esecuzioni'!$A$8:$A$1007,A233))</x:f>
      </x:c>
      <x:c r="Z233" s="20" t="str">
        <x:f>IF(A233="","",IF(J233="Annullato",0,IF(ISNUMBER(O233),O233,IF(AND(I233="Esecuzioni",W233&gt;0),_xlfn.MAXIFS('Esecuzioni'!$P$8:$P$1007,'Esecuzioni'!$A$8:$A$1007,A233),""))))</x:f>
      </x:c>
      <x:c r="AA233" s="20" t="str">
        <x:f>IF(OR(A233="",J233="Aperto"),"",IF(J233="Annullato",0,IF(I233="Lordo manuale",IF(ISNUMBER(P233),P233,""),IF(I233="Netto manuale",IF(AND(ISNUMBER(P233),ISNUMBER(Q233)),P233+Q233,""),IF(OR(W233=0,COUNTIFS('Esecuzioni'!$A$8:$A$1007,A233,'Esecuzioni'!$Q$8:$Q$1007,"&lt;&gt;OK")&gt;0),"",IF(S233="Vince",X233,IF(S233="Perde",Y233,IF(AND(S233="Coperto",ABS(X233-Y233)&lt;='Impostazioni'!$B$11),ROUND((X233+Y233)/2,2),""))))))))</x:f>
      </x:c>
      <x:c r="AB233" s="20" t="str">
        <x:f>IF(NOT(ISNUMBER(AA233)),"",IF(J233="Annullato",0,IF(ISNUMBER(Q233),Q233,ROUND(MAX(0,AA233)*IF(ISNUMBER(R233),R233,'Impostazioni'!$B$8),2))))</x:f>
      </x:c>
      <x:c r="AC233" s="20" t="str">
        <x:f>IF(AND(ISNUMBER(AA233),ISNUMBER(AB233)),ROUND(AA233-AB233,2),"")</x:f>
      </x:c>
      <x:c r="AD233" s="18" t="str">
        <x:f>IF(A233="","",IF(AQ233&lt;&gt;"OK","Incompleto",IF(J233="Aperto","Aperto",IF(J233="Annullato","Annullato",IF(AC233&gt;0,"Green",IF(AC233&lt;0,"Red","Flat"))))))</x:f>
      </x:c>
      <x:c r="AE233" s="21" t="str">
        <x:f>IF(AND(AH233=1,Z233&gt;0),AC233/Z233,"")</x:f>
      </x:c>
      <x:c r="AF233" s="22" t="str">
        <x:f>IF(AH233&lt;&gt;1,"",COUNTIFS($C$8:$C$507,"&lt;"&amp;C233,$AH$8:$AH$507,1)+COUNTIFS($C$8:$C$507,C233,$A$8:$A$507,"&lt;="&amp;A233,$AH$8:$AH$507,1))</x:f>
      </x:c>
      <x:c r="AG233" s="20" t="str">
        <x:f>IF(AH233&lt;&gt;1,"",SUMIFS($AC$8:$AC$507,$C$8:$C$507,"&lt;"&amp;C233,$AH$8:$AH$507,1)+SUMIFS($AC$8:$AC$507,$C$8:$C$507,C233,$A$8:$A$507,"&lt;="&amp;A233,$AH$8:$AH$507,1))</x:f>
      </x:c>
      <x:c r="AH233" s="22" t="str">
        <x:f>IF(A233="","",IF(AND(J233="Chiuso",AQ233="OK",ISNUMBER(AC233)),1,0))</x:f>
      </x:c>
      <x:c r="AI233" s="20" t="str">
        <x:f>IF(AH233&lt;&gt;1,"",MAX(0,_xlfn.MAXIFS($AG$8:$AG$507,$AF$8:$AF$507,"&lt;="&amp;AF233,$AH$8:$AH$507,1)))</x:f>
      </x:c>
      <x:c r="AJ233" s="20" t="str">
        <x:f>IF(AH233&lt;&gt;1,"",MAX(0,AI233-AG233))</x:f>
      </x:c>
      <x:c r="AK233" s="21" t="str">
        <x:f>IF(OR(AH233&lt;&gt;1,NOT(ISNUMBER('Impostazioni'!$B$6)),'Impostazioni'!$B$6+AI233&lt;=0),"",AJ233/('Impostazioni'!$B$6+AI233))</x:f>
      </x:c>
      <x:c r="AL233" s="22" t="str">
        <x:f>IF(AH233&lt;&gt;1,"",IF(AC233&gt;0,AF233-_xlfn.MAXIFS($AF$8:$AF$507,$AF$8:$AF$507,"&lt;="&amp;AF233,$AC$8:$AC$507,"&lt;=0",$AH$8:$AH$507,1),0))</x:f>
      </x:c>
      <x:c r="AM233" s="22" t="str">
        <x:f>IF(AH233&lt;&gt;1,"",IF(AC233&lt;0,AF233-_xlfn.MAXIFS($AF$8:$AF$507,$AF$8:$AF$507,"&lt;="&amp;AF233,$AC$8:$AC$507,"&gt;=0",$AH$8:$AH$507,1),0))</x:f>
      </x:c>
      <x:c r="AN233" s="20" t="str">
        <x:f>IF(OR(A233="",NOT(ISNUMBER(B233)),NOT(ISNUMBER('Impostazioni'!$B$6))),"",'Impostazioni'!$B$6+SUMIFS($AC$8:$AC$507,$C$8:$C$507,"&lt;"&amp;B233,$AH$8:$AH$507,1)+SUMIFS('Cassa'!$F$8:$F$307,'Cassa'!$A$8:$A$307,"&lt;="&amp;B233,'Cassa'!$G$8:$G$307,"OK"))</x:f>
      </x:c>
      <x:c r="AO233" s="21" t="str">
        <x:f>IF(AND(ISNUMBER(Z233),ISNUMBER(AN233),AN233&gt;0),Z233/AN233,"")</x:f>
      </x:c>
      <x:c r="AP233" s="18" t="str">
        <x:f>IF(NOT(ISNUMBER(AO233)),"",IF(AO233&gt;'Impostazioni'!$B$7,"Oltre soglia personale","Nella soglia personale"))</x:f>
      </x:c>
      <x:c r="AQ233" s="18" t="str">
        <x:f>IF(A233="",IF(COUNTA(B233:V233)=0,"","Inserisci ID"),IF(COUNTIFS($A$8:$A$507,A233)&lt;&gt;1,"ID duplicato",IF(OR(NOT(ISNUMBER(B233)),D233="",E233="",F233="",G233="",H233="",COUNTIFS('Impostazioni'!$J$6:$J$25,F233)&lt;&gt;1),"Completa dati / elenchi",IF(OR(AND(I233&lt;&gt;"Lordo manuale",I233&lt;&gt;"Netto manuale",I233&lt;&gt;"Esecuzioni"),AND(J233&lt;&gt;"Aperto",J233&lt;&gt;"Chiuso",J233&lt;&gt;"Annullato")),"Modalità / stato mancanti",IF(AND(J233&lt;&gt;"Aperto",OR(NOT(ISNUMBER(C233)),C233&lt;B233)),"Correggi data chiusura",IF(OR(AND(Q233&lt;&gt;"",OR(NOT(ISNUMBER(Q233)),Q233&lt;0)),AND(R233&lt;&gt;"",OR(NOT(ISNUMBER(R233)),R233&lt;0,R233&gt;1))),"Commissione non valida",IF(J233="Annullato","OK",IF(OR(NOT(ISNUMBER(Z233)),Z233&lt;0,AND(O233&lt;&gt;"",NOT(ISNUMBER(O233)))),"Inserisci rischio",IF(AND(I233="Esecuzioni",OR(W233=0,COUNTIFS('Esecuzioni'!$A$8:$A$1007,A233,'Esecuzioni'!$Q$8:$Q$1007,"&lt;&gt;OK")&gt;0)),"Correggi esecuzioni",IF(J233="Aperto","OK",IF(AND(I233="Esecuzioni",S233="Coperto",ABS(X233-Y233)&gt;'Impostazioni'!$B$11),"Copertura residua",IF(NOT(ISNUMBER(AC233)),"Completa risultato / esito",IF(AND(Z233=0,AC233&lt;&gt;0),"Rischio nullo con P/L","OK")))))))))))))</x:f>
      </x:c>
      <x:c r="AR233" s="20" t="str">
        <x:f>IF(OR(A233="",J233&lt;&gt;"Aperto",AQ233&lt;&gt;"OK"),"",IF(I233="Esecuzioni",SUMIFS('Esecuzioni'!$P$8:$P$1007,'Esecuzioni'!$A$8:$A$1007,A233,'Esecuzioni'!$B$8:$B$1007,_xlfn.MAXIFS('Esecuzioni'!$B$8:$B$1007,'Esecuzioni'!$A$8:$A$1007,A233)),IF(LEFT(U233,8)="FREEBET:",0,Z233)))</x:f>
      </x:c>
      <x:c r="AS233" s="48" t="str">
        <x:f>IF(OR(A233="",E233=""),"",IF(COUNTIFS($E$8:E233,E233)=1,COUNT($AS$7:AS232)+1,""))</x:f>
      </x:c>
    </x:row>
    <x:row r="234" ht="22" customHeight="1">
      <x:c r="A234" s="7"/>
      <x:c r="B234" s="19"/>
      <x:c r="C234" s="19"/>
      <x:c r="D234" s="7"/>
      <x:c r="E234" s="7"/>
      <x:c r="F234" s="7"/>
      <x:c r="G234" s="7"/>
      <x:c r="H234" s="7"/>
      <x:c r="I234" s="7"/>
      <x:c r="J234" s="7"/>
      <x:c r="K234" s="10"/>
      <x:c r="L234" s="7"/>
      <x:c r="M234" s="10"/>
      <x:c r="N234" s="7"/>
      <x:c r="O234" s="8"/>
      <x:c r="P234" s="8"/>
      <x:c r="Q234" s="8"/>
      <x:c r="R234" s="9"/>
      <x:c r="S234" s="7"/>
      <x:c r="T234" s="7"/>
      <x:c r="U234" s="7"/>
      <x:c r="V234" s="7"/>
      <x:c r="W234" s="22" t="str">
        <x:f>IF(A234="","",COUNTIFS('Esecuzioni'!$A$8:$A$1007,A234,'Esecuzioni'!$Q$8:$Q$1007,"OK"))</x:f>
      </x:c>
      <x:c r="X234" s="20" t="str">
        <x:f>IF(OR(A234="",I234&lt;&gt;"Esecuzioni",W234=0),"",SUMIFS('Esecuzioni'!$L$8:$L$1007,'Esecuzioni'!$A$8:$A$1007,A234))</x:f>
      </x:c>
      <x:c r="Y234" s="20" t="str">
        <x:f>IF(OR(A234="",I234&lt;&gt;"Esecuzioni",W234=0),"",SUMIFS('Esecuzioni'!$M$8:$M$1007,'Esecuzioni'!$A$8:$A$1007,A234))</x:f>
      </x:c>
      <x:c r="Z234" s="20" t="str">
        <x:f>IF(A234="","",IF(J234="Annullato",0,IF(ISNUMBER(O234),O234,IF(AND(I234="Esecuzioni",W234&gt;0),_xlfn.MAXIFS('Esecuzioni'!$P$8:$P$1007,'Esecuzioni'!$A$8:$A$1007,A234),""))))</x:f>
      </x:c>
      <x:c r="AA234" s="20" t="str">
        <x:f>IF(OR(A234="",J234="Aperto"),"",IF(J234="Annullato",0,IF(I234="Lordo manuale",IF(ISNUMBER(P234),P234,""),IF(I234="Netto manuale",IF(AND(ISNUMBER(P234),ISNUMBER(Q234)),P234+Q234,""),IF(OR(W234=0,COUNTIFS('Esecuzioni'!$A$8:$A$1007,A234,'Esecuzioni'!$Q$8:$Q$1007,"&lt;&gt;OK")&gt;0),"",IF(S234="Vince",X234,IF(S234="Perde",Y234,IF(AND(S234="Coperto",ABS(X234-Y234)&lt;='Impostazioni'!$B$11),ROUND((X234+Y234)/2,2),""))))))))</x:f>
      </x:c>
      <x:c r="AB234" s="20" t="str">
        <x:f>IF(NOT(ISNUMBER(AA234)),"",IF(J234="Annullato",0,IF(ISNUMBER(Q234),Q234,ROUND(MAX(0,AA234)*IF(ISNUMBER(R234),R234,'Impostazioni'!$B$8),2))))</x:f>
      </x:c>
      <x:c r="AC234" s="20" t="str">
        <x:f>IF(AND(ISNUMBER(AA234),ISNUMBER(AB234)),ROUND(AA234-AB234,2),"")</x:f>
      </x:c>
      <x:c r="AD234" s="18" t="str">
        <x:f>IF(A234="","",IF(AQ234&lt;&gt;"OK","Incompleto",IF(J234="Aperto","Aperto",IF(J234="Annullato","Annullato",IF(AC234&gt;0,"Green",IF(AC234&lt;0,"Red","Flat"))))))</x:f>
      </x:c>
      <x:c r="AE234" s="21" t="str">
        <x:f>IF(AND(AH234=1,Z234&gt;0),AC234/Z234,"")</x:f>
      </x:c>
      <x:c r="AF234" s="22" t="str">
        <x:f>IF(AH234&lt;&gt;1,"",COUNTIFS($C$8:$C$507,"&lt;"&amp;C234,$AH$8:$AH$507,1)+COUNTIFS($C$8:$C$507,C234,$A$8:$A$507,"&lt;="&amp;A234,$AH$8:$AH$507,1))</x:f>
      </x:c>
      <x:c r="AG234" s="20" t="str">
        <x:f>IF(AH234&lt;&gt;1,"",SUMIFS($AC$8:$AC$507,$C$8:$C$507,"&lt;"&amp;C234,$AH$8:$AH$507,1)+SUMIFS($AC$8:$AC$507,$C$8:$C$507,C234,$A$8:$A$507,"&lt;="&amp;A234,$AH$8:$AH$507,1))</x:f>
      </x:c>
      <x:c r="AH234" s="22" t="str">
        <x:f>IF(A234="","",IF(AND(J234="Chiuso",AQ234="OK",ISNUMBER(AC234)),1,0))</x:f>
      </x:c>
      <x:c r="AI234" s="20" t="str">
        <x:f>IF(AH234&lt;&gt;1,"",MAX(0,_xlfn.MAXIFS($AG$8:$AG$507,$AF$8:$AF$507,"&lt;="&amp;AF234,$AH$8:$AH$507,1)))</x:f>
      </x:c>
      <x:c r="AJ234" s="20" t="str">
        <x:f>IF(AH234&lt;&gt;1,"",MAX(0,AI234-AG234))</x:f>
      </x:c>
      <x:c r="AK234" s="21" t="str">
        <x:f>IF(OR(AH234&lt;&gt;1,NOT(ISNUMBER('Impostazioni'!$B$6)),'Impostazioni'!$B$6+AI234&lt;=0),"",AJ234/('Impostazioni'!$B$6+AI234))</x:f>
      </x:c>
      <x:c r="AL234" s="22" t="str">
        <x:f>IF(AH234&lt;&gt;1,"",IF(AC234&gt;0,AF234-_xlfn.MAXIFS($AF$8:$AF$507,$AF$8:$AF$507,"&lt;="&amp;AF234,$AC$8:$AC$507,"&lt;=0",$AH$8:$AH$507,1),0))</x:f>
      </x:c>
      <x:c r="AM234" s="22" t="str">
        <x:f>IF(AH234&lt;&gt;1,"",IF(AC234&lt;0,AF234-_xlfn.MAXIFS($AF$8:$AF$507,$AF$8:$AF$507,"&lt;="&amp;AF234,$AC$8:$AC$507,"&gt;=0",$AH$8:$AH$507,1),0))</x:f>
      </x:c>
      <x:c r="AN234" s="20" t="str">
        <x:f>IF(OR(A234="",NOT(ISNUMBER(B234)),NOT(ISNUMBER('Impostazioni'!$B$6))),"",'Impostazioni'!$B$6+SUMIFS($AC$8:$AC$507,$C$8:$C$507,"&lt;"&amp;B234,$AH$8:$AH$507,1)+SUMIFS('Cassa'!$F$8:$F$307,'Cassa'!$A$8:$A$307,"&lt;="&amp;B234,'Cassa'!$G$8:$G$307,"OK"))</x:f>
      </x:c>
      <x:c r="AO234" s="21" t="str">
        <x:f>IF(AND(ISNUMBER(Z234),ISNUMBER(AN234),AN234&gt;0),Z234/AN234,"")</x:f>
      </x:c>
      <x:c r="AP234" s="18" t="str">
        <x:f>IF(NOT(ISNUMBER(AO234)),"",IF(AO234&gt;'Impostazioni'!$B$7,"Oltre soglia personale","Nella soglia personale"))</x:f>
      </x:c>
      <x:c r="AQ234" s="18" t="str">
        <x:f>IF(A234="",IF(COUNTA(B234:V234)=0,"","Inserisci ID"),IF(COUNTIFS($A$8:$A$507,A234)&lt;&gt;1,"ID duplicato",IF(OR(NOT(ISNUMBER(B234)),D234="",E234="",F234="",G234="",H234="",COUNTIFS('Impostazioni'!$J$6:$J$25,F234)&lt;&gt;1),"Completa dati / elenchi",IF(OR(AND(I234&lt;&gt;"Lordo manuale",I234&lt;&gt;"Netto manuale",I234&lt;&gt;"Esecuzioni"),AND(J234&lt;&gt;"Aperto",J234&lt;&gt;"Chiuso",J234&lt;&gt;"Annullato")),"Modalità / stato mancanti",IF(AND(J234&lt;&gt;"Aperto",OR(NOT(ISNUMBER(C234)),C234&lt;B234)),"Correggi data chiusura",IF(OR(AND(Q234&lt;&gt;"",OR(NOT(ISNUMBER(Q234)),Q234&lt;0)),AND(R234&lt;&gt;"",OR(NOT(ISNUMBER(R234)),R234&lt;0,R234&gt;1))),"Commissione non valida",IF(J234="Annullato","OK",IF(OR(NOT(ISNUMBER(Z234)),Z234&lt;0,AND(O234&lt;&gt;"",NOT(ISNUMBER(O234)))),"Inserisci rischio",IF(AND(I234="Esecuzioni",OR(W234=0,COUNTIFS('Esecuzioni'!$A$8:$A$1007,A234,'Esecuzioni'!$Q$8:$Q$1007,"&lt;&gt;OK")&gt;0)),"Correggi esecuzioni",IF(J234="Aperto","OK",IF(AND(I234="Esecuzioni",S234="Coperto",ABS(X234-Y234)&gt;'Impostazioni'!$B$11),"Copertura residua",IF(NOT(ISNUMBER(AC234)),"Completa risultato / esito",IF(AND(Z234=0,AC234&lt;&gt;0),"Rischio nullo con P/L","OK")))))))))))))</x:f>
      </x:c>
      <x:c r="AR234" s="20" t="str">
        <x:f>IF(OR(A234="",J234&lt;&gt;"Aperto",AQ234&lt;&gt;"OK"),"",IF(I234="Esecuzioni",SUMIFS('Esecuzioni'!$P$8:$P$1007,'Esecuzioni'!$A$8:$A$1007,A234,'Esecuzioni'!$B$8:$B$1007,_xlfn.MAXIFS('Esecuzioni'!$B$8:$B$1007,'Esecuzioni'!$A$8:$A$1007,A234)),IF(LEFT(U234,8)="FREEBET:",0,Z234)))</x:f>
      </x:c>
      <x:c r="AS234" s="48" t="str">
        <x:f>IF(OR(A234="",E234=""),"",IF(COUNTIFS($E$8:E234,E234)=1,COUNT($AS$7:AS233)+1,""))</x:f>
      </x:c>
    </x:row>
    <x:row r="235" ht="22" customHeight="1">
      <x:c r="A235" s="7"/>
      <x:c r="B235" s="19"/>
      <x:c r="C235" s="19"/>
      <x:c r="D235" s="7"/>
      <x:c r="E235" s="7"/>
      <x:c r="F235" s="7"/>
      <x:c r="G235" s="7"/>
      <x:c r="H235" s="7"/>
      <x:c r="I235" s="7"/>
      <x:c r="J235" s="7"/>
      <x:c r="K235" s="10"/>
      <x:c r="L235" s="7"/>
      <x:c r="M235" s="10"/>
      <x:c r="N235" s="7"/>
      <x:c r="O235" s="8"/>
      <x:c r="P235" s="8"/>
      <x:c r="Q235" s="8"/>
      <x:c r="R235" s="9"/>
      <x:c r="S235" s="7"/>
      <x:c r="T235" s="7"/>
      <x:c r="U235" s="7"/>
      <x:c r="V235" s="7"/>
      <x:c r="W235" s="22" t="str">
        <x:f>IF(A235="","",COUNTIFS('Esecuzioni'!$A$8:$A$1007,A235,'Esecuzioni'!$Q$8:$Q$1007,"OK"))</x:f>
      </x:c>
      <x:c r="X235" s="20" t="str">
        <x:f>IF(OR(A235="",I235&lt;&gt;"Esecuzioni",W235=0),"",SUMIFS('Esecuzioni'!$L$8:$L$1007,'Esecuzioni'!$A$8:$A$1007,A235))</x:f>
      </x:c>
      <x:c r="Y235" s="20" t="str">
        <x:f>IF(OR(A235="",I235&lt;&gt;"Esecuzioni",W235=0),"",SUMIFS('Esecuzioni'!$M$8:$M$1007,'Esecuzioni'!$A$8:$A$1007,A235))</x:f>
      </x:c>
      <x:c r="Z235" s="20" t="str">
        <x:f>IF(A235="","",IF(J235="Annullato",0,IF(ISNUMBER(O235),O235,IF(AND(I235="Esecuzioni",W235&gt;0),_xlfn.MAXIFS('Esecuzioni'!$P$8:$P$1007,'Esecuzioni'!$A$8:$A$1007,A235),""))))</x:f>
      </x:c>
      <x:c r="AA235" s="20" t="str">
        <x:f>IF(OR(A235="",J235="Aperto"),"",IF(J235="Annullato",0,IF(I235="Lordo manuale",IF(ISNUMBER(P235),P235,""),IF(I235="Netto manuale",IF(AND(ISNUMBER(P235),ISNUMBER(Q235)),P235+Q235,""),IF(OR(W235=0,COUNTIFS('Esecuzioni'!$A$8:$A$1007,A235,'Esecuzioni'!$Q$8:$Q$1007,"&lt;&gt;OK")&gt;0),"",IF(S235="Vince",X235,IF(S235="Perde",Y235,IF(AND(S235="Coperto",ABS(X235-Y235)&lt;='Impostazioni'!$B$11),ROUND((X235+Y235)/2,2),""))))))))</x:f>
      </x:c>
      <x:c r="AB235" s="20" t="str">
        <x:f>IF(NOT(ISNUMBER(AA235)),"",IF(J235="Annullato",0,IF(ISNUMBER(Q235),Q235,ROUND(MAX(0,AA235)*IF(ISNUMBER(R235),R235,'Impostazioni'!$B$8),2))))</x:f>
      </x:c>
      <x:c r="AC235" s="20" t="str">
        <x:f>IF(AND(ISNUMBER(AA235),ISNUMBER(AB235)),ROUND(AA235-AB235,2),"")</x:f>
      </x:c>
      <x:c r="AD235" s="18" t="str">
        <x:f>IF(A235="","",IF(AQ235&lt;&gt;"OK","Incompleto",IF(J235="Aperto","Aperto",IF(J235="Annullato","Annullato",IF(AC235&gt;0,"Green",IF(AC235&lt;0,"Red","Flat"))))))</x:f>
      </x:c>
      <x:c r="AE235" s="21" t="str">
        <x:f>IF(AND(AH235=1,Z235&gt;0),AC235/Z235,"")</x:f>
      </x:c>
      <x:c r="AF235" s="22" t="str">
        <x:f>IF(AH235&lt;&gt;1,"",COUNTIFS($C$8:$C$507,"&lt;"&amp;C235,$AH$8:$AH$507,1)+COUNTIFS($C$8:$C$507,C235,$A$8:$A$507,"&lt;="&amp;A235,$AH$8:$AH$507,1))</x:f>
      </x:c>
      <x:c r="AG235" s="20" t="str">
        <x:f>IF(AH235&lt;&gt;1,"",SUMIFS($AC$8:$AC$507,$C$8:$C$507,"&lt;"&amp;C235,$AH$8:$AH$507,1)+SUMIFS($AC$8:$AC$507,$C$8:$C$507,C235,$A$8:$A$507,"&lt;="&amp;A235,$AH$8:$AH$507,1))</x:f>
      </x:c>
      <x:c r="AH235" s="22" t="str">
        <x:f>IF(A235="","",IF(AND(J235="Chiuso",AQ235="OK",ISNUMBER(AC235)),1,0))</x:f>
      </x:c>
      <x:c r="AI235" s="20" t="str">
        <x:f>IF(AH235&lt;&gt;1,"",MAX(0,_xlfn.MAXIFS($AG$8:$AG$507,$AF$8:$AF$507,"&lt;="&amp;AF235,$AH$8:$AH$507,1)))</x:f>
      </x:c>
      <x:c r="AJ235" s="20" t="str">
        <x:f>IF(AH235&lt;&gt;1,"",MAX(0,AI235-AG235))</x:f>
      </x:c>
      <x:c r="AK235" s="21" t="str">
        <x:f>IF(OR(AH235&lt;&gt;1,NOT(ISNUMBER('Impostazioni'!$B$6)),'Impostazioni'!$B$6+AI235&lt;=0),"",AJ235/('Impostazioni'!$B$6+AI235))</x:f>
      </x:c>
      <x:c r="AL235" s="22" t="str">
        <x:f>IF(AH235&lt;&gt;1,"",IF(AC235&gt;0,AF235-_xlfn.MAXIFS($AF$8:$AF$507,$AF$8:$AF$507,"&lt;="&amp;AF235,$AC$8:$AC$507,"&lt;=0",$AH$8:$AH$507,1),0))</x:f>
      </x:c>
      <x:c r="AM235" s="22" t="str">
        <x:f>IF(AH235&lt;&gt;1,"",IF(AC235&lt;0,AF235-_xlfn.MAXIFS($AF$8:$AF$507,$AF$8:$AF$507,"&lt;="&amp;AF235,$AC$8:$AC$507,"&gt;=0",$AH$8:$AH$507,1),0))</x:f>
      </x:c>
      <x:c r="AN235" s="20" t="str">
        <x:f>IF(OR(A235="",NOT(ISNUMBER(B235)),NOT(ISNUMBER('Impostazioni'!$B$6))),"",'Impostazioni'!$B$6+SUMIFS($AC$8:$AC$507,$C$8:$C$507,"&lt;"&amp;B235,$AH$8:$AH$507,1)+SUMIFS('Cassa'!$F$8:$F$307,'Cassa'!$A$8:$A$307,"&lt;="&amp;B235,'Cassa'!$G$8:$G$307,"OK"))</x:f>
      </x:c>
      <x:c r="AO235" s="21" t="str">
        <x:f>IF(AND(ISNUMBER(Z235),ISNUMBER(AN235),AN235&gt;0),Z235/AN235,"")</x:f>
      </x:c>
      <x:c r="AP235" s="18" t="str">
        <x:f>IF(NOT(ISNUMBER(AO235)),"",IF(AO235&gt;'Impostazioni'!$B$7,"Oltre soglia personale","Nella soglia personale"))</x:f>
      </x:c>
      <x:c r="AQ235" s="18" t="str">
        <x:f>IF(A235="",IF(COUNTA(B235:V235)=0,"","Inserisci ID"),IF(COUNTIFS($A$8:$A$507,A235)&lt;&gt;1,"ID duplicato",IF(OR(NOT(ISNUMBER(B235)),D235="",E235="",F235="",G235="",H235="",COUNTIFS('Impostazioni'!$J$6:$J$25,F235)&lt;&gt;1),"Completa dati / elenchi",IF(OR(AND(I235&lt;&gt;"Lordo manuale",I235&lt;&gt;"Netto manuale",I235&lt;&gt;"Esecuzioni"),AND(J235&lt;&gt;"Aperto",J235&lt;&gt;"Chiuso",J235&lt;&gt;"Annullato")),"Modalità / stato mancanti",IF(AND(J235&lt;&gt;"Aperto",OR(NOT(ISNUMBER(C235)),C235&lt;B235)),"Correggi data chiusura",IF(OR(AND(Q235&lt;&gt;"",OR(NOT(ISNUMBER(Q235)),Q235&lt;0)),AND(R235&lt;&gt;"",OR(NOT(ISNUMBER(R235)),R235&lt;0,R235&gt;1))),"Commissione non valida",IF(J235="Annullato","OK",IF(OR(NOT(ISNUMBER(Z235)),Z235&lt;0,AND(O235&lt;&gt;"",NOT(ISNUMBER(O235)))),"Inserisci rischio",IF(AND(I235="Esecuzioni",OR(W235=0,COUNTIFS('Esecuzioni'!$A$8:$A$1007,A235,'Esecuzioni'!$Q$8:$Q$1007,"&lt;&gt;OK")&gt;0)),"Correggi esecuzioni",IF(J235="Aperto","OK",IF(AND(I235="Esecuzioni",S235="Coperto",ABS(X235-Y235)&gt;'Impostazioni'!$B$11),"Copertura residua",IF(NOT(ISNUMBER(AC235)),"Completa risultato / esito",IF(AND(Z235=0,AC235&lt;&gt;0),"Rischio nullo con P/L","OK")))))))))))))</x:f>
      </x:c>
      <x:c r="AR235" s="20" t="str">
        <x:f>IF(OR(A235="",J235&lt;&gt;"Aperto",AQ235&lt;&gt;"OK"),"",IF(I235="Esecuzioni",SUMIFS('Esecuzioni'!$P$8:$P$1007,'Esecuzioni'!$A$8:$A$1007,A235,'Esecuzioni'!$B$8:$B$1007,_xlfn.MAXIFS('Esecuzioni'!$B$8:$B$1007,'Esecuzioni'!$A$8:$A$1007,A235)),IF(LEFT(U235,8)="FREEBET:",0,Z235)))</x:f>
      </x:c>
      <x:c r="AS235" s="48" t="str">
        <x:f>IF(OR(A235="",E235=""),"",IF(COUNTIFS($E$8:E235,E235)=1,COUNT($AS$7:AS234)+1,""))</x:f>
      </x:c>
    </x:row>
    <x:row r="236" ht="22" customHeight="1">
      <x:c r="A236" s="7"/>
      <x:c r="B236" s="19"/>
      <x:c r="C236" s="19"/>
      <x:c r="D236" s="7"/>
      <x:c r="E236" s="7"/>
      <x:c r="F236" s="7"/>
      <x:c r="G236" s="7"/>
      <x:c r="H236" s="7"/>
      <x:c r="I236" s="7"/>
      <x:c r="J236" s="7"/>
      <x:c r="K236" s="10"/>
      <x:c r="L236" s="7"/>
      <x:c r="M236" s="10"/>
      <x:c r="N236" s="7"/>
      <x:c r="O236" s="8"/>
      <x:c r="P236" s="8"/>
      <x:c r="Q236" s="8"/>
      <x:c r="R236" s="9"/>
      <x:c r="S236" s="7"/>
      <x:c r="T236" s="7"/>
      <x:c r="U236" s="7"/>
      <x:c r="V236" s="7"/>
      <x:c r="W236" s="22" t="str">
        <x:f>IF(A236="","",COUNTIFS('Esecuzioni'!$A$8:$A$1007,A236,'Esecuzioni'!$Q$8:$Q$1007,"OK"))</x:f>
      </x:c>
      <x:c r="X236" s="20" t="str">
        <x:f>IF(OR(A236="",I236&lt;&gt;"Esecuzioni",W236=0),"",SUMIFS('Esecuzioni'!$L$8:$L$1007,'Esecuzioni'!$A$8:$A$1007,A236))</x:f>
      </x:c>
      <x:c r="Y236" s="20" t="str">
        <x:f>IF(OR(A236="",I236&lt;&gt;"Esecuzioni",W236=0),"",SUMIFS('Esecuzioni'!$M$8:$M$1007,'Esecuzioni'!$A$8:$A$1007,A236))</x:f>
      </x:c>
      <x:c r="Z236" s="20" t="str">
        <x:f>IF(A236="","",IF(J236="Annullato",0,IF(ISNUMBER(O236),O236,IF(AND(I236="Esecuzioni",W236&gt;0),_xlfn.MAXIFS('Esecuzioni'!$P$8:$P$1007,'Esecuzioni'!$A$8:$A$1007,A236),""))))</x:f>
      </x:c>
      <x:c r="AA236" s="20" t="str">
        <x:f>IF(OR(A236="",J236="Aperto"),"",IF(J236="Annullato",0,IF(I236="Lordo manuale",IF(ISNUMBER(P236),P236,""),IF(I236="Netto manuale",IF(AND(ISNUMBER(P236),ISNUMBER(Q236)),P236+Q236,""),IF(OR(W236=0,COUNTIFS('Esecuzioni'!$A$8:$A$1007,A236,'Esecuzioni'!$Q$8:$Q$1007,"&lt;&gt;OK")&gt;0),"",IF(S236="Vince",X236,IF(S236="Perde",Y236,IF(AND(S236="Coperto",ABS(X236-Y236)&lt;='Impostazioni'!$B$11),ROUND((X236+Y236)/2,2),""))))))))</x:f>
      </x:c>
      <x:c r="AB236" s="20" t="str">
        <x:f>IF(NOT(ISNUMBER(AA236)),"",IF(J236="Annullato",0,IF(ISNUMBER(Q236),Q236,ROUND(MAX(0,AA236)*IF(ISNUMBER(R236),R236,'Impostazioni'!$B$8),2))))</x:f>
      </x:c>
      <x:c r="AC236" s="20" t="str">
        <x:f>IF(AND(ISNUMBER(AA236),ISNUMBER(AB236)),ROUND(AA236-AB236,2),"")</x:f>
      </x:c>
      <x:c r="AD236" s="18" t="str">
        <x:f>IF(A236="","",IF(AQ236&lt;&gt;"OK","Incompleto",IF(J236="Aperto","Aperto",IF(J236="Annullato","Annullato",IF(AC236&gt;0,"Green",IF(AC236&lt;0,"Red","Flat"))))))</x:f>
      </x:c>
      <x:c r="AE236" s="21" t="str">
        <x:f>IF(AND(AH236=1,Z236&gt;0),AC236/Z236,"")</x:f>
      </x:c>
      <x:c r="AF236" s="22" t="str">
        <x:f>IF(AH236&lt;&gt;1,"",COUNTIFS($C$8:$C$507,"&lt;"&amp;C236,$AH$8:$AH$507,1)+COUNTIFS($C$8:$C$507,C236,$A$8:$A$507,"&lt;="&amp;A236,$AH$8:$AH$507,1))</x:f>
      </x:c>
      <x:c r="AG236" s="20" t="str">
        <x:f>IF(AH236&lt;&gt;1,"",SUMIFS($AC$8:$AC$507,$C$8:$C$507,"&lt;"&amp;C236,$AH$8:$AH$507,1)+SUMIFS($AC$8:$AC$507,$C$8:$C$507,C236,$A$8:$A$507,"&lt;="&amp;A236,$AH$8:$AH$507,1))</x:f>
      </x:c>
      <x:c r="AH236" s="22" t="str">
        <x:f>IF(A236="","",IF(AND(J236="Chiuso",AQ236="OK",ISNUMBER(AC236)),1,0))</x:f>
      </x:c>
      <x:c r="AI236" s="20" t="str">
        <x:f>IF(AH236&lt;&gt;1,"",MAX(0,_xlfn.MAXIFS($AG$8:$AG$507,$AF$8:$AF$507,"&lt;="&amp;AF236,$AH$8:$AH$507,1)))</x:f>
      </x:c>
      <x:c r="AJ236" s="20" t="str">
        <x:f>IF(AH236&lt;&gt;1,"",MAX(0,AI236-AG236))</x:f>
      </x:c>
      <x:c r="AK236" s="21" t="str">
        <x:f>IF(OR(AH236&lt;&gt;1,NOT(ISNUMBER('Impostazioni'!$B$6)),'Impostazioni'!$B$6+AI236&lt;=0),"",AJ236/('Impostazioni'!$B$6+AI236))</x:f>
      </x:c>
      <x:c r="AL236" s="22" t="str">
        <x:f>IF(AH236&lt;&gt;1,"",IF(AC236&gt;0,AF236-_xlfn.MAXIFS($AF$8:$AF$507,$AF$8:$AF$507,"&lt;="&amp;AF236,$AC$8:$AC$507,"&lt;=0",$AH$8:$AH$507,1),0))</x:f>
      </x:c>
      <x:c r="AM236" s="22" t="str">
        <x:f>IF(AH236&lt;&gt;1,"",IF(AC236&lt;0,AF236-_xlfn.MAXIFS($AF$8:$AF$507,$AF$8:$AF$507,"&lt;="&amp;AF236,$AC$8:$AC$507,"&gt;=0",$AH$8:$AH$507,1),0))</x:f>
      </x:c>
      <x:c r="AN236" s="20" t="str">
        <x:f>IF(OR(A236="",NOT(ISNUMBER(B236)),NOT(ISNUMBER('Impostazioni'!$B$6))),"",'Impostazioni'!$B$6+SUMIFS($AC$8:$AC$507,$C$8:$C$507,"&lt;"&amp;B236,$AH$8:$AH$507,1)+SUMIFS('Cassa'!$F$8:$F$307,'Cassa'!$A$8:$A$307,"&lt;="&amp;B236,'Cassa'!$G$8:$G$307,"OK"))</x:f>
      </x:c>
      <x:c r="AO236" s="21" t="str">
        <x:f>IF(AND(ISNUMBER(Z236),ISNUMBER(AN236),AN236&gt;0),Z236/AN236,"")</x:f>
      </x:c>
      <x:c r="AP236" s="18" t="str">
        <x:f>IF(NOT(ISNUMBER(AO236)),"",IF(AO236&gt;'Impostazioni'!$B$7,"Oltre soglia personale","Nella soglia personale"))</x:f>
      </x:c>
      <x:c r="AQ236" s="18" t="str">
        <x:f>IF(A236="",IF(COUNTA(B236:V236)=0,"","Inserisci ID"),IF(COUNTIFS($A$8:$A$507,A236)&lt;&gt;1,"ID duplicato",IF(OR(NOT(ISNUMBER(B236)),D236="",E236="",F236="",G236="",H236="",COUNTIFS('Impostazioni'!$J$6:$J$25,F236)&lt;&gt;1),"Completa dati / elenchi",IF(OR(AND(I236&lt;&gt;"Lordo manuale",I236&lt;&gt;"Netto manuale",I236&lt;&gt;"Esecuzioni"),AND(J236&lt;&gt;"Aperto",J236&lt;&gt;"Chiuso",J236&lt;&gt;"Annullato")),"Modalità / stato mancanti",IF(AND(J236&lt;&gt;"Aperto",OR(NOT(ISNUMBER(C236)),C236&lt;B236)),"Correggi data chiusura",IF(OR(AND(Q236&lt;&gt;"",OR(NOT(ISNUMBER(Q236)),Q236&lt;0)),AND(R236&lt;&gt;"",OR(NOT(ISNUMBER(R236)),R236&lt;0,R236&gt;1))),"Commissione non valida",IF(J236="Annullato","OK",IF(OR(NOT(ISNUMBER(Z236)),Z236&lt;0,AND(O236&lt;&gt;"",NOT(ISNUMBER(O236)))),"Inserisci rischio",IF(AND(I236="Esecuzioni",OR(W236=0,COUNTIFS('Esecuzioni'!$A$8:$A$1007,A236,'Esecuzioni'!$Q$8:$Q$1007,"&lt;&gt;OK")&gt;0)),"Correggi esecuzioni",IF(J236="Aperto","OK",IF(AND(I236="Esecuzioni",S236="Coperto",ABS(X236-Y236)&gt;'Impostazioni'!$B$11),"Copertura residua",IF(NOT(ISNUMBER(AC236)),"Completa risultato / esito",IF(AND(Z236=0,AC236&lt;&gt;0),"Rischio nullo con P/L","OK")))))))))))))</x:f>
      </x:c>
      <x:c r="AR236" s="20" t="str">
        <x:f>IF(OR(A236="",J236&lt;&gt;"Aperto",AQ236&lt;&gt;"OK"),"",IF(I236="Esecuzioni",SUMIFS('Esecuzioni'!$P$8:$P$1007,'Esecuzioni'!$A$8:$A$1007,A236,'Esecuzioni'!$B$8:$B$1007,_xlfn.MAXIFS('Esecuzioni'!$B$8:$B$1007,'Esecuzioni'!$A$8:$A$1007,A236)),IF(LEFT(U236,8)="FREEBET:",0,Z236)))</x:f>
      </x:c>
      <x:c r="AS236" s="48" t="str">
        <x:f>IF(OR(A236="",E236=""),"",IF(COUNTIFS($E$8:E236,E236)=1,COUNT($AS$7:AS235)+1,""))</x:f>
      </x:c>
    </x:row>
    <x:row r="237" ht="22" customHeight="1">
      <x:c r="A237" s="7"/>
      <x:c r="B237" s="19"/>
      <x:c r="C237" s="19"/>
      <x:c r="D237" s="7"/>
      <x:c r="E237" s="7"/>
      <x:c r="F237" s="7"/>
      <x:c r="G237" s="7"/>
      <x:c r="H237" s="7"/>
      <x:c r="I237" s="7"/>
      <x:c r="J237" s="7"/>
      <x:c r="K237" s="10"/>
      <x:c r="L237" s="7"/>
      <x:c r="M237" s="10"/>
      <x:c r="N237" s="7"/>
      <x:c r="O237" s="8"/>
      <x:c r="P237" s="8"/>
      <x:c r="Q237" s="8"/>
      <x:c r="R237" s="9"/>
      <x:c r="S237" s="7"/>
      <x:c r="T237" s="7"/>
      <x:c r="U237" s="7"/>
      <x:c r="V237" s="7"/>
      <x:c r="W237" s="22" t="str">
        <x:f>IF(A237="","",COUNTIFS('Esecuzioni'!$A$8:$A$1007,A237,'Esecuzioni'!$Q$8:$Q$1007,"OK"))</x:f>
      </x:c>
      <x:c r="X237" s="20" t="str">
        <x:f>IF(OR(A237="",I237&lt;&gt;"Esecuzioni",W237=0),"",SUMIFS('Esecuzioni'!$L$8:$L$1007,'Esecuzioni'!$A$8:$A$1007,A237))</x:f>
      </x:c>
      <x:c r="Y237" s="20" t="str">
        <x:f>IF(OR(A237="",I237&lt;&gt;"Esecuzioni",W237=0),"",SUMIFS('Esecuzioni'!$M$8:$M$1007,'Esecuzioni'!$A$8:$A$1007,A237))</x:f>
      </x:c>
      <x:c r="Z237" s="20" t="str">
        <x:f>IF(A237="","",IF(J237="Annullato",0,IF(ISNUMBER(O237),O237,IF(AND(I237="Esecuzioni",W237&gt;0),_xlfn.MAXIFS('Esecuzioni'!$P$8:$P$1007,'Esecuzioni'!$A$8:$A$1007,A237),""))))</x:f>
      </x:c>
      <x:c r="AA237" s="20" t="str">
        <x:f>IF(OR(A237="",J237="Aperto"),"",IF(J237="Annullato",0,IF(I237="Lordo manuale",IF(ISNUMBER(P237),P237,""),IF(I237="Netto manuale",IF(AND(ISNUMBER(P237),ISNUMBER(Q237)),P237+Q237,""),IF(OR(W237=0,COUNTIFS('Esecuzioni'!$A$8:$A$1007,A237,'Esecuzioni'!$Q$8:$Q$1007,"&lt;&gt;OK")&gt;0),"",IF(S237="Vince",X237,IF(S237="Perde",Y237,IF(AND(S237="Coperto",ABS(X237-Y237)&lt;='Impostazioni'!$B$11),ROUND((X237+Y237)/2,2),""))))))))</x:f>
      </x:c>
      <x:c r="AB237" s="20" t="str">
        <x:f>IF(NOT(ISNUMBER(AA237)),"",IF(J237="Annullato",0,IF(ISNUMBER(Q237),Q237,ROUND(MAX(0,AA237)*IF(ISNUMBER(R237),R237,'Impostazioni'!$B$8),2))))</x:f>
      </x:c>
      <x:c r="AC237" s="20" t="str">
        <x:f>IF(AND(ISNUMBER(AA237),ISNUMBER(AB237)),ROUND(AA237-AB237,2),"")</x:f>
      </x:c>
      <x:c r="AD237" s="18" t="str">
        <x:f>IF(A237="","",IF(AQ237&lt;&gt;"OK","Incompleto",IF(J237="Aperto","Aperto",IF(J237="Annullato","Annullato",IF(AC237&gt;0,"Green",IF(AC237&lt;0,"Red","Flat"))))))</x:f>
      </x:c>
      <x:c r="AE237" s="21" t="str">
        <x:f>IF(AND(AH237=1,Z237&gt;0),AC237/Z237,"")</x:f>
      </x:c>
      <x:c r="AF237" s="22" t="str">
        <x:f>IF(AH237&lt;&gt;1,"",COUNTIFS($C$8:$C$507,"&lt;"&amp;C237,$AH$8:$AH$507,1)+COUNTIFS($C$8:$C$507,C237,$A$8:$A$507,"&lt;="&amp;A237,$AH$8:$AH$507,1))</x:f>
      </x:c>
      <x:c r="AG237" s="20" t="str">
        <x:f>IF(AH237&lt;&gt;1,"",SUMIFS($AC$8:$AC$507,$C$8:$C$507,"&lt;"&amp;C237,$AH$8:$AH$507,1)+SUMIFS($AC$8:$AC$507,$C$8:$C$507,C237,$A$8:$A$507,"&lt;="&amp;A237,$AH$8:$AH$507,1))</x:f>
      </x:c>
      <x:c r="AH237" s="22" t="str">
        <x:f>IF(A237="","",IF(AND(J237="Chiuso",AQ237="OK",ISNUMBER(AC237)),1,0))</x:f>
      </x:c>
      <x:c r="AI237" s="20" t="str">
        <x:f>IF(AH237&lt;&gt;1,"",MAX(0,_xlfn.MAXIFS($AG$8:$AG$507,$AF$8:$AF$507,"&lt;="&amp;AF237,$AH$8:$AH$507,1)))</x:f>
      </x:c>
      <x:c r="AJ237" s="20" t="str">
        <x:f>IF(AH237&lt;&gt;1,"",MAX(0,AI237-AG237))</x:f>
      </x:c>
      <x:c r="AK237" s="21" t="str">
        <x:f>IF(OR(AH237&lt;&gt;1,NOT(ISNUMBER('Impostazioni'!$B$6)),'Impostazioni'!$B$6+AI237&lt;=0),"",AJ237/('Impostazioni'!$B$6+AI237))</x:f>
      </x:c>
      <x:c r="AL237" s="22" t="str">
        <x:f>IF(AH237&lt;&gt;1,"",IF(AC237&gt;0,AF237-_xlfn.MAXIFS($AF$8:$AF$507,$AF$8:$AF$507,"&lt;="&amp;AF237,$AC$8:$AC$507,"&lt;=0",$AH$8:$AH$507,1),0))</x:f>
      </x:c>
      <x:c r="AM237" s="22" t="str">
        <x:f>IF(AH237&lt;&gt;1,"",IF(AC237&lt;0,AF237-_xlfn.MAXIFS($AF$8:$AF$507,$AF$8:$AF$507,"&lt;="&amp;AF237,$AC$8:$AC$507,"&gt;=0",$AH$8:$AH$507,1),0))</x:f>
      </x:c>
      <x:c r="AN237" s="20" t="str">
        <x:f>IF(OR(A237="",NOT(ISNUMBER(B237)),NOT(ISNUMBER('Impostazioni'!$B$6))),"",'Impostazioni'!$B$6+SUMIFS($AC$8:$AC$507,$C$8:$C$507,"&lt;"&amp;B237,$AH$8:$AH$507,1)+SUMIFS('Cassa'!$F$8:$F$307,'Cassa'!$A$8:$A$307,"&lt;="&amp;B237,'Cassa'!$G$8:$G$307,"OK"))</x:f>
      </x:c>
      <x:c r="AO237" s="21" t="str">
        <x:f>IF(AND(ISNUMBER(Z237),ISNUMBER(AN237),AN237&gt;0),Z237/AN237,"")</x:f>
      </x:c>
      <x:c r="AP237" s="18" t="str">
        <x:f>IF(NOT(ISNUMBER(AO237)),"",IF(AO237&gt;'Impostazioni'!$B$7,"Oltre soglia personale","Nella soglia personale"))</x:f>
      </x:c>
      <x:c r="AQ237" s="18" t="str">
        <x:f>IF(A237="",IF(COUNTA(B237:V237)=0,"","Inserisci ID"),IF(COUNTIFS($A$8:$A$507,A237)&lt;&gt;1,"ID duplicato",IF(OR(NOT(ISNUMBER(B237)),D237="",E237="",F237="",G237="",H237="",COUNTIFS('Impostazioni'!$J$6:$J$25,F237)&lt;&gt;1),"Completa dati / elenchi",IF(OR(AND(I237&lt;&gt;"Lordo manuale",I237&lt;&gt;"Netto manuale",I237&lt;&gt;"Esecuzioni"),AND(J237&lt;&gt;"Aperto",J237&lt;&gt;"Chiuso",J237&lt;&gt;"Annullato")),"Modalità / stato mancanti",IF(AND(J237&lt;&gt;"Aperto",OR(NOT(ISNUMBER(C237)),C237&lt;B237)),"Correggi data chiusura",IF(OR(AND(Q237&lt;&gt;"",OR(NOT(ISNUMBER(Q237)),Q237&lt;0)),AND(R237&lt;&gt;"",OR(NOT(ISNUMBER(R237)),R237&lt;0,R237&gt;1))),"Commissione non valida",IF(J237="Annullato","OK",IF(OR(NOT(ISNUMBER(Z237)),Z237&lt;0,AND(O237&lt;&gt;"",NOT(ISNUMBER(O237)))),"Inserisci rischio",IF(AND(I237="Esecuzioni",OR(W237=0,COUNTIFS('Esecuzioni'!$A$8:$A$1007,A237,'Esecuzioni'!$Q$8:$Q$1007,"&lt;&gt;OK")&gt;0)),"Correggi esecuzioni",IF(J237="Aperto","OK",IF(AND(I237="Esecuzioni",S237="Coperto",ABS(X237-Y237)&gt;'Impostazioni'!$B$11),"Copertura residua",IF(NOT(ISNUMBER(AC237)),"Completa risultato / esito",IF(AND(Z237=0,AC237&lt;&gt;0),"Rischio nullo con P/L","OK")))))))))))))</x:f>
      </x:c>
      <x:c r="AR237" s="20" t="str">
        <x:f>IF(OR(A237="",J237&lt;&gt;"Aperto",AQ237&lt;&gt;"OK"),"",IF(I237="Esecuzioni",SUMIFS('Esecuzioni'!$P$8:$P$1007,'Esecuzioni'!$A$8:$A$1007,A237,'Esecuzioni'!$B$8:$B$1007,_xlfn.MAXIFS('Esecuzioni'!$B$8:$B$1007,'Esecuzioni'!$A$8:$A$1007,A237)),IF(LEFT(U237,8)="FREEBET:",0,Z237)))</x:f>
      </x:c>
      <x:c r="AS237" s="48" t="str">
        <x:f>IF(OR(A237="",E237=""),"",IF(COUNTIFS($E$8:E237,E237)=1,COUNT($AS$7:AS236)+1,""))</x:f>
      </x:c>
    </x:row>
    <x:row r="238" ht="22" customHeight="1">
      <x:c r="A238" s="7"/>
      <x:c r="B238" s="19"/>
      <x:c r="C238" s="19"/>
      <x:c r="D238" s="7"/>
      <x:c r="E238" s="7"/>
      <x:c r="F238" s="7"/>
      <x:c r="G238" s="7"/>
      <x:c r="H238" s="7"/>
      <x:c r="I238" s="7"/>
      <x:c r="J238" s="7"/>
      <x:c r="K238" s="10"/>
      <x:c r="L238" s="7"/>
      <x:c r="M238" s="10"/>
      <x:c r="N238" s="7"/>
      <x:c r="O238" s="8"/>
      <x:c r="P238" s="8"/>
      <x:c r="Q238" s="8"/>
      <x:c r="R238" s="9"/>
      <x:c r="S238" s="7"/>
      <x:c r="T238" s="7"/>
      <x:c r="U238" s="7"/>
      <x:c r="V238" s="7"/>
      <x:c r="W238" s="22" t="str">
        <x:f>IF(A238="","",COUNTIFS('Esecuzioni'!$A$8:$A$1007,A238,'Esecuzioni'!$Q$8:$Q$1007,"OK"))</x:f>
      </x:c>
      <x:c r="X238" s="20" t="str">
        <x:f>IF(OR(A238="",I238&lt;&gt;"Esecuzioni",W238=0),"",SUMIFS('Esecuzioni'!$L$8:$L$1007,'Esecuzioni'!$A$8:$A$1007,A238))</x:f>
      </x:c>
      <x:c r="Y238" s="20" t="str">
        <x:f>IF(OR(A238="",I238&lt;&gt;"Esecuzioni",W238=0),"",SUMIFS('Esecuzioni'!$M$8:$M$1007,'Esecuzioni'!$A$8:$A$1007,A238))</x:f>
      </x:c>
      <x:c r="Z238" s="20" t="str">
        <x:f>IF(A238="","",IF(J238="Annullato",0,IF(ISNUMBER(O238),O238,IF(AND(I238="Esecuzioni",W238&gt;0),_xlfn.MAXIFS('Esecuzioni'!$P$8:$P$1007,'Esecuzioni'!$A$8:$A$1007,A238),""))))</x:f>
      </x:c>
      <x:c r="AA238" s="20" t="str">
        <x:f>IF(OR(A238="",J238="Aperto"),"",IF(J238="Annullato",0,IF(I238="Lordo manuale",IF(ISNUMBER(P238),P238,""),IF(I238="Netto manuale",IF(AND(ISNUMBER(P238),ISNUMBER(Q238)),P238+Q238,""),IF(OR(W238=0,COUNTIFS('Esecuzioni'!$A$8:$A$1007,A238,'Esecuzioni'!$Q$8:$Q$1007,"&lt;&gt;OK")&gt;0),"",IF(S238="Vince",X238,IF(S238="Perde",Y238,IF(AND(S238="Coperto",ABS(X238-Y238)&lt;='Impostazioni'!$B$11),ROUND((X238+Y238)/2,2),""))))))))</x:f>
      </x:c>
      <x:c r="AB238" s="20" t="str">
        <x:f>IF(NOT(ISNUMBER(AA238)),"",IF(J238="Annullato",0,IF(ISNUMBER(Q238),Q238,ROUND(MAX(0,AA238)*IF(ISNUMBER(R238),R238,'Impostazioni'!$B$8),2))))</x:f>
      </x:c>
      <x:c r="AC238" s="20" t="str">
        <x:f>IF(AND(ISNUMBER(AA238),ISNUMBER(AB238)),ROUND(AA238-AB238,2),"")</x:f>
      </x:c>
      <x:c r="AD238" s="18" t="str">
        <x:f>IF(A238="","",IF(AQ238&lt;&gt;"OK","Incompleto",IF(J238="Aperto","Aperto",IF(J238="Annullato","Annullato",IF(AC238&gt;0,"Green",IF(AC238&lt;0,"Red","Flat"))))))</x:f>
      </x:c>
      <x:c r="AE238" s="21" t="str">
        <x:f>IF(AND(AH238=1,Z238&gt;0),AC238/Z238,"")</x:f>
      </x:c>
      <x:c r="AF238" s="22" t="str">
        <x:f>IF(AH238&lt;&gt;1,"",COUNTIFS($C$8:$C$507,"&lt;"&amp;C238,$AH$8:$AH$507,1)+COUNTIFS($C$8:$C$507,C238,$A$8:$A$507,"&lt;="&amp;A238,$AH$8:$AH$507,1))</x:f>
      </x:c>
      <x:c r="AG238" s="20" t="str">
        <x:f>IF(AH238&lt;&gt;1,"",SUMIFS($AC$8:$AC$507,$C$8:$C$507,"&lt;"&amp;C238,$AH$8:$AH$507,1)+SUMIFS($AC$8:$AC$507,$C$8:$C$507,C238,$A$8:$A$507,"&lt;="&amp;A238,$AH$8:$AH$507,1))</x:f>
      </x:c>
      <x:c r="AH238" s="22" t="str">
        <x:f>IF(A238="","",IF(AND(J238="Chiuso",AQ238="OK",ISNUMBER(AC238)),1,0))</x:f>
      </x:c>
      <x:c r="AI238" s="20" t="str">
        <x:f>IF(AH238&lt;&gt;1,"",MAX(0,_xlfn.MAXIFS($AG$8:$AG$507,$AF$8:$AF$507,"&lt;="&amp;AF238,$AH$8:$AH$507,1)))</x:f>
      </x:c>
      <x:c r="AJ238" s="20" t="str">
        <x:f>IF(AH238&lt;&gt;1,"",MAX(0,AI238-AG238))</x:f>
      </x:c>
      <x:c r="AK238" s="21" t="str">
        <x:f>IF(OR(AH238&lt;&gt;1,NOT(ISNUMBER('Impostazioni'!$B$6)),'Impostazioni'!$B$6+AI238&lt;=0),"",AJ238/('Impostazioni'!$B$6+AI238))</x:f>
      </x:c>
      <x:c r="AL238" s="22" t="str">
        <x:f>IF(AH238&lt;&gt;1,"",IF(AC238&gt;0,AF238-_xlfn.MAXIFS($AF$8:$AF$507,$AF$8:$AF$507,"&lt;="&amp;AF238,$AC$8:$AC$507,"&lt;=0",$AH$8:$AH$507,1),0))</x:f>
      </x:c>
      <x:c r="AM238" s="22" t="str">
        <x:f>IF(AH238&lt;&gt;1,"",IF(AC238&lt;0,AF238-_xlfn.MAXIFS($AF$8:$AF$507,$AF$8:$AF$507,"&lt;="&amp;AF238,$AC$8:$AC$507,"&gt;=0",$AH$8:$AH$507,1),0))</x:f>
      </x:c>
      <x:c r="AN238" s="20" t="str">
        <x:f>IF(OR(A238="",NOT(ISNUMBER(B238)),NOT(ISNUMBER('Impostazioni'!$B$6))),"",'Impostazioni'!$B$6+SUMIFS($AC$8:$AC$507,$C$8:$C$507,"&lt;"&amp;B238,$AH$8:$AH$507,1)+SUMIFS('Cassa'!$F$8:$F$307,'Cassa'!$A$8:$A$307,"&lt;="&amp;B238,'Cassa'!$G$8:$G$307,"OK"))</x:f>
      </x:c>
      <x:c r="AO238" s="21" t="str">
        <x:f>IF(AND(ISNUMBER(Z238),ISNUMBER(AN238),AN238&gt;0),Z238/AN238,"")</x:f>
      </x:c>
      <x:c r="AP238" s="18" t="str">
        <x:f>IF(NOT(ISNUMBER(AO238)),"",IF(AO238&gt;'Impostazioni'!$B$7,"Oltre soglia personale","Nella soglia personale"))</x:f>
      </x:c>
      <x:c r="AQ238" s="18" t="str">
        <x:f>IF(A238="",IF(COUNTA(B238:V238)=0,"","Inserisci ID"),IF(COUNTIFS($A$8:$A$507,A238)&lt;&gt;1,"ID duplicato",IF(OR(NOT(ISNUMBER(B238)),D238="",E238="",F238="",G238="",H238="",COUNTIFS('Impostazioni'!$J$6:$J$25,F238)&lt;&gt;1),"Completa dati / elenchi",IF(OR(AND(I238&lt;&gt;"Lordo manuale",I238&lt;&gt;"Netto manuale",I238&lt;&gt;"Esecuzioni"),AND(J238&lt;&gt;"Aperto",J238&lt;&gt;"Chiuso",J238&lt;&gt;"Annullato")),"Modalità / stato mancanti",IF(AND(J238&lt;&gt;"Aperto",OR(NOT(ISNUMBER(C238)),C238&lt;B238)),"Correggi data chiusura",IF(OR(AND(Q238&lt;&gt;"",OR(NOT(ISNUMBER(Q238)),Q238&lt;0)),AND(R238&lt;&gt;"",OR(NOT(ISNUMBER(R238)),R238&lt;0,R238&gt;1))),"Commissione non valida",IF(J238="Annullato","OK",IF(OR(NOT(ISNUMBER(Z238)),Z238&lt;0,AND(O238&lt;&gt;"",NOT(ISNUMBER(O238)))),"Inserisci rischio",IF(AND(I238="Esecuzioni",OR(W238=0,COUNTIFS('Esecuzioni'!$A$8:$A$1007,A238,'Esecuzioni'!$Q$8:$Q$1007,"&lt;&gt;OK")&gt;0)),"Correggi esecuzioni",IF(J238="Aperto","OK",IF(AND(I238="Esecuzioni",S238="Coperto",ABS(X238-Y238)&gt;'Impostazioni'!$B$11),"Copertura residua",IF(NOT(ISNUMBER(AC238)),"Completa risultato / esito",IF(AND(Z238=0,AC238&lt;&gt;0),"Rischio nullo con P/L","OK")))))))))))))</x:f>
      </x:c>
      <x:c r="AR238" s="20" t="str">
        <x:f>IF(OR(A238="",J238&lt;&gt;"Aperto",AQ238&lt;&gt;"OK"),"",IF(I238="Esecuzioni",SUMIFS('Esecuzioni'!$P$8:$P$1007,'Esecuzioni'!$A$8:$A$1007,A238,'Esecuzioni'!$B$8:$B$1007,_xlfn.MAXIFS('Esecuzioni'!$B$8:$B$1007,'Esecuzioni'!$A$8:$A$1007,A238)),IF(LEFT(U238,8)="FREEBET:",0,Z238)))</x:f>
      </x:c>
      <x:c r="AS238" s="48" t="str">
        <x:f>IF(OR(A238="",E238=""),"",IF(COUNTIFS($E$8:E238,E238)=1,COUNT($AS$7:AS237)+1,""))</x:f>
      </x:c>
    </x:row>
    <x:row r="239" ht="22" customHeight="1">
      <x:c r="A239" s="7"/>
      <x:c r="B239" s="19"/>
      <x:c r="C239" s="19"/>
      <x:c r="D239" s="7"/>
      <x:c r="E239" s="7"/>
      <x:c r="F239" s="7"/>
      <x:c r="G239" s="7"/>
      <x:c r="H239" s="7"/>
      <x:c r="I239" s="7"/>
      <x:c r="J239" s="7"/>
      <x:c r="K239" s="10"/>
      <x:c r="L239" s="7"/>
      <x:c r="M239" s="10"/>
      <x:c r="N239" s="7"/>
      <x:c r="O239" s="8"/>
      <x:c r="P239" s="8"/>
      <x:c r="Q239" s="8"/>
      <x:c r="R239" s="9"/>
      <x:c r="S239" s="7"/>
      <x:c r="T239" s="7"/>
      <x:c r="U239" s="7"/>
      <x:c r="V239" s="7"/>
      <x:c r="W239" s="22" t="str">
        <x:f>IF(A239="","",COUNTIFS('Esecuzioni'!$A$8:$A$1007,A239,'Esecuzioni'!$Q$8:$Q$1007,"OK"))</x:f>
      </x:c>
      <x:c r="X239" s="20" t="str">
        <x:f>IF(OR(A239="",I239&lt;&gt;"Esecuzioni",W239=0),"",SUMIFS('Esecuzioni'!$L$8:$L$1007,'Esecuzioni'!$A$8:$A$1007,A239))</x:f>
      </x:c>
      <x:c r="Y239" s="20" t="str">
        <x:f>IF(OR(A239="",I239&lt;&gt;"Esecuzioni",W239=0),"",SUMIFS('Esecuzioni'!$M$8:$M$1007,'Esecuzioni'!$A$8:$A$1007,A239))</x:f>
      </x:c>
      <x:c r="Z239" s="20" t="str">
        <x:f>IF(A239="","",IF(J239="Annullato",0,IF(ISNUMBER(O239),O239,IF(AND(I239="Esecuzioni",W239&gt;0),_xlfn.MAXIFS('Esecuzioni'!$P$8:$P$1007,'Esecuzioni'!$A$8:$A$1007,A239),""))))</x:f>
      </x:c>
      <x:c r="AA239" s="20" t="str">
        <x:f>IF(OR(A239="",J239="Aperto"),"",IF(J239="Annullato",0,IF(I239="Lordo manuale",IF(ISNUMBER(P239),P239,""),IF(I239="Netto manuale",IF(AND(ISNUMBER(P239),ISNUMBER(Q239)),P239+Q239,""),IF(OR(W239=0,COUNTIFS('Esecuzioni'!$A$8:$A$1007,A239,'Esecuzioni'!$Q$8:$Q$1007,"&lt;&gt;OK")&gt;0),"",IF(S239="Vince",X239,IF(S239="Perde",Y239,IF(AND(S239="Coperto",ABS(X239-Y239)&lt;='Impostazioni'!$B$11),ROUND((X239+Y239)/2,2),""))))))))</x:f>
      </x:c>
      <x:c r="AB239" s="20" t="str">
        <x:f>IF(NOT(ISNUMBER(AA239)),"",IF(J239="Annullato",0,IF(ISNUMBER(Q239),Q239,ROUND(MAX(0,AA239)*IF(ISNUMBER(R239),R239,'Impostazioni'!$B$8),2))))</x:f>
      </x:c>
      <x:c r="AC239" s="20" t="str">
        <x:f>IF(AND(ISNUMBER(AA239),ISNUMBER(AB239)),ROUND(AA239-AB239,2),"")</x:f>
      </x:c>
      <x:c r="AD239" s="18" t="str">
        <x:f>IF(A239="","",IF(AQ239&lt;&gt;"OK","Incompleto",IF(J239="Aperto","Aperto",IF(J239="Annullato","Annullato",IF(AC239&gt;0,"Green",IF(AC239&lt;0,"Red","Flat"))))))</x:f>
      </x:c>
      <x:c r="AE239" s="21" t="str">
        <x:f>IF(AND(AH239=1,Z239&gt;0),AC239/Z239,"")</x:f>
      </x:c>
      <x:c r="AF239" s="22" t="str">
        <x:f>IF(AH239&lt;&gt;1,"",COUNTIFS($C$8:$C$507,"&lt;"&amp;C239,$AH$8:$AH$507,1)+COUNTIFS($C$8:$C$507,C239,$A$8:$A$507,"&lt;="&amp;A239,$AH$8:$AH$507,1))</x:f>
      </x:c>
      <x:c r="AG239" s="20" t="str">
        <x:f>IF(AH239&lt;&gt;1,"",SUMIFS($AC$8:$AC$507,$C$8:$C$507,"&lt;"&amp;C239,$AH$8:$AH$507,1)+SUMIFS($AC$8:$AC$507,$C$8:$C$507,C239,$A$8:$A$507,"&lt;="&amp;A239,$AH$8:$AH$507,1))</x:f>
      </x:c>
      <x:c r="AH239" s="22" t="str">
        <x:f>IF(A239="","",IF(AND(J239="Chiuso",AQ239="OK",ISNUMBER(AC239)),1,0))</x:f>
      </x:c>
      <x:c r="AI239" s="20" t="str">
        <x:f>IF(AH239&lt;&gt;1,"",MAX(0,_xlfn.MAXIFS($AG$8:$AG$507,$AF$8:$AF$507,"&lt;="&amp;AF239,$AH$8:$AH$507,1)))</x:f>
      </x:c>
      <x:c r="AJ239" s="20" t="str">
        <x:f>IF(AH239&lt;&gt;1,"",MAX(0,AI239-AG239))</x:f>
      </x:c>
      <x:c r="AK239" s="21" t="str">
        <x:f>IF(OR(AH239&lt;&gt;1,NOT(ISNUMBER('Impostazioni'!$B$6)),'Impostazioni'!$B$6+AI239&lt;=0),"",AJ239/('Impostazioni'!$B$6+AI239))</x:f>
      </x:c>
      <x:c r="AL239" s="22" t="str">
        <x:f>IF(AH239&lt;&gt;1,"",IF(AC239&gt;0,AF239-_xlfn.MAXIFS($AF$8:$AF$507,$AF$8:$AF$507,"&lt;="&amp;AF239,$AC$8:$AC$507,"&lt;=0",$AH$8:$AH$507,1),0))</x:f>
      </x:c>
      <x:c r="AM239" s="22" t="str">
        <x:f>IF(AH239&lt;&gt;1,"",IF(AC239&lt;0,AF239-_xlfn.MAXIFS($AF$8:$AF$507,$AF$8:$AF$507,"&lt;="&amp;AF239,$AC$8:$AC$507,"&gt;=0",$AH$8:$AH$507,1),0))</x:f>
      </x:c>
      <x:c r="AN239" s="20" t="str">
        <x:f>IF(OR(A239="",NOT(ISNUMBER(B239)),NOT(ISNUMBER('Impostazioni'!$B$6))),"",'Impostazioni'!$B$6+SUMIFS($AC$8:$AC$507,$C$8:$C$507,"&lt;"&amp;B239,$AH$8:$AH$507,1)+SUMIFS('Cassa'!$F$8:$F$307,'Cassa'!$A$8:$A$307,"&lt;="&amp;B239,'Cassa'!$G$8:$G$307,"OK"))</x:f>
      </x:c>
      <x:c r="AO239" s="21" t="str">
        <x:f>IF(AND(ISNUMBER(Z239),ISNUMBER(AN239),AN239&gt;0),Z239/AN239,"")</x:f>
      </x:c>
      <x:c r="AP239" s="18" t="str">
        <x:f>IF(NOT(ISNUMBER(AO239)),"",IF(AO239&gt;'Impostazioni'!$B$7,"Oltre soglia personale","Nella soglia personale"))</x:f>
      </x:c>
      <x:c r="AQ239" s="18" t="str">
        <x:f>IF(A239="",IF(COUNTA(B239:V239)=0,"","Inserisci ID"),IF(COUNTIFS($A$8:$A$507,A239)&lt;&gt;1,"ID duplicato",IF(OR(NOT(ISNUMBER(B239)),D239="",E239="",F239="",G239="",H239="",COUNTIFS('Impostazioni'!$J$6:$J$25,F239)&lt;&gt;1),"Completa dati / elenchi",IF(OR(AND(I239&lt;&gt;"Lordo manuale",I239&lt;&gt;"Netto manuale",I239&lt;&gt;"Esecuzioni"),AND(J239&lt;&gt;"Aperto",J239&lt;&gt;"Chiuso",J239&lt;&gt;"Annullato")),"Modalità / stato mancanti",IF(AND(J239&lt;&gt;"Aperto",OR(NOT(ISNUMBER(C239)),C239&lt;B239)),"Correggi data chiusura",IF(OR(AND(Q239&lt;&gt;"",OR(NOT(ISNUMBER(Q239)),Q239&lt;0)),AND(R239&lt;&gt;"",OR(NOT(ISNUMBER(R239)),R239&lt;0,R239&gt;1))),"Commissione non valida",IF(J239="Annullato","OK",IF(OR(NOT(ISNUMBER(Z239)),Z239&lt;0,AND(O239&lt;&gt;"",NOT(ISNUMBER(O239)))),"Inserisci rischio",IF(AND(I239="Esecuzioni",OR(W239=0,COUNTIFS('Esecuzioni'!$A$8:$A$1007,A239,'Esecuzioni'!$Q$8:$Q$1007,"&lt;&gt;OK")&gt;0)),"Correggi esecuzioni",IF(J239="Aperto","OK",IF(AND(I239="Esecuzioni",S239="Coperto",ABS(X239-Y239)&gt;'Impostazioni'!$B$11),"Copertura residua",IF(NOT(ISNUMBER(AC239)),"Completa risultato / esito",IF(AND(Z239=0,AC239&lt;&gt;0),"Rischio nullo con P/L","OK")))))))))))))</x:f>
      </x:c>
      <x:c r="AR239" s="20" t="str">
        <x:f>IF(OR(A239="",J239&lt;&gt;"Aperto",AQ239&lt;&gt;"OK"),"",IF(I239="Esecuzioni",SUMIFS('Esecuzioni'!$P$8:$P$1007,'Esecuzioni'!$A$8:$A$1007,A239,'Esecuzioni'!$B$8:$B$1007,_xlfn.MAXIFS('Esecuzioni'!$B$8:$B$1007,'Esecuzioni'!$A$8:$A$1007,A239)),IF(LEFT(U239,8)="FREEBET:",0,Z239)))</x:f>
      </x:c>
      <x:c r="AS239" s="48" t="str">
        <x:f>IF(OR(A239="",E239=""),"",IF(COUNTIFS($E$8:E239,E239)=1,COUNT($AS$7:AS238)+1,""))</x:f>
      </x:c>
    </x:row>
    <x:row r="240" ht="22" customHeight="1">
      <x:c r="A240" s="7"/>
      <x:c r="B240" s="19"/>
      <x:c r="C240" s="19"/>
      <x:c r="D240" s="7"/>
      <x:c r="E240" s="7"/>
      <x:c r="F240" s="7"/>
      <x:c r="G240" s="7"/>
      <x:c r="H240" s="7"/>
      <x:c r="I240" s="7"/>
      <x:c r="J240" s="7"/>
      <x:c r="K240" s="10"/>
      <x:c r="L240" s="7"/>
      <x:c r="M240" s="10"/>
      <x:c r="N240" s="7"/>
      <x:c r="O240" s="8"/>
      <x:c r="P240" s="8"/>
      <x:c r="Q240" s="8"/>
      <x:c r="R240" s="9"/>
      <x:c r="S240" s="7"/>
      <x:c r="T240" s="7"/>
      <x:c r="U240" s="7"/>
      <x:c r="V240" s="7"/>
      <x:c r="W240" s="22" t="str">
        <x:f>IF(A240="","",COUNTIFS('Esecuzioni'!$A$8:$A$1007,A240,'Esecuzioni'!$Q$8:$Q$1007,"OK"))</x:f>
      </x:c>
      <x:c r="X240" s="20" t="str">
        <x:f>IF(OR(A240="",I240&lt;&gt;"Esecuzioni",W240=0),"",SUMIFS('Esecuzioni'!$L$8:$L$1007,'Esecuzioni'!$A$8:$A$1007,A240))</x:f>
      </x:c>
      <x:c r="Y240" s="20" t="str">
        <x:f>IF(OR(A240="",I240&lt;&gt;"Esecuzioni",W240=0),"",SUMIFS('Esecuzioni'!$M$8:$M$1007,'Esecuzioni'!$A$8:$A$1007,A240))</x:f>
      </x:c>
      <x:c r="Z240" s="20" t="str">
        <x:f>IF(A240="","",IF(J240="Annullato",0,IF(ISNUMBER(O240),O240,IF(AND(I240="Esecuzioni",W240&gt;0),_xlfn.MAXIFS('Esecuzioni'!$P$8:$P$1007,'Esecuzioni'!$A$8:$A$1007,A240),""))))</x:f>
      </x:c>
      <x:c r="AA240" s="20" t="str">
        <x:f>IF(OR(A240="",J240="Aperto"),"",IF(J240="Annullato",0,IF(I240="Lordo manuale",IF(ISNUMBER(P240),P240,""),IF(I240="Netto manuale",IF(AND(ISNUMBER(P240),ISNUMBER(Q240)),P240+Q240,""),IF(OR(W240=0,COUNTIFS('Esecuzioni'!$A$8:$A$1007,A240,'Esecuzioni'!$Q$8:$Q$1007,"&lt;&gt;OK")&gt;0),"",IF(S240="Vince",X240,IF(S240="Perde",Y240,IF(AND(S240="Coperto",ABS(X240-Y240)&lt;='Impostazioni'!$B$11),ROUND((X240+Y240)/2,2),""))))))))</x:f>
      </x:c>
      <x:c r="AB240" s="20" t="str">
        <x:f>IF(NOT(ISNUMBER(AA240)),"",IF(J240="Annullato",0,IF(ISNUMBER(Q240),Q240,ROUND(MAX(0,AA240)*IF(ISNUMBER(R240),R240,'Impostazioni'!$B$8),2))))</x:f>
      </x:c>
      <x:c r="AC240" s="20" t="str">
        <x:f>IF(AND(ISNUMBER(AA240),ISNUMBER(AB240)),ROUND(AA240-AB240,2),"")</x:f>
      </x:c>
      <x:c r="AD240" s="18" t="str">
        <x:f>IF(A240="","",IF(AQ240&lt;&gt;"OK","Incompleto",IF(J240="Aperto","Aperto",IF(J240="Annullato","Annullato",IF(AC240&gt;0,"Green",IF(AC240&lt;0,"Red","Flat"))))))</x:f>
      </x:c>
      <x:c r="AE240" s="21" t="str">
        <x:f>IF(AND(AH240=1,Z240&gt;0),AC240/Z240,"")</x:f>
      </x:c>
      <x:c r="AF240" s="22" t="str">
        <x:f>IF(AH240&lt;&gt;1,"",COUNTIFS($C$8:$C$507,"&lt;"&amp;C240,$AH$8:$AH$507,1)+COUNTIFS($C$8:$C$507,C240,$A$8:$A$507,"&lt;="&amp;A240,$AH$8:$AH$507,1))</x:f>
      </x:c>
      <x:c r="AG240" s="20" t="str">
        <x:f>IF(AH240&lt;&gt;1,"",SUMIFS($AC$8:$AC$507,$C$8:$C$507,"&lt;"&amp;C240,$AH$8:$AH$507,1)+SUMIFS($AC$8:$AC$507,$C$8:$C$507,C240,$A$8:$A$507,"&lt;="&amp;A240,$AH$8:$AH$507,1))</x:f>
      </x:c>
      <x:c r="AH240" s="22" t="str">
        <x:f>IF(A240="","",IF(AND(J240="Chiuso",AQ240="OK",ISNUMBER(AC240)),1,0))</x:f>
      </x:c>
      <x:c r="AI240" s="20" t="str">
        <x:f>IF(AH240&lt;&gt;1,"",MAX(0,_xlfn.MAXIFS($AG$8:$AG$507,$AF$8:$AF$507,"&lt;="&amp;AF240,$AH$8:$AH$507,1)))</x:f>
      </x:c>
      <x:c r="AJ240" s="20" t="str">
        <x:f>IF(AH240&lt;&gt;1,"",MAX(0,AI240-AG240))</x:f>
      </x:c>
      <x:c r="AK240" s="21" t="str">
        <x:f>IF(OR(AH240&lt;&gt;1,NOT(ISNUMBER('Impostazioni'!$B$6)),'Impostazioni'!$B$6+AI240&lt;=0),"",AJ240/('Impostazioni'!$B$6+AI240))</x:f>
      </x:c>
      <x:c r="AL240" s="22" t="str">
        <x:f>IF(AH240&lt;&gt;1,"",IF(AC240&gt;0,AF240-_xlfn.MAXIFS($AF$8:$AF$507,$AF$8:$AF$507,"&lt;="&amp;AF240,$AC$8:$AC$507,"&lt;=0",$AH$8:$AH$507,1),0))</x:f>
      </x:c>
      <x:c r="AM240" s="22" t="str">
        <x:f>IF(AH240&lt;&gt;1,"",IF(AC240&lt;0,AF240-_xlfn.MAXIFS($AF$8:$AF$507,$AF$8:$AF$507,"&lt;="&amp;AF240,$AC$8:$AC$507,"&gt;=0",$AH$8:$AH$507,1),0))</x:f>
      </x:c>
      <x:c r="AN240" s="20" t="str">
        <x:f>IF(OR(A240="",NOT(ISNUMBER(B240)),NOT(ISNUMBER('Impostazioni'!$B$6))),"",'Impostazioni'!$B$6+SUMIFS($AC$8:$AC$507,$C$8:$C$507,"&lt;"&amp;B240,$AH$8:$AH$507,1)+SUMIFS('Cassa'!$F$8:$F$307,'Cassa'!$A$8:$A$307,"&lt;="&amp;B240,'Cassa'!$G$8:$G$307,"OK"))</x:f>
      </x:c>
      <x:c r="AO240" s="21" t="str">
        <x:f>IF(AND(ISNUMBER(Z240),ISNUMBER(AN240),AN240&gt;0),Z240/AN240,"")</x:f>
      </x:c>
      <x:c r="AP240" s="18" t="str">
        <x:f>IF(NOT(ISNUMBER(AO240)),"",IF(AO240&gt;'Impostazioni'!$B$7,"Oltre soglia personale","Nella soglia personale"))</x:f>
      </x:c>
      <x:c r="AQ240" s="18" t="str">
        <x:f>IF(A240="",IF(COUNTA(B240:V240)=0,"","Inserisci ID"),IF(COUNTIFS($A$8:$A$507,A240)&lt;&gt;1,"ID duplicato",IF(OR(NOT(ISNUMBER(B240)),D240="",E240="",F240="",G240="",H240="",COUNTIFS('Impostazioni'!$J$6:$J$25,F240)&lt;&gt;1),"Completa dati / elenchi",IF(OR(AND(I240&lt;&gt;"Lordo manuale",I240&lt;&gt;"Netto manuale",I240&lt;&gt;"Esecuzioni"),AND(J240&lt;&gt;"Aperto",J240&lt;&gt;"Chiuso",J240&lt;&gt;"Annullato")),"Modalità / stato mancanti",IF(AND(J240&lt;&gt;"Aperto",OR(NOT(ISNUMBER(C240)),C240&lt;B240)),"Correggi data chiusura",IF(OR(AND(Q240&lt;&gt;"",OR(NOT(ISNUMBER(Q240)),Q240&lt;0)),AND(R240&lt;&gt;"",OR(NOT(ISNUMBER(R240)),R240&lt;0,R240&gt;1))),"Commissione non valida",IF(J240="Annullato","OK",IF(OR(NOT(ISNUMBER(Z240)),Z240&lt;0,AND(O240&lt;&gt;"",NOT(ISNUMBER(O240)))),"Inserisci rischio",IF(AND(I240="Esecuzioni",OR(W240=0,COUNTIFS('Esecuzioni'!$A$8:$A$1007,A240,'Esecuzioni'!$Q$8:$Q$1007,"&lt;&gt;OK")&gt;0)),"Correggi esecuzioni",IF(J240="Aperto","OK",IF(AND(I240="Esecuzioni",S240="Coperto",ABS(X240-Y240)&gt;'Impostazioni'!$B$11),"Copertura residua",IF(NOT(ISNUMBER(AC240)),"Completa risultato / esito",IF(AND(Z240=0,AC240&lt;&gt;0),"Rischio nullo con P/L","OK")))))))))))))</x:f>
      </x:c>
      <x:c r="AR240" s="20" t="str">
        <x:f>IF(OR(A240="",J240&lt;&gt;"Aperto",AQ240&lt;&gt;"OK"),"",IF(I240="Esecuzioni",SUMIFS('Esecuzioni'!$P$8:$P$1007,'Esecuzioni'!$A$8:$A$1007,A240,'Esecuzioni'!$B$8:$B$1007,_xlfn.MAXIFS('Esecuzioni'!$B$8:$B$1007,'Esecuzioni'!$A$8:$A$1007,A240)),IF(LEFT(U240,8)="FREEBET:",0,Z240)))</x:f>
      </x:c>
      <x:c r="AS240" s="48" t="str">
        <x:f>IF(OR(A240="",E240=""),"",IF(COUNTIFS($E$8:E240,E240)=1,COUNT($AS$7:AS239)+1,""))</x:f>
      </x:c>
    </x:row>
    <x:row r="241" ht="22" customHeight="1">
      <x:c r="A241" s="7"/>
      <x:c r="B241" s="19"/>
      <x:c r="C241" s="19"/>
      <x:c r="D241" s="7"/>
      <x:c r="E241" s="7"/>
      <x:c r="F241" s="7"/>
      <x:c r="G241" s="7"/>
      <x:c r="H241" s="7"/>
      <x:c r="I241" s="7"/>
      <x:c r="J241" s="7"/>
      <x:c r="K241" s="10"/>
      <x:c r="L241" s="7"/>
      <x:c r="M241" s="10"/>
      <x:c r="N241" s="7"/>
      <x:c r="O241" s="8"/>
      <x:c r="P241" s="8"/>
      <x:c r="Q241" s="8"/>
      <x:c r="R241" s="9"/>
      <x:c r="S241" s="7"/>
      <x:c r="T241" s="7"/>
      <x:c r="U241" s="7"/>
      <x:c r="V241" s="7"/>
      <x:c r="W241" s="22" t="str">
        <x:f>IF(A241="","",COUNTIFS('Esecuzioni'!$A$8:$A$1007,A241,'Esecuzioni'!$Q$8:$Q$1007,"OK"))</x:f>
      </x:c>
      <x:c r="X241" s="20" t="str">
        <x:f>IF(OR(A241="",I241&lt;&gt;"Esecuzioni",W241=0),"",SUMIFS('Esecuzioni'!$L$8:$L$1007,'Esecuzioni'!$A$8:$A$1007,A241))</x:f>
      </x:c>
      <x:c r="Y241" s="20" t="str">
        <x:f>IF(OR(A241="",I241&lt;&gt;"Esecuzioni",W241=0),"",SUMIFS('Esecuzioni'!$M$8:$M$1007,'Esecuzioni'!$A$8:$A$1007,A241))</x:f>
      </x:c>
      <x:c r="Z241" s="20" t="str">
        <x:f>IF(A241="","",IF(J241="Annullato",0,IF(ISNUMBER(O241),O241,IF(AND(I241="Esecuzioni",W241&gt;0),_xlfn.MAXIFS('Esecuzioni'!$P$8:$P$1007,'Esecuzioni'!$A$8:$A$1007,A241),""))))</x:f>
      </x:c>
      <x:c r="AA241" s="20" t="str">
        <x:f>IF(OR(A241="",J241="Aperto"),"",IF(J241="Annullato",0,IF(I241="Lordo manuale",IF(ISNUMBER(P241),P241,""),IF(I241="Netto manuale",IF(AND(ISNUMBER(P241),ISNUMBER(Q241)),P241+Q241,""),IF(OR(W241=0,COUNTIFS('Esecuzioni'!$A$8:$A$1007,A241,'Esecuzioni'!$Q$8:$Q$1007,"&lt;&gt;OK")&gt;0),"",IF(S241="Vince",X241,IF(S241="Perde",Y241,IF(AND(S241="Coperto",ABS(X241-Y241)&lt;='Impostazioni'!$B$11),ROUND((X241+Y241)/2,2),""))))))))</x:f>
      </x:c>
      <x:c r="AB241" s="20" t="str">
        <x:f>IF(NOT(ISNUMBER(AA241)),"",IF(J241="Annullato",0,IF(ISNUMBER(Q241),Q241,ROUND(MAX(0,AA241)*IF(ISNUMBER(R241),R241,'Impostazioni'!$B$8),2))))</x:f>
      </x:c>
      <x:c r="AC241" s="20" t="str">
        <x:f>IF(AND(ISNUMBER(AA241),ISNUMBER(AB241)),ROUND(AA241-AB241,2),"")</x:f>
      </x:c>
      <x:c r="AD241" s="18" t="str">
        <x:f>IF(A241="","",IF(AQ241&lt;&gt;"OK","Incompleto",IF(J241="Aperto","Aperto",IF(J241="Annullato","Annullato",IF(AC241&gt;0,"Green",IF(AC241&lt;0,"Red","Flat"))))))</x:f>
      </x:c>
      <x:c r="AE241" s="21" t="str">
        <x:f>IF(AND(AH241=1,Z241&gt;0),AC241/Z241,"")</x:f>
      </x:c>
      <x:c r="AF241" s="22" t="str">
        <x:f>IF(AH241&lt;&gt;1,"",COUNTIFS($C$8:$C$507,"&lt;"&amp;C241,$AH$8:$AH$507,1)+COUNTIFS($C$8:$C$507,C241,$A$8:$A$507,"&lt;="&amp;A241,$AH$8:$AH$507,1))</x:f>
      </x:c>
      <x:c r="AG241" s="20" t="str">
        <x:f>IF(AH241&lt;&gt;1,"",SUMIFS($AC$8:$AC$507,$C$8:$C$507,"&lt;"&amp;C241,$AH$8:$AH$507,1)+SUMIFS($AC$8:$AC$507,$C$8:$C$507,C241,$A$8:$A$507,"&lt;="&amp;A241,$AH$8:$AH$507,1))</x:f>
      </x:c>
      <x:c r="AH241" s="22" t="str">
        <x:f>IF(A241="","",IF(AND(J241="Chiuso",AQ241="OK",ISNUMBER(AC241)),1,0))</x:f>
      </x:c>
      <x:c r="AI241" s="20" t="str">
        <x:f>IF(AH241&lt;&gt;1,"",MAX(0,_xlfn.MAXIFS($AG$8:$AG$507,$AF$8:$AF$507,"&lt;="&amp;AF241,$AH$8:$AH$507,1)))</x:f>
      </x:c>
      <x:c r="AJ241" s="20" t="str">
        <x:f>IF(AH241&lt;&gt;1,"",MAX(0,AI241-AG241))</x:f>
      </x:c>
      <x:c r="AK241" s="21" t="str">
        <x:f>IF(OR(AH241&lt;&gt;1,NOT(ISNUMBER('Impostazioni'!$B$6)),'Impostazioni'!$B$6+AI241&lt;=0),"",AJ241/('Impostazioni'!$B$6+AI241))</x:f>
      </x:c>
      <x:c r="AL241" s="22" t="str">
        <x:f>IF(AH241&lt;&gt;1,"",IF(AC241&gt;0,AF241-_xlfn.MAXIFS($AF$8:$AF$507,$AF$8:$AF$507,"&lt;="&amp;AF241,$AC$8:$AC$507,"&lt;=0",$AH$8:$AH$507,1),0))</x:f>
      </x:c>
      <x:c r="AM241" s="22" t="str">
        <x:f>IF(AH241&lt;&gt;1,"",IF(AC241&lt;0,AF241-_xlfn.MAXIFS($AF$8:$AF$507,$AF$8:$AF$507,"&lt;="&amp;AF241,$AC$8:$AC$507,"&gt;=0",$AH$8:$AH$507,1),0))</x:f>
      </x:c>
      <x:c r="AN241" s="20" t="str">
        <x:f>IF(OR(A241="",NOT(ISNUMBER(B241)),NOT(ISNUMBER('Impostazioni'!$B$6))),"",'Impostazioni'!$B$6+SUMIFS($AC$8:$AC$507,$C$8:$C$507,"&lt;"&amp;B241,$AH$8:$AH$507,1)+SUMIFS('Cassa'!$F$8:$F$307,'Cassa'!$A$8:$A$307,"&lt;="&amp;B241,'Cassa'!$G$8:$G$307,"OK"))</x:f>
      </x:c>
      <x:c r="AO241" s="21" t="str">
        <x:f>IF(AND(ISNUMBER(Z241),ISNUMBER(AN241),AN241&gt;0),Z241/AN241,"")</x:f>
      </x:c>
      <x:c r="AP241" s="18" t="str">
        <x:f>IF(NOT(ISNUMBER(AO241)),"",IF(AO241&gt;'Impostazioni'!$B$7,"Oltre soglia personale","Nella soglia personale"))</x:f>
      </x:c>
      <x:c r="AQ241" s="18" t="str">
        <x:f>IF(A241="",IF(COUNTA(B241:V241)=0,"","Inserisci ID"),IF(COUNTIFS($A$8:$A$507,A241)&lt;&gt;1,"ID duplicato",IF(OR(NOT(ISNUMBER(B241)),D241="",E241="",F241="",G241="",H241="",COUNTIFS('Impostazioni'!$J$6:$J$25,F241)&lt;&gt;1),"Completa dati / elenchi",IF(OR(AND(I241&lt;&gt;"Lordo manuale",I241&lt;&gt;"Netto manuale",I241&lt;&gt;"Esecuzioni"),AND(J241&lt;&gt;"Aperto",J241&lt;&gt;"Chiuso",J241&lt;&gt;"Annullato")),"Modalità / stato mancanti",IF(AND(J241&lt;&gt;"Aperto",OR(NOT(ISNUMBER(C241)),C241&lt;B241)),"Correggi data chiusura",IF(OR(AND(Q241&lt;&gt;"",OR(NOT(ISNUMBER(Q241)),Q241&lt;0)),AND(R241&lt;&gt;"",OR(NOT(ISNUMBER(R241)),R241&lt;0,R241&gt;1))),"Commissione non valida",IF(J241="Annullato","OK",IF(OR(NOT(ISNUMBER(Z241)),Z241&lt;0,AND(O241&lt;&gt;"",NOT(ISNUMBER(O241)))),"Inserisci rischio",IF(AND(I241="Esecuzioni",OR(W241=0,COUNTIFS('Esecuzioni'!$A$8:$A$1007,A241,'Esecuzioni'!$Q$8:$Q$1007,"&lt;&gt;OK")&gt;0)),"Correggi esecuzioni",IF(J241="Aperto","OK",IF(AND(I241="Esecuzioni",S241="Coperto",ABS(X241-Y241)&gt;'Impostazioni'!$B$11),"Copertura residua",IF(NOT(ISNUMBER(AC241)),"Completa risultato / esito",IF(AND(Z241=0,AC241&lt;&gt;0),"Rischio nullo con P/L","OK")))))))))))))</x:f>
      </x:c>
      <x:c r="AR241" s="20" t="str">
        <x:f>IF(OR(A241="",J241&lt;&gt;"Aperto",AQ241&lt;&gt;"OK"),"",IF(I241="Esecuzioni",SUMIFS('Esecuzioni'!$P$8:$P$1007,'Esecuzioni'!$A$8:$A$1007,A241,'Esecuzioni'!$B$8:$B$1007,_xlfn.MAXIFS('Esecuzioni'!$B$8:$B$1007,'Esecuzioni'!$A$8:$A$1007,A241)),IF(LEFT(U241,8)="FREEBET:",0,Z241)))</x:f>
      </x:c>
      <x:c r="AS241" s="48" t="str">
        <x:f>IF(OR(A241="",E241=""),"",IF(COUNTIFS($E$8:E241,E241)=1,COUNT($AS$7:AS240)+1,""))</x:f>
      </x:c>
    </x:row>
    <x:row r="242" ht="22" customHeight="1">
      <x:c r="A242" s="7"/>
      <x:c r="B242" s="19"/>
      <x:c r="C242" s="19"/>
      <x:c r="D242" s="7"/>
      <x:c r="E242" s="7"/>
      <x:c r="F242" s="7"/>
      <x:c r="G242" s="7"/>
      <x:c r="H242" s="7"/>
      <x:c r="I242" s="7"/>
      <x:c r="J242" s="7"/>
      <x:c r="K242" s="10"/>
      <x:c r="L242" s="7"/>
      <x:c r="M242" s="10"/>
      <x:c r="N242" s="7"/>
      <x:c r="O242" s="8"/>
      <x:c r="P242" s="8"/>
      <x:c r="Q242" s="8"/>
      <x:c r="R242" s="9"/>
      <x:c r="S242" s="7"/>
      <x:c r="T242" s="7"/>
      <x:c r="U242" s="7"/>
      <x:c r="V242" s="7"/>
      <x:c r="W242" s="22" t="str">
        <x:f>IF(A242="","",COUNTIFS('Esecuzioni'!$A$8:$A$1007,A242,'Esecuzioni'!$Q$8:$Q$1007,"OK"))</x:f>
      </x:c>
      <x:c r="X242" s="20" t="str">
        <x:f>IF(OR(A242="",I242&lt;&gt;"Esecuzioni",W242=0),"",SUMIFS('Esecuzioni'!$L$8:$L$1007,'Esecuzioni'!$A$8:$A$1007,A242))</x:f>
      </x:c>
      <x:c r="Y242" s="20" t="str">
        <x:f>IF(OR(A242="",I242&lt;&gt;"Esecuzioni",W242=0),"",SUMIFS('Esecuzioni'!$M$8:$M$1007,'Esecuzioni'!$A$8:$A$1007,A242))</x:f>
      </x:c>
      <x:c r="Z242" s="20" t="str">
        <x:f>IF(A242="","",IF(J242="Annullato",0,IF(ISNUMBER(O242),O242,IF(AND(I242="Esecuzioni",W242&gt;0),_xlfn.MAXIFS('Esecuzioni'!$P$8:$P$1007,'Esecuzioni'!$A$8:$A$1007,A242),""))))</x:f>
      </x:c>
      <x:c r="AA242" s="20" t="str">
        <x:f>IF(OR(A242="",J242="Aperto"),"",IF(J242="Annullato",0,IF(I242="Lordo manuale",IF(ISNUMBER(P242),P242,""),IF(I242="Netto manuale",IF(AND(ISNUMBER(P242),ISNUMBER(Q242)),P242+Q242,""),IF(OR(W242=0,COUNTIFS('Esecuzioni'!$A$8:$A$1007,A242,'Esecuzioni'!$Q$8:$Q$1007,"&lt;&gt;OK")&gt;0),"",IF(S242="Vince",X242,IF(S242="Perde",Y242,IF(AND(S242="Coperto",ABS(X242-Y242)&lt;='Impostazioni'!$B$11),ROUND((X242+Y242)/2,2),""))))))))</x:f>
      </x:c>
      <x:c r="AB242" s="20" t="str">
        <x:f>IF(NOT(ISNUMBER(AA242)),"",IF(J242="Annullato",0,IF(ISNUMBER(Q242),Q242,ROUND(MAX(0,AA242)*IF(ISNUMBER(R242),R242,'Impostazioni'!$B$8),2))))</x:f>
      </x:c>
      <x:c r="AC242" s="20" t="str">
        <x:f>IF(AND(ISNUMBER(AA242),ISNUMBER(AB242)),ROUND(AA242-AB242,2),"")</x:f>
      </x:c>
      <x:c r="AD242" s="18" t="str">
        <x:f>IF(A242="","",IF(AQ242&lt;&gt;"OK","Incompleto",IF(J242="Aperto","Aperto",IF(J242="Annullato","Annullato",IF(AC242&gt;0,"Green",IF(AC242&lt;0,"Red","Flat"))))))</x:f>
      </x:c>
      <x:c r="AE242" s="21" t="str">
        <x:f>IF(AND(AH242=1,Z242&gt;0),AC242/Z242,"")</x:f>
      </x:c>
      <x:c r="AF242" s="22" t="str">
        <x:f>IF(AH242&lt;&gt;1,"",COUNTIFS($C$8:$C$507,"&lt;"&amp;C242,$AH$8:$AH$507,1)+COUNTIFS($C$8:$C$507,C242,$A$8:$A$507,"&lt;="&amp;A242,$AH$8:$AH$507,1))</x:f>
      </x:c>
      <x:c r="AG242" s="20" t="str">
        <x:f>IF(AH242&lt;&gt;1,"",SUMIFS($AC$8:$AC$507,$C$8:$C$507,"&lt;"&amp;C242,$AH$8:$AH$507,1)+SUMIFS($AC$8:$AC$507,$C$8:$C$507,C242,$A$8:$A$507,"&lt;="&amp;A242,$AH$8:$AH$507,1))</x:f>
      </x:c>
      <x:c r="AH242" s="22" t="str">
        <x:f>IF(A242="","",IF(AND(J242="Chiuso",AQ242="OK",ISNUMBER(AC242)),1,0))</x:f>
      </x:c>
      <x:c r="AI242" s="20" t="str">
        <x:f>IF(AH242&lt;&gt;1,"",MAX(0,_xlfn.MAXIFS($AG$8:$AG$507,$AF$8:$AF$507,"&lt;="&amp;AF242,$AH$8:$AH$507,1)))</x:f>
      </x:c>
      <x:c r="AJ242" s="20" t="str">
        <x:f>IF(AH242&lt;&gt;1,"",MAX(0,AI242-AG242))</x:f>
      </x:c>
      <x:c r="AK242" s="21" t="str">
        <x:f>IF(OR(AH242&lt;&gt;1,NOT(ISNUMBER('Impostazioni'!$B$6)),'Impostazioni'!$B$6+AI242&lt;=0),"",AJ242/('Impostazioni'!$B$6+AI242))</x:f>
      </x:c>
      <x:c r="AL242" s="22" t="str">
        <x:f>IF(AH242&lt;&gt;1,"",IF(AC242&gt;0,AF242-_xlfn.MAXIFS($AF$8:$AF$507,$AF$8:$AF$507,"&lt;="&amp;AF242,$AC$8:$AC$507,"&lt;=0",$AH$8:$AH$507,1),0))</x:f>
      </x:c>
      <x:c r="AM242" s="22" t="str">
        <x:f>IF(AH242&lt;&gt;1,"",IF(AC242&lt;0,AF242-_xlfn.MAXIFS($AF$8:$AF$507,$AF$8:$AF$507,"&lt;="&amp;AF242,$AC$8:$AC$507,"&gt;=0",$AH$8:$AH$507,1),0))</x:f>
      </x:c>
      <x:c r="AN242" s="20" t="str">
        <x:f>IF(OR(A242="",NOT(ISNUMBER(B242)),NOT(ISNUMBER('Impostazioni'!$B$6))),"",'Impostazioni'!$B$6+SUMIFS($AC$8:$AC$507,$C$8:$C$507,"&lt;"&amp;B242,$AH$8:$AH$507,1)+SUMIFS('Cassa'!$F$8:$F$307,'Cassa'!$A$8:$A$307,"&lt;="&amp;B242,'Cassa'!$G$8:$G$307,"OK"))</x:f>
      </x:c>
      <x:c r="AO242" s="21" t="str">
        <x:f>IF(AND(ISNUMBER(Z242),ISNUMBER(AN242),AN242&gt;0),Z242/AN242,"")</x:f>
      </x:c>
      <x:c r="AP242" s="18" t="str">
        <x:f>IF(NOT(ISNUMBER(AO242)),"",IF(AO242&gt;'Impostazioni'!$B$7,"Oltre soglia personale","Nella soglia personale"))</x:f>
      </x:c>
      <x:c r="AQ242" s="18" t="str">
        <x:f>IF(A242="",IF(COUNTA(B242:V242)=0,"","Inserisci ID"),IF(COUNTIFS($A$8:$A$507,A242)&lt;&gt;1,"ID duplicato",IF(OR(NOT(ISNUMBER(B242)),D242="",E242="",F242="",G242="",H242="",COUNTIFS('Impostazioni'!$J$6:$J$25,F242)&lt;&gt;1),"Completa dati / elenchi",IF(OR(AND(I242&lt;&gt;"Lordo manuale",I242&lt;&gt;"Netto manuale",I242&lt;&gt;"Esecuzioni"),AND(J242&lt;&gt;"Aperto",J242&lt;&gt;"Chiuso",J242&lt;&gt;"Annullato")),"Modalità / stato mancanti",IF(AND(J242&lt;&gt;"Aperto",OR(NOT(ISNUMBER(C242)),C242&lt;B242)),"Correggi data chiusura",IF(OR(AND(Q242&lt;&gt;"",OR(NOT(ISNUMBER(Q242)),Q242&lt;0)),AND(R242&lt;&gt;"",OR(NOT(ISNUMBER(R242)),R242&lt;0,R242&gt;1))),"Commissione non valida",IF(J242="Annullato","OK",IF(OR(NOT(ISNUMBER(Z242)),Z242&lt;0,AND(O242&lt;&gt;"",NOT(ISNUMBER(O242)))),"Inserisci rischio",IF(AND(I242="Esecuzioni",OR(W242=0,COUNTIFS('Esecuzioni'!$A$8:$A$1007,A242,'Esecuzioni'!$Q$8:$Q$1007,"&lt;&gt;OK")&gt;0)),"Correggi esecuzioni",IF(J242="Aperto","OK",IF(AND(I242="Esecuzioni",S242="Coperto",ABS(X242-Y242)&gt;'Impostazioni'!$B$11),"Copertura residua",IF(NOT(ISNUMBER(AC242)),"Completa risultato / esito",IF(AND(Z242=0,AC242&lt;&gt;0),"Rischio nullo con P/L","OK")))))))))))))</x:f>
      </x:c>
      <x:c r="AR242" s="20" t="str">
        <x:f>IF(OR(A242="",J242&lt;&gt;"Aperto",AQ242&lt;&gt;"OK"),"",IF(I242="Esecuzioni",SUMIFS('Esecuzioni'!$P$8:$P$1007,'Esecuzioni'!$A$8:$A$1007,A242,'Esecuzioni'!$B$8:$B$1007,_xlfn.MAXIFS('Esecuzioni'!$B$8:$B$1007,'Esecuzioni'!$A$8:$A$1007,A242)),IF(LEFT(U242,8)="FREEBET:",0,Z242)))</x:f>
      </x:c>
      <x:c r="AS242" s="48" t="str">
        <x:f>IF(OR(A242="",E242=""),"",IF(COUNTIFS($E$8:E242,E242)=1,COUNT($AS$7:AS241)+1,""))</x:f>
      </x:c>
    </x:row>
    <x:row r="243" ht="22" customHeight="1">
      <x:c r="A243" s="7"/>
      <x:c r="B243" s="19"/>
      <x:c r="C243" s="19"/>
      <x:c r="D243" s="7"/>
      <x:c r="E243" s="7"/>
      <x:c r="F243" s="7"/>
      <x:c r="G243" s="7"/>
      <x:c r="H243" s="7"/>
      <x:c r="I243" s="7"/>
      <x:c r="J243" s="7"/>
      <x:c r="K243" s="10"/>
      <x:c r="L243" s="7"/>
      <x:c r="M243" s="10"/>
      <x:c r="N243" s="7"/>
      <x:c r="O243" s="8"/>
      <x:c r="P243" s="8"/>
      <x:c r="Q243" s="8"/>
      <x:c r="R243" s="9"/>
      <x:c r="S243" s="7"/>
      <x:c r="T243" s="7"/>
      <x:c r="U243" s="7"/>
      <x:c r="V243" s="7"/>
      <x:c r="W243" s="22" t="str">
        <x:f>IF(A243="","",COUNTIFS('Esecuzioni'!$A$8:$A$1007,A243,'Esecuzioni'!$Q$8:$Q$1007,"OK"))</x:f>
      </x:c>
      <x:c r="X243" s="20" t="str">
        <x:f>IF(OR(A243="",I243&lt;&gt;"Esecuzioni",W243=0),"",SUMIFS('Esecuzioni'!$L$8:$L$1007,'Esecuzioni'!$A$8:$A$1007,A243))</x:f>
      </x:c>
      <x:c r="Y243" s="20" t="str">
        <x:f>IF(OR(A243="",I243&lt;&gt;"Esecuzioni",W243=0),"",SUMIFS('Esecuzioni'!$M$8:$M$1007,'Esecuzioni'!$A$8:$A$1007,A243))</x:f>
      </x:c>
      <x:c r="Z243" s="20" t="str">
        <x:f>IF(A243="","",IF(J243="Annullato",0,IF(ISNUMBER(O243),O243,IF(AND(I243="Esecuzioni",W243&gt;0),_xlfn.MAXIFS('Esecuzioni'!$P$8:$P$1007,'Esecuzioni'!$A$8:$A$1007,A243),""))))</x:f>
      </x:c>
      <x:c r="AA243" s="20" t="str">
        <x:f>IF(OR(A243="",J243="Aperto"),"",IF(J243="Annullato",0,IF(I243="Lordo manuale",IF(ISNUMBER(P243),P243,""),IF(I243="Netto manuale",IF(AND(ISNUMBER(P243),ISNUMBER(Q243)),P243+Q243,""),IF(OR(W243=0,COUNTIFS('Esecuzioni'!$A$8:$A$1007,A243,'Esecuzioni'!$Q$8:$Q$1007,"&lt;&gt;OK")&gt;0),"",IF(S243="Vince",X243,IF(S243="Perde",Y243,IF(AND(S243="Coperto",ABS(X243-Y243)&lt;='Impostazioni'!$B$11),ROUND((X243+Y243)/2,2),""))))))))</x:f>
      </x:c>
      <x:c r="AB243" s="20" t="str">
        <x:f>IF(NOT(ISNUMBER(AA243)),"",IF(J243="Annullato",0,IF(ISNUMBER(Q243),Q243,ROUND(MAX(0,AA243)*IF(ISNUMBER(R243),R243,'Impostazioni'!$B$8),2))))</x:f>
      </x:c>
      <x:c r="AC243" s="20" t="str">
        <x:f>IF(AND(ISNUMBER(AA243),ISNUMBER(AB243)),ROUND(AA243-AB243,2),"")</x:f>
      </x:c>
      <x:c r="AD243" s="18" t="str">
        <x:f>IF(A243="","",IF(AQ243&lt;&gt;"OK","Incompleto",IF(J243="Aperto","Aperto",IF(J243="Annullato","Annullato",IF(AC243&gt;0,"Green",IF(AC243&lt;0,"Red","Flat"))))))</x:f>
      </x:c>
      <x:c r="AE243" s="21" t="str">
        <x:f>IF(AND(AH243=1,Z243&gt;0),AC243/Z243,"")</x:f>
      </x:c>
      <x:c r="AF243" s="22" t="str">
        <x:f>IF(AH243&lt;&gt;1,"",COUNTIFS($C$8:$C$507,"&lt;"&amp;C243,$AH$8:$AH$507,1)+COUNTIFS($C$8:$C$507,C243,$A$8:$A$507,"&lt;="&amp;A243,$AH$8:$AH$507,1))</x:f>
      </x:c>
      <x:c r="AG243" s="20" t="str">
        <x:f>IF(AH243&lt;&gt;1,"",SUMIFS($AC$8:$AC$507,$C$8:$C$507,"&lt;"&amp;C243,$AH$8:$AH$507,1)+SUMIFS($AC$8:$AC$507,$C$8:$C$507,C243,$A$8:$A$507,"&lt;="&amp;A243,$AH$8:$AH$507,1))</x:f>
      </x:c>
      <x:c r="AH243" s="22" t="str">
        <x:f>IF(A243="","",IF(AND(J243="Chiuso",AQ243="OK",ISNUMBER(AC243)),1,0))</x:f>
      </x:c>
      <x:c r="AI243" s="20" t="str">
        <x:f>IF(AH243&lt;&gt;1,"",MAX(0,_xlfn.MAXIFS($AG$8:$AG$507,$AF$8:$AF$507,"&lt;="&amp;AF243,$AH$8:$AH$507,1)))</x:f>
      </x:c>
      <x:c r="AJ243" s="20" t="str">
        <x:f>IF(AH243&lt;&gt;1,"",MAX(0,AI243-AG243))</x:f>
      </x:c>
      <x:c r="AK243" s="21" t="str">
        <x:f>IF(OR(AH243&lt;&gt;1,NOT(ISNUMBER('Impostazioni'!$B$6)),'Impostazioni'!$B$6+AI243&lt;=0),"",AJ243/('Impostazioni'!$B$6+AI243))</x:f>
      </x:c>
      <x:c r="AL243" s="22" t="str">
        <x:f>IF(AH243&lt;&gt;1,"",IF(AC243&gt;0,AF243-_xlfn.MAXIFS($AF$8:$AF$507,$AF$8:$AF$507,"&lt;="&amp;AF243,$AC$8:$AC$507,"&lt;=0",$AH$8:$AH$507,1),0))</x:f>
      </x:c>
      <x:c r="AM243" s="22" t="str">
        <x:f>IF(AH243&lt;&gt;1,"",IF(AC243&lt;0,AF243-_xlfn.MAXIFS($AF$8:$AF$507,$AF$8:$AF$507,"&lt;="&amp;AF243,$AC$8:$AC$507,"&gt;=0",$AH$8:$AH$507,1),0))</x:f>
      </x:c>
      <x:c r="AN243" s="20" t="str">
        <x:f>IF(OR(A243="",NOT(ISNUMBER(B243)),NOT(ISNUMBER('Impostazioni'!$B$6))),"",'Impostazioni'!$B$6+SUMIFS($AC$8:$AC$507,$C$8:$C$507,"&lt;"&amp;B243,$AH$8:$AH$507,1)+SUMIFS('Cassa'!$F$8:$F$307,'Cassa'!$A$8:$A$307,"&lt;="&amp;B243,'Cassa'!$G$8:$G$307,"OK"))</x:f>
      </x:c>
      <x:c r="AO243" s="21" t="str">
        <x:f>IF(AND(ISNUMBER(Z243),ISNUMBER(AN243),AN243&gt;0),Z243/AN243,"")</x:f>
      </x:c>
      <x:c r="AP243" s="18" t="str">
        <x:f>IF(NOT(ISNUMBER(AO243)),"",IF(AO243&gt;'Impostazioni'!$B$7,"Oltre soglia personale","Nella soglia personale"))</x:f>
      </x:c>
      <x:c r="AQ243" s="18" t="str">
        <x:f>IF(A243="",IF(COUNTA(B243:V243)=0,"","Inserisci ID"),IF(COUNTIFS($A$8:$A$507,A243)&lt;&gt;1,"ID duplicato",IF(OR(NOT(ISNUMBER(B243)),D243="",E243="",F243="",G243="",H243="",COUNTIFS('Impostazioni'!$J$6:$J$25,F243)&lt;&gt;1),"Completa dati / elenchi",IF(OR(AND(I243&lt;&gt;"Lordo manuale",I243&lt;&gt;"Netto manuale",I243&lt;&gt;"Esecuzioni"),AND(J243&lt;&gt;"Aperto",J243&lt;&gt;"Chiuso",J243&lt;&gt;"Annullato")),"Modalità / stato mancanti",IF(AND(J243&lt;&gt;"Aperto",OR(NOT(ISNUMBER(C243)),C243&lt;B243)),"Correggi data chiusura",IF(OR(AND(Q243&lt;&gt;"",OR(NOT(ISNUMBER(Q243)),Q243&lt;0)),AND(R243&lt;&gt;"",OR(NOT(ISNUMBER(R243)),R243&lt;0,R243&gt;1))),"Commissione non valida",IF(J243="Annullato","OK",IF(OR(NOT(ISNUMBER(Z243)),Z243&lt;0,AND(O243&lt;&gt;"",NOT(ISNUMBER(O243)))),"Inserisci rischio",IF(AND(I243="Esecuzioni",OR(W243=0,COUNTIFS('Esecuzioni'!$A$8:$A$1007,A243,'Esecuzioni'!$Q$8:$Q$1007,"&lt;&gt;OK")&gt;0)),"Correggi esecuzioni",IF(J243="Aperto","OK",IF(AND(I243="Esecuzioni",S243="Coperto",ABS(X243-Y243)&gt;'Impostazioni'!$B$11),"Copertura residua",IF(NOT(ISNUMBER(AC243)),"Completa risultato / esito",IF(AND(Z243=0,AC243&lt;&gt;0),"Rischio nullo con P/L","OK")))))))))))))</x:f>
      </x:c>
      <x:c r="AR243" s="20" t="str">
        <x:f>IF(OR(A243="",J243&lt;&gt;"Aperto",AQ243&lt;&gt;"OK"),"",IF(I243="Esecuzioni",SUMIFS('Esecuzioni'!$P$8:$P$1007,'Esecuzioni'!$A$8:$A$1007,A243,'Esecuzioni'!$B$8:$B$1007,_xlfn.MAXIFS('Esecuzioni'!$B$8:$B$1007,'Esecuzioni'!$A$8:$A$1007,A243)),IF(LEFT(U243,8)="FREEBET:",0,Z243)))</x:f>
      </x:c>
      <x:c r="AS243" s="48" t="str">
        <x:f>IF(OR(A243="",E243=""),"",IF(COUNTIFS($E$8:E243,E243)=1,COUNT($AS$7:AS242)+1,""))</x:f>
      </x:c>
    </x:row>
    <x:row r="244" ht="22" customHeight="1">
      <x:c r="A244" s="7"/>
      <x:c r="B244" s="19"/>
      <x:c r="C244" s="19"/>
      <x:c r="D244" s="7"/>
      <x:c r="E244" s="7"/>
      <x:c r="F244" s="7"/>
      <x:c r="G244" s="7"/>
      <x:c r="H244" s="7"/>
      <x:c r="I244" s="7"/>
      <x:c r="J244" s="7"/>
      <x:c r="K244" s="10"/>
      <x:c r="L244" s="7"/>
      <x:c r="M244" s="10"/>
      <x:c r="N244" s="7"/>
      <x:c r="O244" s="8"/>
      <x:c r="P244" s="8"/>
      <x:c r="Q244" s="8"/>
      <x:c r="R244" s="9"/>
      <x:c r="S244" s="7"/>
      <x:c r="T244" s="7"/>
      <x:c r="U244" s="7"/>
      <x:c r="V244" s="7"/>
      <x:c r="W244" s="22" t="str">
        <x:f>IF(A244="","",COUNTIFS('Esecuzioni'!$A$8:$A$1007,A244,'Esecuzioni'!$Q$8:$Q$1007,"OK"))</x:f>
      </x:c>
      <x:c r="X244" s="20" t="str">
        <x:f>IF(OR(A244="",I244&lt;&gt;"Esecuzioni",W244=0),"",SUMIFS('Esecuzioni'!$L$8:$L$1007,'Esecuzioni'!$A$8:$A$1007,A244))</x:f>
      </x:c>
      <x:c r="Y244" s="20" t="str">
        <x:f>IF(OR(A244="",I244&lt;&gt;"Esecuzioni",W244=0),"",SUMIFS('Esecuzioni'!$M$8:$M$1007,'Esecuzioni'!$A$8:$A$1007,A244))</x:f>
      </x:c>
      <x:c r="Z244" s="20" t="str">
        <x:f>IF(A244="","",IF(J244="Annullato",0,IF(ISNUMBER(O244),O244,IF(AND(I244="Esecuzioni",W244&gt;0),_xlfn.MAXIFS('Esecuzioni'!$P$8:$P$1007,'Esecuzioni'!$A$8:$A$1007,A244),""))))</x:f>
      </x:c>
      <x:c r="AA244" s="20" t="str">
        <x:f>IF(OR(A244="",J244="Aperto"),"",IF(J244="Annullato",0,IF(I244="Lordo manuale",IF(ISNUMBER(P244),P244,""),IF(I244="Netto manuale",IF(AND(ISNUMBER(P244),ISNUMBER(Q244)),P244+Q244,""),IF(OR(W244=0,COUNTIFS('Esecuzioni'!$A$8:$A$1007,A244,'Esecuzioni'!$Q$8:$Q$1007,"&lt;&gt;OK")&gt;0),"",IF(S244="Vince",X244,IF(S244="Perde",Y244,IF(AND(S244="Coperto",ABS(X244-Y244)&lt;='Impostazioni'!$B$11),ROUND((X244+Y244)/2,2),""))))))))</x:f>
      </x:c>
      <x:c r="AB244" s="20" t="str">
        <x:f>IF(NOT(ISNUMBER(AA244)),"",IF(J244="Annullato",0,IF(ISNUMBER(Q244),Q244,ROUND(MAX(0,AA244)*IF(ISNUMBER(R244),R244,'Impostazioni'!$B$8),2))))</x:f>
      </x:c>
      <x:c r="AC244" s="20" t="str">
        <x:f>IF(AND(ISNUMBER(AA244),ISNUMBER(AB244)),ROUND(AA244-AB244,2),"")</x:f>
      </x:c>
      <x:c r="AD244" s="18" t="str">
        <x:f>IF(A244="","",IF(AQ244&lt;&gt;"OK","Incompleto",IF(J244="Aperto","Aperto",IF(J244="Annullato","Annullato",IF(AC244&gt;0,"Green",IF(AC244&lt;0,"Red","Flat"))))))</x:f>
      </x:c>
      <x:c r="AE244" s="21" t="str">
        <x:f>IF(AND(AH244=1,Z244&gt;0),AC244/Z244,"")</x:f>
      </x:c>
      <x:c r="AF244" s="22" t="str">
        <x:f>IF(AH244&lt;&gt;1,"",COUNTIFS($C$8:$C$507,"&lt;"&amp;C244,$AH$8:$AH$507,1)+COUNTIFS($C$8:$C$507,C244,$A$8:$A$507,"&lt;="&amp;A244,$AH$8:$AH$507,1))</x:f>
      </x:c>
      <x:c r="AG244" s="20" t="str">
        <x:f>IF(AH244&lt;&gt;1,"",SUMIFS($AC$8:$AC$507,$C$8:$C$507,"&lt;"&amp;C244,$AH$8:$AH$507,1)+SUMIFS($AC$8:$AC$507,$C$8:$C$507,C244,$A$8:$A$507,"&lt;="&amp;A244,$AH$8:$AH$507,1))</x:f>
      </x:c>
      <x:c r="AH244" s="22" t="str">
        <x:f>IF(A244="","",IF(AND(J244="Chiuso",AQ244="OK",ISNUMBER(AC244)),1,0))</x:f>
      </x:c>
      <x:c r="AI244" s="20" t="str">
        <x:f>IF(AH244&lt;&gt;1,"",MAX(0,_xlfn.MAXIFS($AG$8:$AG$507,$AF$8:$AF$507,"&lt;="&amp;AF244,$AH$8:$AH$507,1)))</x:f>
      </x:c>
      <x:c r="AJ244" s="20" t="str">
        <x:f>IF(AH244&lt;&gt;1,"",MAX(0,AI244-AG244))</x:f>
      </x:c>
      <x:c r="AK244" s="21" t="str">
        <x:f>IF(OR(AH244&lt;&gt;1,NOT(ISNUMBER('Impostazioni'!$B$6)),'Impostazioni'!$B$6+AI244&lt;=0),"",AJ244/('Impostazioni'!$B$6+AI244))</x:f>
      </x:c>
      <x:c r="AL244" s="22" t="str">
        <x:f>IF(AH244&lt;&gt;1,"",IF(AC244&gt;0,AF244-_xlfn.MAXIFS($AF$8:$AF$507,$AF$8:$AF$507,"&lt;="&amp;AF244,$AC$8:$AC$507,"&lt;=0",$AH$8:$AH$507,1),0))</x:f>
      </x:c>
      <x:c r="AM244" s="22" t="str">
        <x:f>IF(AH244&lt;&gt;1,"",IF(AC244&lt;0,AF244-_xlfn.MAXIFS($AF$8:$AF$507,$AF$8:$AF$507,"&lt;="&amp;AF244,$AC$8:$AC$507,"&gt;=0",$AH$8:$AH$507,1),0))</x:f>
      </x:c>
      <x:c r="AN244" s="20" t="str">
        <x:f>IF(OR(A244="",NOT(ISNUMBER(B244)),NOT(ISNUMBER('Impostazioni'!$B$6))),"",'Impostazioni'!$B$6+SUMIFS($AC$8:$AC$507,$C$8:$C$507,"&lt;"&amp;B244,$AH$8:$AH$507,1)+SUMIFS('Cassa'!$F$8:$F$307,'Cassa'!$A$8:$A$307,"&lt;="&amp;B244,'Cassa'!$G$8:$G$307,"OK"))</x:f>
      </x:c>
      <x:c r="AO244" s="21" t="str">
        <x:f>IF(AND(ISNUMBER(Z244),ISNUMBER(AN244),AN244&gt;0),Z244/AN244,"")</x:f>
      </x:c>
      <x:c r="AP244" s="18" t="str">
        <x:f>IF(NOT(ISNUMBER(AO244)),"",IF(AO244&gt;'Impostazioni'!$B$7,"Oltre soglia personale","Nella soglia personale"))</x:f>
      </x:c>
      <x:c r="AQ244" s="18" t="str">
        <x:f>IF(A244="",IF(COUNTA(B244:V244)=0,"","Inserisci ID"),IF(COUNTIFS($A$8:$A$507,A244)&lt;&gt;1,"ID duplicato",IF(OR(NOT(ISNUMBER(B244)),D244="",E244="",F244="",G244="",H244="",COUNTIFS('Impostazioni'!$J$6:$J$25,F244)&lt;&gt;1),"Completa dati / elenchi",IF(OR(AND(I244&lt;&gt;"Lordo manuale",I244&lt;&gt;"Netto manuale",I244&lt;&gt;"Esecuzioni"),AND(J244&lt;&gt;"Aperto",J244&lt;&gt;"Chiuso",J244&lt;&gt;"Annullato")),"Modalità / stato mancanti",IF(AND(J244&lt;&gt;"Aperto",OR(NOT(ISNUMBER(C244)),C244&lt;B244)),"Correggi data chiusura",IF(OR(AND(Q244&lt;&gt;"",OR(NOT(ISNUMBER(Q244)),Q244&lt;0)),AND(R244&lt;&gt;"",OR(NOT(ISNUMBER(R244)),R244&lt;0,R244&gt;1))),"Commissione non valida",IF(J244="Annullato","OK",IF(OR(NOT(ISNUMBER(Z244)),Z244&lt;0,AND(O244&lt;&gt;"",NOT(ISNUMBER(O244)))),"Inserisci rischio",IF(AND(I244="Esecuzioni",OR(W244=0,COUNTIFS('Esecuzioni'!$A$8:$A$1007,A244,'Esecuzioni'!$Q$8:$Q$1007,"&lt;&gt;OK")&gt;0)),"Correggi esecuzioni",IF(J244="Aperto","OK",IF(AND(I244="Esecuzioni",S244="Coperto",ABS(X244-Y244)&gt;'Impostazioni'!$B$11),"Copertura residua",IF(NOT(ISNUMBER(AC244)),"Completa risultato / esito",IF(AND(Z244=0,AC244&lt;&gt;0),"Rischio nullo con P/L","OK")))))))))))))</x:f>
      </x:c>
      <x:c r="AR244" s="20" t="str">
        <x:f>IF(OR(A244="",J244&lt;&gt;"Aperto",AQ244&lt;&gt;"OK"),"",IF(I244="Esecuzioni",SUMIFS('Esecuzioni'!$P$8:$P$1007,'Esecuzioni'!$A$8:$A$1007,A244,'Esecuzioni'!$B$8:$B$1007,_xlfn.MAXIFS('Esecuzioni'!$B$8:$B$1007,'Esecuzioni'!$A$8:$A$1007,A244)),IF(LEFT(U244,8)="FREEBET:",0,Z244)))</x:f>
      </x:c>
      <x:c r="AS244" s="48" t="str">
        <x:f>IF(OR(A244="",E244=""),"",IF(COUNTIFS($E$8:E244,E244)=1,COUNT($AS$7:AS243)+1,""))</x:f>
      </x:c>
    </x:row>
    <x:row r="245" ht="22" customHeight="1">
      <x:c r="A245" s="7"/>
      <x:c r="B245" s="19"/>
      <x:c r="C245" s="19"/>
      <x:c r="D245" s="7"/>
      <x:c r="E245" s="7"/>
      <x:c r="F245" s="7"/>
      <x:c r="G245" s="7"/>
      <x:c r="H245" s="7"/>
      <x:c r="I245" s="7"/>
      <x:c r="J245" s="7"/>
      <x:c r="K245" s="10"/>
      <x:c r="L245" s="7"/>
      <x:c r="M245" s="10"/>
      <x:c r="N245" s="7"/>
      <x:c r="O245" s="8"/>
      <x:c r="P245" s="8"/>
      <x:c r="Q245" s="8"/>
      <x:c r="R245" s="9"/>
      <x:c r="S245" s="7"/>
      <x:c r="T245" s="7"/>
      <x:c r="U245" s="7"/>
      <x:c r="V245" s="7"/>
      <x:c r="W245" s="22" t="str">
        <x:f>IF(A245="","",COUNTIFS('Esecuzioni'!$A$8:$A$1007,A245,'Esecuzioni'!$Q$8:$Q$1007,"OK"))</x:f>
      </x:c>
      <x:c r="X245" s="20" t="str">
        <x:f>IF(OR(A245="",I245&lt;&gt;"Esecuzioni",W245=0),"",SUMIFS('Esecuzioni'!$L$8:$L$1007,'Esecuzioni'!$A$8:$A$1007,A245))</x:f>
      </x:c>
      <x:c r="Y245" s="20" t="str">
        <x:f>IF(OR(A245="",I245&lt;&gt;"Esecuzioni",W245=0),"",SUMIFS('Esecuzioni'!$M$8:$M$1007,'Esecuzioni'!$A$8:$A$1007,A245))</x:f>
      </x:c>
      <x:c r="Z245" s="20" t="str">
        <x:f>IF(A245="","",IF(J245="Annullato",0,IF(ISNUMBER(O245),O245,IF(AND(I245="Esecuzioni",W245&gt;0),_xlfn.MAXIFS('Esecuzioni'!$P$8:$P$1007,'Esecuzioni'!$A$8:$A$1007,A245),""))))</x:f>
      </x:c>
      <x:c r="AA245" s="20" t="str">
        <x:f>IF(OR(A245="",J245="Aperto"),"",IF(J245="Annullato",0,IF(I245="Lordo manuale",IF(ISNUMBER(P245),P245,""),IF(I245="Netto manuale",IF(AND(ISNUMBER(P245),ISNUMBER(Q245)),P245+Q245,""),IF(OR(W245=0,COUNTIFS('Esecuzioni'!$A$8:$A$1007,A245,'Esecuzioni'!$Q$8:$Q$1007,"&lt;&gt;OK")&gt;0),"",IF(S245="Vince",X245,IF(S245="Perde",Y245,IF(AND(S245="Coperto",ABS(X245-Y245)&lt;='Impostazioni'!$B$11),ROUND((X245+Y245)/2,2),""))))))))</x:f>
      </x:c>
      <x:c r="AB245" s="20" t="str">
        <x:f>IF(NOT(ISNUMBER(AA245)),"",IF(J245="Annullato",0,IF(ISNUMBER(Q245),Q245,ROUND(MAX(0,AA245)*IF(ISNUMBER(R245),R245,'Impostazioni'!$B$8),2))))</x:f>
      </x:c>
      <x:c r="AC245" s="20" t="str">
        <x:f>IF(AND(ISNUMBER(AA245),ISNUMBER(AB245)),ROUND(AA245-AB245,2),"")</x:f>
      </x:c>
      <x:c r="AD245" s="18" t="str">
        <x:f>IF(A245="","",IF(AQ245&lt;&gt;"OK","Incompleto",IF(J245="Aperto","Aperto",IF(J245="Annullato","Annullato",IF(AC245&gt;0,"Green",IF(AC245&lt;0,"Red","Flat"))))))</x:f>
      </x:c>
      <x:c r="AE245" s="21" t="str">
        <x:f>IF(AND(AH245=1,Z245&gt;0),AC245/Z245,"")</x:f>
      </x:c>
      <x:c r="AF245" s="22" t="str">
        <x:f>IF(AH245&lt;&gt;1,"",COUNTIFS($C$8:$C$507,"&lt;"&amp;C245,$AH$8:$AH$507,1)+COUNTIFS($C$8:$C$507,C245,$A$8:$A$507,"&lt;="&amp;A245,$AH$8:$AH$507,1))</x:f>
      </x:c>
      <x:c r="AG245" s="20" t="str">
        <x:f>IF(AH245&lt;&gt;1,"",SUMIFS($AC$8:$AC$507,$C$8:$C$507,"&lt;"&amp;C245,$AH$8:$AH$507,1)+SUMIFS($AC$8:$AC$507,$C$8:$C$507,C245,$A$8:$A$507,"&lt;="&amp;A245,$AH$8:$AH$507,1))</x:f>
      </x:c>
      <x:c r="AH245" s="22" t="str">
        <x:f>IF(A245="","",IF(AND(J245="Chiuso",AQ245="OK",ISNUMBER(AC245)),1,0))</x:f>
      </x:c>
      <x:c r="AI245" s="20" t="str">
        <x:f>IF(AH245&lt;&gt;1,"",MAX(0,_xlfn.MAXIFS($AG$8:$AG$507,$AF$8:$AF$507,"&lt;="&amp;AF245,$AH$8:$AH$507,1)))</x:f>
      </x:c>
      <x:c r="AJ245" s="20" t="str">
        <x:f>IF(AH245&lt;&gt;1,"",MAX(0,AI245-AG245))</x:f>
      </x:c>
      <x:c r="AK245" s="21" t="str">
        <x:f>IF(OR(AH245&lt;&gt;1,NOT(ISNUMBER('Impostazioni'!$B$6)),'Impostazioni'!$B$6+AI245&lt;=0),"",AJ245/('Impostazioni'!$B$6+AI245))</x:f>
      </x:c>
      <x:c r="AL245" s="22" t="str">
        <x:f>IF(AH245&lt;&gt;1,"",IF(AC245&gt;0,AF245-_xlfn.MAXIFS($AF$8:$AF$507,$AF$8:$AF$507,"&lt;="&amp;AF245,$AC$8:$AC$507,"&lt;=0",$AH$8:$AH$507,1),0))</x:f>
      </x:c>
      <x:c r="AM245" s="22" t="str">
        <x:f>IF(AH245&lt;&gt;1,"",IF(AC245&lt;0,AF245-_xlfn.MAXIFS($AF$8:$AF$507,$AF$8:$AF$507,"&lt;="&amp;AF245,$AC$8:$AC$507,"&gt;=0",$AH$8:$AH$507,1),0))</x:f>
      </x:c>
      <x:c r="AN245" s="20" t="str">
        <x:f>IF(OR(A245="",NOT(ISNUMBER(B245)),NOT(ISNUMBER('Impostazioni'!$B$6))),"",'Impostazioni'!$B$6+SUMIFS($AC$8:$AC$507,$C$8:$C$507,"&lt;"&amp;B245,$AH$8:$AH$507,1)+SUMIFS('Cassa'!$F$8:$F$307,'Cassa'!$A$8:$A$307,"&lt;="&amp;B245,'Cassa'!$G$8:$G$307,"OK"))</x:f>
      </x:c>
      <x:c r="AO245" s="21" t="str">
        <x:f>IF(AND(ISNUMBER(Z245),ISNUMBER(AN245),AN245&gt;0),Z245/AN245,"")</x:f>
      </x:c>
      <x:c r="AP245" s="18" t="str">
        <x:f>IF(NOT(ISNUMBER(AO245)),"",IF(AO245&gt;'Impostazioni'!$B$7,"Oltre soglia personale","Nella soglia personale"))</x:f>
      </x:c>
      <x:c r="AQ245" s="18" t="str">
        <x:f>IF(A245="",IF(COUNTA(B245:V245)=0,"","Inserisci ID"),IF(COUNTIFS($A$8:$A$507,A245)&lt;&gt;1,"ID duplicato",IF(OR(NOT(ISNUMBER(B245)),D245="",E245="",F245="",G245="",H245="",COUNTIFS('Impostazioni'!$J$6:$J$25,F245)&lt;&gt;1),"Completa dati / elenchi",IF(OR(AND(I245&lt;&gt;"Lordo manuale",I245&lt;&gt;"Netto manuale",I245&lt;&gt;"Esecuzioni"),AND(J245&lt;&gt;"Aperto",J245&lt;&gt;"Chiuso",J245&lt;&gt;"Annullato")),"Modalità / stato mancanti",IF(AND(J245&lt;&gt;"Aperto",OR(NOT(ISNUMBER(C245)),C245&lt;B245)),"Correggi data chiusura",IF(OR(AND(Q245&lt;&gt;"",OR(NOT(ISNUMBER(Q245)),Q245&lt;0)),AND(R245&lt;&gt;"",OR(NOT(ISNUMBER(R245)),R245&lt;0,R245&gt;1))),"Commissione non valida",IF(J245="Annullato","OK",IF(OR(NOT(ISNUMBER(Z245)),Z245&lt;0,AND(O245&lt;&gt;"",NOT(ISNUMBER(O245)))),"Inserisci rischio",IF(AND(I245="Esecuzioni",OR(W245=0,COUNTIFS('Esecuzioni'!$A$8:$A$1007,A245,'Esecuzioni'!$Q$8:$Q$1007,"&lt;&gt;OK")&gt;0)),"Correggi esecuzioni",IF(J245="Aperto","OK",IF(AND(I245="Esecuzioni",S245="Coperto",ABS(X245-Y245)&gt;'Impostazioni'!$B$11),"Copertura residua",IF(NOT(ISNUMBER(AC245)),"Completa risultato / esito",IF(AND(Z245=0,AC245&lt;&gt;0),"Rischio nullo con P/L","OK")))))))))))))</x:f>
      </x:c>
      <x:c r="AR245" s="20" t="str">
        <x:f>IF(OR(A245="",J245&lt;&gt;"Aperto",AQ245&lt;&gt;"OK"),"",IF(I245="Esecuzioni",SUMIFS('Esecuzioni'!$P$8:$P$1007,'Esecuzioni'!$A$8:$A$1007,A245,'Esecuzioni'!$B$8:$B$1007,_xlfn.MAXIFS('Esecuzioni'!$B$8:$B$1007,'Esecuzioni'!$A$8:$A$1007,A245)),IF(LEFT(U245,8)="FREEBET:",0,Z245)))</x:f>
      </x:c>
      <x:c r="AS245" s="48" t="str">
        <x:f>IF(OR(A245="",E245=""),"",IF(COUNTIFS($E$8:E245,E245)=1,COUNT($AS$7:AS244)+1,""))</x:f>
      </x:c>
    </x:row>
    <x:row r="246" ht="22" customHeight="1">
      <x:c r="A246" s="7"/>
      <x:c r="B246" s="19"/>
      <x:c r="C246" s="19"/>
      <x:c r="D246" s="7"/>
      <x:c r="E246" s="7"/>
      <x:c r="F246" s="7"/>
      <x:c r="G246" s="7"/>
      <x:c r="H246" s="7"/>
      <x:c r="I246" s="7"/>
      <x:c r="J246" s="7"/>
      <x:c r="K246" s="10"/>
      <x:c r="L246" s="7"/>
      <x:c r="M246" s="10"/>
      <x:c r="N246" s="7"/>
      <x:c r="O246" s="8"/>
      <x:c r="P246" s="8"/>
      <x:c r="Q246" s="8"/>
      <x:c r="R246" s="9"/>
      <x:c r="S246" s="7"/>
      <x:c r="T246" s="7"/>
      <x:c r="U246" s="7"/>
      <x:c r="V246" s="7"/>
      <x:c r="W246" s="22" t="str">
        <x:f>IF(A246="","",COUNTIFS('Esecuzioni'!$A$8:$A$1007,A246,'Esecuzioni'!$Q$8:$Q$1007,"OK"))</x:f>
      </x:c>
      <x:c r="X246" s="20" t="str">
        <x:f>IF(OR(A246="",I246&lt;&gt;"Esecuzioni",W246=0),"",SUMIFS('Esecuzioni'!$L$8:$L$1007,'Esecuzioni'!$A$8:$A$1007,A246))</x:f>
      </x:c>
      <x:c r="Y246" s="20" t="str">
        <x:f>IF(OR(A246="",I246&lt;&gt;"Esecuzioni",W246=0),"",SUMIFS('Esecuzioni'!$M$8:$M$1007,'Esecuzioni'!$A$8:$A$1007,A246))</x:f>
      </x:c>
      <x:c r="Z246" s="20" t="str">
        <x:f>IF(A246="","",IF(J246="Annullato",0,IF(ISNUMBER(O246),O246,IF(AND(I246="Esecuzioni",W246&gt;0),_xlfn.MAXIFS('Esecuzioni'!$P$8:$P$1007,'Esecuzioni'!$A$8:$A$1007,A246),""))))</x:f>
      </x:c>
      <x:c r="AA246" s="20" t="str">
        <x:f>IF(OR(A246="",J246="Aperto"),"",IF(J246="Annullato",0,IF(I246="Lordo manuale",IF(ISNUMBER(P246),P246,""),IF(I246="Netto manuale",IF(AND(ISNUMBER(P246),ISNUMBER(Q246)),P246+Q246,""),IF(OR(W246=0,COUNTIFS('Esecuzioni'!$A$8:$A$1007,A246,'Esecuzioni'!$Q$8:$Q$1007,"&lt;&gt;OK")&gt;0),"",IF(S246="Vince",X246,IF(S246="Perde",Y246,IF(AND(S246="Coperto",ABS(X246-Y246)&lt;='Impostazioni'!$B$11),ROUND((X246+Y246)/2,2),""))))))))</x:f>
      </x:c>
      <x:c r="AB246" s="20" t="str">
        <x:f>IF(NOT(ISNUMBER(AA246)),"",IF(J246="Annullato",0,IF(ISNUMBER(Q246),Q246,ROUND(MAX(0,AA246)*IF(ISNUMBER(R246),R246,'Impostazioni'!$B$8),2))))</x:f>
      </x:c>
      <x:c r="AC246" s="20" t="str">
        <x:f>IF(AND(ISNUMBER(AA246),ISNUMBER(AB246)),ROUND(AA246-AB246,2),"")</x:f>
      </x:c>
      <x:c r="AD246" s="18" t="str">
        <x:f>IF(A246="","",IF(AQ246&lt;&gt;"OK","Incompleto",IF(J246="Aperto","Aperto",IF(J246="Annullato","Annullato",IF(AC246&gt;0,"Green",IF(AC246&lt;0,"Red","Flat"))))))</x:f>
      </x:c>
      <x:c r="AE246" s="21" t="str">
        <x:f>IF(AND(AH246=1,Z246&gt;0),AC246/Z246,"")</x:f>
      </x:c>
      <x:c r="AF246" s="22" t="str">
        <x:f>IF(AH246&lt;&gt;1,"",COUNTIFS($C$8:$C$507,"&lt;"&amp;C246,$AH$8:$AH$507,1)+COUNTIFS($C$8:$C$507,C246,$A$8:$A$507,"&lt;="&amp;A246,$AH$8:$AH$507,1))</x:f>
      </x:c>
      <x:c r="AG246" s="20" t="str">
        <x:f>IF(AH246&lt;&gt;1,"",SUMIFS($AC$8:$AC$507,$C$8:$C$507,"&lt;"&amp;C246,$AH$8:$AH$507,1)+SUMIFS($AC$8:$AC$507,$C$8:$C$507,C246,$A$8:$A$507,"&lt;="&amp;A246,$AH$8:$AH$507,1))</x:f>
      </x:c>
      <x:c r="AH246" s="22" t="str">
        <x:f>IF(A246="","",IF(AND(J246="Chiuso",AQ246="OK",ISNUMBER(AC246)),1,0))</x:f>
      </x:c>
      <x:c r="AI246" s="20" t="str">
        <x:f>IF(AH246&lt;&gt;1,"",MAX(0,_xlfn.MAXIFS($AG$8:$AG$507,$AF$8:$AF$507,"&lt;="&amp;AF246,$AH$8:$AH$507,1)))</x:f>
      </x:c>
      <x:c r="AJ246" s="20" t="str">
        <x:f>IF(AH246&lt;&gt;1,"",MAX(0,AI246-AG246))</x:f>
      </x:c>
      <x:c r="AK246" s="21" t="str">
        <x:f>IF(OR(AH246&lt;&gt;1,NOT(ISNUMBER('Impostazioni'!$B$6)),'Impostazioni'!$B$6+AI246&lt;=0),"",AJ246/('Impostazioni'!$B$6+AI246))</x:f>
      </x:c>
      <x:c r="AL246" s="22" t="str">
        <x:f>IF(AH246&lt;&gt;1,"",IF(AC246&gt;0,AF246-_xlfn.MAXIFS($AF$8:$AF$507,$AF$8:$AF$507,"&lt;="&amp;AF246,$AC$8:$AC$507,"&lt;=0",$AH$8:$AH$507,1),0))</x:f>
      </x:c>
      <x:c r="AM246" s="22" t="str">
        <x:f>IF(AH246&lt;&gt;1,"",IF(AC246&lt;0,AF246-_xlfn.MAXIFS($AF$8:$AF$507,$AF$8:$AF$507,"&lt;="&amp;AF246,$AC$8:$AC$507,"&gt;=0",$AH$8:$AH$507,1),0))</x:f>
      </x:c>
      <x:c r="AN246" s="20" t="str">
        <x:f>IF(OR(A246="",NOT(ISNUMBER(B246)),NOT(ISNUMBER('Impostazioni'!$B$6))),"",'Impostazioni'!$B$6+SUMIFS($AC$8:$AC$507,$C$8:$C$507,"&lt;"&amp;B246,$AH$8:$AH$507,1)+SUMIFS('Cassa'!$F$8:$F$307,'Cassa'!$A$8:$A$307,"&lt;="&amp;B246,'Cassa'!$G$8:$G$307,"OK"))</x:f>
      </x:c>
      <x:c r="AO246" s="21" t="str">
        <x:f>IF(AND(ISNUMBER(Z246),ISNUMBER(AN246),AN246&gt;0),Z246/AN246,"")</x:f>
      </x:c>
      <x:c r="AP246" s="18" t="str">
        <x:f>IF(NOT(ISNUMBER(AO246)),"",IF(AO246&gt;'Impostazioni'!$B$7,"Oltre soglia personale","Nella soglia personale"))</x:f>
      </x:c>
      <x:c r="AQ246" s="18" t="str">
        <x:f>IF(A246="",IF(COUNTA(B246:V246)=0,"","Inserisci ID"),IF(COUNTIFS($A$8:$A$507,A246)&lt;&gt;1,"ID duplicato",IF(OR(NOT(ISNUMBER(B246)),D246="",E246="",F246="",G246="",H246="",COUNTIFS('Impostazioni'!$J$6:$J$25,F246)&lt;&gt;1),"Completa dati / elenchi",IF(OR(AND(I246&lt;&gt;"Lordo manuale",I246&lt;&gt;"Netto manuale",I246&lt;&gt;"Esecuzioni"),AND(J246&lt;&gt;"Aperto",J246&lt;&gt;"Chiuso",J246&lt;&gt;"Annullato")),"Modalità / stato mancanti",IF(AND(J246&lt;&gt;"Aperto",OR(NOT(ISNUMBER(C246)),C246&lt;B246)),"Correggi data chiusura",IF(OR(AND(Q246&lt;&gt;"",OR(NOT(ISNUMBER(Q246)),Q246&lt;0)),AND(R246&lt;&gt;"",OR(NOT(ISNUMBER(R246)),R246&lt;0,R246&gt;1))),"Commissione non valida",IF(J246="Annullato","OK",IF(OR(NOT(ISNUMBER(Z246)),Z246&lt;0,AND(O246&lt;&gt;"",NOT(ISNUMBER(O246)))),"Inserisci rischio",IF(AND(I246="Esecuzioni",OR(W246=0,COUNTIFS('Esecuzioni'!$A$8:$A$1007,A246,'Esecuzioni'!$Q$8:$Q$1007,"&lt;&gt;OK")&gt;0)),"Correggi esecuzioni",IF(J246="Aperto","OK",IF(AND(I246="Esecuzioni",S246="Coperto",ABS(X246-Y246)&gt;'Impostazioni'!$B$11),"Copertura residua",IF(NOT(ISNUMBER(AC246)),"Completa risultato / esito",IF(AND(Z246=0,AC246&lt;&gt;0),"Rischio nullo con P/L","OK")))))))))))))</x:f>
      </x:c>
      <x:c r="AR246" s="20" t="str">
        <x:f>IF(OR(A246="",J246&lt;&gt;"Aperto",AQ246&lt;&gt;"OK"),"",IF(I246="Esecuzioni",SUMIFS('Esecuzioni'!$P$8:$P$1007,'Esecuzioni'!$A$8:$A$1007,A246,'Esecuzioni'!$B$8:$B$1007,_xlfn.MAXIFS('Esecuzioni'!$B$8:$B$1007,'Esecuzioni'!$A$8:$A$1007,A246)),IF(LEFT(U246,8)="FREEBET:",0,Z246)))</x:f>
      </x:c>
      <x:c r="AS246" s="48" t="str">
        <x:f>IF(OR(A246="",E246=""),"",IF(COUNTIFS($E$8:E246,E246)=1,COUNT($AS$7:AS245)+1,""))</x:f>
      </x:c>
    </x:row>
    <x:row r="247" ht="22" customHeight="1">
      <x:c r="A247" s="7"/>
      <x:c r="B247" s="19"/>
      <x:c r="C247" s="19"/>
      <x:c r="D247" s="7"/>
      <x:c r="E247" s="7"/>
      <x:c r="F247" s="7"/>
      <x:c r="G247" s="7"/>
      <x:c r="H247" s="7"/>
      <x:c r="I247" s="7"/>
      <x:c r="J247" s="7"/>
      <x:c r="K247" s="10"/>
      <x:c r="L247" s="7"/>
      <x:c r="M247" s="10"/>
      <x:c r="N247" s="7"/>
      <x:c r="O247" s="8"/>
      <x:c r="P247" s="8"/>
      <x:c r="Q247" s="8"/>
      <x:c r="R247" s="9"/>
      <x:c r="S247" s="7"/>
      <x:c r="T247" s="7"/>
      <x:c r="U247" s="7"/>
      <x:c r="V247" s="7"/>
      <x:c r="W247" s="22" t="str">
        <x:f>IF(A247="","",COUNTIFS('Esecuzioni'!$A$8:$A$1007,A247,'Esecuzioni'!$Q$8:$Q$1007,"OK"))</x:f>
      </x:c>
      <x:c r="X247" s="20" t="str">
        <x:f>IF(OR(A247="",I247&lt;&gt;"Esecuzioni",W247=0),"",SUMIFS('Esecuzioni'!$L$8:$L$1007,'Esecuzioni'!$A$8:$A$1007,A247))</x:f>
      </x:c>
      <x:c r="Y247" s="20" t="str">
        <x:f>IF(OR(A247="",I247&lt;&gt;"Esecuzioni",W247=0),"",SUMIFS('Esecuzioni'!$M$8:$M$1007,'Esecuzioni'!$A$8:$A$1007,A247))</x:f>
      </x:c>
      <x:c r="Z247" s="20" t="str">
        <x:f>IF(A247="","",IF(J247="Annullato",0,IF(ISNUMBER(O247),O247,IF(AND(I247="Esecuzioni",W247&gt;0),_xlfn.MAXIFS('Esecuzioni'!$P$8:$P$1007,'Esecuzioni'!$A$8:$A$1007,A247),""))))</x:f>
      </x:c>
      <x:c r="AA247" s="20" t="str">
        <x:f>IF(OR(A247="",J247="Aperto"),"",IF(J247="Annullato",0,IF(I247="Lordo manuale",IF(ISNUMBER(P247),P247,""),IF(I247="Netto manuale",IF(AND(ISNUMBER(P247),ISNUMBER(Q247)),P247+Q247,""),IF(OR(W247=0,COUNTIFS('Esecuzioni'!$A$8:$A$1007,A247,'Esecuzioni'!$Q$8:$Q$1007,"&lt;&gt;OK")&gt;0),"",IF(S247="Vince",X247,IF(S247="Perde",Y247,IF(AND(S247="Coperto",ABS(X247-Y247)&lt;='Impostazioni'!$B$11),ROUND((X247+Y247)/2,2),""))))))))</x:f>
      </x:c>
      <x:c r="AB247" s="20" t="str">
        <x:f>IF(NOT(ISNUMBER(AA247)),"",IF(J247="Annullato",0,IF(ISNUMBER(Q247),Q247,ROUND(MAX(0,AA247)*IF(ISNUMBER(R247),R247,'Impostazioni'!$B$8),2))))</x:f>
      </x:c>
      <x:c r="AC247" s="20" t="str">
        <x:f>IF(AND(ISNUMBER(AA247),ISNUMBER(AB247)),ROUND(AA247-AB247,2),"")</x:f>
      </x:c>
      <x:c r="AD247" s="18" t="str">
        <x:f>IF(A247="","",IF(AQ247&lt;&gt;"OK","Incompleto",IF(J247="Aperto","Aperto",IF(J247="Annullato","Annullato",IF(AC247&gt;0,"Green",IF(AC247&lt;0,"Red","Flat"))))))</x:f>
      </x:c>
      <x:c r="AE247" s="21" t="str">
        <x:f>IF(AND(AH247=1,Z247&gt;0),AC247/Z247,"")</x:f>
      </x:c>
      <x:c r="AF247" s="22" t="str">
        <x:f>IF(AH247&lt;&gt;1,"",COUNTIFS($C$8:$C$507,"&lt;"&amp;C247,$AH$8:$AH$507,1)+COUNTIFS($C$8:$C$507,C247,$A$8:$A$507,"&lt;="&amp;A247,$AH$8:$AH$507,1))</x:f>
      </x:c>
      <x:c r="AG247" s="20" t="str">
        <x:f>IF(AH247&lt;&gt;1,"",SUMIFS($AC$8:$AC$507,$C$8:$C$507,"&lt;"&amp;C247,$AH$8:$AH$507,1)+SUMIFS($AC$8:$AC$507,$C$8:$C$507,C247,$A$8:$A$507,"&lt;="&amp;A247,$AH$8:$AH$507,1))</x:f>
      </x:c>
      <x:c r="AH247" s="22" t="str">
        <x:f>IF(A247="","",IF(AND(J247="Chiuso",AQ247="OK",ISNUMBER(AC247)),1,0))</x:f>
      </x:c>
      <x:c r="AI247" s="20" t="str">
        <x:f>IF(AH247&lt;&gt;1,"",MAX(0,_xlfn.MAXIFS($AG$8:$AG$507,$AF$8:$AF$507,"&lt;="&amp;AF247,$AH$8:$AH$507,1)))</x:f>
      </x:c>
      <x:c r="AJ247" s="20" t="str">
        <x:f>IF(AH247&lt;&gt;1,"",MAX(0,AI247-AG247))</x:f>
      </x:c>
      <x:c r="AK247" s="21" t="str">
        <x:f>IF(OR(AH247&lt;&gt;1,NOT(ISNUMBER('Impostazioni'!$B$6)),'Impostazioni'!$B$6+AI247&lt;=0),"",AJ247/('Impostazioni'!$B$6+AI247))</x:f>
      </x:c>
      <x:c r="AL247" s="22" t="str">
        <x:f>IF(AH247&lt;&gt;1,"",IF(AC247&gt;0,AF247-_xlfn.MAXIFS($AF$8:$AF$507,$AF$8:$AF$507,"&lt;="&amp;AF247,$AC$8:$AC$507,"&lt;=0",$AH$8:$AH$507,1),0))</x:f>
      </x:c>
      <x:c r="AM247" s="22" t="str">
        <x:f>IF(AH247&lt;&gt;1,"",IF(AC247&lt;0,AF247-_xlfn.MAXIFS($AF$8:$AF$507,$AF$8:$AF$507,"&lt;="&amp;AF247,$AC$8:$AC$507,"&gt;=0",$AH$8:$AH$507,1),0))</x:f>
      </x:c>
      <x:c r="AN247" s="20" t="str">
        <x:f>IF(OR(A247="",NOT(ISNUMBER(B247)),NOT(ISNUMBER('Impostazioni'!$B$6))),"",'Impostazioni'!$B$6+SUMIFS($AC$8:$AC$507,$C$8:$C$507,"&lt;"&amp;B247,$AH$8:$AH$507,1)+SUMIFS('Cassa'!$F$8:$F$307,'Cassa'!$A$8:$A$307,"&lt;="&amp;B247,'Cassa'!$G$8:$G$307,"OK"))</x:f>
      </x:c>
      <x:c r="AO247" s="21" t="str">
        <x:f>IF(AND(ISNUMBER(Z247),ISNUMBER(AN247),AN247&gt;0),Z247/AN247,"")</x:f>
      </x:c>
      <x:c r="AP247" s="18" t="str">
        <x:f>IF(NOT(ISNUMBER(AO247)),"",IF(AO247&gt;'Impostazioni'!$B$7,"Oltre soglia personale","Nella soglia personale"))</x:f>
      </x:c>
      <x:c r="AQ247" s="18" t="str">
        <x:f>IF(A247="",IF(COUNTA(B247:V247)=0,"","Inserisci ID"),IF(COUNTIFS($A$8:$A$507,A247)&lt;&gt;1,"ID duplicato",IF(OR(NOT(ISNUMBER(B247)),D247="",E247="",F247="",G247="",H247="",COUNTIFS('Impostazioni'!$J$6:$J$25,F247)&lt;&gt;1),"Completa dati / elenchi",IF(OR(AND(I247&lt;&gt;"Lordo manuale",I247&lt;&gt;"Netto manuale",I247&lt;&gt;"Esecuzioni"),AND(J247&lt;&gt;"Aperto",J247&lt;&gt;"Chiuso",J247&lt;&gt;"Annullato")),"Modalità / stato mancanti",IF(AND(J247&lt;&gt;"Aperto",OR(NOT(ISNUMBER(C247)),C247&lt;B247)),"Correggi data chiusura",IF(OR(AND(Q247&lt;&gt;"",OR(NOT(ISNUMBER(Q247)),Q247&lt;0)),AND(R247&lt;&gt;"",OR(NOT(ISNUMBER(R247)),R247&lt;0,R247&gt;1))),"Commissione non valida",IF(J247="Annullato","OK",IF(OR(NOT(ISNUMBER(Z247)),Z247&lt;0,AND(O247&lt;&gt;"",NOT(ISNUMBER(O247)))),"Inserisci rischio",IF(AND(I247="Esecuzioni",OR(W247=0,COUNTIFS('Esecuzioni'!$A$8:$A$1007,A247,'Esecuzioni'!$Q$8:$Q$1007,"&lt;&gt;OK")&gt;0)),"Correggi esecuzioni",IF(J247="Aperto","OK",IF(AND(I247="Esecuzioni",S247="Coperto",ABS(X247-Y247)&gt;'Impostazioni'!$B$11),"Copertura residua",IF(NOT(ISNUMBER(AC247)),"Completa risultato / esito",IF(AND(Z247=0,AC247&lt;&gt;0),"Rischio nullo con P/L","OK")))))))))))))</x:f>
      </x:c>
      <x:c r="AR247" s="20" t="str">
        <x:f>IF(OR(A247="",J247&lt;&gt;"Aperto",AQ247&lt;&gt;"OK"),"",IF(I247="Esecuzioni",SUMIFS('Esecuzioni'!$P$8:$P$1007,'Esecuzioni'!$A$8:$A$1007,A247,'Esecuzioni'!$B$8:$B$1007,_xlfn.MAXIFS('Esecuzioni'!$B$8:$B$1007,'Esecuzioni'!$A$8:$A$1007,A247)),IF(LEFT(U247,8)="FREEBET:",0,Z247)))</x:f>
      </x:c>
      <x:c r="AS247" s="48" t="str">
        <x:f>IF(OR(A247="",E247=""),"",IF(COUNTIFS($E$8:E247,E247)=1,COUNT($AS$7:AS246)+1,""))</x:f>
      </x:c>
    </x:row>
    <x:row r="248" ht="22" customHeight="1">
      <x:c r="A248" s="7"/>
      <x:c r="B248" s="19"/>
      <x:c r="C248" s="19"/>
      <x:c r="D248" s="7"/>
      <x:c r="E248" s="7"/>
      <x:c r="F248" s="7"/>
      <x:c r="G248" s="7"/>
      <x:c r="H248" s="7"/>
      <x:c r="I248" s="7"/>
      <x:c r="J248" s="7"/>
      <x:c r="K248" s="10"/>
      <x:c r="L248" s="7"/>
      <x:c r="M248" s="10"/>
      <x:c r="N248" s="7"/>
      <x:c r="O248" s="8"/>
      <x:c r="P248" s="8"/>
      <x:c r="Q248" s="8"/>
      <x:c r="R248" s="9"/>
      <x:c r="S248" s="7"/>
      <x:c r="T248" s="7"/>
      <x:c r="U248" s="7"/>
      <x:c r="V248" s="7"/>
      <x:c r="W248" s="22" t="str">
        <x:f>IF(A248="","",COUNTIFS('Esecuzioni'!$A$8:$A$1007,A248,'Esecuzioni'!$Q$8:$Q$1007,"OK"))</x:f>
      </x:c>
      <x:c r="X248" s="20" t="str">
        <x:f>IF(OR(A248="",I248&lt;&gt;"Esecuzioni",W248=0),"",SUMIFS('Esecuzioni'!$L$8:$L$1007,'Esecuzioni'!$A$8:$A$1007,A248))</x:f>
      </x:c>
      <x:c r="Y248" s="20" t="str">
        <x:f>IF(OR(A248="",I248&lt;&gt;"Esecuzioni",W248=0),"",SUMIFS('Esecuzioni'!$M$8:$M$1007,'Esecuzioni'!$A$8:$A$1007,A248))</x:f>
      </x:c>
      <x:c r="Z248" s="20" t="str">
        <x:f>IF(A248="","",IF(J248="Annullato",0,IF(ISNUMBER(O248),O248,IF(AND(I248="Esecuzioni",W248&gt;0),_xlfn.MAXIFS('Esecuzioni'!$P$8:$P$1007,'Esecuzioni'!$A$8:$A$1007,A248),""))))</x:f>
      </x:c>
      <x:c r="AA248" s="20" t="str">
        <x:f>IF(OR(A248="",J248="Aperto"),"",IF(J248="Annullato",0,IF(I248="Lordo manuale",IF(ISNUMBER(P248),P248,""),IF(I248="Netto manuale",IF(AND(ISNUMBER(P248),ISNUMBER(Q248)),P248+Q248,""),IF(OR(W248=0,COUNTIFS('Esecuzioni'!$A$8:$A$1007,A248,'Esecuzioni'!$Q$8:$Q$1007,"&lt;&gt;OK")&gt;0),"",IF(S248="Vince",X248,IF(S248="Perde",Y248,IF(AND(S248="Coperto",ABS(X248-Y248)&lt;='Impostazioni'!$B$11),ROUND((X248+Y248)/2,2),""))))))))</x:f>
      </x:c>
      <x:c r="AB248" s="20" t="str">
        <x:f>IF(NOT(ISNUMBER(AA248)),"",IF(J248="Annullato",0,IF(ISNUMBER(Q248),Q248,ROUND(MAX(0,AA248)*IF(ISNUMBER(R248),R248,'Impostazioni'!$B$8),2))))</x:f>
      </x:c>
      <x:c r="AC248" s="20" t="str">
        <x:f>IF(AND(ISNUMBER(AA248),ISNUMBER(AB248)),ROUND(AA248-AB248,2),"")</x:f>
      </x:c>
      <x:c r="AD248" s="18" t="str">
        <x:f>IF(A248="","",IF(AQ248&lt;&gt;"OK","Incompleto",IF(J248="Aperto","Aperto",IF(J248="Annullato","Annullato",IF(AC248&gt;0,"Green",IF(AC248&lt;0,"Red","Flat"))))))</x:f>
      </x:c>
      <x:c r="AE248" s="21" t="str">
        <x:f>IF(AND(AH248=1,Z248&gt;0),AC248/Z248,"")</x:f>
      </x:c>
      <x:c r="AF248" s="22" t="str">
        <x:f>IF(AH248&lt;&gt;1,"",COUNTIFS($C$8:$C$507,"&lt;"&amp;C248,$AH$8:$AH$507,1)+COUNTIFS($C$8:$C$507,C248,$A$8:$A$507,"&lt;="&amp;A248,$AH$8:$AH$507,1))</x:f>
      </x:c>
      <x:c r="AG248" s="20" t="str">
        <x:f>IF(AH248&lt;&gt;1,"",SUMIFS($AC$8:$AC$507,$C$8:$C$507,"&lt;"&amp;C248,$AH$8:$AH$507,1)+SUMIFS($AC$8:$AC$507,$C$8:$C$507,C248,$A$8:$A$507,"&lt;="&amp;A248,$AH$8:$AH$507,1))</x:f>
      </x:c>
      <x:c r="AH248" s="22" t="str">
        <x:f>IF(A248="","",IF(AND(J248="Chiuso",AQ248="OK",ISNUMBER(AC248)),1,0))</x:f>
      </x:c>
      <x:c r="AI248" s="20" t="str">
        <x:f>IF(AH248&lt;&gt;1,"",MAX(0,_xlfn.MAXIFS($AG$8:$AG$507,$AF$8:$AF$507,"&lt;="&amp;AF248,$AH$8:$AH$507,1)))</x:f>
      </x:c>
      <x:c r="AJ248" s="20" t="str">
        <x:f>IF(AH248&lt;&gt;1,"",MAX(0,AI248-AG248))</x:f>
      </x:c>
      <x:c r="AK248" s="21" t="str">
        <x:f>IF(OR(AH248&lt;&gt;1,NOT(ISNUMBER('Impostazioni'!$B$6)),'Impostazioni'!$B$6+AI248&lt;=0),"",AJ248/('Impostazioni'!$B$6+AI248))</x:f>
      </x:c>
      <x:c r="AL248" s="22" t="str">
        <x:f>IF(AH248&lt;&gt;1,"",IF(AC248&gt;0,AF248-_xlfn.MAXIFS($AF$8:$AF$507,$AF$8:$AF$507,"&lt;="&amp;AF248,$AC$8:$AC$507,"&lt;=0",$AH$8:$AH$507,1),0))</x:f>
      </x:c>
      <x:c r="AM248" s="22" t="str">
        <x:f>IF(AH248&lt;&gt;1,"",IF(AC248&lt;0,AF248-_xlfn.MAXIFS($AF$8:$AF$507,$AF$8:$AF$507,"&lt;="&amp;AF248,$AC$8:$AC$507,"&gt;=0",$AH$8:$AH$507,1),0))</x:f>
      </x:c>
      <x:c r="AN248" s="20" t="str">
        <x:f>IF(OR(A248="",NOT(ISNUMBER(B248)),NOT(ISNUMBER('Impostazioni'!$B$6))),"",'Impostazioni'!$B$6+SUMIFS($AC$8:$AC$507,$C$8:$C$507,"&lt;"&amp;B248,$AH$8:$AH$507,1)+SUMIFS('Cassa'!$F$8:$F$307,'Cassa'!$A$8:$A$307,"&lt;="&amp;B248,'Cassa'!$G$8:$G$307,"OK"))</x:f>
      </x:c>
      <x:c r="AO248" s="21" t="str">
        <x:f>IF(AND(ISNUMBER(Z248),ISNUMBER(AN248),AN248&gt;0),Z248/AN248,"")</x:f>
      </x:c>
      <x:c r="AP248" s="18" t="str">
        <x:f>IF(NOT(ISNUMBER(AO248)),"",IF(AO248&gt;'Impostazioni'!$B$7,"Oltre soglia personale","Nella soglia personale"))</x:f>
      </x:c>
      <x:c r="AQ248" s="18" t="str">
        <x:f>IF(A248="",IF(COUNTA(B248:V248)=0,"","Inserisci ID"),IF(COUNTIFS($A$8:$A$507,A248)&lt;&gt;1,"ID duplicato",IF(OR(NOT(ISNUMBER(B248)),D248="",E248="",F248="",G248="",H248="",COUNTIFS('Impostazioni'!$J$6:$J$25,F248)&lt;&gt;1),"Completa dati / elenchi",IF(OR(AND(I248&lt;&gt;"Lordo manuale",I248&lt;&gt;"Netto manuale",I248&lt;&gt;"Esecuzioni"),AND(J248&lt;&gt;"Aperto",J248&lt;&gt;"Chiuso",J248&lt;&gt;"Annullato")),"Modalità / stato mancanti",IF(AND(J248&lt;&gt;"Aperto",OR(NOT(ISNUMBER(C248)),C248&lt;B248)),"Correggi data chiusura",IF(OR(AND(Q248&lt;&gt;"",OR(NOT(ISNUMBER(Q248)),Q248&lt;0)),AND(R248&lt;&gt;"",OR(NOT(ISNUMBER(R248)),R248&lt;0,R248&gt;1))),"Commissione non valida",IF(J248="Annullato","OK",IF(OR(NOT(ISNUMBER(Z248)),Z248&lt;0,AND(O248&lt;&gt;"",NOT(ISNUMBER(O248)))),"Inserisci rischio",IF(AND(I248="Esecuzioni",OR(W248=0,COUNTIFS('Esecuzioni'!$A$8:$A$1007,A248,'Esecuzioni'!$Q$8:$Q$1007,"&lt;&gt;OK")&gt;0)),"Correggi esecuzioni",IF(J248="Aperto","OK",IF(AND(I248="Esecuzioni",S248="Coperto",ABS(X248-Y248)&gt;'Impostazioni'!$B$11),"Copertura residua",IF(NOT(ISNUMBER(AC248)),"Completa risultato / esito",IF(AND(Z248=0,AC248&lt;&gt;0),"Rischio nullo con P/L","OK")))))))))))))</x:f>
      </x:c>
      <x:c r="AR248" s="20" t="str">
        <x:f>IF(OR(A248="",J248&lt;&gt;"Aperto",AQ248&lt;&gt;"OK"),"",IF(I248="Esecuzioni",SUMIFS('Esecuzioni'!$P$8:$P$1007,'Esecuzioni'!$A$8:$A$1007,A248,'Esecuzioni'!$B$8:$B$1007,_xlfn.MAXIFS('Esecuzioni'!$B$8:$B$1007,'Esecuzioni'!$A$8:$A$1007,A248)),IF(LEFT(U248,8)="FREEBET:",0,Z248)))</x:f>
      </x:c>
      <x:c r="AS248" s="48" t="str">
        <x:f>IF(OR(A248="",E248=""),"",IF(COUNTIFS($E$8:E248,E248)=1,COUNT($AS$7:AS247)+1,""))</x:f>
      </x:c>
    </x:row>
    <x:row r="249" ht="22" customHeight="1">
      <x:c r="A249" s="7"/>
      <x:c r="B249" s="19"/>
      <x:c r="C249" s="19"/>
      <x:c r="D249" s="7"/>
      <x:c r="E249" s="7"/>
      <x:c r="F249" s="7"/>
      <x:c r="G249" s="7"/>
      <x:c r="H249" s="7"/>
      <x:c r="I249" s="7"/>
      <x:c r="J249" s="7"/>
      <x:c r="K249" s="10"/>
      <x:c r="L249" s="7"/>
      <x:c r="M249" s="10"/>
      <x:c r="N249" s="7"/>
      <x:c r="O249" s="8"/>
      <x:c r="P249" s="8"/>
      <x:c r="Q249" s="8"/>
      <x:c r="R249" s="9"/>
      <x:c r="S249" s="7"/>
      <x:c r="T249" s="7"/>
      <x:c r="U249" s="7"/>
      <x:c r="V249" s="7"/>
      <x:c r="W249" s="22" t="str">
        <x:f>IF(A249="","",COUNTIFS('Esecuzioni'!$A$8:$A$1007,A249,'Esecuzioni'!$Q$8:$Q$1007,"OK"))</x:f>
      </x:c>
      <x:c r="X249" s="20" t="str">
        <x:f>IF(OR(A249="",I249&lt;&gt;"Esecuzioni",W249=0),"",SUMIFS('Esecuzioni'!$L$8:$L$1007,'Esecuzioni'!$A$8:$A$1007,A249))</x:f>
      </x:c>
      <x:c r="Y249" s="20" t="str">
        <x:f>IF(OR(A249="",I249&lt;&gt;"Esecuzioni",W249=0),"",SUMIFS('Esecuzioni'!$M$8:$M$1007,'Esecuzioni'!$A$8:$A$1007,A249))</x:f>
      </x:c>
      <x:c r="Z249" s="20" t="str">
        <x:f>IF(A249="","",IF(J249="Annullato",0,IF(ISNUMBER(O249),O249,IF(AND(I249="Esecuzioni",W249&gt;0),_xlfn.MAXIFS('Esecuzioni'!$P$8:$P$1007,'Esecuzioni'!$A$8:$A$1007,A249),""))))</x:f>
      </x:c>
      <x:c r="AA249" s="20" t="str">
        <x:f>IF(OR(A249="",J249="Aperto"),"",IF(J249="Annullato",0,IF(I249="Lordo manuale",IF(ISNUMBER(P249),P249,""),IF(I249="Netto manuale",IF(AND(ISNUMBER(P249),ISNUMBER(Q249)),P249+Q249,""),IF(OR(W249=0,COUNTIFS('Esecuzioni'!$A$8:$A$1007,A249,'Esecuzioni'!$Q$8:$Q$1007,"&lt;&gt;OK")&gt;0),"",IF(S249="Vince",X249,IF(S249="Perde",Y249,IF(AND(S249="Coperto",ABS(X249-Y249)&lt;='Impostazioni'!$B$11),ROUND((X249+Y249)/2,2),""))))))))</x:f>
      </x:c>
      <x:c r="AB249" s="20" t="str">
        <x:f>IF(NOT(ISNUMBER(AA249)),"",IF(J249="Annullato",0,IF(ISNUMBER(Q249),Q249,ROUND(MAX(0,AA249)*IF(ISNUMBER(R249),R249,'Impostazioni'!$B$8),2))))</x:f>
      </x:c>
      <x:c r="AC249" s="20" t="str">
        <x:f>IF(AND(ISNUMBER(AA249),ISNUMBER(AB249)),ROUND(AA249-AB249,2),"")</x:f>
      </x:c>
      <x:c r="AD249" s="18" t="str">
        <x:f>IF(A249="","",IF(AQ249&lt;&gt;"OK","Incompleto",IF(J249="Aperto","Aperto",IF(J249="Annullato","Annullato",IF(AC249&gt;0,"Green",IF(AC249&lt;0,"Red","Flat"))))))</x:f>
      </x:c>
      <x:c r="AE249" s="21" t="str">
        <x:f>IF(AND(AH249=1,Z249&gt;0),AC249/Z249,"")</x:f>
      </x:c>
      <x:c r="AF249" s="22" t="str">
        <x:f>IF(AH249&lt;&gt;1,"",COUNTIFS($C$8:$C$507,"&lt;"&amp;C249,$AH$8:$AH$507,1)+COUNTIFS($C$8:$C$507,C249,$A$8:$A$507,"&lt;="&amp;A249,$AH$8:$AH$507,1))</x:f>
      </x:c>
      <x:c r="AG249" s="20" t="str">
        <x:f>IF(AH249&lt;&gt;1,"",SUMIFS($AC$8:$AC$507,$C$8:$C$507,"&lt;"&amp;C249,$AH$8:$AH$507,1)+SUMIFS($AC$8:$AC$507,$C$8:$C$507,C249,$A$8:$A$507,"&lt;="&amp;A249,$AH$8:$AH$507,1))</x:f>
      </x:c>
      <x:c r="AH249" s="22" t="str">
        <x:f>IF(A249="","",IF(AND(J249="Chiuso",AQ249="OK",ISNUMBER(AC249)),1,0))</x:f>
      </x:c>
      <x:c r="AI249" s="20" t="str">
        <x:f>IF(AH249&lt;&gt;1,"",MAX(0,_xlfn.MAXIFS($AG$8:$AG$507,$AF$8:$AF$507,"&lt;="&amp;AF249,$AH$8:$AH$507,1)))</x:f>
      </x:c>
      <x:c r="AJ249" s="20" t="str">
        <x:f>IF(AH249&lt;&gt;1,"",MAX(0,AI249-AG249))</x:f>
      </x:c>
      <x:c r="AK249" s="21" t="str">
        <x:f>IF(OR(AH249&lt;&gt;1,NOT(ISNUMBER('Impostazioni'!$B$6)),'Impostazioni'!$B$6+AI249&lt;=0),"",AJ249/('Impostazioni'!$B$6+AI249))</x:f>
      </x:c>
      <x:c r="AL249" s="22" t="str">
        <x:f>IF(AH249&lt;&gt;1,"",IF(AC249&gt;0,AF249-_xlfn.MAXIFS($AF$8:$AF$507,$AF$8:$AF$507,"&lt;="&amp;AF249,$AC$8:$AC$507,"&lt;=0",$AH$8:$AH$507,1),0))</x:f>
      </x:c>
      <x:c r="AM249" s="22" t="str">
        <x:f>IF(AH249&lt;&gt;1,"",IF(AC249&lt;0,AF249-_xlfn.MAXIFS($AF$8:$AF$507,$AF$8:$AF$507,"&lt;="&amp;AF249,$AC$8:$AC$507,"&gt;=0",$AH$8:$AH$507,1),0))</x:f>
      </x:c>
      <x:c r="AN249" s="20" t="str">
        <x:f>IF(OR(A249="",NOT(ISNUMBER(B249)),NOT(ISNUMBER('Impostazioni'!$B$6))),"",'Impostazioni'!$B$6+SUMIFS($AC$8:$AC$507,$C$8:$C$507,"&lt;"&amp;B249,$AH$8:$AH$507,1)+SUMIFS('Cassa'!$F$8:$F$307,'Cassa'!$A$8:$A$307,"&lt;="&amp;B249,'Cassa'!$G$8:$G$307,"OK"))</x:f>
      </x:c>
      <x:c r="AO249" s="21" t="str">
        <x:f>IF(AND(ISNUMBER(Z249),ISNUMBER(AN249),AN249&gt;0),Z249/AN249,"")</x:f>
      </x:c>
      <x:c r="AP249" s="18" t="str">
        <x:f>IF(NOT(ISNUMBER(AO249)),"",IF(AO249&gt;'Impostazioni'!$B$7,"Oltre soglia personale","Nella soglia personale"))</x:f>
      </x:c>
      <x:c r="AQ249" s="18" t="str">
        <x:f>IF(A249="",IF(COUNTA(B249:V249)=0,"","Inserisci ID"),IF(COUNTIFS($A$8:$A$507,A249)&lt;&gt;1,"ID duplicato",IF(OR(NOT(ISNUMBER(B249)),D249="",E249="",F249="",G249="",H249="",COUNTIFS('Impostazioni'!$J$6:$J$25,F249)&lt;&gt;1),"Completa dati / elenchi",IF(OR(AND(I249&lt;&gt;"Lordo manuale",I249&lt;&gt;"Netto manuale",I249&lt;&gt;"Esecuzioni"),AND(J249&lt;&gt;"Aperto",J249&lt;&gt;"Chiuso",J249&lt;&gt;"Annullato")),"Modalità / stato mancanti",IF(AND(J249&lt;&gt;"Aperto",OR(NOT(ISNUMBER(C249)),C249&lt;B249)),"Correggi data chiusura",IF(OR(AND(Q249&lt;&gt;"",OR(NOT(ISNUMBER(Q249)),Q249&lt;0)),AND(R249&lt;&gt;"",OR(NOT(ISNUMBER(R249)),R249&lt;0,R249&gt;1))),"Commissione non valida",IF(J249="Annullato","OK",IF(OR(NOT(ISNUMBER(Z249)),Z249&lt;0,AND(O249&lt;&gt;"",NOT(ISNUMBER(O249)))),"Inserisci rischio",IF(AND(I249="Esecuzioni",OR(W249=0,COUNTIFS('Esecuzioni'!$A$8:$A$1007,A249,'Esecuzioni'!$Q$8:$Q$1007,"&lt;&gt;OK")&gt;0)),"Correggi esecuzioni",IF(J249="Aperto","OK",IF(AND(I249="Esecuzioni",S249="Coperto",ABS(X249-Y249)&gt;'Impostazioni'!$B$11),"Copertura residua",IF(NOT(ISNUMBER(AC249)),"Completa risultato / esito",IF(AND(Z249=0,AC249&lt;&gt;0),"Rischio nullo con P/L","OK")))))))))))))</x:f>
      </x:c>
      <x:c r="AR249" s="20" t="str">
        <x:f>IF(OR(A249="",J249&lt;&gt;"Aperto",AQ249&lt;&gt;"OK"),"",IF(I249="Esecuzioni",SUMIFS('Esecuzioni'!$P$8:$P$1007,'Esecuzioni'!$A$8:$A$1007,A249,'Esecuzioni'!$B$8:$B$1007,_xlfn.MAXIFS('Esecuzioni'!$B$8:$B$1007,'Esecuzioni'!$A$8:$A$1007,A249)),IF(LEFT(U249,8)="FREEBET:",0,Z249)))</x:f>
      </x:c>
      <x:c r="AS249" s="48" t="str">
        <x:f>IF(OR(A249="",E249=""),"",IF(COUNTIFS($E$8:E249,E249)=1,COUNT($AS$7:AS248)+1,""))</x:f>
      </x:c>
    </x:row>
    <x:row r="250" ht="22" customHeight="1">
      <x:c r="A250" s="7"/>
      <x:c r="B250" s="19"/>
      <x:c r="C250" s="19"/>
      <x:c r="D250" s="7"/>
      <x:c r="E250" s="7"/>
      <x:c r="F250" s="7"/>
      <x:c r="G250" s="7"/>
      <x:c r="H250" s="7"/>
      <x:c r="I250" s="7"/>
      <x:c r="J250" s="7"/>
      <x:c r="K250" s="10"/>
      <x:c r="L250" s="7"/>
      <x:c r="M250" s="10"/>
      <x:c r="N250" s="7"/>
      <x:c r="O250" s="8"/>
      <x:c r="P250" s="8"/>
      <x:c r="Q250" s="8"/>
      <x:c r="R250" s="9"/>
      <x:c r="S250" s="7"/>
      <x:c r="T250" s="7"/>
      <x:c r="U250" s="7"/>
      <x:c r="V250" s="7"/>
      <x:c r="W250" s="22" t="str">
        <x:f>IF(A250="","",COUNTIFS('Esecuzioni'!$A$8:$A$1007,A250,'Esecuzioni'!$Q$8:$Q$1007,"OK"))</x:f>
      </x:c>
      <x:c r="X250" s="20" t="str">
        <x:f>IF(OR(A250="",I250&lt;&gt;"Esecuzioni",W250=0),"",SUMIFS('Esecuzioni'!$L$8:$L$1007,'Esecuzioni'!$A$8:$A$1007,A250))</x:f>
      </x:c>
      <x:c r="Y250" s="20" t="str">
        <x:f>IF(OR(A250="",I250&lt;&gt;"Esecuzioni",W250=0),"",SUMIFS('Esecuzioni'!$M$8:$M$1007,'Esecuzioni'!$A$8:$A$1007,A250))</x:f>
      </x:c>
      <x:c r="Z250" s="20" t="str">
        <x:f>IF(A250="","",IF(J250="Annullato",0,IF(ISNUMBER(O250),O250,IF(AND(I250="Esecuzioni",W250&gt;0),_xlfn.MAXIFS('Esecuzioni'!$P$8:$P$1007,'Esecuzioni'!$A$8:$A$1007,A250),""))))</x:f>
      </x:c>
      <x:c r="AA250" s="20" t="str">
        <x:f>IF(OR(A250="",J250="Aperto"),"",IF(J250="Annullato",0,IF(I250="Lordo manuale",IF(ISNUMBER(P250),P250,""),IF(I250="Netto manuale",IF(AND(ISNUMBER(P250),ISNUMBER(Q250)),P250+Q250,""),IF(OR(W250=0,COUNTIFS('Esecuzioni'!$A$8:$A$1007,A250,'Esecuzioni'!$Q$8:$Q$1007,"&lt;&gt;OK")&gt;0),"",IF(S250="Vince",X250,IF(S250="Perde",Y250,IF(AND(S250="Coperto",ABS(X250-Y250)&lt;='Impostazioni'!$B$11),ROUND((X250+Y250)/2,2),""))))))))</x:f>
      </x:c>
      <x:c r="AB250" s="20" t="str">
        <x:f>IF(NOT(ISNUMBER(AA250)),"",IF(J250="Annullato",0,IF(ISNUMBER(Q250),Q250,ROUND(MAX(0,AA250)*IF(ISNUMBER(R250),R250,'Impostazioni'!$B$8),2))))</x:f>
      </x:c>
      <x:c r="AC250" s="20" t="str">
        <x:f>IF(AND(ISNUMBER(AA250),ISNUMBER(AB250)),ROUND(AA250-AB250,2),"")</x:f>
      </x:c>
      <x:c r="AD250" s="18" t="str">
        <x:f>IF(A250="","",IF(AQ250&lt;&gt;"OK","Incompleto",IF(J250="Aperto","Aperto",IF(J250="Annullato","Annullato",IF(AC250&gt;0,"Green",IF(AC250&lt;0,"Red","Flat"))))))</x:f>
      </x:c>
      <x:c r="AE250" s="21" t="str">
        <x:f>IF(AND(AH250=1,Z250&gt;0),AC250/Z250,"")</x:f>
      </x:c>
      <x:c r="AF250" s="22" t="str">
        <x:f>IF(AH250&lt;&gt;1,"",COUNTIFS($C$8:$C$507,"&lt;"&amp;C250,$AH$8:$AH$507,1)+COUNTIFS($C$8:$C$507,C250,$A$8:$A$507,"&lt;="&amp;A250,$AH$8:$AH$507,1))</x:f>
      </x:c>
      <x:c r="AG250" s="20" t="str">
        <x:f>IF(AH250&lt;&gt;1,"",SUMIFS($AC$8:$AC$507,$C$8:$C$507,"&lt;"&amp;C250,$AH$8:$AH$507,1)+SUMIFS($AC$8:$AC$507,$C$8:$C$507,C250,$A$8:$A$507,"&lt;="&amp;A250,$AH$8:$AH$507,1))</x:f>
      </x:c>
      <x:c r="AH250" s="22" t="str">
        <x:f>IF(A250="","",IF(AND(J250="Chiuso",AQ250="OK",ISNUMBER(AC250)),1,0))</x:f>
      </x:c>
      <x:c r="AI250" s="20" t="str">
        <x:f>IF(AH250&lt;&gt;1,"",MAX(0,_xlfn.MAXIFS($AG$8:$AG$507,$AF$8:$AF$507,"&lt;="&amp;AF250,$AH$8:$AH$507,1)))</x:f>
      </x:c>
      <x:c r="AJ250" s="20" t="str">
        <x:f>IF(AH250&lt;&gt;1,"",MAX(0,AI250-AG250))</x:f>
      </x:c>
      <x:c r="AK250" s="21" t="str">
        <x:f>IF(OR(AH250&lt;&gt;1,NOT(ISNUMBER('Impostazioni'!$B$6)),'Impostazioni'!$B$6+AI250&lt;=0),"",AJ250/('Impostazioni'!$B$6+AI250))</x:f>
      </x:c>
      <x:c r="AL250" s="22" t="str">
        <x:f>IF(AH250&lt;&gt;1,"",IF(AC250&gt;0,AF250-_xlfn.MAXIFS($AF$8:$AF$507,$AF$8:$AF$507,"&lt;="&amp;AF250,$AC$8:$AC$507,"&lt;=0",$AH$8:$AH$507,1),0))</x:f>
      </x:c>
      <x:c r="AM250" s="22" t="str">
        <x:f>IF(AH250&lt;&gt;1,"",IF(AC250&lt;0,AF250-_xlfn.MAXIFS($AF$8:$AF$507,$AF$8:$AF$507,"&lt;="&amp;AF250,$AC$8:$AC$507,"&gt;=0",$AH$8:$AH$507,1),0))</x:f>
      </x:c>
      <x:c r="AN250" s="20" t="str">
        <x:f>IF(OR(A250="",NOT(ISNUMBER(B250)),NOT(ISNUMBER('Impostazioni'!$B$6))),"",'Impostazioni'!$B$6+SUMIFS($AC$8:$AC$507,$C$8:$C$507,"&lt;"&amp;B250,$AH$8:$AH$507,1)+SUMIFS('Cassa'!$F$8:$F$307,'Cassa'!$A$8:$A$307,"&lt;="&amp;B250,'Cassa'!$G$8:$G$307,"OK"))</x:f>
      </x:c>
      <x:c r="AO250" s="21" t="str">
        <x:f>IF(AND(ISNUMBER(Z250),ISNUMBER(AN250),AN250&gt;0),Z250/AN250,"")</x:f>
      </x:c>
      <x:c r="AP250" s="18" t="str">
        <x:f>IF(NOT(ISNUMBER(AO250)),"",IF(AO250&gt;'Impostazioni'!$B$7,"Oltre soglia personale","Nella soglia personale"))</x:f>
      </x:c>
      <x:c r="AQ250" s="18" t="str">
        <x:f>IF(A250="",IF(COUNTA(B250:V250)=0,"","Inserisci ID"),IF(COUNTIFS($A$8:$A$507,A250)&lt;&gt;1,"ID duplicato",IF(OR(NOT(ISNUMBER(B250)),D250="",E250="",F250="",G250="",H250="",COUNTIFS('Impostazioni'!$J$6:$J$25,F250)&lt;&gt;1),"Completa dati / elenchi",IF(OR(AND(I250&lt;&gt;"Lordo manuale",I250&lt;&gt;"Netto manuale",I250&lt;&gt;"Esecuzioni"),AND(J250&lt;&gt;"Aperto",J250&lt;&gt;"Chiuso",J250&lt;&gt;"Annullato")),"Modalità / stato mancanti",IF(AND(J250&lt;&gt;"Aperto",OR(NOT(ISNUMBER(C250)),C250&lt;B250)),"Correggi data chiusura",IF(OR(AND(Q250&lt;&gt;"",OR(NOT(ISNUMBER(Q250)),Q250&lt;0)),AND(R250&lt;&gt;"",OR(NOT(ISNUMBER(R250)),R250&lt;0,R250&gt;1))),"Commissione non valida",IF(J250="Annullato","OK",IF(OR(NOT(ISNUMBER(Z250)),Z250&lt;0,AND(O250&lt;&gt;"",NOT(ISNUMBER(O250)))),"Inserisci rischio",IF(AND(I250="Esecuzioni",OR(W250=0,COUNTIFS('Esecuzioni'!$A$8:$A$1007,A250,'Esecuzioni'!$Q$8:$Q$1007,"&lt;&gt;OK")&gt;0)),"Correggi esecuzioni",IF(J250="Aperto","OK",IF(AND(I250="Esecuzioni",S250="Coperto",ABS(X250-Y250)&gt;'Impostazioni'!$B$11),"Copertura residua",IF(NOT(ISNUMBER(AC250)),"Completa risultato / esito",IF(AND(Z250=0,AC250&lt;&gt;0),"Rischio nullo con P/L","OK")))))))))))))</x:f>
      </x:c>
      <x:c r="AR250" s="20" t="str">
        <x:f>IF(OR(A250="",J250&lt;&gt;"Aperto",AQ250&lt;&gt;"OK"),"",IF(I250="Esecuzioni",SUMIFS('Esecuzioni'!$P$8:$P$1007,'Esecuzioni'!$A$8:$A$1007,A250,'Esecuzioni'!$B$8:$B$1007,_xlfn.MAXIFS('Esecuzioni'!$B$8:$B$1007,'Esecuzioni'!$A$8:$A$1007,A250)),IF(LEFT(U250,8)="FREEBET:",0,Z250)))</x:f>
      </x:c>
      <x:c r="AS250" s="48" t="str">
        <x:f>IF(OR(A250="",E250=""),"",IF(COUNTIFS($E$8:E250,E250)=1,COUNT($AS$7:AS249)+1,""))</x:f>
      </x:c>
    </x:row>
    <x:row r="251" ht="22" customHeight="1">
      <x:c r="A251" s="7"/>
      <x:c r="B251" s="19"/>
      <x:c r="C251" s="19"/>
      <x:c r="D251" s="7"/>
      <x:c r="E251" s="7"/>
      <x:c r="F251" s="7"/>
      <x:c r="G251" s="7"/>
      <x:c r="H251" s="7"/>
      <x:c r="I251" s="7"/>
      <x:c r="J251" s="7"/>
      <x:c r="K251" s="10"/>
      <x:c r="L251" s="7"/>
      <x:c r="M251" s="10"/>
      <x:c r="N251" s="7"/>
      <x:c r="O251" s="8"/>
      <x:c r="P251" s="8"/>
      <x:c r="Q251" s="8"/>
      <x:c r="R251" s="9"/>
      <x:c r="S251" s="7"/>
      <x:c r="T251" s="7"/>
      <x:c r="U251" s="7"/>
      <x:c r="V251" s="7"/>
      <x:c r="W251" s="22" t="str">
        <x:f>IF(A251="","",COUNTIFS('Esecuzioni'!$A$8:$A$1007,A251,'Esecuzioni'!$Q$8:$Q$1007,"OK"))</x:f>
      </x:c>
      <x:c r="X251" s="20" t="str">
        <x:f>IF(OR(A251="",I251&lt;&gt;"Esecuzioni",W251=0),"",SUMIFS('Esecuzioni'!$L$8:$L$1007,'Esecuzioni'!$A$8:$A$1007,A251))</x:f>
      </x:c>
      <x:c r="Y251" s="20" t="str">
        <x:f>IF(OR(A251="",I251&lt;&gt;"Esecuzioni",W251=0),"",SUMIFS('Esecuzioni'!$M$8:$M$1007,'Esecuzioni'!$A$8:$A$1007,A251))</x:f>
      </x:c>
      <x:c r="Z251" s="20" t="str">
        <x:f>IF(A251="","",IF(J251="Annullato",0,IF(ISNUMBER(O251),O251,IF(AND(I251="Esecuzioni",W251&gt;0),_xlfn.MAXIFS('Esecuzioni'!$P$8:$P$1007,'Esecuzioni'!$A$8:$A$1007,A251),""))))</x:f>
      </x:c>
      <x:c r="AA251" s="20" t="str">
        <x:f>IF(OR(A251="",J251="Aperto"),"",IF(J251="Annullato",0,IF(I251="Lordo manuale",IF(ISNUMBER(P251),P251,""),IF(I251="Netto manuale",IF(AND(ISNUMBER(P251),ISNUMBER(Q251)),P251+Q251,""),IF(OR(W251=0,COUNTIFS('Esecuzioni'!$A$8:$A$1007,A251,'Esecuzioni'!$Q$8:$Q$1007,"&lt;&gt;OK")&gt;0),"",IF(S251="Vince",X251,IF(S251="Perde",Y251,IF(AND(S251="Coperto",ABS(X251-Y251)&lt;='Impostazioni'!$B$11),ROUND((X251+Y251)/2,2),""))))))))</x:f>
      </x:c>
      <x:c r="AB251" s="20" t="str">
        <x:f>IF(NOT(ISNUMBER(AA251)),"",IF(J251="Annullato",0,IF(ISNUMBER(Q251),Q251,ROUND(MAX(0,AA251)*IF(ISNUMBER(R251),R251,'Impostazioni'!$B$8),2))))</x:f>
      </x:c>
      <x:c r="AC251" s="20" t="str">
        <x:f>IF(AND(ISNUMBER(AA251),ISNUMBER(AB251)),ROUND(AA251-AB251,2),"")</x:f>
      </x:c>
      <x:c r="AD251" s="18" t="str">
        <x:f>IF(A251="","",IF(AQ251&lt;&gt;"OK","Incompleto",IF(J251="Aperto","Aperto",IF(J251="Annullato","Annullato",IF(AC251&gt;0,"Green",IF(AC251&lt;0,"Red","Flat"))))))</x:f>
      </x:c>
      <x:c r="AE251" s="21" t="str">
        <x:f>IF(AND(AH251=1,Z251&gt;0),AC251/Z251,"")</x:f>
      </x:c>
      <x:c r="AF251" s="22" t="str">
        <x:f>IF(AH251&lt;&gt;1,"",COUNTIFS($C$8:$C$507,"&lt;"&amp;C251,$AH$8:$AH$507,1)+COUNTIFS($C$8:$C$507,C251,$A$8:$A$507,"&lt;="&amp;A251,$AH$8:$AH$507,1))</x:f>
      </x:c>
      <x:c r="AG251" s="20" t="str">
        <x:f>IF(AH251&lt;&gt;1,"",SUMIFS($AC$8:$AC$507,$C$8:$C$507,"&lt;"&amp;C251,$AH$8:$AH$507,1)+SUMIFS($AC$8:$AC$507,$C$8:$C$507,C251,$A$8:$A$507,"&lt;="&amp;A251,$AH$8:$AH$507,1))</x:f>
      </x:c>
      <x:c r="AH251" s="22" t="str">
        <x:f>IF(A251="","",IF(AND(J251="Chiuso",AQ251="OK",ISNUMBER(AC251)),1,0))</x:f>
      </x:c>
      <x:c r="AI251" s="20" t="str">
        <x:f>IF(AH251&lt;&gt;1,"",MAX(0,_xlfn.MAXIFS($AG$8:$AG$507,$AF$8:$AF$507,"&lt;="&amp;AF251,$AH$8:$AH$507,1)))</x:f>
      </x:c>
      <x:c r="AJ251" s="20" t="str">
        <x:f>IF(AH251&lt;&gt;1,"",MAX(0,AI251-AG251))</x:f>
      </x:c>
      <x:c r="AK251" s="21" t="str">
        <x:f>IF(OR(AH251&lt;&gt;1,NOT(ISNUMBER('Impostazioni'!$B$6)),'Impostazioni'!$B$6+AI251&lt;=0),"",AJ251/('Impostazioni'!$B$6+AI251))</x:f>
      </x:c>
      <x:c r="AL251" s="22" t="str">
        <x:f>IF(AH251&lt;&gt;1,"",IF(AC251&gt;0,AF251-_xlfn.MAXIFS($AF$8:$AF$507,$AF$8:$AF$507,"&lt;="&amp;AF251,$AC$8:$AC$507,"&lt;=0",$AH$8:$AH$507,1),0))</x:f>
      </x:c>
      <x:c r="AM251" s="22" t="str">
        <x:f>IF(AH251&lt;&gt;1,"",IF(AC251&lt;0,AF251-_xlfn.MAXIFS($AF$8:$AF$507,$AF$8:$AF$507,"&lt;="&amp;AF251,$AC$8:$AC$507,"&gt;=0",$AH$8:$AH$507,1),0))</x:f>
      </x:c>
      <x:c r="AN251" s="20" t="str">
        <x:f>IF(OR(A251="",NOT(ISNUMBER(B251)),NOT(ISNUMBER('Impostazioni'!$B$6))),"",'Impostazioni'!$B$6+SUMIFS($AC$8:$AC$507,$C$8:$C$507,"&lt;"&amp;B251,$AH$8:$AH$507,1)+SUMIFS('Cassa'!$F$8:$F$307,'Cassa'!$A$8:$A$307,"&lt;="&amp;B251,'Cassa'!$G$8:$G$307,"OK"))</x:f>
      </x:c>
      <x:c r="AO251" s="21" t="str">
        <x:f>IF(AND(ISNUMBER(Z251),ISNUMBER(AN251),AN251&gt;0),Z251/AN251,"")</x:f>
      </x:c>
      <x:c r="AP251" s="18" t="str">
        <x:f>IF(NOT(ISNUMBER(AO251)),"",IF(AO251&gt;'Impostazioni'!$B$7,"Oltre soglia personale","Nella soglia personale"))</x:f>
      </x:c>
      <x:c r="AQ251" s="18" t="str">
        <x:f>IF(A251="",IF(COUNTA(B251:V251)=0,"","Inserisci ID"),IF(COUNTIFS($A$8:$A$507,A251)&lt;&gt;1,"ID duplicato",IF(OR(NOT(ISNUMBER(B251)),D251="",E251="",F251="",G251="",H251="",COUNTIFS('Impostazioni'!$J$6:$J$25,F251)&lt;&gt;1),"Completa dati / elenchi",IF(OR(AND(I251&lt;&gt;"Lordo manuale",I251&lt;&gt;"Netto manuale",I251&lt;&gt;"Esecuzioni"),AND(J251&lt;&gt;"Aperto",J251&lt;&gt;"Chiuso",J251&lt;&gt;"Annullato")),"Modalità / stato mancanti",IF(AND(J251&lt;&gt;"Aperto",OR(NOT(ISNUMBER(C251)),C251&lt;B251)),"Correggi data chiusura",IF(OR(AND(Q251&lt;&gt;"",OR(NOT(ISNUMBER(Q251)),Q251&lt;0)),AND(R251&lt;&gt;"",OR(NOT(ISNUMBER(R251)),R251&lt;0,R251&gt;1))),"Commissione non valida",IF(J251="Annullato","OK",IF(OR(NOT(ISNUMBER(Z251)),Z251&lt;0,AND(O251&lt;&gt;"",NOT(ISNUMBER(O251)))),"Inserisci rischio",IF(AND(I251="Esecuzioni",OR(W251=0,COUNTIFS('Esecuzioni'!$A$8:$A$1007,A251,'Esecuzioni'!$Q$8:$Q$1007,"&lt;&gt;OK")&gt;0)),"Correggi esecuzioni",IF(J251="Aperto","OK",IF(AND(I251="Esecuzioni",S251="Coperto",ABS(X251-Y251)&gt;'Impostazioni'!$B$11),"Copertura residua",IF(NOT(ISNUMBER(AC251)),"Completa risultato / esito",IF(AND(Z251=0,AC251&lt;&gt;0),"Rischio nullo con P/L","OK")))))))))))))</x:f>
      </x:c>
      <x:c r="AR251" s="20" t="str">
        <x:f>IF(OR(A251="",J251&lt;&gt;"Aperto",AQ251&lt;&gt;"OK"),"",IF(I251="Esecuzioni",SUMIFS('Esecuzioni'!$P$8:$P$1007,'Esecuzioni'!$A$8:$A$1007,A251,'Esecuzioni'!$B$8:$B$1007,_xlfn.MAXIFS('Esecuzioni'!$B$8:$B$1007,'Esecuzioni'!$A$8:$A$1007,A251)),IF(LEFT(U251,8)="FREEBET:",0,Z251)))</x:f>
      </x:c>
      <x:c r="AS251" s="48" t="str">
        <x:f>IF(OR(A251="",E251=""),"",IF(COUNTIFS($E$8:E251,E251)=1,COUNT($AS$7:AS250)+1,""))</x:f>
      </x:c>
    </x:row>
    <x:row r="252" ht="22" customHeight="1">
      <x:c r="A252" s="7"/>
      <x:c r="B252" s="19"/>
      <x:c r="C252" s="19"/>
      <x:c r="D252" s="7"/>
      <x:c r="E252" s="7"/>
      <x:c r="F252" s="7"/>
      <x:c r="G252" s="7"/>
      <x:c r="H252" s="7"/>
      <x:c r="I252" s="7"/>
      <x:c r="J252" s="7"/>
      <x:c r="K252" s="10"/>
      <x:c r="L252" s="7"/>
      <x:c r="M252" s="10"/>
      <x:c r="N252" s="7"/>
      <x:c r="O252" s="8"/>
      <x:c r="P252" s="8"/>
      <x:c r="Q252" s="8"/>
      <x:c r="R252" s="9"/>
      <x:c r="S252" s="7"/>
      <x:c r="T252" s="7"/>
      <x:c r="U252" s="7"/>
      <x:c r="V252" s="7"/>
      <x:c r="W252" s="22" t="str">
        <x:f>IF(A252="","",COUNTIFS('Esecuzioni'!$A$8:$A$1007,A252,'Esecuzioni'!$Q$8:$Q$1007,"OK"))</x:f>
      </x:c>
      <x:c r="X252" s="20" t="str">
        <x:f>IF(OR(A252="",I252&lt;&gt;"Esecuzioni",W252=0),"",SUMIFS('Esecuzioni'!$L$8:$L$1007,'Esecuzioni'!$A$8:$A$1007,A252))</x:f>
      </x:c>
      <x:c r="Y252" s="20" t="str">
        <x:f>IF(OR(A252="",I252&lt;&gt;"Esecuzioni",W252=0),"",SUMIFS('Esecuzioni'!$M$8:$M$1007,'Esecuzioni'!$A$8:$A$1007,A252))</x:f>
      </x:c>
      <x:c r="Z252" s="20" t="str">
        <x:f>IF(A252="","",IF(J252="Annullato",0,IF(ISNUMBER(O252),O252,IF(AND(I252="Esecuzioni",W252&gt;0),_xlfn.MAXIFS('Esecuzioni'!$P$8:$P$1007,'Esecuzioni'!$A$8:$A$1007,A252),""))))</x:f>
      </x:c>
      <x:c r="AA252" s="20" t="str">
        <x:f>IF(OR(A252="",J252="Aperto"),"",IF(J252="Annullato",0,IF(I252="Lordo manuale",IF(ISNUMBER(P252),P252,""),IF(I252="Netto manuale",IF(AND(ISNUMBER(P252),ISNUMBER(Q252)),P252+Q252,""),IF(OR(W252=0,COUNTIFS('Esecuzioni'!$A$8:$A$1007,A252,'Esecuzioni'!$Q$8:$Q$1007,"&lt;&gt;OK")&gt;0),"",IF(S252="Vince",X252,IF(S252="Perde",Y252,IF(AND(S252="Coperto",ABS(X252-Y252)&lt;='Impostazioni'!$B$11),ROUND((X252+Y252)/2,2),""))))))))</x:f>
      </x:c>
      <x:c r="AB252" s="20" t="str">
        <x:f>IF(NOT(ISNUMBER(AA252)),"",IF(J252="Annullato",0,IF(ISNUMBER(Q252),Q252,ROUND(MAX(0,AA252)*IF(ISNUMBER(R252),R252,'Impostazioni'!$B$8),2))))</x:f>
      </x:c>
      <x:c r="AC252" s="20" t="str">
        <x:f>IF(AND(ISNUMBER(AA252),ISNUMBER(AB252)),ROUND(AA252-AB252,2),"")</x:f>
      </x:c>
      <x:c r="AD252" s="18" t="str">
        <x:f>IF(A252="","",IF(AQ252&lt;&gt;"OK","Incompleto",IF(J252="Aperto","Aperto",IF(J252="Annullato","Annullato",IF(AC252&gt;0,"Green",IF(AC252&lt;0,"Red","Flat"))))))</x:f>
      </x:c>
      <x:c r="AE252" s="21" t="str">
        <x:f>IF(AND(AH252=1,Z252&gt;0),AC252/Z252,"")</x:f>
      </x:c>
      <x:c r="AF252" s="22" t="str">
        <x:f>IF(AH252&lt;&gt;1,"",COUNTIFS($C$8:$C$507,"&lt;"&amp;C252,$AH$8:$AH$507,1)+COUNTIFS($C$8:$C$507,C252,$A$8:$A$507,"&lt;="&amp;A252,$AH$8:$AH$507,1))</x:f>
      </x:c>
      <x:c r="AG252" s="20" t="str">
        <x:f>IF(AH252&lt;&gt;1,"",SUMIFS($AC$8:$AC$507,$C$8:$C$507,"&lt;"&amp;C252,$AH$8:$AH$507,1)+SUMIFS($AC$8:$AC$507,$C$8:$C$507,C252,$A$8:$A$507,"&lt;="&amp;A252,$AH$8:$AH$507,1))</x:f>
      </x:c>
      <x:c r="AH252" s="22" t="str">
        <x:f>IF(A252="","",IF(AND(J252="Chiuso",AQ252="OK",ISNUMBER(AC252)),1,0))</x:f>
      </x:c>
      <x:c r="AI252" s="20" t="str">
        <x:f>IF(AH252&lt;&gt;1,"",MAX(0,_xlfn.MAXIFS($AG$8:$AG$507,$AF$8:$AF$507,"&lt;="&amp;AF252,$AH$8:$AH$507,1)))</x:f>
      </x:c>
      <x:c r="AJ252" s="20" t="str">
        <x:f>IF(AH252&lt;&gt;1,"",MAX(0,AI252-AG252))</x:f>
      </x:c>
      <x:c r="AK252" s="21" t="str">
        <x:f>IF(OR(AH252&lt;&gt;1,NOT(ISNUMBER('Impostazioni'!$B$6)),'Impostazioni'!$B$6+AI252&lt;=0),"",AJ252/('Impostazioni'!$B$6+AI252))</x:f>
      </x:c>
      <x:c r="AL252" s="22" t="str">
        <x:f>IF(AH252&lt;&gt;1,"",IF(AC252&gt;0,AF252-_xlfn.MAXIFS($AF$8:$AF$507,$AF$8:$AF$507,"&lt;="&amp;AF252,$AC$8:$AC$507,"&lt;=0",$AH$8:$AH$507,1),0))</x:f>
      </x:c>
      <x:c r="AM252" s="22" t="str">
        <x:f>IF(AH252&lt;&gt;1,"",IF(AC252&lt;0,AF252-_xlfn.MAXIFS($AF$8:$AF$507,$AF$8:$AF$507,"&lt;="&amp;AF252,$AC$8:$AC$507,"&gt;=0",$AH$8:$AH$507,1),0))</x:f>
      </x:c>
      <x:c r="AN252" s="20" t="str">
        <x:f>IF(OR(A252="",NOT(ISNUMBER(B252)),NOT(ISNUMBER('Impostazioni'!$B$6))),"",'Impostazioni'!$B$6+SUMIFS($AC$8:$AC$507,$C$8:$C$507,"&lt;"&amp;B252,$AH$8:$AH$507,1)+SUMIFS('Cassa'!$F$8:$F$307,'Cassa'!$A$8:$A$307,"&lt;="&amp;B252,'Cassa'!$G$8:$G$307,"OK"))</x:f>
      </x:c>
      <x:c r="AO252" s="21" t="str">
        <x:f>IF(AND(ISNUMBER(Z252),ISNUMBER(AN252),AN252&gt;0),Z252/AN252,"")</x:f>
      </x:c>
      <x:c r="AP252" s="18" t="str">
        <x:f>IF(NOT(ISNUMBER(AO252)),"",IF(AO252&gt;'Impostazioni'!$B$7,"Oltre soglia personale","Nella soglia personale"))</x:f>
      </x:c>
      <x:c r="AQ252" s="18" t="str">
        <x:f>IF(A252="",IF(COUNTA(B252:V252)=0,"","Inserisci ID"),IF(COUNTIFS($A$8:$A$507,A252)&lt;&gt;1,"ID duplicato",IF(OR(NOT(ISNUMBER(B252)),D252="",E252="",F252="",G252="",H252="",COUNTIFS('Impostazioni'!$J$6:$J$25,F252)&lt;&gt;1),"Completa dati / elenchi",IF(OR(AND(I252&lt;&gt;"Lordo manuale",I252&lt;&gt;"Netto manuale",I252&lt;&gt;"Esecuzioni"),AND(J252&lt;&gt;"Aperto",J252&lt;&gt;"Chiuso",J252&lt;&gt;"Annullato")),"Modalità / stato mancanti",IF(AND(J252&lt;&gt;"Aperto",OR(NOT(ISNUMBER(C252)),C252&lt;B252)),"Correggi data chiusura",IF(OR(AND(Q252&lt;&gt;"",OR(NOT(ISNUMBER(Q252)),Q252&lt;0)),AND(R252&lt;&gt;"",OR(NOT(ISNUMBER(R252)),R252&lt;0,R252&gt;1))),"Commissione non valida",IF(J252="Annullato","OK",IF(OR(NOT(ISNUMBER(Z252)),Z252&lt;0,AND(O252&lt;&gt;"",NOT(ISNUMBER(O252)))),"Inserisci rischio",IF(AND(I252="Esecuzioni",OR(W252=0,COUNTIFS('Esecuzioni'!$A$8:$A$1007,A252,'Esecuzioni'!$Q$8:$Q$1007,"&lt;&gt;OK")&gt;0)),"Correggi esecuzioni",IF(J252="Aperto","OK",IF(AND(I252="Esecuzioni",S252="Coperto",ABS(X252-Y252)&gt;'Impostazioni'!$B$11),"Copertura residua",IF(NOT(ISNUMBER(AC252)),"Completa risultato / esito",IF(AND(Z252=0,AC252&lt;&gt;0),"Rischio nullo con P/L","OK")))))))))))))</x:f>
      </x:c>
      <x:c r="AR252" s="20" t="str">
        <x:f>IF(OR(A252="",J252&lt;&gt;"Aperto",AQ252&lt;&gt;"OK"),"",IF(I252="Esecuzioni",SUMIFS('Esecuzioni'!$P$8:$P$1007,'Esecuzioni'!$A$8:$A$1007,A252,'Esecuzioni'!$B$8:$B$1007,_xlfn.MAXIFS('Esecuzioni'!$B$8:$B$1007,'Esecuzioni'!$A$8:$A$1007,A252)),IF(LEFT(U252,8)="FREEBET:",0,Z252)))</x:f>
      </x:c>
      <x:c r="AS252" s="48" t="str">
        <x:f>IF(OR(A252="",E252=""),"",IF(COUNTIFS($E$8:E252,E252)=1,COUNT($AS$7:AS251)+1,""))</x:f>
      </x:c>
    </x:row>
    <x:row r="253" ht="22" customHeight="1">
      <x:c r="A253" s="7"/>
      <x:c r="B253" s="19"/>
      <x:c r="C253" s="19"/>
      <x:c r="D253" s="7"/>
      <x:c r="E253" s="7"/>
      <x:c r="F253" s="7"/>
      <x:c r="G253" s="7"/>
      <x:c r="H253" s="7"/>
      <x:c r="I253" s="7"/>
      <x:c r="J253" s="7"/>
      <x:c r="K253" s="10"/>
      <x:c r="L253" s="7"/>
      <x:c r="M253" s="10"/>
      <x:c r="N253" s="7"/>
      <x:c r="O253" s="8"/>
      <x:c r="P253" s="8"/>
      <x:c r="Q253" s="8"/>
      <x:c r="R253" s="9"/>
      <x:c r="S253" s="7"/>
      <x:c r="T253" s="7"/>
      <x:c r="U253" s="7"/>
      <x:c r="V253" s="7"/>
      <x:c r="W253" s="22" t="str">
        <x:f>IF(A253="","",COUNTIFS('Esecuzioni'!$A$8:$A$1007,A253,'Esecuzioni'!$Q$8:$Q$1007,"OK"))</x:f>
      </x:c>
      <x:c r="X253" s="20" t="str">
        <x:f>IF(OR(A253="",I253&lt;&gt;"Esecuzioni",W253=0),"",SUMIFS('Esecuzioni'!$L$8:$L$1007,'Esecuzioni'!$A$8:$A$1007,A253))</x:f>
      </x:c>
      <x:c r="Y253" s="20" t="str">
        <x:f>IF(OR(A253="",I253&lt;&gt;"Esecuzioni",W253=0),"",SUMIFS('Esecuzioni'!$M$8:$M$1007,'Esecuzioni'!$A$8:$A$1007,A253))</x:f>
      </x:c>
      <x:c r="Z253" s="20" t="str">
        <x:f>IF(A253="","",IF(J253="Annullato",0,IF(ISNUMBER(O253),O253,IF(AND(I253="Esecuzioni",W253&gt;0),_xlfn.MAXIFS('Esecuzioni'!$P$8:$P$1007,'Esecuzioni'!$A$8:$A$1007,A253),""))))</x:f>
      </x:c>
      <x:c r="AA253" s="20" t="str">
        <x:f>IF(OR(A253="",J253="Aperto"),"",IF(J253="Annullato",0,IF(I253="Lordo manuale",IF(ISNUMBER(P253),P253,""),IF(I253="Netto manuale",IF(AND(ISNUMBER(P253),ISNUMBER(Q253)),P253+Q253,""),IF(OR(W253=0,COUNTIFS('Esecuzioni'!$A$8:$A$1007,A253,'Esecuzioni'!$Q$8:$Q$1007,"&lt;&gt;OK")&gt;0),"",IF(S253="Vince",X253,IF(S253="Perde",Y253,IF(AND(S253="Coperto",ABS(X253-Y253)&lt;='Impostazioni'!$B$11),ROUND((X253+Y253)/2,2),""))))))))</x:f>
      </x:c>
      <x:c r="AB253" s="20" t="str">
        <x:f>IF(NOT(ISNUMBER(AA253)),"",IF(J253="Annullato",0,IF(ISNUMBER(Q253),Q253,ROUND(MAX(0,AA253)*IF(ISNUMBER(R253),R253,'Impostazioni'!$B$8),2))))</x:f>
      </x:c>
      <x:c r="AC253" s="20" t="str">
        <x:f>IF(AND(ISNUMBER(AA253),ISNUMBER(AB253)),ROUND(AA253-AB253,2),"")</x:f>
      </x:c>
      <x:c r="AD253" s="18" t="str">
        <x:f>IF(A253="","",IF(AQ253&lt;&gt;"OK","Incompleto",IF(J253="Aperto","Aperto",IF(J253="Annullato","Annullato",IF(AC253&gt;0,"Green",IF(AC253&lt;0,"Red","Flat"))))))</x:f>
      </x:c>
      <x:c r="AE253" s="21" t="str">
        <x:f>IF(AND(AH253=1,Z253&gt;0),AC253/Z253,"")</x:f>
      </x:c>
      <x:c r="AF253" s="22" t="str">
        <x:f>IF(AH253&lt;&gt;1,"",COUNTIFS($C$8:$C$507,"&lt;"&amp;C253,$AH$8:$AH$507,1)+COUNTIFS($C$8:$C$507,C253,$A$8:$A$507,"&lt;="&amp;A253,$AH$8:$AH$507,1))</x:f>
      </x:c>
      <x:c r="AG253" s="20" t="str">
        <x:f>IF(AH253&lt;&gt;1,"",SUMIFS($AC$8:$AC$507,$C$8:$C$507,"&lt;"&amp;C253,$AH$8:$AH$507,1)+SUMIFS($AC$8:$AC$507,$C$8:$C$507,C253,$A$8:$A$507,"&lt;="&amp;A253,$AH$8:$AH$507,1))</x:f>
      </x:c>
      <x:c r="AH253" s="22" t="str">
        <x:f>IF(A253="","",IF(AND(J253="Chiuso",AQ253="OK",ISNUMBER(AC253)),1,0))</x:f>
      </x:c>
      <x:c r="AI253" s="20" t="str">
        <x:f>IF(AH253&lt;&gt;1,"",MAX(0,_xlfn.MAXIFS($AG$8:$AG$507,$AF$8:$AF$507,"&lt;="&amp;AF253,$AH$8:$AH$507,1)))</x:f>
      </x:c>
      <x:c r="AJ253" s="20" t="str">
        <x:f>IF(AH253&lt;&gt;1,"",MAX(0,AI253-AG253))</x:f>
      </x:c>
      <x:c r="AK253" s="21" t="str">
        <x:f>IF(OR(AH253&lt;&gt;1,NOT(ISNUMBER('Impostazioni'!$B$6)),'Impostazioni'!$B$6+AI253&lt;=0),"",AJ253/('Impostazioni'!$B$6+AI253))</x:f>
      </x:c>
      <x:c r="AL253" s="22" t="str">
        <x:f>IF(AH253&lt;&gt;1,"",IF(AC253&gt;0,AF253-_xlfn.MAXIFS($AF$8:$AF$507,$AF$8:$AF$507,"&lt;="&amp;AF253,$AC$8:$AC$507,"&lt;=0",$AH$8:$AH$507,1),0))</x:f>
      </x:c>
      <x:c r="AM253" s="22" t="str">
        <x:f>IF(AH253&lt;&gt;1,"",IF(AC253&lt;0,AF253-_xlfn.MAXIFS($AF$8:$AF$507,$AF$8:$AF$507,"&lt;="&amp;AF253,$AC$8:$AC$507,"&gt;=0",$AH$8:$AH$507,1),0))</x:f>
      </x:c>
      <x:c r="AN253" s="20" t="str">
        <x:f>IF(OR(A253="",NOT(ISNUMBER(B253)),NOT(ISNUMBER('Impostazioni'!$B$6))),"",'Impostazioni'!$B$6+SUMIFS($AC$8:$AC$507,$C$8:$C$507,"&lt;"&amp;B253,$AH$8:$AH$507,1)+SUMIFS('Cassa'!$F$8:$F$307,'Cassa'!$A$8:$A$307,"&lt;="&amp;B253,'Cassa'!$G$8:$G$307,"OK"))</x:f>
      </x:c>
      <x:c r="AO253" s="21" t="str">
        <x:f>IF(AND(ISNUMBER(Z253),ISNUMBER(AN253),AN253&gt;0),Z253/AN253,"")</x:f>
      </x:c>
      <x:c r="AP253" s="18" t="str">
        <x:f>IF(NOT(ISNUMBER(AO253)),"",IF(AO253&gt;'Impostazioni'!$B$7,"Oltre soglia personale","Nella soglia personale"))</x:f>
      </x:c>
      <x:c r="AQ253" s="18" t="str">
        <x:f>IF(A253="",IF(COUNTA(B253:V253)=0,"","Inserisci ID"),IF(COUNTIFS($A$8:$A$507,A253)&lt;&gt;1,"ID duplicato",IF(OR(NOT(ISNUMBER(B253)),D253="",E253="",F253="",G253="",H253="",COUNTIFS('Impostazioni'!$J$6:$J$25,F253)&lt;&gt;1),"Completa dati / elenchi",IF(OR(AND(I253&lt;&gt;"Lordo manuale",I253&lt;&gt;"Netto manuale",I253&lt;&gt;"Esecuzioni"),AND(J253&lt;&gt;"Aperto",J253&lt;&gt;"Chiuso",J253&lt;&gt;"Annullato")),"Modalità / stato mancanti",IF(AND(J253&lt;&gt;"Aperto",OR(NOT(ISNUMBER(C253)),C253&lt;B253)),"Correggi data chiusura",IF(OR(AND(Q253&lt;&gt;"",OR(NOT(ISNUMBER(Q253)),Q253&lt;0)),AND(R253&lt;&gt;"",OR(NOT(ISNUMBER(R253)),R253&lt;0,R253&gt;1))),"Commissione non valida",IF(J253="Annullato","OK",IF(OR(NOT(ISNUMBER(Z253)),Z253&lt;0,AND(O253&lt;&gt;"",NOT(ISNUMBER(O253)))),"Inserisci rischio",IF(AND(I253="Esecuzioni",OR(W253=0,COUNTIFS('Esecuzioni'!$A$8:$A$1007,A253,'Esecuzioni'!$Q$8:$Q$1007,"&lt;&gt;OK")&gt;0)),"Correggi esecuzioni",IF(J253="Aperto","OK",IF(AND(I253="Esecuzioni",S253="Coperto",ABS(X253-Y253)&gt;'Impostazioni'!$B$11),"Copertura residua",IF(NOT(ISNUMBER(AC253)),"Completa risultato / esito",IF(AND(Z253=0,AC253&lt;&gt;0),"Rischio nullo con P/L","OK")))))))))))))</x:f>
      </x:c>
      <x:c r="AR253" s="20" t="str">
        <x:f>IF(OR(A253="",J253&lt;&gt;"Aperto",AQ253&lt;&gt;"OK"),"",IF(I253="Esecuzioni",SUMIFS('Esecuzioni'!$P$8:$P$1007,'Esecuzioni'!$A$8:$A$1007,A253,'Esecuzioni'!$B$8:$B$1007,_xlfn.MAXIFS('Esecuzioni'!$B$8:$B$1007,'Esecuzioni'!$A$8:$A$1007,A253)),IF(LEFT(U253,8)="FREEBET:",0,Z253)))</x:f>
      </x:c>
      <x:c r="AS253" s="48" t="str">
        <x:f>IF(OR(A253="",E253=""),"",IF(COUNTIFS($E$8:E253,E253)=1,COUNT($AS$7:AS252)+1,""))</x:f>
      </x:c>
    </x:row>
    <x:row r="254" ht="22" customHeight="1">
      <x:c r="A254" s="7"/>
      <x:c r="B254" s="19"/>
      <x:c r="C254" s="19"/>
      <x:c r="D254" s="7"/>
      <x:c r="E254" s="7"/>
      <x:c r="F254" s="7"/>
      <x:c r="G254" s="7"/>
      <x:c r="H254" s="7"/>
      <x:c r="I254" s="7"/>
      <x:c r="J254" s="7"/>
      <x:c r="K254" s="10"/>
      <x:c r="L254" s="7"/>
      <x:c r="M254" s="10"/>
      <x:c r="N254" s="7"/>
      <x:c r="O254" s="8"/>
      <x:c r="P254" s="8"/>
      <x:c r="Q254" s="8"/>
      <x:c r="R254" s="9"/>
      <x:c r="S254" s="7"/>
      <x:c r="T254" s="7"/>
      <x:c r="U254" s="7"/>
      <x:c r="V254" s="7"/>
      <x:c r="W254" s="22" t="str">
        <x:f>IF(A254="","",COUNTIFS('Esecuzioni'!$A$8:$A$1007,A254,'Esecuzioni'!$Q$8:$Q$1007,"OK"))</x:f>
      </x:c>
      <x:c r="X254" s="20" t="str">
        <x:f>IF(OR(A254="",I254&lt;&gt;"Esecuzioni",W254=0),"",SUMIFS('Esecuzioni'!$L$8:$L$1007,'Esecuzioni'!$A$8:$A$1007,A254))</x:f>
      </x:c>
      <x:c r="Y254" s="20" t="str">
        <x:f>IF(OR(A254="",I254&lt;&gt;"Esecuzioni",W254=0),"",SUMIFS('Esecuzioni'!$M$8:$M$1007,'Esecuzioni'!$A$8:$A$1007,A254))</x:f>
      </x:c>
      <x:c r="Z254" s="20" t="str">
        <x:f>IF(A254="","",IF(J254="Annullato",0,IF(ISNUMBER(O254),O254,IF(AND(I254="Esecuzioni",W254&gt;0),_xlfn.MAXIFS('Esecuzioni'!$P$8:$P$1007,'Esecuzioni'!$A$8:$A$1007,A254),""))))</x:f>
      </x:c>
      <x:c r="AA254" s="20" t="str">
        <x:f>IF(OR(A254="",J254="Aperto"),"",IF(J254="Annullato",0,IF(I254="Lordo manuale",IF(ISNUMBER(P254),P254,""),IF(I254="Netto manuale",IF(AND(ISNUMBER(P254),ISNUMBER(Q254)),P254+Q254,""),IF(OR(W254=0,COUNTIFS('Esecuzioni'!$A$8:$A$1007,A254,'Esecuzioni'!$Q$8:$Q$1007,"&lt;&gt;OK")&gt;0),"",IF(S254="Vince",X254,IF(S254="Perde",Y254,IF(AND(S254="Coperto",ABS(X254-Y254)&lt;='Impostazioni'!$B$11),ROUND((X254+Y254)/2,2),""))))))))</x:f>
      </x:c>
      <x:c r="AB254" s="20" t="str">
        <x:f>IF(NOT(ISNUMBER(AA254)),"",IF(J254="Annullato",0,IF(ISNUMBER(Q254),Q254,ROUND(MAX(0,AA254)*IF(ISNUMBER(R254),R254,'Impostazioni'!$B$8),2))))</x:f>
      </x:c>
      <x:c r="AC254" s="20" t="str">
        <x:f>IF(AND(ISNUMBER(AA254),ISNUMBER(AB254)),ROUND(AA254-AB254,2),"")</x:f>
      </x:c>
      <x:c r="AD254" s="18" t="str">
        <x:f>IF(A254="","",IF(AQ254&lt;&gt;"OK","Incompleto",IF(J254="Aperto","Aperto",IF(J254="Annullato","Annullato",IF(AC254&gt;0,"Green",IF(AC254&lt;0,"Red","Flat"))))))</x:f>
      </x:c>
      <x:c r="AE254" s="21" t="str">
        <x:f>IF(AND(AH254=1,Z254&gt;0),AC254/Z254,"")</x:f>
      </x:c>
      <x:c r="AF254" s="22" t="str">
        <x:f>IF(AH254&lt;&gt;1,"",COUNTIFS($C$8:$C$507,"&lt;"&amp;C254,$AH$8:$AH$507,1)+COUNTIFS($C$8:$C$507,C254,$A$8:$A$507,"&lt;="&amp;A254,$AH$8:$AH$507,1))</x:f>
      </x:c>
      <x:c r="AG254" s="20" t="str">
        <x:f>IF(AH254&lt;&gt;1,"",SUMIFS($AC$8:$AC$507,$C$8:$C$507,"&lt;"&amp;C254,$AH$8:$AH$507,1)+SUMIFS($AC$8:$AC$507,$C$8:$C$507,C254,$A$8:$A$507,"&lt;="&amp;A254,$AH$8:$AH$507,1))</x:f>
      </x:c>
      <x:c r="AH254" s="22" t="str">
        <x:f>IF(A254="","",IF(AND(J254="Chiuso",AQ254="OK",ISNUMBER(AC254)),1,0))</x:f>
      </x:c>
      <x:c r="AI254" s="20" t="str">
        <x:f>IF(AH254&lt;&gt;1,"",MAX(0,_xlfn.MAXIFS($AG$8:$AG$507,$AF$8:$AF$507,"&lt;="&amp;AF254,$AH$8:$AH$507,1)))</x:f>
      </x:c>
      <x:c r="AJ254" s="20" t="str">
        <x:f>IF(AH254&lt;&gt;1,"",MAX(0,AI254-AG254))</x:f>
      </x:c>
      <x:c r="AK254" s="21" t="str">
        <x:f>IF(OR(AH254&lt;&gt;1,NOT(ISNUMBER('Impostazioni'!$B$6)),'Impostazioni'!$B$6+AI254&lt;=0),"",AJ254/('Impostazioni'!$B$6+AI254))</x:f>
      </x:c>
      <x:c r="AL254" s="22" t="str">
        <x:f>IF(AH254&lt;&gt;1,"",IF(AC254&gt;0,AF254-_xlfn.MAXIFS($AF$8:$AF$507,$AF$8:$AF$507,"&lt;="&amp;AF254,$AC$8:$AC$507,"&lt;=0",$AH$8:$AH$507,1),0))</x:f>
      </x:c>
      <x:c r="AM254" s="22" t="str">
        <x:f>IF(AH254&lt;&gt;1,"",IF(AC254&lt;0,AF254-_xlfn.MAXIFS($AF$8:$AF$507,$AF$8:$AF$507,"&lt;="&amp;AF254,$AC$8:$AC$507,"&gt;=0",$AH$8:$AH$507,1),0))</x:f>
      </x:c>
      <x:c r="AN254" s="20" t="str">
        <x:f>IF(OR(A254="",NOT(ISNUMBER(B254)),NOT(ISNUMBER('Impostazioni'!$B$6))),"",'Impostazioni'!$B$6+SUMIFS($AC$8:$AC$507,$C$8:$C$507,"&lt;"&amp;B254,$AH$8:$AH$507,1)+SUMIFS('Cassa'!$F$8:$F$307,'Cassa'!$A$8:$A$307,"&lt;="&amp;B254,'Cassa'!$G$8:$G$307,"OK"))</x:f>
      </x:c>
      <x:c r="AO254" s="21" t="str">
        <x:f>IF(AND(ISNUMBER(Z254),ISNUMBER(AN254),AN254&gt;0),Z254/AN254,"")</x:f>
      </x:c>
      <x:c r="AP254" s="18" t="str">
        <x:f>IF(NOT(ISNUMBER(AO254)),"",IF(AO254&gt;'Impostazioni'!$B$7,"Oltre soglia personale","Nella soglia personale"))</x:f>
      </x:c>
      <x:c r="AQ254" s="18" t="str">
        <x:f>IF(A254="",IF(COUNTA(B254:V254)=0,"","Inserisci ID"),IF(COUNTIFS($A$8:$A$507,A254)&lt;&gt;1,"ID duplicato",IF(OR(NOT(ISNUMBER(B254)),D254="",E254="",F254="",G254="",H254="",COUNTIFS('Impostazioni'!$J$6:$J$25,F254)&lt;&gt;1),"Completa dati / elenchi",IF(OR(AND(I254&lt;&gt;"Lordo manuale",I254&lt;&gt;"Netto manuale",I254&lt;&gt;"Esecuzioni"),AND(J254&lt;&gt;"Aperto",J254&lt;&gt;"Chiuso",J254&lt;&gt;"Annullato")),"Modalità / stato mancanti",IF(AND(J254&lt;&gt;"Aperto",OR(NOT(ISNUMBER(C254)),C254&lt;B254)),"Correggi data chiusura",IF(OR(AND(Q254&lt;&gt;"",OR(NOT(ISNUMBER(Q254)),Q254&lt;0)),AND(R254&lt;&gt;"",OR(NOT(ISNUMBER(R254)),R254&lt;0,R254&gt;1))),"Commissione non valida",IF(J254="Annullato","OK",IF(OR(NOT(ISNUMBER(Z254)),Z254&lt;0,AND(O254&lt;&gt;"",NOT(ISNUMBER(O254)))),"Inserisci rischio",IF(AND(I254="Esecuzioni",OR(W254=0,COUNTIFS('Esecuzioni'!$A$8:$A$1007,A254,'Esecuzioni'!$Q$8:$Q$1007,"&lt;&gt;OK")&gt;0)),"Correggi esecuzioni",IF(J254="Aperto","OK",IF(AND(I254="Esecuzioni",S254="Coperto",ABS(X254-Y254)&gt;'Impostazioni'!$B$11),"Copertura residua",IF(NOT(ISNUMBER(AC254)),"Completa risultato / esito",IF(AND(Z254=0,AC254&lt;&gt;0),"Rischio nullo con P/L","OK")))))))))))))</x:f>
      </x:c>
      <x:c r="AR254" s="20" t="str">
        <x:f>IF(OR(A254="",J254&lt;&gt;"Aperto",AQ254&lt;&gt;"OK"),"",IF(I254="Esecuzioni",SUMIFS('Esecuzioni'!$P$8:$P$1007,'Esecuzioni'!$A$8:$A$1007,A254,'Esecuzioni'!$B$8:$B$1007,_xlfn.MAXIFS('Esecuzioni'!$B$8:$B$1007,'Esecuzioni'!$A$8:$A$1007,A254)),IF(LEFT(U254,8)="FREEBET:",0,Z254)))</x:f>
      </x:c>
      <x:c r="AS254" s="48" t="str">
        <x:f>IF(OR(A254="",E254=""),"",IF(COUNTIFS($E$8:E254,E254)=1,COUNT($AS$7:AS253)+1,""))</x:f>
      </x:c>
    </x:row>
    <x:row r="255" ht="22" customHeight="1">
      <x:c r="A255" s="7"/>
      <x:c r="B255" s="19"/>
      <x:c r="C255" s="19"/>
      <x:c r="D255" s="7"/>
      <x:c r="E255" s="7"/>
      <x:c r="F255" s="7"/>
      <x:c r="G255" s="7"/>
      <x:c r="H255" s="7"/>
      <x:c r="I255" s="7"/>
      <x:c r="J255" s="7"/>
      <x:c r="K255" s="10"/>
      <x:c r="L255" s="7"/>
      <x:c r="M255" s="10"/>
      <x:c r="N255" s="7"/>
      <x:c r="O255" s="8"/>
      <x:c r="P255" s="8"/>
      <x:c r="Q255" s="8"/>
      <x:c r="R255" s="9"/>
      <x:c r="S255" s="7"/>
      <x:c r="T255" s="7"/>
      <x:c r="U255" s="7"/>
      <x:c r="V255" s="7"/>
      <x:c r="W255" s="22" t="str">
        <x:f>IF(A255="","",COUNTIFS('Esecuzioni'!$A$8:$A$1007,A255,'Esecuzioni'!$Q$8:$Q$1007,"OK"))</x:f>
      </x:c>
      <x:c r="X255" s="20" t="str">
        <x:f>IF(OR(A255="",I255&lt;&gt;"Esecuzioni",W255=0),"",SUMIFS('Esecuzioni'!$L$8:$L$1007,'Esecuzioni'!$A$8:$A$1007,A255))</x:f>
      </x:c>
      <x:c r="Y255" s="20" t="str">
        <x:f>IF(OR(A255="",I255&lt;&gt;"Esecuzioni",W255=0),"",SUMIFS('Esecuzioni'!$M$8:$M$1007,'Esecuzioni'!$A$8:$A$1007,A255))</x:f>
      </x:c>
      <x:c r="Z255" s="20" t="str">
        <x:f>IF(A255="","",IF(J255="Annullato",0,IF(ISNUMBER(O255),O255,IF(AND(I255="Esecuzioni",W255&gt;0),_xlfn.MAXIFS('Esecuzioni'!$P$8:$P$1007,'Esecuzioni'!$A$8:$A$1007,A255),""))))</x:f>
      </x:c>
      <x:c r="AA255" s="20" t="str">
        <x:f>IF(OR(A255="",J255="Aperto"),"",IF(J255="Annullato",0,IF(I255="Lordo manuale",IF(ISNUMBER(P255),P255,""),IF(I255="Netto manuale",IF(AND(ISNUMBER(P255),ISNUMBER(Q255)),P255+Q255,""),IF(OR(W255=0,COUNTIFS('Esecuzioni'!$A$8:$A$1007,A255,'Esecuzioni'!$Q$8:$Q$1007,"&lt;&gt;OK")&gt;0),"",IF(S255="Vince",X255,IF(S255="Perde",Y255,IF(AND(S255="Coperto",ABS(X255-Y255)&lt;='Impostazioni'!$B$11),ROUND((X255+Y255)/2,2),""))))))))</x:f>
      </x:c>
      <x:c r="AB255" s="20" t="str">
        <x:f>IF(NOT(ISNUMBER(AA255)),"",IF(J255="Annullato",0,IF(ISNUMBER(Q255),Q255,ROUND(MAX(0,AA255)*IF(ISNUMBER(R255),R255,'Impostazioni'!$B$8),2))))</x:f>
      </x:c>
      <x:c r="AC255" s="20" t="str">
        <x:f>IF(AND(ISNUMBER(AA255),ISNUMBER(AB255)),ROUND(AA255-AB255,2),"")</x:f>
      </x:c>
      <x:c r="AD255" s="18" t="str">
        <x:f>IF(A255="","",IF(AQ255&lt;&gt;"OK","Incompleto",IF(J255="Aperto","Aperto",IF(J255="Annullato","Annullato",IF(AC255&gt;0,"Green",IF(AC255&lt;0,"Red","Flat"))))))</x:f>
      </x:c>
      <x:c r="AE255" s="21" t="str">
        <x:f>IF(AND(AH255=1,Z255&gt;0),AC255/Z255,"")</x:f>
      </x:c>
      <x:c r="AF255" s="22" t="str">
        <x:f>IF(AH255&lt;&gt;1,"",COUNTIFS($C$8:$C$507,"&lt;"&amp;C255,$AH$8:$AH$507,1)+COUNTIFS($C$8:$C$507,C255,$A$8:$A$507,"&lt;="&amp;A255,$AH$8:$AH$507,1))</x:f>
      </x:c>
      <x:c r="AG255" s="20" t="str">
        <x:f>IF(AH255&lt;&gt;1,"",SUMIFS($AC$8:$AC$507,$C$8:$C$507,"&lt;"&amp;C255,$AH$8:$AH$507,1)+SUMIFS($AC$8:$AC$507,$C$8:$C$507,C255,$A$8:$A$507,"&lt;="&amp;A255,$AH$8:$AH$507,1))</x:f>
      </x:c>
      <x:c r="AH255" s="22" t="str">
        <x:f>IF(A255="","",IF(AND(J255="Chiuso",AQ255="OK",ISNUMBER(AC255)),1,0))</x:f>
      </x:c>
      <x:c r="AI255" s="20" t="str">
        <x:f>IF(AH255&lt;&gt;1,"",MAX(0,_xlfn.MAXIFS($AG$8:$AG$507,$AF$8:$AF$507,"&lt;="&amp;AF255,$AH$8:$AH$507,1)))</x:f>
      </x:c>
      <x:c r="AJ255" s="20" t="str">
        <x:f>IF(AH255&lt;&gt;1,"",MAX(0,AI255-AG255))</x:f>
      </x:c>
      <x:c r="AK255" s="21" t="str">
        <x:f>IF(OR(AH255&lt;&gt;1,NOT(ISNUMBER('Impostazioni'!$B$6)),'Impostazioni'!$B$6+AI255&lt;=0),"",AJ255/('Impostazioni'!$B$6+AI255))</x:f>
      </x:c>
      <x:c r="AL255" s="22" t="str">
        <x:f>IF(AH255&lt;&gt;1,"",IF(AC255&gt;0,AF255-_xlfn.MAXIFS($AF$8:$AF$507,$AF$8:$AF$507,"&lt;="&amp;AF255,$AC$8:$AC$507,"&lt;=0",$AH$8:$AH$507,1),0))</x:f>
      </x:c>
      <x:c r="AM255" s="22" t="str">
        <x:f>IF(AH255&lt;&gt;1,"",IF(AC255&lt;0,AF255-_xlfn.MAXIFS($AF$8:$AF$507,$AF$8:$AF$507,"&lt;="&amp;AF255,$AC$8:$AC$507,"&gt;=0",$AH$8:$AH$507,1),0))</x:f>
      </x:c>
      <x:c r="AN255" s="20" t="str">
        <x:f>IF(OR(A255="",NOT(ISNUMBER(B255)),NOT(ISNUMBER('Impostazioni'!$B$6))),"",'Impostazioni'!$B$6+SUMIFS($AC$8:$AC$507,$C$8:$C$507,"&lt;"&amp;B255,$AH$8:$AH$507,1)+SUMIFS('Cassa'!$F$8:$F$307,'Cassa'!$A$8:$A$307,"&lt;="&amp;B255,'Cassa'!$G$8:$G$307,"OK"))</x:f>
      </x:c>
      <x:c r="AO255" s="21" t="str">
        <x:f>IF(AND(ISNUMBER(Z255),ISNUMBER(AN255),AN255&gt;0),Z255/AN255,"")</x:f>
      </x:c>
      <x:c r="AP255" s="18" t="str">
        <x:f>IF(NOT(ISNUMBER(AO255)),"",IF(AO255&gt;'Impostazioni'!$B$7,"Oltre soglia personale","Nella soglia personale"))</x:f>
      </x:c>
      <x:c r="AQ255" s="18" t="str">
        <x:f>IF(A255="",IF(COUNTA(B255:V255)=0,"","Inserisci ID"),IF(COUNTIFS($A$8:$A$507,A255)&lt;&gt;1,"ID duplicato",IF(OR(NOT(ISNUMBER(B255)),D255="",E255="",F255="",G255="",H255="",COUNTIFS('Impostazioni'!$J$6:$J$25,F255)&lt;&gt;1),"Completa dati / elenchi",IF(OR(AND(I255&lt;&gt;"Lordo manuale",I255&lt;&gt;"Netto manuale",I255&lt;&gt;"Esecuzioni"),AND(J255&lt;&gt;"Aperto",J255&lt;&gt;"Chiuso",J255&lt;&gt;"Annullato")),"Modalità / stato mancanti",IF(AND(J255&lt;&gt;"Aperto",OR(NOT(ISNUMBER(C255)),C255&lt;B255)),"Correggi data chiusura",IF(OR(AND(Q255&lt;&gt;"",OR(NOT(ISNUMBER(Q255)),Q255&lt;0)),AND(R255&lt;&gt;"",OR(NOT(ISNUMBER(R255)),R255&lt;0,R255&gt;1))),"Commissione non valida",IF(J255="Annullato","OK",IF(OR(NOT(ISNUMBER(Z255)),Z255&lt;0,AND(O255&lt;&gt;"",NOT(ISNUMBER(O255)))),"Inserisci rischio",IF(AND(I255="Esecuzioni",OR(W255=0,COUNTIFS('Esecuzioni'!$A$8:$A$1007,A255,'Esecuzioni'!$Q$8:$Q$1007,"&lt;&gt;OK")&gt;0)),"Correggi esecuzioni",IF(J255="Aperto","OK",IF(AND(I255="Esecuzioni",S255="Coperto",ABS(X255-Y255)&gt;'Impostazioni'!$B$11),"Copertura residua",IF(NOT(ISNUMBER(AC255)),"Completa risultato / esito",IF(AND(Z255=0,AC255&lt;&gt;0),"Rischio nullo con P/L","OK")))))))))))))</x:f>
      </x:c>
      <x:c r="AR255" s="20" t="str">
        <x:f>IF(OR(A255="",J255&lt;&gt;"Aperto",AQ255&lt;&gt;"OK"),"",IF(I255="Esecuzioni",SUMIFS('Esecuzioni'!$P$8:$P$1007,'Esecuzioni'!$A$8:$A$1007,A255,'Esecuzioni'!$B$8:$B$1007,_xlfn.MAXIFS('Esecuzioni'!$B$8:$B$1007,'Esecuzioni'!$A$8:$A$1007,A255)),IF(LEFT(U255,8)="FREEBET:",0,Z255)))</x:f>
      </x:c>
      <x:c r="AS255" s="48" t="str">
        <x:f>IF(OR(A255="",E255=""),"",IF(COUNTIFS($E$8:E255,E255)=1,COUNT($AS$7:AS254)+1,""))</x:f>
      </x:c>
    </x:row>
    <x:row r="256" ht="22" customHeight="1">
      <x:c r="A256" s="7"/>
      <x:c r="B256" s="19"/>
      <x:c r="C256" s="19"/>
      <x:c r="D256" s="7"/>
      <x:c r="E256" s="7"/>
      <x:c r="F256" s="7"/>
      <x:c r="G256" s="7"/>
      <x:c r="H256" s="7"/>
      <x:c r="I256" s="7"/>
      <x:c r="J256" s="7"/>
      <x:c r="K256" s="10"/>
      <x:c r="L256" s="7"/>
      <x:c r="M256" s="10"/>
      <x:c r="N256" s="7"/>
      <x:c r="O256" s="8"/>
      <x:c r="P256" s="8"/>
      <x:c r="Q256" s="8"/>
      <x:c r="R256" s="9"/>
      <x:c r="S256" s="7"/>
      <x:c r="T256" s="7"/>
      <x:c r="U256" s="7"/>
      <x:c r="V256" s="7"/>
      <x:c r="W256" s="22" t="str">
        <x:f>IF(A256="","",COUNTIFS('Esecuzioni'!$A$8:$A$1007,A256,'Esecuzioni'!$Q$8:$Q$1007,"OK"))</x:f>
      </x:c>
      <x:c r="X256" s="20" t="str">
        <x:f>IF(OR(A256="",I256&lt;&gt;"Esecuzioni",W256=0),"",SUMIFS('Esecuzioni'!$L$8:$L$1007,'Esecuzioni'!$A$8:$A$1007,A256))</x:f>
      </x:c>
      <x:c r="Y256" s="20" t="str">
        <x:f>IF(OR(A256="",I256&lt;&gt;"Esecuzioni",W256=0),"",SUMIFS('Esecuzioni'!$M$8:$M$1007,'Esecuzioni'!$A$8:$A$1007,A256))</x:f>
      </x:c>
      <x:c r="Z256" s="20" t="str">
        <x:f>IF(A256="","",IF(J256="Annullato",0,IF(ISNUMBER(O256),O256,IF(AND(I256="Esecuzioni",W256&gt;0),_xlfn.MAXIFS('Esecuzioni'!$P$8:$P$1007,'Esecuzioni'!$A$8:$A$1007,A256),""))))</x:f>
      </x:c>
      <x:c r="AA256" s="20" t="str">
        <x:f>IF(OR(A256="",J256="Aperto"),"",IF(J256="Annullato",0,IF(I256="Lordo manuale",IF(ISNUMBER(P256),P256,""),IF(I256="Netto manuale",IF(AND(ISNUMBER(P256),ISNUMBER(Q256)),P256+Q256,""),IF(OR(W256=0,COUNTIFS('Esecuzioni'!$A$8:$A$1007,A256,'Esecuzioni'!$Q$8:$Q$1007,"&lt;&gt;OK")&gt;0),"",IF(S256="Vince",X256,IF(S256="Perde",Y256,IF(AND(S256="Coperto",ABS(X256-Y256)&lt;='Impostazioni'!$B$11),ROUND((X256+Y256)/2,2),""))))))))</x:f>
      </x:c>
      <x:c r="AB256" s="20" t="str">
        <x:f>IF(NOT(ISNUMBER(AA256)),"",IF(J256="Annullato",0,IF(ISNUMBER(Q256),Q256,ROUND(MAX(0,AA256)*IF(ISNUMBER(R256),R256,'Impostazioni'!$B$8),2))))</x:f>
      </x:c>
      <x:c r="AC256" s="20" t="str">
        <x:f>IF(AND(ISNUMBER(AA256),ISNUMBER(AB256)),ROUND(AA256-AB256,2),"")</x:f>
      </x:c>
      <x:c r="AD256" s="18" t="str">
        <x:f>IF(A256="","",IF(AQ256&lt;&gt;"OK","Incompleto",IF(J256="Aperto","Aperto",IF(J256="Annullato","Annullato",IF(AC256&gt;0,"Green",IF(AC256&lt;0,"Red","Flat"))))))</x:f>
      </x:c>
      <x:c r="AE256" s="21" t="str">
        <x:f>IF(AND(AH256=1,Z256&gt;0),AC256/Z256,"")</x:f>
      </x:c>
      <x:c r="AF256" s="22" t="str">
        <x:f>IF(AH256&lt;&gt;1,"",COUNTIFS($C$8:$C$507,"&lt;"&amp;C256,$AH$8:$AH$507,1)+COUNTIFS($C$8:$C$507,C256,$A$8:$A$507,"&lt;="&amp;A256,$AH$8:$AH$507,1))</x:f>
      </x:c>
      <x:c r="AG256" s="20" t="str">
        <x:f>IF(AH256&lt;&gt;1,"",SUMIFS($AC$8:$AC$507,$C$8:$C$507,"&lt;"&amp;C256,$AH$8:$AH$507,1)+SUMIFS($AC$8:$AC$507,$C$8:$C$507,C256,$A$8:$A$507,"&lt;="&amp;A256,$AH$8:$AH$507,1))</x:f>
      </x:c>
      <x:c r="AH256" s="22" t="str">
        <x:f>IF(A256="","",IF(AND(J256="Chiuso",AQ256="OK",ISNUMBER(AC256)),1,0))</x:f>
      </x:c>
      <x:c r="AI256" s="20" t="str">
        <x:f>IF(AH256&lt;&gt;1,"",MAX(0,_xlfn.MAXIFS($AG$8:$AG$507,$AF$8:$AF$507,"&lt;="&amp;AF256,$AH$8:$AH$507,1)))</x:f>
      </x:c>
      <x:c r="AJ256" s="20" t="str">
        <x:f>IF(AH256&lt;&gt;1,"",MAX(0,AI256-AG256))</x:f>
      </x:c>
      <x:c r="AK256" s="21" t="str">
        <x:f>IF(OR(AH256&lt;&gt;1,NOT(ISNUMBER('Impostazioni'!$B$6)),'Impostazioni'!$B$6+AI256&lt;=0),"",AJ256/('Impostazioni'!$B$6+AI256))</x:f>
      </x:c>
      <x:c r="AL256" s="22" t="str">
        <x:f>IF(AH256&lt;&gt;1,"",IF(AC256&gt;0,AF256-_xlfn.MAXIFS($AF$8:$AF$507,$AF$8:$AF$507,"&lt;="&amp;AF256,$AC$8:$AC$507,"&lt;=0",$AH$8:$AH$507,1),0))</x:f>
      </x:c>
      <x:c r="AM256" s="22" t="str">
        <x:f>IF(AH256&lt;&gt;1,"",IF(AC256&lt;0,AF256-_xlfn.MAXIFS($AF$8:$AF$507,$AF$8:$AF$507,"&lt;="&amp;AF256,$AC$8:$AC$507,"&gt;=0",$AH$8:$AH$507,1),0))</x:f>
      </x:c>
      <x:c r="AN256" s="20" t="str">
        <x:f>IF(OR(A256="",NOT(ISNUMBER(B256)),NOT(ISNUMBER('Impostazioni'!$B$6))),"",'Impostazioni'!$B$6+SUMIFS($AC$8:$AC$507,$C$8:$C$507,"&lt;"&amp;B256,$AH$8:$AH$507,1)+SUMIFS('Cassa'!$F$8:$F$307,'Cassa'!$A$8:$A$307,"&lt;="&amp;B256,'Cassa'!$G$8:$G$307,"OK"))</x:f>
      </x:c>
      <x:c r="AO256" s="21" t="str">
        <x:f>IF(AND(ISNUMBER(Z256),ISNUMBER(AN256),AN256&gt;0),Z256/AN256,"")</x:f>
      </x:c>
      <x:c r="AP256" s="18" t="str">
        <x:f>IF(NOT(ISNUMBER(AO256)),"",IF(AO256&gt;'Impostazioni'!$B$7,"Oltre soglia personale","Nella soglia personale"))</x:f>
      </x:c>
      <x:c r="AQ256" s="18" t="str">
        <x:f>IF(A256="",IF(COUNTA(B256:V256)=0,"","Inserisci ID"),IF(COUNTIFS($A$8:$A$507,A256)&lt;&gt;1,"ID duplicato",IF(OR(NOT(ISNUMBER(B256)),D256="",E256="",F256="",G256="",H256="",COUNTIFS('Impostazioni'!$J$6:$J$25,F256)&lt;&gt;1),"Completa dati / elenchi",IF(OR(AND(I256&lt;&gt;"Lordo manuale",I256&lt;&gt;"Netto manuale",I256&lt;&gt;"Esecuzioni"),AND(J256&lt;&gt;"Aperto",J256&lt;&gt;"Chiuso",J256&lt;&gt;"Annullato")),"Modalità / stato mancanti",IF(AND(J256&lt;&gt;"Aperto",OR(NOT(ISNUMBER(C256)),C256&lt;B256)),"Correggi data chiusura",IF(OR(AND(Q256&lt;&gt;"",OR(NOT(ISNUMBER(Q256)),Q256&lt;0)),AND(R256&lt;&gt;"",OR(NOT(ISNUMBER(R256)),R256&lt;0,R256&gt;1))),"Commissione non valida",IF(J256="Annullato","OK",IF(OR(NOT(ISNUMBER(Z256)),Z256&lt;0,AND(O256&lt;&gt;"",NOT(ISNUMBER(O256)))),"Inserisci rischio",IF(AND(I256="Esecuzioni",OR(W256=0,COUNTIFS('Esecuzioni'!$A$8:$A$1007,A256,'Esecuzioni'!$Q$8:$Q$1007,"&lt;&gt;OK")&gt;0)),"Correggi esecuzioni",IF(J256="Aperto","OK",IF(AND(I256="Esecuzioni",S256="Coperto",ABS(X256-Y256)&gt;'Impostazioni'!$B$11),"Copertura residua",IF(NOT(ISNUMBER(AC256)),"Completa risultato / esito",IF(AND(Z256=0,AC256&lt;&gt;0),"Rischio nullo con P/L","OK")))))))))))))</x:f>
      </x:c>
      <x:c r="AR256" s="20" t="str">
        <x:f>IF(OR(A256="",J256&lt;&gt;"Aperto",AQ256&lt;&gt;"OK"),"",IF(I256="Esecuzioni",SUMIFS('Esecuzioni'!$P$8:$P$1007,'Esecuzioni'!$A$8:$A$1007,A256,'Esecuzioni'!$B$8:$B$1007,_xlfn.MAXIFS('Esecuzioni'!$B$8:$B$1007,'Esecuzioni'!$A$8:$A$1007,A256)),IF(LEFT(U256,8)="FREEBET:",0,Z256)))</x:f>
      </x:c>
      <x:c r="AS256" s="48" t="str">
        <x:f>IF(OR(A256="",E256=""),"",IF(COUNTIFS($E$8:E256,E256)=1,COUNT($AS$7:AS255)+1,""))</x:f>
      </x:c>
    </x:row>
    <x:row r="257" ht="22" customHeight="1">
      <x:c r="A257" s="7"/>
      <x:c r="B257" s="19"/>
      <x:c r="C257" s="19"/>
      <x:c r="D257" s="7"/>
      <x:c r="E257" s="7"/>
      <x:c r="F257" s="7"/>
      <x:c r="G257" s="7"/>
      <x:c r="H257" s="7"/>
      <x:c r="I257" s="7"/>
      <x:c r="J257" s="7"/>
      <x:c r="K257" s="10"/>
      <x:c r="L257" s="7"/>
      <x:c r="M257" s="10"/>
      <x:c r="N257" s="7"/>
      <x:c r="O257" s="8"/>
      <x:c r="P257" s="8"/>
      <x:c r="Q257" s="8"/>
      <x:c r="R257" s="9"/>
      <x:c r="S257" s="7"/>
      <x:c r="T257" s="7"/>
      <x:c r="U257" s="7"/>
      <x:c r="V257" s="7"/>
      <x:c r="W257" s="22" t="str">
        <x:f>IF(A257="","",COUNTIFS('Esecuzioni'!$A$8:$A$1007,A257,'Esecuzioni'!$Q$8:$Q$1007,"OK"))</x:f>
      </x:c>
      <x:c r="X257" s="20" t="str">
        <x:f>IF(OR(A257="",I257&lt;&gt;"Esecuzioni",W257=0),"",SUMIFS('Esecuzioni'!$L$8:$L$1007,'Esecuzioni'!$A$8:$A$1007,A257))</x:f>
      </x:c>
      <x:c r="Y257" s="20" t="str">
        <x:f>IF(OR(A257="",I257&lt;&gt;"Esecuzioni",W257=0),"",SUMIFS('Esecuzioni'!$M$8:$M$1007,'Esecuzioni'!$A$8:$A$1007,A257))</x:f>
      </x:c>
      <x:c r="Z257" s="20" t="str">
        <x:f>IF(A257="","",IF(J257="Annullato",0,IF(ISNUMBER(O257),O257,IF(AND(I257="Esecuzioni",W257&gt;0),_xlfn.MAXIFS('Esecuzioni'!$P$8:$P$1007,'Esecuzioni'!$A$8:$A$1007,A257),""))))</x:f>
      </x:c>
      <x:c r="AA257" s="20" t="str">
        <x:f>IF(OR(A257="",J257="Aperto"),"",IF(J257="Annullato",0,IF(I257="Lordo manuale",IF(ISNUMBER(P257),P257,""),IF(I257="Netto manuale",IF(AND(ISNUMBER(P257),ISNUMBER(Q257)),P257+Q257,""),IF(OR(W257=0,COUNTIFS('Esecuzioni'!$A$8:$A$1007,A257,'Esecuzioni'!$Q$8:$Q$1007,"&lt;&gt;OK")&gt;0),"",IF(S257="Vince",X257,IF(S257="Perde",Y257,IF(AND(S257="Coperto",ABS(X257-Y257)&lt;='Impostazioni'!$B$11),ROUND((X257+Y257)/2,2),""))))))))</x:f>
      </x:c>
      <x:c r="AB257" s="20" t="str">
        <x:f>IF(NOT(ISNUMBER(AA257)),"",IF(J257="Annullato",0,IF(ISNUMBER(Q257),Q257,ROUND(MAX(0,AA257)*IF(ISNUMBER(R257),R257,'Impostazioni'!$B$8),2))))</x:f>
      </x:c>
      <x:c r="AC257" s="20" t="str">
        <x:f>IF(AND(ISNUMBER(AA257),ISNUMBER(AB257)),ROUND(AA257-AB257,2),"")</x:f>
      </x:c>
      <x:c r="AD257" s="18" t="str">
        <x:f>IF(A257="","",IF(AQ257&lt;&gt;"OK","Incompleto",IF(J257="Aperto","Aperto",IF(J257="Annullato","Annullato",IF(AC257&gt;0,"Green",IF(AC257&lt;0,"Red","Flat"))))))</x:f>
      </x:c>
      <x:c r="AE257" s="21" t="str">
        <x:f>IF(AND(AH257=1,Z257&gt;0),AC257/Z257,"")</x:f>
      </x:c>
      <x:c r="AF257" s="22" t="str">
        <x:f>IF(AH257&lt;&gt;1,"",COUNTIFS($C$8:$C$507,"&lt;"&amp;C257,$AH$8:$AH$507,1)+COUNTIFS($C$8:$C$507,C257,$A$8:$A$507,"&lt;="&amp;A257,$AH$8:$AH$507,1))</x:f>
      </x:c>
      <x:c r="AG257" s="20" t="str">
        <x:f>IF(AH257&lt;&gt;1,"",SUMIFS($AC$8:$AC$507,$C$8:$C$507,"&lt;"&amp;C257,$AH$8:$AH$507,1)+SUMIFS($AC$8:$AC$507,$C$8:$C$507,C257,$A$8:$A$507,"&lt;="&amp;A257,$AH$8:$AH$507,1))</x:f>
      </x:c>
      <x:c r="AH257" s="22" t="str">
        <x:f>IF(A257="","",IF(AND(J257="Chiuso",AQ257="OK",ISNUMBER(AC257)),1,0))</x:f>
      </x:c>
      <x:c r="AI257" s="20" t="str">
        <x:f>IF(AH257&lt;&gt;1,"",MAX(0,_xlfn.MAXIFS($AG$8:$AG$507,$AF$8:$AF$507,"&lt;="&amp;AF257,$AH$8:$AH$507,1)))</x:f>
      </x:c>
      <x:c r="AJ257" s="20" t="str">
        <x:f>IF(AH257&lt;&gt;1,"",MAX(0,AI257-AG257))</x:f>
      </x:c>
      <x:c r="AK257" s="21" t="str">
        <x:f>IF(OR(AH257&lt;&gt;1,NOT(ISNUMBER('Impostazioni'!$B$6)),'Impostazioni'!$B$6+AI257&lt;=0),"",AJ257/('Impostazioni'!$B$6+AI257))</x:f>
      </x:c>
      <x:c r="AL257" s="22" t="str">
        <x:f>IF(AH257&lt;&gt;1,"",IF(AC257&gt;0,AF257-_xlfn.MAXIFS($AF$8:$AF$507,$AF$8:$AF$507,"&lt;="&amp;AF257,$AC$8:$AC$507,"&lt;=0",$AH$8:$AH$507,1),0))</x:f>
      </x:c>
      <x:c r="AM257" s="22" t="str">
        <x:f>IF(AH257&lt;&gt;1,"",IF(AC257&lt;0,AF257-_xlfn.MAXIFS($AF$8:$AF$507,$AF$8:$AF$507,"&lt;="&amp;AF257,$AC$8:$AC$507,"&gt;=0",$AH$8:$AH$507,1),0))</x:f>
      </x:c>
      <x:c r="AN257" s="20" t="str">
        <x:f>IF(OR(A257="",NOT(ISNUMBER(B257)),NOT(ISNUMBER('Impostazioni'!$B$6))),"",'Impostazioni'!$B$6+SUMIFS($AC$8:$AC$507,$C$8:$C$507,"&lt;"&amp;B257,$AH$8:$AH$507,1)+SUMIFS('Cassa'!$F$8:$F$307,'Cassa'!$A$8:$A$307,"&lt;="&amp;B257,'Cassa'!$G$8:$G$307,"OK"))</x:f>
      </x:c>
      <x:c r="AO257" s="21" t="str">
        <x:f>IF(AND(ISNUMBER(Z257),ISNUMBER(AN257),AN257&gt;0),Z257/AN257,"")</x:f>
      </x:c>
      <x:c r="AP257" s="18" t="str">
        <x:f>IF(NOT(ISNUMBER(AO257)),"",IF(AO257&gt;'Impostazioni'!$B$7,"Oltre soglia personale","Nella soglia personale"))</x:f>
      </x:c>
      <x:c r="AQ257" s="18" t="str">
        <x:f>IF(A257="",IF(COUNTA(B257:V257)=0,"","Inserisci ID"),IF(COUNTIFS($A$8:$A$507,A257)&lt;&gt;1,"ID duplicato",IF(OR(NOT(ISNUMBER(B257)),D257="",E257="",F257="",G257="",H257="",COUNTIFS('Impostazioni'!$J$6:$J$25,F257)&lt;&gt;1),"Completa dati / elenchi",IF(OR(AND(I257&lt;&gt;"Lordo manuale",I257&lt;&gt;"Netto manuale",I257&lt;&gt;"Esecuzioni"),AND(J257&lt;&gt;"Aperto",J257&lt;&gt;"Chiuso",J257&lt;&gt;"Annullato")),"Modalità / stato mancanti",IF(AND(J257&lt;&gt;"Aperto",OR(NOT(ISNUMBER(C257)),C257&lt;B257)),"Correggi data chiusura",IF(OR(AND(Q257&lt;&gt;"",OR(NOT(ISNUMBER(Q257)),Q257&lt;0)),AND(R257&lt;&gt;"",OR(NOT(ISNUMBER(R257)),R257&lt;0,R257&gt;1))),"Commissione non valida",IF(J257="Annullato","OK",IF(OR(NOT(ISNUMBER(Z257)),Z257&lt;0,AND(O257&lt;&gt;"",NOT(ISNUMBER(O257)))),"Inserisci rischio",IF(AND(I257="Esecuzioni",OR(W257=0,COUNTIFS('Esecuzioni'!$A$8:$A$1007,A257,'Esecuzioni'!$Q$8:$Q$1007,"&lt;&gt;OK")&gt;0)),"Correggi esecuzioni",IF(J257="Aperto","OK",IF(AND(I257="Esecuzioni",S257="Coperto",ABS(X257-Y257)&gt;'Impostazioni'!$B$11),"Copertura residua",IF(NOT(ISNUMBER(AC257)),"Completa risultato / esito",IF(AND(Z257=0,AC257&lt;&gt;0),"Rischio nullo con P/L","OK")))))))))))))</x:f>
      </x:c>
      <x:c r="AR257" s="20" t="str">
        <x:f>IF(OR(A257="",J257&lt;&gt;"Aperto",AQ257&lt;&gt;"OK"),"",IF(I257="Esecuzioni",SUMIFS('Esecuzioni'!$P$8:$P$1007,'Esecuzioni'!$A$8:$A$1007,A257,'Esecuzioni'!$B$8:$B$1007,_xlfn.MAXIFS('Esecuzioni'!$B$8:$B$1007,'Esecuzioni'!$A$8:$A$1007,A257)),IF(LEFT(U257,8)="FREEBET:",0,Z257)))</x:f>
      </x:c>
      <x:c r="AS257" s="48" t="str">
        <x:f>IF(OR(A257="",E257=""),"",IF(COUNTIFS($E$8:E257,E257)=1,COUNT($AS$7:AS256)+1,""))</x:f>
      </x:c>
    </x:row>
    <x:row r="258" ht="22" customHeight="1">
      <x:c r="A258" s="7"/>
      <x:c r="B258" s="19"/>
      <x:c r="C258" s="19"/>
      <x:c r="D258" s="7"/>
      <x:c r="E258" s="7"/>
      <x:c r="F258" s="7"/>
      <x:c r="G258" s="7"/>
      <x:c r="H258" s="7"/>
      <x:c r="I258" s="7"/>
      <x:c r="J258" s="7"/>
      <x:c r="K258" s="10"/>
      <x:c r="L258" s="7"/>
      <x:c r="M258" s="10"/>
      <x:c r="N258" s="7"/>
      <x:c r="O258" s="8"/>
      <x:c r="P258" s="8"/>
      <x:c r="Q258" s="8"/>
      <x:c r="R258" s="9"/>
      <x:c r="S258" s="7"/>
      <x:c r="T258" s="7"/>
      <x:c r="U258" s="7"/>
      <x:c r="V258" s="7"/>
      <x:c r="W258" s="22" t="str">
        <x:f>IF(A258="","",COUNTIFS('Esecuzioni'!$A$8:$A$1007,A258,'Esecuzioni'!$Q$8:$Q$1007,"OK"))</x:f>
      </x:c>
      <x:c r="X258" s="20" t="str">
        <x:f>IF(OR(A258="",I258&lt;&gt;"Esecuzioni",W258=0),"",SUMIFS('Esecuzioni'!$L$8:$L$1007,'Esecuzioni'!$A$8:$A$1007,A258))</x:f>
      </x:c>
      <x:c r="Y258" s="20" t="str">
        <x:f>IF(OR(A258="",I258&lt;&gt;"Esecuzioni",W258=0),"",SUMIFS('Esecuzioni'!$M$8:$M$1007,'Esecuzioni'!$A$8:$A$1007,A258))</x:f>
      </x:c>
      <x:c r="Z258" s="20" t="str">
        <x:f>IF(A258="","",IF(J258="Annullato",0,IF(ISNUMBER(O258),O258,IF(AND(I258="Esecuzioni",W258&gt;0),_xlfn.MAXIFS('Esecuzioni'!$P$8:$P$1007,'Esecuzioni'!$A$8:$A$1007,A258),""))))</x:f>
      </x:c>
      <x:c r="AA258" s="20" t="str">
        <x:f>IF(OR(A258="",J258="Aperto"),"",IF(J258="Annullato",0,IF(I258="Lordo manuale",IF(ISNUMBER(P258),P258,""),IF(I258="Netto manuale",IF(AND(ISNUMBER(P258),ISNUMBER(Q258)),P258+Q258,""),IF(OR(W258=0,COUNTIFS('Esecuzioni'!$A$8:$A$1007,A258,'Esecuzioni'!$Q$8:$Q$1007,"&lt;&gt;OK")&gt;0),"",IF(S258="Vince",X258,IF(S258="Perde",Y258,IF(AND(S258="Coperto",ABS(X258-Y258)&lt;='Impostazioni'!$B$11),ROUND((X258+Y258)/2,2),""))))))))</x:f>
      </x:c>
      <x:c r="AB258" s="20" t="str">
        <x:f>IF(NOT(ISNUMBER(AA258)),"",IF(J258="Annullato",0,IF(ISNUMBER(Q258),Q258,ROUND(MAX(0,AA258)*IF(ISNUMBER(R258),R258,'Impostazioni'!$B$8),2))))</x:f>
      </x:c>
      <x:c r="AC258" s="20" t="str">
        <x:f>IF(AND(ISNUMBER(AA258),ISNUMBER(AB258)),ROUND(AA258-AB258,2),"")</x:f>
      </x:c>
      <x:c r="AD258" s="18" t="str">
        <x:f>IF(A258="","",IF(AQ258&lt;&gt;"OK","Incompleto",IF(J258="Aperto","Aperto",IF(J258="Annullato","Annullato",IF(AC258&gt;0,"Green",IF(AC258&lt;0,"Red","Flat"))))))</x:f>
      </x:c>
      <x:c r="AE258" s="21" t="str">
        <x:f>IF(AND(AH258=1,Z258&gt;0),AC258/Z258,"")</x:f>
      </x:c>
      <x:c r="AF258" s="22" t="str">
        <x:f>IF(AH258&lt;&gt;1,"",COUNTIFS($C$8:$C$507,"&lt;"&amp;C258,$AH$8:$AH$507,1)+COUNTIFS($C$8:$C$507,C258,$A$8:$A$507,"&lt;="&amp;A258,$AH$8:$AH$507,1))</x:f>
      </x:c>
      <x:c r="AG258" s="20" t="str">
        <x:f>IF(AH258&lt;&gt;1,"",SUMIFS($AC$8:$AC$507,$C$8:$C$507,"&lt;"&amp;C258,$AH$8:$AH$507,1)+SUMIFS($AC$8:$AC$507,$C$8:$C$507,C258,$A$8:$A$507,"&lt;="&amp;A258,$AH$8:$AH$507,1))</x:f>
      </x:c>
      <x:c r="AH258" s="22" t="str">
        <x:f>IF(A258="","",IF(AND(J258="Chiuso",AQ258="OK",ISNUMBER(AC258)),1,0))</x:f>
      </x:c>
      <x:c r="AI258" s="20" t="str">
        <x:f>IF(AH258&lt;&gt;1,"",MAX(0,_xlfn.MAXIFS($AG$8:$AG$507,$AF$8:$AF$507,"&lt;="&amp;AF258,$AH$8:$AH$507,1)))</x:f>
      </x:c>
      <x:c r="AJ258" s="20" t="str">
        <x:f>IF(AH258&lt;&gt;1,"",MAX(0,AI258-AG258))</x:f>
      </x:c>
      <x:c r="AK258" s="21" t="str">
        <x:f>IF(OR(AH258&lt;&gt;1,NOT(ISNUMBER('Impostazioni'!$B$6)),'Impostazioni'!$B$6+AI258&lt;=0),"",AJ258/('Impostazioni'!$B$6+AI258))</x:f>
      </x:c>
      <x:c r="AL258" s="22" t="str">
        <x:f>IF(AH258&lt;&gt;1,"",IF(AC258&gt;0,AF258-_xlfn.MAXIFS($AF$8:$AF$507,$AF$8:$AF$507,"&lt;="&amp;AF258,$AC$8:$AC$507,"&lt;=0",$AH$8:$AH$507,1),0))</x:f>
      </x:c>
      <x:c r="AM258" s="22" t="str">
        <x:f>IF(AH258&lt;&gt;1,"",IF(AC258&lt;0,AF258-_xlfn.MAXIFS($AF$8:$AF$507,$AF$8:$AF$507,"&lt;="&amp;AF258,$AC$8:$AC$507,"&gt;=0",$AH$8:$AH$507,1),0))</x:f>
      </x:c>
      <x:c r="AN258" s="20" t="str">
        <x:f>IF(OR(A258="",NOT(ISNUMBER(B258)),NOT(ISNUMBER('Impostazioni'!$B$6))),"",'Impostazioni'!$B$6+SUMIFS($AC$8:$AC$507,$C$8:$C$507,"&lt;"&amp;B258,$AH$8:$AH$507,1)+SUMIFS('Cassa'!$F$8:$F$307,'Cassa'!$A$8:$A$307,"&lt;="&amp;B258,'Cassa'!$G$8:$G$307,"OK"))</x:f>
      </x:c>
      <x:c r="AO258" s="21" t="str">
        <x:f>IF(AND(ISNUMBER(Z258),ISNUMBER(AN258),AN258&gt;0),Z258/AN258,"")</x:f>
      </x:c>
      <x:c r="AP258" s="18" t="str">
        <x:f>IF(NOT(ISNUMBER(AO258)),"",IF(AO258&gt;'Impostazioni'!$B$7,"Oltre soglia personale","Nella soglia personale"))</x:f>
      </x:c>
      <x:c r="AQ258" s="18" t="str">
        <x:f>IF(A258="",IF(COUNTA(B258:V258)=0,"","Inserisci ID"),IF(COUNTIFS($A$8:$A$507,A258)&lt;&gt;1,"ID duplicato",IF(OR(NOT(ISNUMBER(B258)),D258="",E258="",F258="",G258="",H258="",COUNTIFS('Impostazioni'!$J$6:$J$25,F258)&lt;&gt;1),"Completa dati / elenchi",IF(OR(AND(I258&lt;&gt;"Lordo manuale",I258&lt;&gt;"Netto manuale",I258&lt;&gt;"Esecuzioni"),AND(J258&lt;&gt;"Aperto",J258&lt;&gt;"Chiuso",J258&lt;&gt;"Annullato")),"Modalità / stato mancanti",IF(AND(J258&lt;&gt;"Aperto",OR(NOT(ISNUMBER(C258)),C258&lt;B258)),"Correggi data chiusura",IF(OR(AND(Q258&lt;&gt;"",OR(NOT(ISNUMBER(Q258)),Q258&lt;0)),AND(R258&lt;&gt;"",OR(NOT(ISNUMBER(R258)),R258&lt;0,R258&gt;1))),"Commissione non valida",IF(J258="Annullato","OK",IF(OR(NOT(ISNUMBER(Z258)),Z258&lt;0,AND(O258&lt;&gt;"",NOT(ISNUMBER(O258)))),"Inserisci rischio",IF(AND(I258="Esecuzioni",OR(W258=0,COUNTIFS('Esecuzioni'!$A$8:$A$1007,A258,'Esecuzioni'!$Q$8:$Q$1007,"&lt;&gt;OK")&gt;0)),"Correggi esecuzioni",IF(J258="Aperto","OK",IF(AND(I258="Esecuzioni",S258="Coperto",ABS(X258-Y258)&gt;'Impostazioni'!$B$11),"Copertura residua",IF(NOT(ISNUMBER(AC258)),"Completa risultato / esito",IF(AND(Z258=0,AC258&lt;&gt;0),"Rischio nullo con P/L","OK")))))))))))))</x:f>
      </x:c>
      <x:c r="AR258" s="20" t="str">
        <x:f>IF(OR(A258="",J258&lt;&gt;"Aperto",AQ258&lt;&gt;"OK"),"",IF(I258="Esecuzioni",SUMIFS('Esecuzioni'!$P$8:$P$1007,'Esecuzioni'!$A$8:$A$1007,A258,'Esecuzioni'!$B$8:$B$1007,_xlfn.MAXIFS('Esecuzioni'!$B$8:$B$1007,'Esecuzioni'!$A$8:$A$1007,A258)),IF(LEFT(U258,8)="FREEBET:",0,Z258)))</x:f>
      </x:c>
      <x:c r="AS258" s="48" t="str">
        <x:f>IF(OR(A258="",E258=""),"",IF(COUNTIFS($E$8:E258,E258)=1,COUNT($AS$7:AS257)+1,""))</x:f>
      </x:c>
    </x:row>
    <x:row r="259" ht="22" customHeight="1">
      <x:c r="A259" s="7"/>
      <x:c r="B259" s="19"/>
      <x:c r="C259" s="19"/>
      <x:c r="D259" s="7"/>
      <x:c r="E259" s="7"/>
      <x:c r="F259" s="7"/>
      <x:c r="G259" s="7"/>
      <x:c r="H259" s="7"/>
      <x:c r="I259" s="7"/>
      <x:c r="J259" s="7"/>
      <x:c r="K259" s="10"/>
      <x:c r="L259" s="7"/>
      <x:c r="M259" s="10"/>
      <x:c r="N259" s="7"/>
      <x:c r="O259" s="8"/>
      <x:c r="P259" s="8"/>
      <x:c r="Q259" s="8"/>
      <x:c r="R259" s="9"/>
      <x:c r="S259" s="7"/>
      <x:c r="T259" s="7"/>
      <x:c r="U259" s="7"/>
      <x:c r="V259" s="7"/>
      <x:c r="W259" s="22" t="str">
        <x:f>IF(A259="","",COUNTIFS('Esecuzioni'!$A$8:$A$1007,A259,'Esecuzioni'!$Q$8:$Q$1007,"OK"))</x:f>
      </x:c>
      <x:c r="X259" s="20" t="str">
        <x:f>IF(OR(A259="",I259&lt;&gt;"Esecuzioni",W259=0),"",SUMIFS('Esecuzioni'!$L$8:$L$1007,'Esecuzioni'!$A$8:$A$1007,A259))</x:f>
      </x:c>
      <x:c r="Y259" s="20" t="str">
        <x:f>IF(OR(A259="",I259&lt;&gt;"Esecuzioni",W259=0),"",SUMIFS('Esecuzioni'!$M$8:$M$1007,'Esecuzioni'!$A$8:$A$1007,A259))</x:f>
      </x:c>
      <x:c r="Z259" s="20" t="str">
        <x:f>IF(A259="","",IF(J259="Annullato",0,IF(ISNUMBER(O259),O259,IF(AND(I259="Esecuzioni",W259&gt;0),_xlfn.MAXIFS('Esecuzioni'!$P$8:$P$1007,'Esecuzioni'!$A$8:$A$1007,A259),""))))</x:f>
      </x:c>
      <x:c r="AA259" s="20" t="str">
        <x:f>IF(OR(A259="",J259="Aperto"),"",IF(J259="Annullato",0,IF(I259="Lordo manuale",IF(ISNUMBER(P259),P259,""),IF(I259="Netto manuale",IF(AND(ISNUMBER(P259),ISNUMBER(Q259)),P259+Q259,""),IF(OR(W259=0,COUNTIFS('Esecuzioni'!$A$8:$A$1007,A259,'Esecuzioni'!$Q$8:$Q$1007,"&lt;&gt;OK")&gt;0),"",IF(S259="Vince",X259,IF(S259="Perde",Y259,IF(AND(S259="Coperto",ABS(X259-Y259)&lt;='Impostazioni'!$B$11),ROUND((X259+Y259)/2,2),""))))))))</x:f>
      </x:c>
      <x:c r="AB259" s="20" t="str">
        <x:f>IF(NOT(ISNUMBER(AA259)),"",IF(J259="Annullato",0,IF(ISNUMBER(Q259),Q259,ROUND(MAX(0,AA259)*IF(ISNUMBER(R259),R259,'Impostazioni'!$B$8),2))))</x:f>
      </x:c>
      <x:c r="AC259" s="20" t="str">
        <x:f>IF(AND(ISNUMBER(AA259),ISNUMBER(AB259)),ROUND(AA259-AB259,2),"")</x:f>
      </x:c>
      <x:c r="AD259" s="18" t="str">
        <x:f>IF(A259="","",IF(AQ259&lt;&gt;"OK","Incompleto",IF(J259="Aperto","Aperto",IF(J259="Annullato","Annullato",IF(AC259&gt;0,"Green",IF(AC259&lt;0,"Red","Flat"))))))</x:f>
      </x:c>
      <x:c r="AE259" s="21" t="str">
        <x:f>IF(AND(AH259=1,Z259&gt;0),AC259/Z259,"")</x:f>
      </x:c>
      <x:c r="AF259" s="22" t="str">
        <x:f>IF(AH259&lt;&gt;1,"",COUNTIFS($C$8:$C$507,"&lt;"&amp;C259,$AH$8:$AH$507,1)+COUNTIFS($C$8:$C$507,C259,$A$8:$A$507,"&lt;="&amp;A259,$AH$8:$AH$507,1))</x:f>
      </x:c>
      <x:c r="AG259" s="20" t="str">
        <x:f>IF(AH259&lt;&gt;1,"",SUMIFS($AC$8:$AC$507,$C$8:$C$507,"&lt;"&amp;C259,$AH$8:$AH$507,1)+SUMIFS($AC$8:$AC$507,$C$8:$C$507,C259,$A$8:$A$507,"&lt;="&amp;A259,$AH$8:$AH$507,1))</x:f>
      </x:c>
      <x:c r="AH259" s="22" t="str">
        <x:f>IF(A259="","",IF(AND(J259="Chiuso",AQ259="OK",ISNUMBER(AC259)),1,0))</x:f>
      </x:c>
      <x:c r="AI259" s="20" t="str">
        <x:f>IF(AH259&lt;&gt;1,"",MAX(0,_xlfn.MAXIFS($AG$8:$AG$507,$AF$8:$AF$507,"&lt;="&amp;AF259,$AH$8:$AH$507,1)))</x:f>
      </x:c>
      <x:c r="AJ259" s="20" t="str">
        <x:f>IF(AH259&lt;&gt;1,"",MAX(0,AI259-AG259))</x:f>
      </x:c>
      <x:c r="AK259" s="21" t="str">
        <x:f>IF(OR(AH259&lt;&gt;1,NOT(ISNUMBER('Impostazioni'!$B$6)),'Impostazioni'!$B$6+AI259&lt;=0),"",AJ259/('Impostazioni'!$B$6+AI259))</x:f>
      </x:c>
      <x:c r="AL259" s="22" t="str">
        <x:f>IF(AH259&lt;&gt;1,"",IF(AC259&gt;0,AF259-_xlfn.MAXIFS($AF$8:$AF$507,$AF$8:$AF$507,"&lt;="&amp;AF259,$AC$8:$AC$507,"&lt;=0",$AH$8:$AH$507,1),0))</x:f>
      </x:c>
      <x:c r="AM259" s="22" t="str">
        <x:f>IF(AH259&lt;&gt;1,"",IF(AC259&lt;0,AF259-_xlfn.MAXIFS($AF$8:$AF$507,$AF$8:$AF$507,"&lt;="&amp;AF259,$AC$8:$AC$507,"&gt;=0",$AH$8:$AH$507,1),0))</x:f>
      </x:c>
      <x:c r="AN259" s="20" t="str">
        <x:f>IF(OR(A259="",NOT(ISNUMBER(B259)),NOT(ISNUMBER('Impostazioni'!$B$6))),"",'Impostazioni'!$B$6+SUMIFS($AC$8:$AC$507,$C$8:$C$507,"&lt;"&amp;B259,$AH$8:$AH$507,1)+SUMIFS('Cassa'!$F$8:$F$307,'Cassa'!$A$8:$A$307,"&lt;="&amp;B259,'Cassa'!$G$8:$G$307,"OK"))</x:f>
      </x:c>
      <x:c r="AO259" s="21" t="str">
        <x:f>IF(AND(ISNUMBER(Z259),ISNUMBER(AN259),AN259&gt;0),Z259/AN259,"")</x:f>
      </x:c>
      <x:c r="AP259" s="18" t="str">
        <x:f>IF(NOT(ISNUMBER(AO259)),"",IF(AO259&gt;'Impostazioni'!$B$7,"Oltre soglia personale","Nella soglia personale"))</x:f>
      </x:c>
      <x:c r="AQ259" s="18" t="str">
        <x:f>IF(A259="",IF(COUNTA(B259:V259)=0,"","Inserisci ID"),IF(COUNTIFS($A$8:$A$507,A259)&lt;&gt;1,"ID duplicato",IF(OR(NOT(ISNUMBER(B259)),D259="",E259="",F259="",G259="",H259="",COUNTIFS('Impostazioni'!$J$6:$J$25,F259)&lt;&gt;1),"Completa dati / elenchi",IF(OR(AND(I259&lt;&gt;"Lordo manuale",I259&lt;&gt;"Netto manuale",I259&lt;&gt;"Esecuzioni"),AND(J259&lt;&gt;"Aperto",J259&lt;&gt;"Chiuso",J259&lt;&gt;"Annullato")),"Modalità / stato mancanti",IF(AND(J259&lt;&gt;"Aperto",OR(NOT(ISNUMBER(C259)),C259&lt;B259)),"Correggi data chiusura",IF(OR(AND(Q259&lt;&gt;"",OR(NOT(ISNUMBER(Q259)),Q259&lt;0)),AND(R259&lt;&gt;"",OR(NOT(ISNUMBER(R259)),R259&lt;0,R259&gt;1))),"Commissione non valida",IF(J259="Annullato","OK",IF(OR(NOT(ISNUMBER(Z259)),Z259&lt;0,AND(O259&lt;&gt;"",NOT(ISNUMBER(O259)))),"Inserisci rischio",IF(AND(I259="Esecuzioni",OR(W259=0,COUNTIFS('Esecuzioni'!$A$8:$A$1007,A259,'Esecuzioni'!$Q$8:$Q$1007,"&lt;&gt;OK")&gt;0)),"Correggi esecuzioni",IF(J259="Aperto","OK",IF(AND(I259="Esecuzioni",S259="Coperto",ABS(X259-Y259)&gt;'Impostazioni'!$B$11),"Copertura residua",IF(NOT(ISNUMBER(AC259)),"Completa risultato / esito",IF(AND(Z259=0,AC259&lt;&gt;0),"Rischio nullo con P/L","OK")))))))))))))</x:f>
      </x:c>
      <x:c r="AR259" s="20" t="str">
        <x:f>IF(OR(A259="",J259&lt;&gt;"Aperto",AQ259&lt;&gt;"OK"),"",IF(I259="Esecuzioni",SUMIFS('Esecuzioni'!$P$8:$P$1007,'Esecuzioni'!$A$8:$A$1007,A259,'Esecuzioni'!$B$8:$B$1007,_xlfn.MAXIFS('Esecuzioni'!$B$8:$B$1007,'Esecuzioni'!$A$8:$A$1007,A259)),IF(LEFT(U259,8)="FREEBET:",0,Z259)))</x:f>
      </x:c>
      <x:c r="AS259" s="48" t="str">
        <x:f>IF(OR(A259="",E259=""),"",IF(COUNTIFS($E$8:E259,E259)=1,COUNT($AS$7:AS258)+1,""))</x:f>
      </x:c>
    </x:row>
    <x:row r="260" ht="22" customHeight="1">
      <x:c r="A260" s="7"/>
      <x:c r="B260" s="19"/>
      <x:c r="C260" s="19"/>
      <x:c r="D260" s="7"/>
      <x:c r="E260" s="7"/>
      <x:c r="F260" s="7"/>
      <x:c r="G260" s="7"/>
      <x:c r="H260" s="7"/>
      <x:c r="I260" s="7"/>
      <x:c r="J260" s="7"/>
      <x:c r="K260" s="10"/>
      <x:c r="L260" s="7"/>
      <x:c r="M260" s="10"/>
      <x:c r="N260" s="7"/>
      <x:c r="O260" s="8"/>
      <x:c r="P260" s="8"/>
      <x:c r="Q260" s="8"/>
      <x:c r="R260" s="9"/>
      <x:c r="S260" s="7"/>
      <x:c r="T260" s="7"/>
      <x:c r="U260" s="7"/>
      <x:c r="V260" s="7"/>
      <x:c r="W260" s="22" t="str">
        <x:f>IF(A260="","",COUNTIFS('Esecuzioni'!$A$8:$A$1007,A260,'Esecuzioni'!$Q$8:$Q$1007,"OK"))</x:f>
      </x:c>
      <x:c r="X260" s="20" t="str">
        <x:f>IF(OR(A260="",I260&lt;&gt;"Esecuzioni",W260=0),"",SUMIFS('Esecuzioni'!$L$8:$L$1007,'Esecuzioni'!$A$8:$A$1007,A260))</x:f>
      </x:c>
      <x:c r="Y260" s="20" t="str">
        <x:f>IF(OR(A260="",I260&lt;&gt;"Esecuzioni",W260=0),"",SUMIFS('Esecuzioni'!$M$8:$M$1007,'Esecuzioni'!$A$8:$A$1007,A260))</x:f>
      </x:c>
      <x:c r="Z260" s="20" t="str">
        <x:f>IF(A260="","",IF(J260="Annullato",0,IF(ISNUMBER(O260),O260,IF(AND(I260="Esecuzioni",W260&gt;0),_xlfn.MAXIFS('Esecuzioni'!$P$8:$P$1007,'Esecuzioni'!$A$8:$A$1007,A260),""))))</x:f>
      </x:c>
      <x:c r="AA260" s="20" t="str">
        <x:f>IF(OR(A260="",J260="Aperto"),"",IF(J260="Annullato",0,IF(I260="Lordo manuale",IF(ISNUMBER(P260),P260,""),IF(I260="Netto manuale",IF(AND(ISNUMBER(P260),ISNUMBER(Q260)),P260+Q260,""),IF(OR(W260=0,COUNTIFS('Esecuzioni'!$A$8:$A$1007,A260,'Esecuzioni'!$Q$8:$Q$1007,"&lt;&gt;OK")&gt;0),"",IF(S260="Vince",X260,IF(S260="Perde",Y260,IF(AND(S260="Coperto",ABS(X260-Y260)&lt;='Impostazioni'!$B$11),ROUND((X260+Y260)/2,2),""))))))))</x:f>
      </x:c>
      <x:c r="AB260" s="20" t="str">
        <x:f>IF(NOT(ISNUMBER(AA260)),"",IF(J260="Annullato",0,IF(ISNUMBER(Q260),Q260,ROUND(MAX(0,AA260)*IF(ISNUMBER(R260),R260,'Impostazioni'!$B$8),2))))</x:f>
      </x:c>
      <x:c r="AC260" s="20" t="str">
        <x:f>IF(AND(ISNUMBER(AA260),ISNUMBER(AB260)),ROUND(AA260-AB260,2),"")</x:f>
      </x:c>
      <x:c r="AD260" s="18" t="str">
        <x:f>IF(A260="","",IF(AQ260&lt;&gt;"OK","Incompleto",IF(J260="Aperto","Aperto",IF(J260="Annullato","Annullato",IF(AC260&gt;0,"Green",IF(AC260&lt;0,"Red","Flat"))))))</x:f>
      </x:c>
      <x:c r="AE260" s="21" t="str">
        <x:f>IF(AND(AH260=1,Z260&gt;0),AC260/Z260,"")</x:f>
      </x:c>
      <x:c r="AF260" s="22" t="str">
        <x:f>IF(AH260&lt;&gt;1,"",COUNTIFS($C$8:$C$507,"&lt;"&amp;C260,$AH$8:$AH$507,1)+COUNTIFS($C$8:$C$507,C260,$A$8:$A$507,"&lt;="&amp;A260,$AH$8:$AH$507,1))</x:f>
      </x:c>
      <x:c r="AG260" s="20" t="str">
        <x:f>IF(AH260&lt;&gt;1,"",SUMIFS($AC$8:$AC$507,$C$8:$C$507,"&lt;"&amp;C260,$AH$8:$AH$507,1)+SUMIFS($AC$8:$AC$507,$C$8:$C$507,C260,$A$8:$A$507,"&lt;="&amp;A260,$AH$8:$AH$507,1))</x:f>
      </x:c>
      <x:c r="AH260" s="22" t="str">
        <x:f>IF(A260="","",IF(AND(J260="Chiuso",AQ260="OK",ISNUMBER(AC260)),1,0))</x:f>
      </x:c>
      <x:c r="AI260" s="20" t="str">
        <x:f>IF(AH260&lt;&gt;1,"",MAX(0,_xlfn.MAXIFS($AG$8:$AG$507,$AF$8:$AF$507,"&lt;="&amp;AF260,$AH$8:$AH$507,1)))</x:f>
      </x:c>
      <x:c r="AJ260" s="20" t="str">
        <x:f>IF(AH260&lt;&gt;1,"",MAX(0,AI260-AG260))</x:f>
      </x:c>
      <x:c r="AK260" s="21" t="str">
        <x:f>IF(OR(AH260&lt;&gt;1,NOT(ISNUMBER('Impostazioni'!$B$6)),'Impostazioni'!$B$6+AI260&lt;=0),"",AJ260/('Impostazioni'!$B$6+AI260))</x:f>
      </x:c>
      <x:c r="AL260" s="22" t="str">
        <x:f>IF(AH260&lt;&gt;1,"",IF(AC260&gt;0,AF260-_xlfn.MAXIFS($AF$8:$AF$507,$AF$8:$AF$507,"&lt;="&amp;AF260,$AC$8:$AC$507,"&lt;=0",$AH$8:$AH$507,1),0))</x:f>
      </x:c>
      <x:c r="AM260" s="22" t="str">
        <x:f>IF(AH260&lt;&gt;1,"",IF(AC260&lt;0,AF260-_xlfn.MAXIFS($AF$8:$AF$507,$AF$8:$AF$507,"&lt;="&amp;AF260,$AC$8:$AC$507,"&gt;=0",$AH$8:$AH$507,1),0))</x:f>
      </x:c>
      <x:c r="AN260" s="20" t="str">
        <x:f>IF(OR(A260="",NOT(ISNUMBER(B260)),NOT(ISNUMBER('Impostazioni'!$B$6))),"",'Impostazioni'!$B$6+SUMIFS($AC$8:$AC$507,$C$8:$C$507,"&lt;"&amp;B260,$AH$8:$AH$507,1)+SUMIFS('Cassa'!$F$8:$F$307,'Cassa'!$A$8:$A$307,"&lt;="&amp;B260,'Cassa'!$G$8:$G$307,"OK"))</x:f>
      </x:c>
      <x:c r="AO260" s="21" t="str">
        <x:f>IF(AND(ISNUMBER(Z260),ISNUMBER(AN260),AN260&gt;0),Z260/AN260,"")</x:f>
      </x:c>
      <x:c r="AP260" s="18" t="str">
        <x:f>IF(NOT(ISNUMBER(AO260)),"",IF(AO260&gt;'Impostazioni'!$B$7,"Oltre soglia personale","Nella soglia personale"))</x:f>
      </x:c>
      <x:c r="AQ260" s="18" t="str">
        <x:f>IF(A260="",IF(COUNTA(B260:V260)=0,"","Inserisci ID"),IF(COUNTIFS($A$8:$A$507,A260)&lt;&gt;1,"ID duplicato",IF(OR(NOT(ISNUMBER(B260)),D260="",E260="",F260="",G260="",H260="",COUNTIFS('Impostazioni'!$J$6:$J$25,F260)&lt;&gt;1),"Completa dati / elenchi",IF(OR(AND(I260&lt;&gt;"Lordo manuale",I260&lt;&gt;"Netto manuale",I260&lt;&gt;"Esecuzioni"),AND(J260&lt;&gt;"Aperto",J260&lt;&gt;"Chiuso",J260&lt;&gt;"Annullato")),"Modalità / stato mancanti",IF(AND(J260&lt;&gt;"Aperto",OR(NOT(ISNUMBER(C260)),C260&lt;B260)),"Correggi data chiusura",IF(OR(AND(Q260&lt;&gt;"",OR(NOT(ISNUMBER(Q260)),Q260&lt;0)),AND(R260&lt;&gt;"",OR(NOT(ISNUMBER(R260)),R260&lt;0,R260&gt;1))),"Commissione non valida",IF(J260="Annullato","OK",IF(OR(NOT(ISNUMBER(Z260)),Z260&lt;0,AND(O260&lt;&gt;"",NOT(ISNUMBER(O260)))),"Inserisci rischio",IF(AND(I260="Esecuzioni",OR(W260=0,COUNTIFS('Esecuzioni'!$A$8:$A$1007,A260,'Esecuzioni'!$Q$8:$Q$1007,"&lt;&gt;OK")&gt;0)),"Correggi esecuzioni",IF(J260="Aperto","OK",IF(AND(I260="Esecuzioni",S260="Coperto",ABS(X260-Y260)&gt;'Impostazioni'!$B$11),"Copertura residua",IF(NOT(ISNUMBER(AC260)),"Completa risultato / esito",IF(AND(Z260=0,AC260&lt;&gt;0),"Rischio nullo con P/L","OK")))))))))))))</x:f>
      </x:c>
      <x:c r="AR260" s="20" t="str">
        <x:f>IF(OR(A260="",J260&lt;&gt;"Aperto",AQ260&lt;&gt;"OK"),"",IF(I260="Esecuzioni",SUMIFS('Esecuzioni'!$P$8:$P$1007,'Esecuzioni'!$A$8:$A$1007,A260,'Esecuzioni'!$B$8:$B$1007,_xlfn.MAXIFS('Esecuzioni'!$B$8:$B$1007,'Esecuzioni'!$A$8:$A$1007,A260)),IF(LEFT(U260,8)="FREEBET:",0,Z260)))</x:f>
      </x:c>
      <x:c r="AS260" s="48" t="str">
        <x:f>IF(OR(A260="",E260=""),"",IF(COUNTIFS($E$8:E260,E260)=1,COUNT($AS$7:AS259)+1,""))</x:f>
      </x:c>
    </x:row>
    <x:row r="261" ht="22" customHeight="1">
      <x:c r="A261" s="7"/>
      <x:c r="B261" s="19"/>
      <x:c r="C261" s="19"/>
      <x:c r="D261" s="7"/>
      <x:c r="E261" s="7"/>
      <x:c r="F261" s="7"/>
      <x:c r="G261" s="7"/>
      <x:c r="H261" s="7"/>
      <x:c r="I261" s="7"/>
      <x:c r="J261" s="7"/>
      <x:c r="K261" s="10"/>
      <x:c r="L261" s="7"/>
      <x:c r="M261" s="10"/>
      <x:c r="N261" s="7"/>
      <x:c r="O261" s="8"/>
      <x:c r="P261" s="8"/>
      <x:c r="Q261" s="8"/>
      <x:c r="R261" s="9"/>
      <x:c r="S261" s="7"/>
      <x:c r="T261" s="7"/>
      <x:c r="U261" s="7"/>
      <x:c r="V261" s="7"/>
      <x:c r="W261" s="22" t="str">
        <x:f>IF(A261="","",COUNTIFS('Esecuzioni'!$A$8:$A$1007,A261,'Esecuzioni'!$Q$8:$Q$1007,"OK"))</x:f>
      </x:c>
      <x:c r="X261" s="20" t="str">
        <x:f>IF(OR(A261="",I261&lt;&gt;"Esecuzioni",W261=0),"",SUMIFS('Esecuzioni'!$L$8:$L$1007,'Esecuzioni'!$A$8:$A$1007,A261))</x:f>
      </x:c>
      <x:c r="Y261" s="20" t="str">
        <x:f>IF(OR(A261="",I261&lt;&gt;"Esecuzioni",W261=0),"",SUMIFS('Esecuzioni'!$M$8:$M$1007,'Esecuzioni'!$A$8:$A$1007,A261))</x:f>
      </x:c>
      <x:c r="Z261" s="20" t="str">
        <x:f>IF(A261="","",IF(J261="Annullato",0,IF(ISNUMBER(O261),O261,IF(AND(I261="Esecuzioni",W261&gt;0),_xlfn.MAXIFS('Esecuzioni'!$P$8:$P$1007,'Esecuzioni'!$A$8:$A$1007,A261),""))))</x:f>
      </x:c>
      <x:c r="AA261" s="20" t="str">
        <x:f>IF(OR(A261="",J261="Aperto"),"",IF(J261="Annullato",0,IF(I261="Lordo manuale",IF(ISNUMBER(P261),P261,""),IF(I261="Netto manuale",IF(AND(ISNUMBER(P261),ISNUMBER(Q261)),P261+Q261,""),IF(OR(W261=0,COUNTIFS('Esecuzioni'!$A$8:$A$1007,A261,'Esecuzioni'!$Q$8:$Q$1007,"&lt;&gt;OK")&gt;0),"",IF(S261="Vince",X261,IF(S261="Perde",Y261,IF(AND(S261="Coperto",ABS(X261-Y261)&lt;='Impostazioni'!$B$11),ROUND((X261+Y261)/2,2),""))))))))</x:f>
      </x:c>
      <x:c r="AB261" s="20" t="str">
        <x:f>IF(NOT(ISNUMBER(AA261)),"",IF(J261="Annullato",0,IF(ISNUMBER(Q261),Q261,ROUND(MAX(0,AA261)*IF(ISNUMBER(R261),R261,'Impostazioni'!$B$8),2))))</x:f>
      </x:c>
      <x:c r="AC261" s="20" t="str">
        <x:f>IF(AND(ISNUMBER(AA261),ISNUMBER(AB261)),ROUND(AA261-AB261,2),"")</x:f>
      </x:c>
      <x:c r="AD261" s="18" t="str">
        <x:f>IF(A261="","",IF(AQ261&lt;&gt;"OK","Incompleto",IF(J261="Aperto","Aperto",IF(J261="Annullato","Annullato",IF(AC261&gt;0,"Green",IF(AC261&lt;0,"Red","Flat"))))))</x:f>
      </x:c>
      <x:c r="AE261" s="21" t="str">
        <x:f>IF(AND(AH261=1,Z261&gt;0),AC261/Z261,"")</x:f>
      </x:c>
      <x:c r="AF261" s="22" t="str">
        <x:f>IF(AH261&lt;&gt;1,"",COUNTIFS($C$8:$C$507,"&lt;"&amp;C261,$AH$8:$AH$507,1)+COUNTIFS($C$8:$C$507,C261,$A$8:$A$507,"&lt;="&amp;A261,$AH$8:$AH$507,1))</x:f>
      </x:c>
      <x:c r="AG261" s="20" t="str">
        <x:f>IF(AH261&lt;&gt;1,"",SUMIFS($AC$8:$AC$507,$C$8:$C$507,"&lt;"&amp;C261,$AH$8:$AH$507,1)+SUMIFS($AC$8:$AC$507,$C$8:$C$507,C261,$A$8:$A$507,"&lt;="&amp;A261,$AH$8:$AH$507,1))</x:f>
      </x:c>
      <x:c r="AH261" s="22" t="str">
        <x:f>IF(A261="","",IF(AND(J261="Chiuso",AQ261="OK",ISNUMBER(AC261)),1,0))</x:f>
      </x:c>
      <x:c r="AI261" s="20" t="str">
        <x:f>IF(AH261&lt;&gt;1,"",MAX(0,_xlfn.MAXIFS($AG$8:$AG$507,$AF$8:$AF$507,"&lt;="&amp;AF261,$AH$8:$AH$507,1)))</x:f>
      </x:c>
      <x:c r="AJ261" s="20" t="str">
        <x:f>IF(AH261&lt;&gt;1,"",MAX(0,AI261-AG261))</x:f>
      </x:c>
      <x:c r="AK261" s="21" t="str">
        <x:f>IF(OR(AH261&lt;&gt;1,NOT(ISNUMBER('Impostazioni'!$B$6)),'Impostazioni'!$B$6+AI261&lt;=0),"",AJ261/('Impostazioni'!$B$6+AI261))</x:f>
      </x:c>
      <x:c r="AL261" s="22" t="str">
        <x:f>IF(AH261&lt;&gt;1,"",IF(AC261&gt;0,AF261-_xlfn.MAXIFS($AF$8:$AF$507,$AF$8:$AF$507,"&lt;="&amp;AF261,$AC$8:$AC$507,"&lt;=0",$AH$8:$AH$507,1),0))</x:f>
      </x:c>
      <x:c r="AM261" s="22" t="str">
        <x:f>IF(AH261&lt;&gt;1,"",IF(AC261&lt;0,AF261-_xlfn.MAXIFS($AF$8:$AF$507,$AF$8:$AF$507,"&lt;="&amp;AF261,$AC$8:$AC$507,"&gt;=0",$AH$8:$AH$507,1),0))</x:f>
      </x:c>
      <x:c r="AN261" s="20" t="str">
        <x:f>IF(OR(A261="",NOT(ISNUMBER(B261)),NOT(ISNUMBER('Impostazioni'!$B$6))),"",'Impostazioni'!$B$6+SUMIFS($AC$8:$AC$507,$C$8:$C$507,"&lt;"&amp;B261,$AH$8:$AH$507,1)+SUMIFS('Cassa'!$F$8:$F$307,'Cassa'!$A$8:$A$307,"&lt;="&amp;B261,'Cassa'!$G$8:$G$307,"OK"))</x:f>
      </x:c>
      <x:c r="AO261" s="21" t="str">
        <x:f>IF(AND(ISNUMBER(Z261),ISNUMBER(AN261),AN261&gt;0),Z261/AN261,"")</x:f>
      </x:c>
      <x:c r="AP261" s="18" t="str">
        <x:f>IF(NOT(ISNUMBER(AO261)),"",IF(AO261&gt;'Impostazioni'!$B$7,"Oltre soglia personale","Nella soglia personale"))</x:f>
      </x:c>
      <x:c r="AQ261" s="18" t="str">
        <x:f>IF(A261="",IF(COUNTA(B261:V261)=0,"","Inserisci ID"),IF(COUNTIFS($A$8:$A$507,A261)&lt;&gt;1,"ID duplicato",IF(OR(NOT(ISNUMBER(B261)),D261="",E261="",F261="",G261="",H261="",COUNTIFS('Impostazioni'!$J$6:$J$25,F261)&lt;&gt;1),"Completa dati / elenchi",IF(OR(AND(I261&lt;&gt;"Lordo manuale",I261&lt;&gt;"Netto manuale",I261&lt;&gt;"Esecuzioni"),AND(J261&lt;&gt;"Aperto",J261&lt;&gt;"Chiuso",J261&lt;&gt;"Annullato")),"Modalità / stato mancanti",IF(AND(J261&lt;&gt;"Aperto",OR(NOT(ISNUMBER(C261)),C261&lt;B261)),"Correggi data chiusura",IF(OR(AND(Q261&lt;&gt;"",OR(NOT(ISNUMBER(Q261)),Q261&lt;0)),AND(R261&lt;&gt;"",OR(NOT(ISNUMBER(R261)),R261&lt;0,R261&gt;1))),"Commissione non valida",IF(J261="Annullato","OK",IF(OR(NOT(ISNUMBER(Z261)),Z261&lt;0,AND(O261&lt;&gt;"",NOT(ISNUMBER(O261)))),"Inserisci rischio",IF(AND(I261="Esecuzioni",OR(W261=0,COUNTIFS('Esecuzioni'!$A$8:$A$1007,A261,'Esecuzioni'!$Q$8:$Q$1007,"&lt;&gt;OK")&gt;0)),"Correggi esecuzioni",IF(J261="Aperto","OK",IF(AND(I261="Esecuzioni",S261="Coperto",ABS(X261-Y261)&gt;'Impostazioni'!$B$11),"Copertura residua",IF(NOT(ISNUMBER(AC261)),"Completa risultato / esito",IF(AND(Z261=0,AC261&lt;&gt;0),"Rischio nullo con P/L","OK")))))))))))))</x:f>
      </x:c>
      <x:c r="AR261" s="20" t="str">
        <x:f>IF(OR(A261="",J261&lt;&gt;"Aperto",AQ261&lt;&gt;"OK"),"",IF(I261="Esecuzioni",SUMIFS('Esecuzioni'!$P$8:$P$1007,'Esecuzioni'!$A$8:$A$1007,A261,'Esecuzioni'!$B$8:$B$1007,_xlfn.MAXIFS('Esecuzioni'!$B$8:$B$1007,'Esecuzioni'!$A$8:$A$1007,A261)),IF(LEFT(U261,8)="FREEBET:",0,Z261)))</x:f>
      </x:c>
      <x:c r="AS261" s="48" t="str">
        <x:f>IF(OR(A261="",E261=""),"",IF(COUNTIFS($E$8:E261,E261)=1,COUNT($AS$7:AS260)+1,""))</x:f>
      </x:c>
    </x:row>
    <x:row r="262" ht="22" customHeight="1">
      <x:c r="A262" s="7"/>
      <x:c r="B262" s="19"/>
      <x:c r="C262" s="19"/>
      <x:c r="D262" s="7"/>
      <x:c r="E262" s="7"/>
      <x:c r="F262" s="7"/>
      <x:c r="G262" s="7"/>
      <x:c r="H262" s="7"/>
      <x:c r="I262" s="7"/>
      <x:c r="J262" s="7"/>
      <x:c r="K262" s="10"/>
      <x:c r="L262" s="7"/>
      <x:c r="M262" s="10"/>
      <x:c r="N262" s="7"/>
      <x:c r="O262" s="8"/>
      <x:c r="P262" s="8"/>
      <x:c r="Q262" s="8"/>
      <x:c r="R262" s="9"/>
      <x:c r="S262" s="7"/>
      <x:c r="T262" s="7"/>
      <x:c r="U262" s="7"/>
      <x:c r="V262" s="7"/>
      <x:c r="W262" s="22" t="str">
        <x:f>IF(A262="","",COUNTIFS('Esecuzioni'!$A$8:$A$1007,A262,'Esecuzioni'!$Q$8:$Q$1007,"OK"))</x:f>
      </x:c>
      <x:c r="X262" s="20" t="str">
        <x:f>IF(OR(A262="",I262&lt;&gt;"Esecuzioni",W262=0),"",SUMIFS('Esecuzioni'!$L$8:$L$1007,'Esecuzioni'!$A$8:$A$1007,A262))</x:f>
      </x:c>
      <x:c r="Y262" s="20" t="str">
        <x:f>IF(OR(A262="",I262&lt;&gt;"Esecuzioni",W262=0),"",SUMIFS('Esecuzioni'!$M$8:$M$1007,'Esecuzioni'!$A$8:$A$1007,A262))</x:f>
      </x:c>
      <x:c r="Z262" s="20" t="str">
        <x:f>IF(A262="","",IF(J262="Annullato",0,IF(ISNUMBER(O262),O262,IF(AND(I262="Esecuzioni",W262&gt;0),_xlfn.MAXIFS('Esecuzioni'!$P$8:$P$1007,'Esecuzioni'!$A$8:$A$1007,A262),""))))</x:f>
      </x:c>
      <x:c r="AA262" s="20" t="str">
        <x:f>IF(OR(A262="",J262="Aperto"),"",IF(J262="Annullato",0,IF(I262="Lordo manuale",IF(ISNUMBER(P262),P262,""),IF(I262="Netto manuale",IF(AND(ISNUMBER(P262),ISNUMBER(Q262)),P262+Q262,""),IF(OR(W262=0,COUNTIFS('Esecuzioni'!$A$8:$A$1007,A262,'Esecuzioni'!$Q$8:$Q$1007,"&lt;&gt;OK")&gt;0),"",IF(S262="Vince",X262,IF(S262="Perde",Y262,IF(AND(S262="Coperto",ABS(X262-Y262)&lt;='Impostazioni'!$B$11),ROUND((X262+Y262)/2,2),""))))))))</x:f>
      </x:c>
      <x:c r="AB262" s="20" t="str">
        <x:f>IF(NOT(ISNUMBER(AA262)),"",IF(J262="Annullato",0,IF(ISNUMBER(Q262),Q262,ROUND(MAX(0,AA262)*IF(ISNUMBER(R262),R262,'Impostazioni'!$B$8),2))))</x:f>
      </x:c>
      <x:c r="AC262" s="20" t="str">
        <x:f>IF(AND(ISNUMBER(AA262),ISNUMBER(AB262)),ROUND(AA262-AB262,2),"")</x:f>
      </x:c>
      <x:c r="AD262" s="18" t="str">
        <x:f>IF(A262="","",IF(AQ262&lt;&gt;"OK","Incompleto",IF(J262="Aperto","Aperto",IF(J262="Annullato","Annullato",IF(AC262&gt;0,"Green",IF(AC262&lt;0,"Red","Flat"))))))</x:f>
      </x:c>
      <x:c r="AE262" s="21" t="str">
        <x:f>IF(AND(AH262=1,Z262&gt;0),AC262/Z262,"")</x:f>
      </x:c>
      <x:c r="AF262" s="22" t="str">
        <x:f>IF(AH262&lt;&gt;1,"",COUNTIFS($C$8:$C$507,"&lt;"&amp;C262,$AH$8:$AH$507,1)+COUNTIFS($C$8:$C$507,C262,$A$8:$A$507,"&lt;="&amp;A262,$AH$8:$AH$507,1))</x:f>
      </x:c>
      <x:c r="AG262" s="20" t="str">
        <x:f>IF(AH262&lt;&gt;1,"",SUMIFS($AC$8:$AC$507,$C$8:$C$507,"&lt;"&amp;C262,$AH$8:$AH$507,1)+SUMIFS($AC$8:$AC$507,$C$8:$C$507,C262,$A$8:$A$507,"&lt;="&amp;A262,$AH$8:$AH$507,1))</x:f>
      </x:c>
      <x:c r="AH262" s="22" t="str">
        <x:f>IF(A262="","",IF(AND(J262="Chiuso",AQ262="OK",ISNUMBER(AC262)),1,0))</x:f>
      </x:c>
      <x:c r="AI262" s="20" t="str">
        <x:f>IF(AH262&lt;&gt;1,"",MAX(0,_xlfn.MAXIFS($AG$8:$AG$507,$AF$8:$AF$507,"&lt;="&amp;AF262,$AH$8:$AH$507,1)))</x:f>
      </x:c>
      <x:c r="AJ262" s="20" t="str">
        <x:f>IF(AH262&lt;&gt;1,"",MAX(0,AI262-AG262))</x:f>
      </x:c>
      <x:c r="AK262" s="21" t="str">
        <x:f>IF(OR(AH262&lt;&gt;1,NOT(ISNUMBER('Impostazioni'!$B$6)),'Impostazioni'!$B$6+AI262&lt;=0),"",AJ262/('Impostazioni'!$B$6+AI262))</x:f>
      </x:c>
      <x:c r="AL262" s="22" t="str">
        <x:f>IF(AH262&lt;&gt;1,"",IF(AC262&gt;0,AF262-_xlfn.MAXIFS($AF$8:$AF$507,$AF$8:$AF$507,"&lt;="&amp;AF262,$AC$8:$AC$507,"&lt;=0",$AH$8:$AH$507,1),0))</x:f>
      </x:c>
      <x:c r="AM262" s="22" t="str">
        <x:f>IF(AH262&lt;&gt;1,"",IF(AC262&lt;0,AF262-_xlfn.MAXIFS($AF$8:$AF$507,$AF$8:$AF$507,"&lt;="&amp;AF262,$AC$8:$AC$507,"&gt;=0",$AH$8:$AH$507,1),0))</x:f>
      </x:c>
      <x:c r="AN262" s="20" t="str">
        <x:f>IF(OR(A262="",NOT(ISNUMBER(B262)),NOT(ISNUMBER('Impostazioni'!$B$6))),"",'Impostazioni'!$B$6+SUMIFS($AC$8:$AC$507,$C$8:$C$507,"&lt;"&amp;B262,$AH$8:$AH$507,1)+SUMIFS('Cassa'!$F$8:$F$307,'Cassa'!$A$8:$A$307,"&lt;="&amp;B262,'Cassa'!$G$8:$G$307,"OK"))</x:f>
      </x:c>
      <x:c r="AO262" s="21" t="str">
        <x:f>IF(AND(ISNUMBER(Z262),ISNUMBER(AN262),AN262&gt;0),Z262/AN262,"")</x:f>
      </x:c>
      <x:c r="AP262" s="18" t="str">
        <x:f>IF(NOT(ISNUMBER(AO262)),"",IF(AO262&gt;'Impostazioni'!$B$7,"Oltre soglia personale","Nella soglia personale"))</x:f>
      </x:c>
      <x:c r="AQ262" s="18" t="str">
        <x:f>IF(A262="",IF(COUNTA(B262:V262)=0,"","Inserisci ID"),IF(COUNTIFS($A$8:$A$507,A262)&lt;&gt;1,"ID duplicato",IF(OR(NOT(ISNUMBER(B262)),D262="",E262="",F262="",G262="",H262="",COUNTIFS('Impostazioni'!$J$6:$J$25,F262)&lt;&gt;1),"Completa dati / elenchi",IF(OR(AND(I262&lt;&gt;"Lordo manuale",I262&lt;&gt;"Netto manuale",I262&lt;&gt;"Esecuzioni"),AND(J262&lt;&gt;"Aperto",J262&lt;&gt;"Chiuso",J262&lt;&gt;"Annullato")),"Modalità / stato mancanti",IF(AND(J262&lt;&gt;"Aperto",OR(NOT(ISNUMBER(C262)),C262&lt;B262)),"Correggi data chiusura",IF(OR(AND(Q262&lt;&gt;"",OR(NOT(ISNUMBER(Q262)),Q262&lt;0)),AND(R262&lt;&gt;"",OR(NOT(ISNUMBER(R262)),R262&lt;0,R262&gt;1))),"Commissione non valida",IF(J262="Annullato","OK",IF(OR(NOT(ISNUMBER(Z262)),Z262&lt;0,AND(O262&lt;&gt;"",NOT(ISNUMBER(O262)))),"Inserisci rischio",IF(AND(I262="Esecuzioni",OR(W262=0,COUNTIFS('Esecuzioni'!$A$8:$A$1007,A262,'Esecuzioni'!$Q$8:$Q$1007,"&lt;&gt;OK")&gt;0)),"Correggi esecuzioni",IF(J262="Aperto","OK",IF(AND(I262="Esecuzioni",S262="Coperto",ABS(X262-Y262)&gt;'Impostazioni'!$B$11),"Copertura residua",IF(NOT(ISNUMBER(AC262)),"Completa risultato / esito",IF(AND(Z262=0,AC262&lt;&gt;0),"Rischio nullo con P/L","OK")))))))))))))</x:f>
      </x:c>
      <x:c r="AR262" s="20" t="str">
        <x:f>IF(OR(A262="",J262&lt;&gt;"Aperto",AQ262&lt;&gt;"OK"),"",IF(I262="Esecuzioni",SUMIFS('Esecuzioni'!$P$8:$P$1007,'Esecuzioni'!$A$8:$A$1007,A262,'Esecuzioni'!$B$8:$B$1007,_xlfn.MAXIFS('Esecuzioni'!$B$8:$B$1007,'Esecuzioni'!$A$8:$A$1007,A262)),IF(LEFT(U262,8)="FREEBET:",0,Z262)))</x:f>
      </x:c>
      <x:c r="AS262" s="48" t="str">
        <x:f>IF(OR(A262="",E262=""),"",IF(COUNTIFS($E$8:E262,E262)=1,COUNT($AS$7:AS261)+1,""))</x:f>
      </x:c>
    </x:row>
    <x:row r="263" ht="22" customHeight="1">
      <x:c r="A263" s="7"/>
      <x:c r="B263" s="19"/>
      <x:c r="C263" s="19"/>
      <x:c r="D263" s="7"/>
      <x:c r="E263" s="7"/>
      <x:c r="F263" s="7"/>
      <x:c r="G263" s="7"/>
      <x:c r="H263" s="7"/>
      <x:c r="I263" s="7"/>
      <x:c r="J263" s="7"/>
      <x:c r="K263" s="10"/>
      <x:c r="L263" s="7"/>
      <x:c r="M263" s="10"/>
      <x:c r="N263" s="7"/>
      <x:c r="O263" s="8"/>
      <x:c r="P263" s="8"/>
      <x:c r="Q263" s="8"/>
      <x:c r="R263" s="9"/>
      <x:c r="S263" s="7"/>
      <x:c r="T263" s="7"/>
      <x:c r="U263" s="7"/>
      <x:c r="V263" s="7"/>
      <x:c r="W263" s="22" t="str">
        <x:f>IF(A263="","",COUNTIFS('Esecuzioni'!$A$8:$A$1007,A263,'Esecuzioni'!$Q$8:$Q$1007,"OK"))</x:f>
      </x:c>
      <x:c r="X263" s="20" t="str">
        <x:f>IF(OR(A263="",I263&lt;&gt;"Esecuzioni",W263=0),"",SUMIFS('Esecuzioni'!$L$8:$L$1007,'Esecuzioni'!$A$8:$A$1007,A263))</x:f>
      </x:c>
      <x:c r="Y263" s="20" t="str">
        <x:f>IF(OR(A263="",I263&lt;&gt;"Esecuzioni",W263=0),"",SUMIFS('Esecuzioni'!$M$8:$M$1007,'Esecuzioni'!$A$8:$A$1007,A263))</x:f>
      </x:c>
      <x:c r="Z263" s="20" t="str">
        <x:f>IF(A263="","",IF(J263="Annullato",0,IF(ISNUMBER(O263),O263,IF(AND(I263="Esecuzioni",W263&gt;0),_xlfn.MAXIFS('Esecuzioni'!$P$8:$P$1007,'Esecuzioni'!$A$8:$A$1007,A263),""))))</x:f>
      </x:c>
      <x:c r="AA263" s="20" t="str">
        <x:f>IF(OR(A263="",J263="Aperto"),"",IF(J263="Annullato",0,IF(I263="Lordo manuale",IF(ISNUMBER(P263),P263,""),IF(I263="Netto manuale",IF(AND(ISNUMBER(P263),ISNUMBER(Q263)),P263+Q263,""),IF(OR(W263=0,COUNTIFS('Esecuzioni'!$A$8:$A$1007,A263,'Esecuzioni'!$Q$8:$Q$1007,"&lt;&gt;OK")&gt;0),"",IF(S263="Vince",X263,IF(S263="Perde",Y263,IF(AND(S263="Coperto",ABS(X263-Y263)&lt;='Impostazioni'!$B$11),ROUND((X263+Y263)/2,2),""))))))))</x:f>
      </x:c>
      <x:c r="AB263" s="20" t="str">
        <x:f>IF(NOT(ISNUMBER(AA263)),"",IF(J263="Annullato",0,IF(ISNUMBER(Q263),Q263,ROUND(MAX(0,AA263)*IF(ISNUMBER(R263),R263,'Impostazioni'!$B$8),2))))</x:f>
      </x:c>
      <x:c r="AC263" s="20" t="str">
        <x:f>IF(AND(ISNUMBER(AA263),ISNUMBER(AB263)),ROUND(AA263-AB263,2),"")</x:f>
      </x:c>
      <x:c r="AD263" s="18" t="str">
        <x:f>IF(A263="","",IF(AQ263&lt;&gt;"OK","Incompleto",IF(J263="Aperto","Aperto",IF(J263="Annullato","Annullato",IF(AC263&gt;0,"Green",IF(AC263&lt;0,"Red","Flat"))))))</x:f>
      </x:c>
      <x:c r="AE263" s="21" t="str">
        <x:f>IF(AND(AH263=1,Z263&gt;0),AC263/Z263,"")</x:f>
      </x:c>
      <x:c r="AF263" s="22" t="str">
        <x:f>IF(AH263&lt;&gt;1,"",COUNTIFS($C$8:$C$507,"&lt;"&amp;C263,$AH$8:$AH$507,1)+COUNTIFS($C$8:$C$507,C263,$A$8:$A$507,"&lt;="&amp;A263,$AH$8:$AH$507,1))</x:f>
      </x:c>
      <x:c r="AG263" s="20" t="str">
        <x:f>IF(AH263&lt;&gt;1,"",SUMIFS($AC$8:$AC$507,$C$8:$C$507,"&lt;"&amp;C263,$AH$8:$AH$507,1)+SUMIFS($AC$8:$AC$507,$C$8:$C$507,C263,$A$8:$A$507,"&lt;="&amp;A263,$AH$8:$AH$507,1))</x:f>
      </x:c>
      <x:c r="AH263" s="22" t="str">
        <x:f>IF(A263="","",IF(AND(J263="Chiuso",AQ263="OK",ISNUMBER(AC263)),1,0))</x:f>
      </x:c>
      <x:c r="AI263" s="20" t="str">
        <x:f>IF(AH263&lt;&gt;1,"",MAX(0,_xlfn.MAXIFS($AG$8:$AG$507,$AF$8:$AF$507,"&lt;="&amp;AF263,$AH$8:$AH$507,1)))</x:f>
      </x:c>
      <x:c r="AJ263" s="20" t="str">
        <x:f>IF(AH263&lt;&gt;1,"",MAX(0,AI263-AG263))</x:f>
      </x:c>
      <x:c r="AK263" s="21" t="str">
        <x:f>IF(OR(AH263&lt;&gt;1,NOT(ISNUMBER('Impostazioni'!$B$6)),'Impostazioni'!$B$6+AI263&lt;=0),"",AJ263/('Impostazioni'!$B$6+AI263))</x:f>
      </x:c>
      <x:c r="AL263" s="22" t="str">
        <x:f>IF(AH263&lt;&gt;1,"",IF(AC263&gt;0,AF263-_xlfn.MAXIFS($AF$8:$AF$507,$AF$8:$AF$507,"&lt;="&amp;AF263,$AC$8:$AC$507,"&lt;=0",$AH$8:$AH$507,1),0))</x:f>
      </x:c>
      <x:c r="AM263" s="22" t="str">
        <x:f>IF(AH263&lt;&gt;1,"",IF(AC263&lt;0,AF263-_xlfn.MAXIFS($AF$8:$AF$507,$AF$8:$AF$507,"&lt;="&amp;AF263,$AC$8:$AC$507,"&gt;=0",$AH$8:$AH$507,1),0))</x:f>
      </x:c>
      <x:c r="AN263" s="20" t="str">
        <x:f>IF(OR(A263="",NOT(ISNUMBER(B263)),NOT(ISNUMBER('Impostazioni'!$B$6))),"",'Impostazioni'!$B$6+SUMIFS($AC$8:$AC$507,$C$8:$C$507,"&lt;"&amp;B263,$AH$8:$AH$507,1)+SUMIFS('Cassa'!$F$8:$F$307,'Cassa'!$A$8:$A$307,"&lt;="&amp;B263,'Cassa'!$G$8:$G$307,"OK"))</x:f>
      </x:c>
      <x:c r="AO263" s="21" t="str">
        <x:f>IF(AND(ISNUMBER(Z263),ISNUMBER(AN263),AN263&gt;0),Z263/AN263,"")</x:f>
      </x:c>
      <x:c r="AP263" s="18" t="str">
        <x:f>IF(NOT(ISNUMBER(AO263)),"",IF(AO263&gt;'Impostazioni'!$B$7,"Oltre soglia personale","Nella soglia personale"))</x:f>
      </x:c>
      <x:c r="AQ263" s="18" t="str">
        <x:f>IF(A263="",IF(COUNTA(B263:V263)=0,"","Inserisci ID"),IF(COUNTIFS($A$8:$A$507,A263)&lt;&gt;1,"ID duplicato",IF(OR(NOT(ISNUMBER(B263)),D263="",E263="",F263="",G263="",H263="",COUNTIFS('Impostazioni'!$J$6:$J$25,F263)&lt;&gt;1),"Completa dati / elenchi",IF(OR(AND(I263&lt;&gt;"Lordo manuale",I263&lt;&gt;"Netto manuale",I263&lt;&gt;"Esecuzioni"),AND(J263&lt;&gt;"Aperto",J263&lt;&gt;"Chiuso",J263&lt;&gt;"Annullato")),"Modalità / stato mancanti",IF(AND(J263&lt;&gt;"Aperto",OR(NOT(ISNUMBER(C263)),C263&lt;B263)),"Correggi data chiusura",IF(OR(AND(Q263&lt;&gt;"",OR(NOT(ISNUMBER(Q263)),Q263&lt;0)),AND(R263&lt;&gt;"",OR(NOT(ISNUMBER(R263)),R263&lt;0,R263&gt;1))),"Commissione non valida",IF(J263="Annullato","OK",IF(OR(NOT(ISNUMBER(Z263)),Z263&lt;0,AND(O263&lt;&gt;"",NOT(ISNUMBER(O263)))),"Inserisci rischio",IF(AND(I263="Esecuzioni",OR(W263=0,COUNTIFS('Esecuzioni'!$A$8:$A$1007,A263,'Esecuzioni'!$Q$8:$Q$1007,"&lt;&gt;OK")&gt;0)),"Correggi esecuzioni",IF(J263="Aperto","OK",IF(AND(I263="Esecuzioni",S263="Coperto",ABS(X263-Y263)&gt;'Impostazioni'!$B$11),"Copertura residua",IF(NOT(ISNUMBER(AC263)),"Completa risultato / esito",IF(AND(Z263=0,AC263&lt;&gt;0),"Rischio nullo con P/L","OK")))))))))))))</x:f>
      </x:c>
      <x:c r="AR263" s="20" t="str">
        <x:f>IF(OR(A263="",J263&lt;&gt;"Aperto",AQ263&lt;&gt;"OK"),"",IF(I263="Esecuzioni",SUMIFS('Esecuzioni'!$P$8:$P$1007,'Esecuzioni'!$A$8:$A$1007,A263,'Esecuzioni'!$B$8:$B$1007,_xlfn.MAXIFS('Esecuzioni'!$B$8:$B$1007,'Esecuzioni'!$A$8:$A$1007,A263)),IF(LEFT(U263,8)="FREEBET:",0,Z263)))</x:f>
      </x:c>
      <x:c r="AS263" s="48" t="str">
        <x:f>IF(OR(A263="",E263=""),"",IF(COUNTIFS($E$8:E263,E263)=1,COUNT($AS$7:AS262)+1,""))</x:f>
      </x:c>
    </x:row>
    <x:row r="264" ht="22" customHeight="1">
      <x:c r="A264" s="7"/>
      <x:c r="B264" s="19"/>
      <x:c r="C264" s="19"/>
      <x:c r="D264" s="7"/>
      <x:c r="E264" s="7"/>
      <x:c r="F264" s="7"/>
      <x:c r="G264" s="7"/>
      <x:c r="H264" s="7"/>
      <x:c r="I264" s="7"/>
      <x:c r="J264" s="7"/>
      <x:c r="K264" s="10"/>
      <x:c r="L264" s="7"/>
      <x:c r="M264" s="10"/>
      <x:c r="N264" s="7"/>
      <x:c r="O264" s="8"/>
      <x:c r="P264" s="8"/>
      <x:c r="Q264" s="8"/>
      <x:c r="R264" s="9"/>
      <x:c r="S264" s="7"/>
      <x:c r="T264" s="7"/>
      <x:c r="U264" s="7"/>
      <x:c r="V264" s="7"/>
      <x:c r="W264" s="22" t="str">
        <x:f>IF(A264="","",COUNTIFS('Esecuzioni'!$A$8:$A$1007,A264,'Esecuzioni'!$Q$8:$Q$1007,"OK"))</x:f>
      </x:c>
      <x:c r="X264" s="20" t="str">
        <x:f>IF(OR(A264="",I264&lt;&gt;"Esecuzioni",W264=0),"",SUMIFS('Esecuzioni'!$L$8:$L$1007,'Esecuzioni'!$A$8:$A$1007,A264))</x:f>
      </x:c>
      <x:c r="Y264" s="20" t="str">
        <x:f>IF(OR(A264="",I264&lt;&gt;"Esecuzioni",W264=0),"",SUMIFS('Esecuzioni'!$M$8:$M$1007,'Esecuzioni'!$A$8:$A$1007,A264))</x:f>
      </x:c>
      <x:c r="Z264" s="20" t="str">
        <x:f>IF(A264="","",IF(J264="Annullato",0,IF(ISNUMBER(O264),O264,IF(AND(I264="Esecuzioni",W264&gt;0),_xlfn.MAXIFS('Esecuzioni'!$P$8:$P$1007,'Esecuzioni'!$A$8:$A$1007,A264),""))))</x:f>
      </x:c>
      <x:c r="AA264" s="20" t="str">
        <x:f>IF(OR(A264="",J264="Aperto"),"",IF(J264="Annullato",0,IF(I264="Lordo manuale",IF(ISNUMBER(P264),P264,""),IF(I264="Netto manuale",IF(AND(ISNUMBER(P264),ISNUMBER(Q264)),P264+Q264,""),IF(OR(W264=0,COUNTIFS('Esecuzioni'!$A$8:$A$1007,A264,'Esecuzioni'!$Q$8:$Q$1007,"&lt;&gt;OK")&gt;0),"",IF(S264="Vince",X264,IF(S264="Perde",Y264,IF(AND(S264="Coperto",ABS(X264-Y264)&lt;='Impostazioni'!$B$11),ROUND((X264+Y264)/2,2),""))))))))</x:f>
      </x:c>
      <x:c r="AB264" s="20" t="str">
        <x:f>IF(NOT(ISNUMBER(AA264)),"",IF(J264="Annullato",0,IF(ISNUMBER(Q264),Q264,ROUND(MAX(0,AA264)*IF(ISNUMBER(R264),R264,'Impostazioni'!$B$8),2))))</x:f>
      </x:c>
      <x:c r="AC264" s="20" t="str">
        <x:f>IF(AND(ISNUMBER(AA264),ISNUMBER(AB264)),ROUND(AA264-AB264,2),"")</x:f>
      </x:c>
      <x:c r="AD264" s="18" t="str">
        <x:f>IF(A264="","",IF(AQ264&lt;&gt;"OK","Incompleto",IF(J264="Aperto","Aperto",IF(J264="Annullato","Annullato",IF(AC264&gt;0,"Green",IF(AC264&lt;0,"Red","Flat"))))))</x:f>
      </x:c>
      <x:c r="AE264" s="21" t="str">
        <x:f>IF(AND(AH264=1,Z264&gt;0),AC264/Z264,"")</x:f>
      </x:c>
      <x:c r="AF264" s="22" t="str">
        <x:f>IF(AH264&lt;&gt;1,"",COUNTIFS($C$8:$C$507,"&lt;"&amp;C264,$AH$8:$AH$507,1)+COUNTIFS($C$8:$C$507,C264,$A$8:$A$507,"&lt;="&amp;A264,$AH$8:$AH$507,1))</x:f>
      </x:c>
      <x:c r="AG264" s="20" t="str">
        <x:f>IF(AH264&lt;&gt;1,"",SUMIFS($AC$8:$AC$507,$C$8:$C$507,"&lt;"&amp;C264,$AH$8:$AH$507,1)+SUMIFS($AC$8:$AC$507,$C$8:$C$507,C264,$A$8:$A$507,"&lt;="&amp;A264,$AH$8:$AH$507,1))</x:f>
      </x:c>
      <x:c r="AH264" s="22" t="str">
        <x:f>IF(A264="","",IF(AND(J264="Chiuso",AQ264="OK",ISNUMBER(AC264)),1,0))</x:f>
      </x:c>
      <x:c r="AI264" s="20" t="str">
        <x:f>IF(AH264&lt;&gt;1,"",MAX(0,_xlfn.MAXIFS($AG$8:$AG$507,$AF$8:$AF$507,"&lt;="&amp;AF264,$AH$8:$AH$507,1)))</x:f>
      </x:c>
      <x:c r="AJ264" s="20" t="str">
        <x:f>IF(AH264&lt;&gt;1,"",MAX(0,AI264-AG264))</x:f>
      </x:c>
      <x:c r="AK264" s="21" t="str">
        <x:f>IF(OR(AH264&lt;&gt;1,NOT(ISNUMBER('Impostazioni'!$B$6)),'Impostazioni'!$B$6+AI264&lt;=0),"",AJ264/('Impostazioni'!$B$6+AI264))</x:f>
      </x:c>
      <x:c r="AL264" s="22" t="str">
        <x:f>IF(AH264&lt;&gt;1,"",IF(AC264&gt;0,AF264-_xlfn.MAXIFS($AF$8:$AF$507,$AF$8:$AF$507,"&lt;="&amp;AF264,$AC$8:$AC$507,"&lt;=0",$AH$8:$AH$507,1),0))</x:f>
      </x:c>
      <x:c r="AM264" s="22" t="str">
        <x:f>IF(AH264&lt;&gt;1,"",IF(AC264&lt;0,AF264-_xlfn.MAXIFS($AF$8:$AF$507,$AF$8:$AF$507,"&lt;="&amp;AF264,$AC$8:$AC$507,"&gt;=0",$AH$8:$AH$507,1),0))</x:f>
      </x:c>
      <x:c r="AN264" s="20" t="str">
        <x:f>IF(OR(A264="",NOT(ISNUMBER(B264)),NOT(ISNUMBER('Impostazioni'!$B$6))),"",'Impostazioni'!$B$6+SUMIFS($AC$8:$AC$507,$C$8:$C$507,"&lt;"&amp;B264,$AH$8:$AH$507,1)+SUMIFS('Cassa'!$F$8:$F$307,'Cassa'!$A$8:$A$307,"&lt;="&amp;B264,'Cassa'!$G$8:$G$307,"OK"))</x:f>
      </x:c>
      <x:c r="AO264" s="21" t="str">
        <x:f>IF(AND(ISNUMBER(Z264),ISNUMBER(AN264),AN264&gt;0),Z264/AN264,"")</x:f>
      </x:c>
      <x:c r="AP264" s="18" t="str">
        <x:f>IF(NOT(ISNUMBER(AO264)),"",IF(AO264&gt;'Impostazioni'!$B$7,"Oltre soglia personale","Nella soglia personale"))</x:f>
      </x:c>
      <x:c r="AQ264" s="18" t="str">
        <x:f>IF(A264="",IF(COUNTA(B264:V264)=0,"","Inserisci ID"),IF(COUNTIFS($A$8:$A$507,A264)&lt;&gt;1,"ID duplicato",IF(OR(NOT(ISNUMBER(B264)),D264="",E264="",F264="",G264="",H264="",COUNTIFS('Impostazioni'!$J$6:$J$25,F264)&lt;&gt;1),"Completa dati / elenchi",IF(OR(AND(I264&lt;&gt;"Lordo manuale",I264&lt;&gt;"Netto manuale",I264&lt;&gt;"Esecuzioni"),AND(J264&lt;&gt;"Aperto",J264&lt;&gt;"Chiuso",J264&lt;&gt;"Annullato")),"Modalità / stato mancanti",IF(AND(J264&lt;&gt;"Aperto",OR(NOT(ISNUMBER(C264)),C264&lt;B264)),"Correggi data chiusura",IF(OR(AND(Q264&lt;&gt;"",OR(NOT(ISNUMBER(Q264)),Q264&lt;0)),AND(R264&lt;&gt;"",OR(NOT(ISNUMBER(R264)),R264&lt;0,R264&gt;1))),"Commissione non valida",IF(J264="Annullato","OK",IF(OR(NOT(ISNUMBER(Z264)),Z264&lt;0,AND(O264&lt;&gt;"",NOT(ISNUMBER(O264)))),"Inserisci rischio",IF(AND(I264="Esecuzioni",OR(W264=0,COUNTIFS('Esecuzioni'!$A$8:$A$1007,A264,'Esecuzioni'!$Q$8:$Q$1007,"&lt;&gt;OK")&gt;0)),"Correggi esecuzioni",IF(J264="Aperto","OK",IF(AND(I264="Esecuzioni",S264="Coperto",ABS(X264-Y264)&gt;'Impostazioni'!$B$11),"Copertura residua",IF(NOT(ISNUMBER(AC264)),"Completa risultato / esito",IF(AND(Z264=0,AC264&lt;&gt;0),"Rischio nullo con P/L","OK")))))))))))))</x:f>
      </x:c>
      <x:c r="AR264" s="20" t="str">
        <x:f>IF(OR(A264="",J264&lt;&gt;"Aperto",AQ264&lt;&gt;"OK"),"",IF(I264="Esecuzioni",SUMIFS('Esecuzioni'!$P$8:$P$1007,'Esecuzioni'!$A$8:$A$1007,A264,'Esecuzioni'!$B$8:$B$1007,_xlfn.MAXIFS('Esecuzioni'!$B$8:$B$1007,'Esecuzioni'!$A$8:$A$1007,A264)),IF(LEFT(U264,8)="FREEBET:",0,Z264)))</x:f>
      </x:c>
      <x:c r="AS264" s="48" t="str">
        <x:f>IF(OR(A264="",E264=""),"",IF(COUNTIFS($E$8:E264,E264)=1,COUNT($AS$7:AS263)+1,""))</x:f>
      </x:c>
    </x:row>
    <x:row r="265" ht="22" customHeight="1">
      <x:c r="A265" s="7"/>
      <x:c r="B265" s="19"/>
      <x:c r="C265" s="19"/>
      <x:c r="D265" s="7"/>
      <x:c r="E265" s="7"/>
      <x:c r="F265" s="7"/>
      <x:c r="G265" s="7"/>
      <x:c r="H265" s="7"/>
      <x:c r="I265" s="7"/>
      <x:c r="J265" s="7"/>
      <x:c r="K265" s="10"/>
      <x:c r="L265" s="7"/>
      <x:c r="M265" s="10"/>
      <x:c r="N265" s="7"/>
      <x:c r="O265" s="8"/>
      <x:c r="P265" s="8"/>
      <x:c r="Q265" s="8"/>
      <x:c r="R265" s="9"/>
      <x:c r="S265" s="7"/>
      <x:c r="T265" s="7"/>
      <x:c r="U265" s="7"/>
      <x:c r="V265" s="7"/>
      <x:c r="W265" s="22" t="str">
        <x:f>IF(A265="","",COUNTIFS('Esecuzioni'!$A$8:$A$1007,A265,'Esecuzioni'!$Q$8:$Q$1007,"OK"))</x:f>
      </x:c>
      <x:c r="X265" s="20" t="str">
        <x:f>IF(OR(A265="",I265&lt;&gt;"Esecuzioni",W265=0),"",SUMIFS('Esecuzioni'!$L$8:$L$1007,'Esecuzioni'!$A$8:$A$1007,A265))</x:f>
      </x:c>
      <x:c r="Y265" s="20" t="str">
        <x:f>IF(OR(A265="",I265&lt;&gt;"Esecuzioni",W265=0),"",SUMIFS('Esecuzioni'!$M$8:$M$1007,'Esecuzioni'!$A$8:$A$1007,A265))</x:f>
      </x:c>
      <x:c r="Z265" s="20" t="str">
        <x:f>IF(A265="","",IF(J265="Annullato",0,IF(ISNUMBER(O265),O265,IF(AND(I265="Esecuzioni",W265&gt;0),_xlfn.MAXIFS('Esecuzioni'!$P$8:$P$1007,'Esecuzioni'!$A$8:$A$1007,A265),""))))</x:f>
      </x:c>
      <x:c r="AA265" s="20" t="str">
        <x:f>IF(OR(A265="",J265="Aperto"),"",IF(J265="Annullato",0,IF(I265="Lordo manuale",IF(ISNUMBER(P265),P265,""),IF(I265="Netto manuale",IF(AND(ISNUMBER(P265),ISNUMBER(Q265)),P265+Q265,""),IF(OR(W265=0,COUNTIFS('Esecuzioni'!$A$8:$A$1007,A265,'Esecuzioni'!$Q$8:$Q$1007,"&lt;&gt;OK")&gt;0),"",IF(S265="Vince",X265,IF(S265="Perde",Y265,IF(AND(S265="Coperto",ABS(X265-Y265)&lt;='Impostazioni'!$B$11),ROUND((X265+Y265)/2,2),""))))))))</x:f>
      </x:c>
      <x:c r="AB265" s="20" t="str">
        <x:f>IF(NOT(ISNUMBER(AA265)),"",IF(J265="Annullato",0,IF(ISNUMBER(Q265),Q265,ROUND(MAX(0,AA265)*IF(ISNUMBER(R265),R265,'Impostazioni'!$B$8),2))))</x:f>
      </x:c>
      <x:c r="AC265" s="20" t="str">
        <x:f>IF(AND(ISNUMBER(AA265),ISNUMBER(AB265)),ROUND(AA265-AB265,2),"")</x:f>
      </x:c>
      <x:c r="AD265" s="18" t="str">
        <x:f>IF(A265="","",IF(AQ265&lt;&gt;"OK","Incompleto",IF(J265="Aperto","Aperto",IF(J265="Annullato","Annullato",IF(AC265&gt;0,"Green",IF(AC265&lt;0,"Red","Flat"))))))</x:f>
      </x:c>
      <x:c r="AE265" s="21" t="str">
        <x:f>IF(AND(AH265=1,Z265&gt;0),AC265/Z265,"")</x:f>
      </x:c>
      <x:c r="AF265" s="22" t="str">
        <x:f>IF(AH265&lt;&gt;1,"",COUNTIFS($C$8:$C$507,"&lt;"&amp;C265,$AH$8:$AH$507,1)+COUNTIFS($C$8:$C$507,C265,$A$8:$A$507,"&lt;="&amp;A265,$AH$8:$AH$507,1))</x:f>
      </x:c>
      <x:c r="AG265" s="20" t="str">
        <x:f>IF(AH265&lt;&gt;1,"",SUMIFS($AC$8:$AC$507,$C$8:$C$507,"&lt;"&amp;C265,$AH$8:$AH$507,1)+SUMIFS($AC$8:$AC$507,$C$8:$C$507,C265,$A$8:$A$507,"&lt;="&amp;A265,$AH$8:$AH$507,1))</x:f>
      </x:c>
      <x:c r="AH265" s="22" t="str">
        <x:f>IF(A265="","",IF(AND(J265="Chiuso",AQ265="OK",ISNUMBER(AC265)),1,0))</x:f>
      </x:c>
      <x:c r="AI265" s="20" t="str">
        <x:f>IF(AH265&lt;&gt;1,"",MAX(0,_xlfn.MAXIFS($AG$8:$AG$507,$AF$8:$AF$507,"&lt;="&amp;AF265,$AH$8:$AH$507,1)))</x:f>
      </x:c>
      <x:c r="AJ265" s="20" t="str">
        <x:f>IF(AH265&lt;&gt;1,"",MAX(0,AI265-AG265))</x:f>
      </x:c>
      <x:c r="AK265" s="21" t="str">
        <x:f>IF(OR(AH265&lt;&gt;1,NOT(ISNUMBER('Impostazioni'!$B$6)),'Impostazioni'!$B$6+AI265&lt;=0),"",AJ265/('Impostazioni'!$B$6+AI265))</x:f>
      </x:c>
      <x:c r="AL265" s="22" t="str">
        <x:f>IF(AH265&lt;&gt;1,"",IF(AC265&gt;0,AF265-_xlfn.MAXIFS($AF$8:$AF$507,$AF$8:$AF$507,"&lt;="&amp;AF265,$AC$8:$AC$507,"&lt;=0",$AH$8:$AH$507,1),0))</x:f>
      </x:c>
      <x:c r="AM265" s="22" t="str">
        <x:f>IF(AH265&lt;&gt;1,"",IF(AC265&lt;0,AF265-_xlfn.MAXIFS($AF$8:$AF$507,$AF$8:$AF$507,"&lt;="&amp;AF265,$AC$8:$AC$507,"&gt;=0",$AH$8:$AH$507,1),0))</x:f>
      </x:c>
      <x:c r="AN265" s="20" t="str">
        <x:f>IF(OR(A265="",NOT(ISNUMBER(B265)),NOT(ISNUMBER('Impostazioni'!$B$6))),"",'Impostazioni'!$B$6+SUMIFS($AC$8:$AC$507,$C$8:$C$507,"&lt;"&amp;B265,$AH$8:$AH$507,1)+SUMIFS('Cassa'!$F$8:$F$307,'Cassa'!$A$8:$A$307,"&lt;="&amp;B265,'Cassa'!$G$8:$G$307,"OK"))</x:f>
      </x:c>
      <x:c r="AO265" s="21" t="str">
        <x:f>IF(AND(ISNUMBER(Z265),ISNUMBER(AN265),AN265&gt;0),Z265/AN265,"")</x:f>
      </x:c>
      <x:c r="AP265" s="18" t="str">
        <x:f>IF(NOT(ISNUMBER(AO265)),"",IF(AO265&gt;'Impostazioni'!$B$7,"Oltre soglia personale","Nella soglia personale"))</x:f>
      </x:c>
      <x:c r="AQ265" s="18" t="str">
        <x:f>IF(A265="",IF(COUNTA(B265:V265)=0,"","Inserisci ID"),IF(COUNTIFS($A$8:$A$507,A265)&lt;&gt;1,"ID duplicato",IF(OR(NOT(ISNUMBER(B265)),D265="",E265="",F265="",G265="",H265="",COUNTIFS('Impostazioni'!$J$6:$J$25,F265)&lt;&gt;1),"Completa dati / elenchi",IF(OR(AND(I265&lt;&gt;"Lordo manuale",I265&lt;&gt;"Netto manuale",I265&lt;&gt;"Esecuzioni"),AND(J265&lt;&gt;"Aperto",J265&lt;&gt;"Chiuso",J265&lt;&gt;"Annullato")),"Modalità / stato mancanti",IF(AND(J265&lt;&gt;"Aperto",OR(NOT(ISNUMBER(C265)),C265&lt;B265)),"Correggi data chiusura",IF(OR(AND(Q265&lt;&gt;"",OR(NOT(ISNUMBER(Q265)),Q265&lt;0)),AND(R265&lt;&gt;"",OR(NOT(ISNUMBER(R265)),R265&lt;0,R265&gt;1))),"Commissione non valida",IF(J265="Annullato","OK",IF(OR(NOT(ISNUMBER(Z265)),Z265&lt;0,AND(O265&lt;&gt;"",NOT(ISNUMBER(O265)))),"Inserisci rischio",IF(AND(I265="Esecuzioni",OR(W265=0,COUNTIFS('Esecuzioni'!$A$8:$A$1007,A265,'Esecuzioni'!$Q$8:$Q$1007,"&lt;&gt;OK")&gt;0)),"Correggi esecuzioni",IF(J265="Aperto","OK",IF(AND(I265="Esecuzioni",S265="Coperto",ABS(X265-Y265)&gt;'Impostazioni'!$B$11),"Copertura residua",IF(NOT(ISNUMBER(AC265)),"Completa risultato / esito",IF(AND(Z265=0,AC265&lt;&gt;0),"Rischio nullo con P/L","OK")))))))))))))</x:f>
      </x:c>
      <x:c r="AR265" s="20" t="str">
        <x:f>IF(OR(A265="",J265&lt;&gt;"Aperto",AQ265&lt;&gt;"OK"),"",IF(I265="Esecuzioni",SUMIFS('Esecuzioni'!$P$8:$P$1007,'Esecuzioni'!$A$8:$A$1007,A265,'Esecuzioni'!$B$8:$B$1007,_xlfn.MAXIFS('Esecuzioni'!$B$8:$B$1007,'Esecuzioni'!$A$8:$A$1007,A265)),IF(LEFT(U265,8)="FREEBET:",0,Z265)))</x:f>
      </x:c>
      <x:c r="AS265" s="48" t="str">
        <x:f>IF(OR(A265="",E265=""),"",IF(COUNTIFS($E$8:E265,E265)=1,COUNT($AS$7:AS264)+1,""))</x:f>
      </x:c>
    </x:row>
    <x:row r="266" ht="22" customHeight="1">
      <x:c r="A266" s="7"/>
      <x:c r="B266" s="19"/>
      <x:c r="C266" s="19"/>
      <x:c r="D266" s="7"/>
      <x:c r="E266" s="7"/>
      <x:c r="F266" s="7"/>
      <x:c r="G266" s="7"/>
      <x:c r="H266" s="7"/>
      <x:c r="I266" s="7"/>
      <x:c r="J266" s="7"/>
      <x:c r="K266" s="10"/>
      <x:c r="L266" s="7"/>
      <x:c r="M266" s="10"/>
      <x:c r="N266" s="7"/>
      <x:c r="O266" s="8"/>
      <x:c r="P266" s="8"/>
      <x:c r="Q266" s="8"/>
      <x:c r="R266" s="9"/>
      <x:c r="S266" s="7"/>
      <x:c r="T266" s="7"/>
      <x:c r="U266" s="7"/>
      <x:c r="V266" s="7"/>
      <x:c r="W266" s="22" t="str">
        <x:f>IF(A266="","",COUNTIFS('Esecuzioni'!$A$8:$A$1007,A266,'Esecuzioni'!$Q$8:$Q$1007,"OK"))</x:f>
      </x:c>
      <x:c r="X266" s="20" t="str">
        <x:f>IF(OR(A266="",I266&lt;&gt;"Esecuzioni",W266=0),"",SUMIFS('Esecuzioni'!$L$8:$L$1007,'Esecuzioni'!$A$8:$A$1007,A266))</x:f>
      </x:c>
      <x:c r="Y266" s="20" t="str">
        <x:f>IF(OR(A266="",I266&lt;&gt;"Esecuzioni",W266=0),"",SUMIFS('Esecuzioni'!$M$8:$M$1007,'Esecuzioni'!$A$8:$A$1007,A266))</x:f>
      </x:c>
      <x:c r="Z266" s="20" t="str">
        <x:f>IF(A266="","",IF(J266="Annullato",0,IF(ISNUMBER(O266),O266,IF(AND(I266="Esecuzioni",W266&gt;0),_xlfn.MAXIFS('Esecuzioni'!$P$8:$P$1007,'Esecuzioni'!$A$8:$A$1007,A266),""))))</x:f>
      </x:c>
      <x:c r="AA266" s="20" t="str">
        <x:f>IF(OR(A266="",J266="Aperto"),"",IF(J266="Annullato",0,IF(I266="Lordo manuale",IF(ISNUMBER(P266),P266,""),IF(I266="Netto manuale",IF(AND(ISNUMBER(P266),ISNUMBER(Q266)),P266+Q266,""),IF(OR(W266=0,COUNTIFS('Esecuzioni'!$A$8:$A$1007,A266,'Esecuzioni'!$Q$8:$Q$1007,"&lt;&gt;OK")&gt;0),"",IF(S266="Vince",X266,IF(S266="Perde",Y266,IF(AND(S266="Coperto",ABS(X266-Y266)&lt;='Impostazioni'!$B$11),ROUND((X266+Y266)/2,2),""))))))))</x:f>
      </x:c>
      <x:c r="AB266" s="20" t="str">
        <x:f>IF(NOT(ISNUMBER(AA266)),"",IF(J266="Annullato",0,IF(ISNUMBER(Q266),Q266,ROUND(MAX(0,AA266)*IF(ISNUMBER(R266),R266,'Impostazioni'!$B$8),2))))</x:f>
      </x:c>
      <x:c r="AC266" s="20" t="str">
        <x:f>IF(AND(ISNUMBER(AA266),ISNUMBER(AB266)),ROUND(AA266-AB266,2),"")</x:f>
      </x:c>
      <x:c r="AD266" s="18" t="str">
        <x:f>IF(A266="","",IF(AQ266&lt;&gt;"OK","Incompleto",IF(J266="Aperto","Aperto",IF(J266="Annullato","Annullato",IF(AC266&gt;0,"Green",IF(AC266&lt;0,"Red","Flat"))))))</x:f>
      </x:c>
      <x:c r="AE266" s="21" t="str">
        <x:f>IF(AND(AH266=1,Z266&gt;0),AC266/Z266,"")</x:f>
      </x:c>
      <x:c r="AF266" s="22" t="str">
        <x:f>IF(AH266&lt;&gt;1,"",COUNTIFS($C$8:$C$507,"&lt;"&amp;C266,$AH$8:$AH$507,1)+COUNTIFS($C$8:$C$507,C266,$A$8:$A$507,"&lt;="&amp;A266,$AH$8:$AH$507,1))</x:f>
      </x:c>
      <x:c r="AG266" s="20" t="str">
        <x:f>IF(AH266&lt;&gt;1,"",SUMIFS($AC$8:$AC$507,$C$8:$C$507,"&lt;"&amp;C266,$AH$8:$AH$507,1)+SUMIFS($AC$8:$AC$507,$C$8:$C$507,C266,$A$8:$A$507,"&lt;="&amp;A266,$AH$8:$AH$507,1))</x:f>
      </x:c>
      <x:c r="AH266" s="22" t="str">
        <x:f>IF(A266="","",IF(AND(J266="Chiuso",AQ266="OK",ISNUMBER(AC266)),1,0))</x:f>
      </x:c>
      <x:c r="AI266" s="20" t="str">
        <x:f>IF(AH266&lt;&gt;1,"",MAX(0,_xlfn.MAXIFS($AG$8:$AG$507,$AF$8:$AF$507,"&lt;="&amp;AF266,$AH$8:$AH$507,1)))</x:f>
      </x:c>
      <x:c r="AJ266" s="20" t="str">
        <x:f>IF(AH266&lt;&gt;1,"",MAX(0,AI266-AG266))</x:f>
      </x:c>
      <x:c r="AK266" s="21" t="str">
        <x:f>IF(OR(AH266&lt;&gt;1,NOT(ISNUMBER('Impostazioni'!$B$6)),'Impostazioni'!$B$6+AI266&lt;=0),"",AJ266/('Impostazioni'!$B$6+AI266))</x:f>
      </x:c>
      <x:c r="AL266" s="22" t="str">
        <x:f>IF(AH266&lt;&gt;1,"",IF(AC266&gt;0,AF266-_xlfn.MAXIFS($AF$8:$AF$507,$AF$8:$AF$507,"&lt;="&amp;AF266,$AC$8:$AC$507,"&lt;=0",$AH$8:$AH$507,1),0))</x:f>
      </x:c>
      <x:c r="AM266" s="22" t="str">
        <x:f>IF(AH266&lt;&gt;1,"",IF(AC266&lt;0,AF266-_xlfn.MAXIFS($AF$8:$AF$507,$AF$8:$AF$507,"&lt;="&amp;AF266,$AC$8:$AC$507,"&gt;=0",$AH$8:$AH$507,1),0))</x:f>
      </x:c>
      <x:c r="AN266" s="20" t="str">
        <x:f>IF(OR(A266="",NOT(ISNUMBER(B266)),NOT(ISNUMBER('Impostazioni'!$B$6))),"",'Impostazioni'!$B$6+SUMIFS($AC$8:$AC$507,$C$8:$C$507,"&lt;"&amp;B266,$AH$8:$AH$507,1)+SUMIFS('Cassa'!$F$8:$F$307,'Cassa'!$A$8:$A$307,"&lt;="&amp;B266,'Cassa'!$G$8:$G$307,"OK"))</x:f>
      </x:c>
      <x:c r="AO266" s="21" t="str">
        <x:f>IF(AND(ISNUMBER(Z266),ISNUMBER(AN266),AN266&gt;0),Z266/AN266,"")</x:f>
      </x:c>
      <x:c r="AP266" s="18" t="str">
        <x:f>IF(NOT(ISNUMBER(AO266)),"",IF(AO266&gt;'Impostazioni'!$B$7,"Oltre soglia personale","Nella soglia personale"))</x:f>
      </x:c>
      <x:c r="AQ266" s="18" t="str">
        <x:f>IF(A266="",IF(COUNTA(B266:V266)=0,"","Inserisci ID"),IF(COUNTIFS($A$8:$A$507,A266)&lt;&gt;1,"ID duplicato",IF(OR(NOT(ISNUMBER(B266)),D266="",E266="",F266="",G266="",H266="",COUNTIFS('Impostazioni'!$J$6:$J$25,F266)&lt;&gt;1),"Completa dati / elenchi",IF(OR(AND(I266&lt;&gt;"Lordo manuale",I266&lt;&gt;"Netto manuale",I266&lt;&gt;"Esecuzioni"),AND(J266&lt;&gt;"Aperto",J266&lt;&gt;"Chiuso",J266&lt;&gt;"Annullato")),"Modalità / stato mancanti",IF(AND(J266&lt;&gt;"Aperto",OR(NOT(ISNUMBER(C266)),C266&lt;B266)),"Correggi data chiusura",IF(OR(AND(Q266&lt;&gt;"",OR(NOT(ISNUMBER(Q266)),Q266&lt;0)),AND(R266&lt;&gt;"",OR(NOT(ISNUMBER(R266)),R266&lt;0,R266&gt;1))),"Commissione non valida",IF(J266="Annullato","OK",IF(OR(NOT(ISNUMBER(Z266)),Z266&lt;0,AND(O266&lt;&gt;"",NOT(ISNUMBER(O266)))),"Inserisci rischio",IF(AND(I266="Esecuzioni",OR(W266=0,COUNTIFS('Esecuzioni'!$A$8:$A$1007,A266,'Esecuzioni'!$Q$8:$Q$1007,"&lt;&gt;OK")&gt;0)),"Correggi esecuzioni",IF(J266="Aperto","OK",IF(AND(I266="Esecuzioni",S266="Coperto",ABS(X266-Y266)&gt;'Impostazioni'!$B$11),"Copertura residua",IF(NOT(ISNUMBER(AC266)),"Completa risultato / esito",IF(AND(Z266=0,AC266&lt;&gt;0),"Rischio nullo con P/L","OK")))))))))))))</x:f>
      </x:c>
      <x:c r="AR266" s="20" t="str">
        <x:f>IF(OR(A266="",J266&lt;&gt;"Aperto",AQ266&lt;&gt;"OK"),"",IF(I266="Esecuzioni",SUMIFS('Esecuzioni'!$P$8:$P$1007,'Esecuzioni'!$A$8:$A$1007,A266,'Esecuzioni'!$B$8:$B$1007,_xlfn.MAXIFS('Esecuzioni'!$B$8:$B$1007,'Esecuzioni'!$A$8:$A$1007,A266)),IF(LEFT(U266,8)="FREEBET:",0,Z266)))</x:f>
      </x:c>
      <x:c r="AS266" s="48" t="str">
        <x:f>IF(OR(A266="",E266=""),"",IF(COUNTIFS($E$8:E266,E266)=1,COUNT($AS$7:AS265)+1,""))</x:f>
      </x:c>
    </x:row>
    <x:row r="267" ht="22" customHeight="1">
      <x:c r="A267" s="7"/>
      <x:c r="B267" s="19"/>
      <x:c r="C267" s="19"/>
      <x:c r="D267" s="7"/>
      <x:c r="E267" s="7"/>
      <x:c r="F267" s="7"/>
      <x:c r="G267" s="7"/>
      <x:c r="H267" s="7"/>
      <x:c r="I267" s="7"/>
      <x:c r="J267" s="7"/>
      <x:c r="K267" s="10"/>
      <x:c r="L267" s="7"/>
      <x:c r="M267" s="10"/>
      <x:c r="N267" s="7"/>
      <x:c r="O267" s="8"/>
      <x:c r="P267" s="8"/>
      <x:c r="Q267" s="8"/>
      <x:c r="R267" s="9"/>
      <x:c r="S267" s="7"/>
      <x:c r="T267" s="7"/>
      <x:c r="U267" s="7"/>
      <x:c r="V267" s="7"/>
      <x:c r="W267" s="22" t="str">
        <x:f>IF(A267="","",COUNTIFS('Esecuzioni'!$A$8:$A$1007,A267,'Esecuzioni'!$Q$8:$Q$1007,"OK"))</x:f>
      </x:c>
      <x:c r="X267" s="20" t="str">
        <x:f>IF(OR(A267="",I267&lt;&gt;"Esecuzioni",W267=0),"",SUMIFS('Esecuzioni'!$L$8:$L$1007,'Esecuzioni'!$A$8:$A$1007,A267))</x:f>
      </x:c>
      <x:c r="Y267" s="20" t="str">
        <x:f>IF(OR(A267="",I267&lt;&gt;"Esecuzioni",W267=0),"",SUMIFS('Esecuzioni'!$M$8:$M$1007,'Esecuzioni'!$A$8:$A$1007,A267))</x:f>
      </x:c>
      <x:c r="Z267" s="20" t="str">
        <x:f>IF(A267="","",IF(J267="Annullato",0,IF(ISNUMBER(O267),O267,IF(AND(I267="Esecuzioni",W267&gt;0),_xlfn.MAXIFS('Esecuzioni'!$P$8:$P$1007,'Esecuzioni'!$A$8:$A$1007,A267),""))))</x:f>
      </x:c>
      <x:c r="AA267" s="20" t="str">
        <x:f>IF(OR(A267="",J267="Aperto"),"",IF(J267="Annullato",0,IF(I267="Lordo manuale",IF(ISNUMBER(P267),P267,""),IF(I267="Netto manuale",IF(AND(ISNUMBER(P267),ISNUMBER(Q267)),P267+Q267,""),IF(OR(W267=0,COUNTIFS('Esecuzioni'!$A$8:$A$1007,A267,'Esecuzioni'!$Q$8:$Q$1007,"&lt;&gt;OK")&gt;0),"",IF(S267="Vince",X267,IF(S267="Perde",Y267,IF(AND(S267="Coperto",ABS(X267-Y267)&lt;='Impostazioni'!$B$11),ROUND((X267+Y267)/2,2),""))))))))</x:f>
      </x:c>
      <x:c r="AB267" s="20" t="str">
        <x:f>IF(NOT(ISNUMBER(AA267)),"",IF(J267="Annullato",0,IF(ISNUMBER(Q267),Q267,ROUND(MAX(0,AA267)*IF(ISNUMBER(R267),R267,'Impostazioni'!$B$8),2))))</x:f>
      </x:c>
      <x:c r="AC267" s="20" t="str">
        <x:f>IF(AND(ISNUMBER(AA267),ISNUMBER(AB267)),ROUND(AA267-AB267,2),"")</x:f>
      </x:c>
      <x:c r="AD267" s="18" t="str">
        <x:f>IF(A267="","",IF(AQ267&lt;&gt;"OK","Incompleto",IF(J267="Aperto","Aperto",IF(J267="Annullato","Annullato",IF(AC267&gt;0,"Green",IF(AC267&lt;0,"Red","Flat"))))))</x:f>
      </x:c>
      <x:c r="AE267" s="21" t="str">
        <x:f>IF(AND(AH267=1,Z267&gt;0),AC267/Z267,"")</x:f>
      </x:c>
      <x:c r="AF267" s="22" t="str">
        <x:f>IF(AH267&lt;&gt;1,"",COUNTIFS($C$8:$C$507,"&lt;"&amp;C267,$AH$8:$AH$507,1)+COUNTIFS($C$8:$C$507,C267,$A$8:$A$507,"&lt;="&amp;A267,$AH$8:$AH$507,1))</x:f>
      </x:c>
      <x:c r="AG267" s="20" t="str">
        <x:f>IF(AH267&lt;&gt;1,"",SUMIFS($AC$8:$AC$507,$C$8:$C$507,"&lt;"&amp;C267,$AH$8:$AH$507,1)+SUMIFS($AC$8:$AC$507,$C$8:$C$507,C267,$A$8:$A$507,"&lt;="&amp;A267,$AH$8:$AH$507,1))</x:f>
      </x:c>
      <x:c r="AH267" s="22" t="str">
        <x:f>IF(A267="","",IF(AND(J267="Chiuso",AQ267="OK",ISNUMBER(AC267)),1,0))</x:f>
      </x:c>
      <x:c r="AI267" s="20" t="str">
        <x:f>IF(AH267&lt;&gt;1,"",MAX(0,_xlfn.MAXIFS($AG$8:$AG$507,$AF$8:$AF$507,"&lt;="&amp;AF267,$AH$8:$AH$507,1)))</x:f>
      </x:c>
      <x:c r="AJ267" s="20" t="str">
        <x:f>IF(AH267&lt;&gt;1,"",MAX(0,AI267-AG267))</x:f>
      </x:c>
      <x:c r="AK267" s="21" t="str">
        <x:f>IF(OR(AH267&lt;&gt;1,NOT(ISNUMBER('Impostazioni'!$B$6)),'Impostazioni'!$B$6+AI267&lt;=0),"",AJ267/('Impostazioni'!$B$6+AI267))</x:f>
      </x:c>
      <x:c r="AL267" s="22" t="str">
        <x:f>IF(AH267&lt;&gt;1,"",IF(AC267&gt;0,AF267-_xlfn.MAXIFS($AF$8:$AF$507,$AF$8:$AF$507,"&lt;="&amp;AF267,$AC$8:$AC$507,"&lt;=0",$AH$8:$AH$507,1),0))</x:f>
      </x:c>
      <x:c r="AM267" s="22" t="str">
        <x:f>IF(AH267&lt;&gt;1,"",IF(AC267&lt;0,AF267-_xlfn.MAXIFS($AF$8:$AF$507,$AF$8:$AF$507,"&lt;="&amp;AF267,$AC$8:$AC$507,"&gt;=0",$AH$8:$AH$507,1),0))</x:f>
      </x:c>
      <x:c r="AN267" s="20" t="str">
        <x:f>IF(OR(A267="",NOT(ISNUMBER(B267)),NOT(ISNUMBER('Impostazioni'!$B$6))),"",'Impostazioni'!$B$6+SUMIFS($AC$8:$AC$507,$C$8:$C$507,"&lt;"&amp;B267,$AH$8:$AH$507,1)+SUMIFS('Cassa'!$F$8:$F$307,'Cassa'!$A$8:$A$307,"&lt;="&amp;B267,'Cassa'!$G$8:$G$307,"OK"))</x:f>
      </x:c>
      <x:c r="AO267" s="21" t="str">
        <x:f>IF(AND(ISNUMBER(Z267),ISNUMBER(AN267),AN267&gt;0),Z267/AN267,"")</x:f>
      </x:c>
      <x:c r="AP267" s="18" t="str">
        <x:f>IF(NOT(ISNUMBER(AO267)),"",IF(AO267&gt;'Impostazioni'!$B$7,"Oltre soglia personale","Nella soglia personale"))</x:f>
      </x:c>
      <x:c r="AQ267" s="18" t="str">
        <x:f>IF(A267="",IF(COUNTA(B267:V267)=0,"","Inserisci ID"),IF(COUNTIFS($A$8:$A$507,A267)&lt;&gt;1,"ID duplicato",IF(OR(NOT(ISNUMBER(B267)),D267="",E267="",F267="",G267="",H267="",COUNTIFS('Impostazioni'!$J$6:$J$25,F267)&lt;&gt;1),"Completa dati / elenchi",IF(OR(AND(I267&lt;&gt;"Lordo manuale",I267&lt;&gt;"Netto manuale",I267&lt;&gt;"Esecuzioni"),AND(J267&lt;&gt;"Aperto",J267&lt;&gt;"Chiuso",J267&lt;&gt;"Annullato")),"Modalità / stato mancanti",IF(AND(J267&lt;&gt;"Aperto",OR(NOT(ISNUMBER(C267)),C267&lt;B267)),"Correggi data chiusura",IF(OR(AND(Q267&lt;&gt;"",OR(NOT(ISNUMBER(Q267)),Q267&lt;0)),AND(R267&lt;&gt;"",OR(NOT(ISNUMBER(R267)),R267&lt;0,R267&gt;1))),"Commissione non valida",IF(J267="Annullato","OK",IF(OR(NOT(ISNUMBER(Z267)),Z267&lt;0,AND(O267&lt;&gt;"",NOT(ISNUMBER(O267)))),"Inserisci rischio",IF(AND(I267="Esecuzioni",OR(W267=0,COUNTIFS('Esecuzioni'!$A$8:$A$1007,A267,'Esecuzioni'!$Q$8:$Q$1007,"&lt;&gt;OK")&gt;0)),"Correggi esecuzioni",IF(J267="Aperto","OK",IF(AND(I267="Esecuzioni",S267="Coperto",ABS(X267-Y267)&gt;'Impostazioni'!$B$11),"Copertura residua",IF(NOT(ISNUMBER(AC267)),"Completa risultato / esito",IF(AND(Z267=0,AC267&lt;&gt;0),"Rischio nullo con P/L","OK")))))))))))))</x:f>
      </x:c>
      <x:c r="AR267" s="20" t="str">
        <x:f>IF(OR(A267="",J267&lt;&gt;"Aperto",AQ267&lt;&gt;"OK"),"",IF(I267="Esecuzioni",SUMIFS('Esecuzioni'!$P$8:$P$1007,'Esecuzioni'!$A$8:$A$1007,A267,'Esecuzioni'!$B$8:$B$1007,_xlfn.MAXIFS('Esecuzioni'!$B$8:$B$1007,'Esecuzioni'!$A$8:$A$1007,A267)),IF(LEFT(U267,8)="FREEBET:",0,Z267)))</x:f>
      </x:c>
      <x:c r="AS267" s="48" t="str">
        <x:f>IF(OR(A267="",E267=""),"",IF(COUNTIFS($E$8:E267,E267)=1,COUNT($AS$7:AS266)+1,""))</x:f>
      </x:c>
    </x:row>
    <x:row r="268" ht="22" customHeight="1">
      <x:c r="A268" s="7"/>
      <x:c r="B268" s="19"/>
      <x:c r="C268" s="19"/>
      <x:c r="D268" s="7"/>
      <x:c r="E268" s="7"/>
      <x:c r="F268" s="7"/>
      <x:c r="G268" s="7"/>
      <x:c r="H268" s="7"/>
      <x:c r="I268" s="7"/>
      <x:c r="J268" s="7"/>
      <x:c r="K268" s="10"/>
      <x:c r="L268" s="7"/>
      <x:c r="M268" s="10"/>
      <x:c r="N268" s="7"/>
      <x:c r="O268" s="8"/>
      <x:c r="P268" s="8"/>
      <x:c r="Q268" s="8"/>
      <x:c r="R268" s="9"/>
      <x:c r="S268" s="7"/>
      <x:c r="T268" s="7"/>
      <x:c r="U268" s="7"/>
      <x:c r="V268" s="7"/>
      <x:c r="W268" s="22" t="str">
        <x:f>IF(A268="","",COUNTIFS('Esecuzioni'!$A$8:$A$1007,A268,'Esecuzioni'!$Q$8:$Q$1007,"OK"))</x:f>
      </x:c>
      <x:c r="X268" s="20" t="str">
        <x:f>IF(OR(A268="",I268&lt;&gt;"Esecuzioni",W268=0),"",SUMIFS('Esecuzioni'!$L$8:$L$1007,'Esecuzioni'!$A$8:$A$1007,A268))</x:f>
      </x:c>
      <x:c r="Y268" s="20" t="str">
        <x:f>IF(OR(A268="",I268&lt;&gt;"Esecuzioni",W268=0),"",SUMIFS('Esecuzioni'!$M$8:$M$1007,'Esecuzioni'!$A$8:$A$1007,A268))</x:f>
      </x:c>
      <x:c r="Z268" s="20" t="str">
        <x:f>IF(A268="","",IF(J268="Annullato",0,IF(ISNUMBER(O268),O268,IF(AND(I268="Esecuzioni",W268&gt;0),_xlfn.MAXIFS('Esecuzioni'!$P$8:$P$1007,'Esecuzioni'!$A$8:$A$1007,A268),""))))</x:f>
      </x:c>
      <x:c r="AA268" s="20" t="str">
        <x:f>IF(OR(A268="",J268="Aperto"),"",IF(J268="Annullato",0,IF(I268="Lordo manuale",IF(ISNUMBER(P268),P268,""),IF(I268="Netto manuale",IF(AND(ISNUMBER(P268),ISNUMBER(Q268)),P268+Q268,""),IF(OR(W268=0,COUNTIFS('Esecuzioni'!$A$8:$A$1007,A268,'Esecuzioni'!$Q$8:$Q$1007,"&lt;&gt;OK")&gt;0),"",IF(S268="Vince",X268,IF(S268="Perde",Y268,IF(AND(S268="Coperto",ABS(X268-Y268)&lt;='Impostazioni'!$B$11),ROUND((X268+Y268)/2,2),""))))))))</x:f>
      </x:c>
      <x:c r="AB268" s="20" t="str">
        <x:f>IF(NOT(ISNUMBER(AA268)),"",IF(J268="Annullato",0,IF(ISNUMBER(Q268),Q268,ROUND(MAX(0,AA268)*IF(ISNUMBER(R268),R268,'Impostazioni'!$B$8),2))))</x:f>
      </x:c>
      <x:c r="AC268" s="20" t="str">
        <x:f>IF(AND(ISNUMBER(AA268),ISNUMBER(AB268)),ROUND(AA268-AB268,2),"")</x:f>
      </x:c>
      <x:c r="AD268" s="18" t="str">
        <x:f>IF(A268="","",IF(AQ268&lt;&gt;"OK","Incompleto",IF(J268="Aperto","Aperto",IF(J268="Annullato","Annullato",IF(AC268&gt;0,"Green",IF(AC268&lt;0,"Red","Flat"))))))</x:f>
      </x:c>
      <x:c r="AE268" s="21" t="str">
        <x:f>IF(AND(AH268=1,Z268&gt;0),AC268/Z268,"")</x:f>
      </x:c>
      <x:c r="AF268" s="22" t="str">
        <x:f>IF(AH268&lt;&gt;1,"",COUNTIFS($C$8:$C$507,"&lt;"&amp;C268,$AH$8:$AH$507,1)+COUNTIFS($C$8:$C$507,C268,$A$8:$A$507,"&lt;="&amp;A268,$AH$8:$AH$507,1))</x:f>
      </x:c>
      <x:c r="AG268" s="20" t="str">
        <x:f>IF(AH268&lt;&gt;1,"",SUMIFS($AC$8:$AC$507,$C$8:$C$507,"&lt;"&amp;C268,$AH$8:$AH$507,1)+SUMIFS($AC$8:$AC$507,$C$8:$C$507,C268,$A$8:$A$507,"&lt;="&amp;A268,$AH$8:$AH$507,1))</x:f>
      </x:c>
      <x:c r="AH268" s="22" t="str">
        <x:f>IF(A268="","",IF(AND(J268="Chiuso",AQ268="OK",ISNUMBER(AC268)),1,0))</x:f>
      </x:c>
      <x:c r="AI268" s="20" t="str">
        <x:f>IF(AH268&lt;&gt;1,"",MAX(0,_xlfn.MAXIFS($AG$8:$AG$507,$AF$8:$AF$507,"&lt;="&amp;AF268,$AH$8:$AH$507,1)))</x:f>
      </x:c>
      <x:c r="AJ268" s="20" t="str">
        <x:f>IF(AH268&lt;&gt;1,"",MAX(0,AI268-AG268))</x:f>
      </x:c>
      <x:c r="AK268" s="21" t="str">
        <x:f>IF(OR(AH268&lt;&gt;1,NOT(ISNUMBER('Impostazioni'!$B$6)),'Impostazioni'!$B$6+AI268&lt;=0),"",AJ268/('Impostazioni'!$B$6+AI268))</x:f>
      </x:c>
      <x:c r="AL268" s="22" t="str">
        <x:f>IF(AH268&lt;&gt;1,"",IF(AC268&gt;0,AF268-_xlfn.MAXIFS($AF$8:$AF$507,$AF$8:$AF$507,"&lt;="&amp;AF268,$AC$8:$AC$507,"&lt;=0",$AH$8:$AH$507,1),0))</x:f>
      </x:c>
      <x:c r="AM268" s="22" t="str">
        <x:f>IF(AH268&lt;&gt;1,"",IF(AC268&lt;0,AF268-_xlfn.MAXIFS($AF$8:$AF$507,$AF$8:$AF$507,"&lt;="&amp;AF268,$AC$8:$AC$507,"&gt;=0",$AH$8:$AH$507,1),0))</x:f>
      </x:c>
      <x:c r="AN268" s="20" t="str">
        <x:f>IF(OR(A268="",NOT(ISNUMBER(B268)),NOT(ISNUMBER('Impostazioni'!$B$6))),"",'Impostazioni'!$B$6+SUMIFS($AC$8:$AC$507,$C$8:$C$507,"&lt;"&amp;B268,$AH$8:$AH$507,1)+SUMIFS('Cassa'!$F$8:$F$307,'Cassa'!$A$8:$A$307,"&lt;="&amp;B268,'Cassa'!$G$8:$G$307,"OK"))</x:f>
      </x:c>
      <x:c r="AO268" s="21" t="str">
        <x:f>IF(AND(ISNUMBER(Z268),ISNUMBER(AN268),AN268&gt;0),Z268/AN268,"")</x:f>
      </x:c>
      <x:c r="AP268" s="18" t="str">
        <x:f>IF(NOT(ISNUMBER(AO268)),"",IF(AO268&gt;'Impostazioni'!$B$7,"Oltre soglia personale","Nella soglia personale"))</x:f>
      </x:c>
      <x:c r="AQ268" s="18" t="str">
        <x:f>IF(A268="",IF(COUNTA(B268:V268)=0,"","Inserisci ID"),IF(COUNTIFS($A$8:$A$507,A268)&lt;&gt;1,"ID duplicato",IF(OR(NOT(ISNUMBER(B268)),D268="",E268="",F268="",G268="",H268="",COUNTIFS('Impostazioni'!$J$6:$J$25,F268)&lt;&gt;1),"Completa dati / elenchi",IF(OR(AND(I268&lt;&gt;"Lordo manuale",I268&lt;&gt;"Netto manuale",I268&lt;&gt;"Esecuzioni"),AND(J268&lt;&gt;"Aperto",J268&lt;&gt;"Chiuso",J268&lt;&gt;"Annullato")),"Modalità / stato mancanti",IF(AND(J268&lt;&gt;"Aperto",OR(NOT(ISNUMBER(C268)),C268&lt;B268)),"Correggi data chiusura",IF(OR(AND(Q268&lt;&gt;"",OR(NOT(ISNUMBER(Q268)),Q268&lt;0)),AND(R268&lt;&gt;"",OR(NOT(ISNUMBER(R268)),R268&lt;0,R268&gt;1))),"Commissione non valida",IF(J268="Annullato","OK",IF(OR(NOT(ISNUMBER(Z268)),Z268&lt;0,AND(O268&lt;&gt;"",NOT(ISNUMBER(O268)))),"Inserisci rischio",IF(AND(I268="Esecuzioni",OR(W268=0,COUNTIFS('Esecuzioni'!$A$8:$A$1007,A268,'Esecuzioni'!$Q$8:$Q$1007,"&lt;&gt;OK")&gt;0)),"Correggi esecuzioni",IF(J268="Aperto","OK",IF(AND(I268="Esecuzioni",S268="Coperto",ABS(X268-Y268)&gt;'Impostazioni'!$B$11),"Copertura residua",IF(NOT(ISNUMBER(AC268)),"Completa risultato / esito",IF(AND(Z268=0,AC268&lt;&gt;0),"Rischio nullo con P/L","OK")))))))))))))</x:f>
      </x:c>
      <x:c r="AR268" s="20" t="str">
        <x:f>IF(OR(A268="",J268&lt;&gt;"Aperto",AQ268&lt;&gt;"OK"),"",IF(I268="Esecuzioni",SUMIFS('Esecuzioni'!$P$8:$P$1007,'Esecuzioni'!$A$8:$A$1007,A268,'Esecuzioni'!$B$8:$B$1007,_xlfn.MAXIFS('Esecuzioni'!$B$8:$B$1007,'Esecuzioni'!$A$8:$A$1007,A268)),IF(LEFT(U268,8)="FREEBET:",0,Z268)))</x:f>
      </x:c>
      <x:c r="AS268" s="48" t="str">
        <x:f>IF(OR(A268="",E268=""),"",IF(COUNTIFS($E$8:E268,E268)=1,COUNT($AS$7:AS267)+1,""))</x:f>
      </x:c>
    </x:row>
    <x:row r="269" ht="22" customHeight="1">
      <x:c r="A269" s="7"/>
      <x:c r="B269" s="19"/>
      <x:c r="C269" s="19"/>
      <x:c r="D269" s="7"/>
      <x:c r="E269" s="7"/>
      <x:c r="F269" s="7"/>
      <x:c r="G269" s="7"/>
      <x:c r="H269" s="7"/>
      <x:c r="I269" s="7"/>
      <x:c r="J269" s="7"/>
      <x:c r="K269" s="10"/>
      <x:c r="L269" s="7"/>
      <x:c r="M269" s="10"/>
      <x:c r="N269" s="7"/>
      <x:c r="O269" s="8"/>
      <x:c r="P269" s="8"/>
      <x:c r="Q269" s="8"/>
      <x:c r="R269" s="9"/>
      <x:c r="S269" s="7"/>
      <x:c r="T269" s="7"/>
      <x:c r="U269" s="7"/>
      <x:c r="V269" s="7"/>
      <x:c r="W269" s="22" t="str">
        <x:f>IF(A269="","",COUNTIFS('Esecuzioni'!$A$8:$A$1007,A269,'Esecuzioni'!$Q$8:$Q$1007,"OK"))</x:f>
      </x:c>
      <x:c r="X269" s="20" t="str">
        <x:f>IF(OR(A269="",I269&lt;&gt;"Esecuzioni",W269=0),"",SUMIFS('Esecuzioni'!$L$8:$L$1007,'Esecuzioni'!$A$8:$A$1007,A269))</x:f>
      </x:c>
      <x:c r="Y269" s="20" t="str">
        <x:f>IF(OR(A269="",I269&lt;&gt;"Esecuzioni",W269=0),"",SUMIFS('Esecuzioni'!$M$8:$M$1007,'Esecuzioni'!$A$8:$A$1007,A269))</x:f>
      </x:c>
      <x:c r="Z269" s="20" t="str">
        <x:f>IF(A269="","",IF(J269="Annullato",0,IF(ISNUMBER(O269),O269,IF(AND(I269="Esecuzioni",W269&gt;0),_xlfn.MAXIFS('Esecuzioni'!$P$8:$P$1007,'Esecuzioni'!$A$8:$A$1007,A269),""))))</x:f>
      </x:c>
      <x:c r="AA269" s="20" t="str">
        <x:f>IF(OR(A269="",J269="Aperto"),"",IF(J269="Annullato",0,IF(I269="Lordo manuale",IF(ISNUMBER(P269),P269,""),IF(I269="Netto manuale",IF(AND(ISNUMBER(P269),ISNUMBER(Q269)),P269+Q269,""),IF(OR(W269=0,COUNTIFS('Esecuzioni'!$A$8:$A$1007,A269,'Esecuzioni'!$Q$8:$Q$1007,"&lt;&gt;OK")&gt;0),"",IF(S269="Vince",X269,IF(S269="Perde",Y269,IF(AND(S269="Coperto",ABS(X269-Y269)&lt;='Impostazioni'!$B$11),ROUND((X269+Y269)/2,2),""))))))))</x:f>
      </x:c>
      <x:c r="AB269" s="20" t="str">
        <x:f>IF(NOT(ISNUMBER(AA269)),"",IF(J269="Annullato",0,IF(ISNUMBER(Q269),Q269,ROUND(MAX(0,AA269)*IF(ISNUMBER(R269),R269,'Impostazioni'!$B$8),2))))</x:f>
      </x:c>
      <x:c r="AC269" s="20" t="str">
        <x:f>IF(AND(ISNUMBER(AA269),ISNUMBER(AB269)),ROUND(AA269-AB269,2),"")</x:f>
      </x:c>
      <x:c r="AD269" s="18" t="str">
        <x:f>IF(A269="","",IF(AQ269&lt;&gt;"OK","Incompleto",IF(J269="Aperto","Aperto",IF(J269="Annullato","Annullato",IF(AC269&gt;0,"Green",IF(AC269&lt;0,"Red","Flat"))))))</x:f>
      </x:c>
      <x:c r="AE269" s="21" t="str">
        <x:f>IF(AND(AH269=1,Z269&gt;0),AC269/Z269,"")</x:f>
      </x:c>
      <x:c r="AF269" s="22" t="str">
        <x:f>IF(AH269&lt;&gt;1,"",COUNTIFS($C$8:$C$507,"&lt;"&amp;C269,$AH$8:$AH$507,1)+COUNTIFS($C$8:$C$507,C269,$A$8:$A$507,"&lt;="&amp;A269,$AH$8:$AH$507,1))</x:f>
      </x:c>
      <x:c r="AG269" s="20" t="str">
        <x:f>IF(AH269&lt;&gt;1,"",SUMIFS($AC$8:$AC$507,$C$8:$C$507,"&lt;"&amp;C269,$AH$8:$AH$507,1)+SUMIFS($AC$8:$AC$507,$C$8:$C$507,C269,$A$8:$A$507,"&lt;="&amp;A269,$AH$8:$AH$507,1))</x:f>
      </x:c>
      <x:c r="AH269" s="22" t="str">
        <x:f>IF(A269="","",IF(AND(J269="Chiuso",AQ269="OK",ISNUMBER(AC269)),1,0))</x:f>
      </x:c>
      <x:c r="AI269" s="20" t="str">
        <x:f>IF(AH269&lt;&gt;1,"",MAX(0,_xlfn.MAXIFS($AG$8:$AG$507,$AF$8:$AF$507,"&lt;="&amp;AF269,$AH$8:$AH$507,1)))</x:f>
      </x:c>
      <x:c r="AJ269" s="20" t="str">
        <x:f>IF(AH269&lt;&gt;1,"",MAX(0,AI269-AG269))</x:f>
      </x:c>
      <x:c r="AK269" s="21" t="str">
        <x:f>IF(OR(AH269&lt;&gt;1,NOT(ISNUMBER('Impostazioni'!$B$6)),'Impostazioni'!$B$6+AI269&lt;=0),"",AJ269/('Impostazioni'!$B$6+AI269))</x:f>
      </x:c>
      <x:c r="AL269" s="22" t="str">
        <x:f>IF(AH269&lt;&gt;1,"",IF(AC269&gt;0,AF269-_xlfn.MAXIFS($AF$8:$AF$507,$AF$8:$AF$507,"&lt;="&amp;AF269,$AC$8:$AC$507,"&lt;=0",$AH$8:$AH$507,1),0))</x:f>
      </x:c>
      <x:c r="AM269" s="22" t="str">
        <x:f>IF(AH269&lt;&gt;1,"",IF(AC269&lt;0,AF269-_xlfn.MAXIFS($AF$8:$AF$507,$AF$8:$AF$507,"&lt;="&amp;AF269,$AC$8:$AC$507,"&gt;=0",$AH$8:$AH$507,1),0))</x:f>
      </x:c>
      <x:c r="AN269" s="20" t="str">
        <x:f>IF(OR(A269="",NOT(ISNUMBER(B269)),NOT(ISNUMBER('Impostazioni'!$B$6))),"",'Impostazioni'!$B$6+SUMIFS($AC$8:$AC$507,$C$8:$C$507,"&lt;"&amp;B269,$AH$8:$AH$507,1)+SUMIFS('Cassa'!$F$8:$F$307,'Cassa'!$A$8:$A$307,"&lt;="&amp;B269,'Cassa'!$G$8:$G$307,"OK"))</x:f>
      </x:c>
      <x:c r="AO269" s="21" t="str">
        <x:f>IF(AND(ISNUMBER(Z269),ISNUMBER(AN269),AN269&gt;0),Z269/AN269,"")</x:f>
      </x:c>
      <x:c r="AP269" s="18" t="str">
        <x:f>IF(NOT(ISNUMBER(AO269)),"",IF(AO269&gt;'Impostazioni'!$B$7,"Oltre soglia personale","Nella soglia personale"))</x:f>
      </x:c>
      <x:c r="AQ269" s="18" t="str">
        <x:f>IF(A269="",IF(COUNTA(B269:V269)=0,"","Inserisci ID"),IF(COUNTIFS($A$8:$A$507,A269)&lt;&gt;1,"ID duplicato",IF(OR(NOT(ISNUMBER(B269)),D269="",E269="",F269="",G269="",H269="",COUNTIFS('Impostazioni'!$J$6:$J$25,F269)&lt;&gt;1),"Completa dati / elenchi",IF(OR(AND(I269&lt;&gt;"Lordo manuale",I269&lt;&gt;"Netto manuale",I269&lt;&gt;"Esecuzioni"),AND(J269&lt;&gt;"Aperto",J269&lt;&gt;"Chiuso",J269&lt;&gt;"Annullato")),"Modalità / stato mancanti",IF(AND(J269&lt;&gt;"Aperto",OR(NOT(ISNUMBER(C269)),C269&lt;B269)),"Correggi data chiusura",IF(OR(AND(Q269&lt;&gt;"",OR(NOT(ISNUMBER(Q269)),Q269&lt;0)),AND(R269&lt;&gt;"",OR(NOT(ISNUMBER(R269)),R269&lt;0,R269&gt;1))),"Commissione non valida",IF(J269="Annullato","OK",IF(OR(NOT(ISNUMBER(Z269)),Z269&lt;0,AND(O269&lt;&gt;"",NOT(ISNUMBER(O269)))),"Inserisci rischio",IF(AND(I269="Esecuzioni",OR(W269=0,COUNTIFS('Esecuzioni'!$A$8:$A$1007,A269,'Esecuzioni'!$Q$8:$Q$1007,"&lt;&gt;OK")&gt;0)),"Correggi esecuzioni",IF(J269="Aperto","OK",IF(AND(I269="Esecuzioni",S269="Coperto",ABS(X269-Y269)&gt;'Impostazioni'!$B$11),"Copertura residua",IF(NOT(ISNUMBER(AC269)),"Completa risultato / esito",IF(AND(Z269=0,AC269&lt;&gt;0),"Rischio nullo con P/L","OK")))))))))))))</x:f>
      </x:c>
      <x:c r="AR269" s="20" t="str">
        <x:f>IF(OR(A269="",J269&lt;&gt;"Aperto",AQ269&lt;&gt;"OK"),"",IF(I269="Esecuzioni",SUMIFS('Esecuzioni'!$P$8:$P$1007,'Esecuzioni'!$A$8:$A$1007,A269,'Esecuzioni'!$B$8:$B$1007,_xlfn.MAXIFS('Esecuzioni'!$B$8:$B$1007,'Esecuzioni'!$A$8:$A$1007,A269)),IF(LEFT(U269,8)="FREEBET:",0,Z269)))</x:f>
      </x:c>
      <x:c r="AS269" s="48" t="str">
        <x:f>IF(OR(A269="",E269=""),"",IF(COUNTIFS($E$8:E269,E269)=1,COUNT($AS$7:AS268)+1,""))</x:f>
      </x:c>
    </x:row>
    <x:row r="270" ht="22" customHeight="1">
      <x:c r="A270" s="7"/>
      <x:c r="B270" s="19"/>
      <x:c r="C270" s="19"/>
      <x:c r="D270" s="7"/>
      <x:c r="E270" s="7"/>
      <x:c r="F270" s="7"/>
      <x:c r="G270" s="7"/>
      <x:c r="H270" s="7"/>
      <x:c r="I270" s="7"/>
      <x:c r="J270" s="7"/>
      <x:c r="K270" s="10"/>
      <x:c r="L270" s="7"/>
      <x:c r="M270" s="10"/>
      <x:c r="N270" s="7"/>
      <x:c r="O270" s="8"/>
      <x:c r="P270" s="8"/>
      <x:c r="Q270" s="8"/>
      <x:c r="R270" s="9"/>
      <x:c r="S270" s="7"/>
      <x:c r="T270" s="7"/>
      <x:c r="U270" s="7"/>
      <x:c r="V270" s="7"/>
      <x:c r="W270" s="22" t="str">
        <x:f>IF(A270="","",COUNTIFS('Esecuzioni'!$A$8:$A$1007,A270,'Esecuzioni'!$Q$8:$Q$1007,"OK"))</x:f>
      </x:c>
      <x:c r="X270" s="20" t="str">
        <x:f>IF(OR(A270="",I270&lt;&gt;"Esecuzioni",W270=0),"",SUMIFS('Esecuzioni'!$L$8:$L$1007,'Esecuzioni'!$A$8:$A$1007,A270))</x:f>
      </x:c>
      <x:c r="Y270" s="20" t="str">
        <x:f>IF(OR(A270="",I270&lt;&gt;"Esecuzioni",W270=0),"",SUMIFS('Esecuzioni'!$M$8:$M$1007,'Esecuzioni'!$A$8:$A$1007,A270))</x:f>
      </x:c>
      <x:c r="Z270" s="20" t="str">
        <x:f>IF(A270="","",IF(J270="Annullato",0,IF(ISNUMBER(O270),O270,IF(AND(I270="Esecuzioni",W270&gt;0),_xlfn.MAXIFS('Esecuzioni'!$P$8:$P$1007,'Esecuzioni'!$A$8:$A$1007,A270),""))))</x:f>
      </x:c>
      <x:c r="AA270" s="20" t="str">
        <x:f>IF(OR(A270="",J270="Aperto"),"",IF(J270="Annullato",0,IF(I270="Lordo manuale",IF(ISNUMBER(P270),P270,""),IF(I270="Netto manuale",IF(AND(ISNUMBER(P270),ISNUMBER(Q270)),P270+Q270,""),IF(OR(W270=0,COUNTIFS('Esecuzioni'!$A$8:$A$1007,A270,'Esecuzioni'!$Q$8:$Q$1007,"&lt;&gt;OK")&gt;0),"",IF(S270="Vince",X270,IF(S270="Perde",Y270,IF(AND(S270="Coperto",ABS(X270-Y270)&lt;='Impostazioni'!$B$11),ROUND((X270+Y270)/2,2),""))))))))</x:f>
      </x:c>
      <x:c r="AB270" s="20" t="str">
        <x:f>IF(NOT(ISNUMBER(AA270)),"",IF(J270="Annullato",0,IF(ISNUMBER(Q270),Q270,ROUND(MAX(0,AA270)*IF(ISNUMBER(R270),R270,'Impostazioni'!$B$8),2))))</x:f>
      </x:c>
      <x:c r="AC270" s="20" t="str">
        <x:f>IF(AND(ISNUMBER(AA270),ISNUMBER(AB270)),ROUND(AA270-AB270,2),"")</x:f>
      </x:c>
      <x:c r="AD270" s="18" t="str">
        <x:f>IF(A270="","",IF(AQ270&lt;&gt;"OK","Incompleto",IF(J270="Aperto","Aperto",IF(J270="Annullato","Annullato",IF(AC270&gt;0,"Green",IF(AC270&lt;0,"Red","Flat"))))))</x:f>
      </x:c>
      <x:c r="AE270" s="21" t="str">
        <x:f>IF(AND(AH270=1,Z270&gt;0),AC270/Z270,"")</x:f>
      </x:c>
      <x:c r="AF270" s="22" t="str">
        <x:f>IF(AH270&lt;&gt;1,"",COUNTIFS($C$8:$C$507,"&lt;"&amp;C270,$AH$8:$AH$507,1)+COUNTIFS($C$8:$C$507,C270,$A$8:$A$507,"&lt;="&amp;A270,$AH$8:$AH$507,1))</x:f>
      </x:c>
      <x:c r="AG270" s="20" t="str">
        <x:f>IF(AH270&lt;&gt;1,"",SUMIFS($AC$8:$AC$507,$C$8:$C$507,"&lt;"&amp;C270,$AH$8:$AH$507,1)+SUMIFS($AC$8:$AC$507,$C$8:$C$507,C270,$A$8:$A$507,"&lt;="&amp;A270,$AH$8:$AH$507,1))</x:f>
      </x:c>
      <x:c r="AH270" s="22" t="str">
        <x:f>IF(A270="","",IF(AND(J270="Chiuso",AQ270="OK",ISNUMBER(AC270)),1,0))</x:f>
      </x:c>
      <x:c r="AI270" s="20" t="str">
        <x:f>IF(AH270&lt;&gt;1,"",MAX(0,_xlfn.MAXIFS($AG$8:$AG$507,$AF$8:$AF$507,"&lt;="&amp;AF270,$AH$8:$AH$507,1)))</x:f>
      </x:c>
      <x:c r="AJ270" s="20" t="str">
        <x:f>IF(AH270&lt;&gt;1,"",MAX(0,AI270-AG270))</x:f>
      </x:c>
      <x:c r="AK270" s="21" t="str">
        <x:f>IF(OR(AH270&lt;&gt;1,NOT(ISNUMBER('Impostazioni'!$B$6)),'Impostazioni'!$B$6+AI270&lt;=0),"",AJ270/('Impostazioni'!$B$6+AI270))</x:f>
      </x:c>
      <x:c r="AL270" s="22" t="str">
        <x:f>IF(AH270&lt;&gt;1,"",IF(AC270&gt;0,AF270-_xlfn.MAXIFS($AF$8:$AF$507,$AF$8:$AF$507,"&lt;="&amp;AF270,$AC$8:$AC$507,"&lt;=0",$AH$8:$AH$507,1),0))</x:f>
      </x:c>
      <x:c r="AM270" s="22" t="str">
        <x:f>IF(AH270&lt;&gt;1,"",IF(AC270&lt;0,AF270-_xlfn.MAXIFS($AF$8:$AF$507,$AF$8:$AF$507,"&lt;="&amp;AF270,$AC$8:$AC$507,"&gt;=0",$AH$8:$AH$507,1),0))</x:f>
      </x:c>
      <x:c r="AN270" s="20" t="str">
        <x:f>IF(OR(A270="",NOT(ISNUMBER(B270)),NOT(ISNUMBER('Impostazioni'!$B$6))),"",'Impostazioni'!$B$6+SUMIFS($AC$8:$AC$507,$C$8:$C$507,"&lt;"&amp;B270,$AH$8:$AH$507,1)+SUMIFS('Cassa'!$F$8:$F$307,'Cassa'!$A$8:$A$307,"&lt;="&amp;B270,'Cassa'!$G$8:$G$307,"OK"))</x:f>
      </x:c>
      <x:c r="AO270" s="21" t="str">
        <x:f>IF(AND(ISNUMBER(Z270),ISNUMBER(AN270),AN270&gt;0),Z270/AN270,"")</x:f>
      </x:c>
      <x:c r="AP270" s="18" t="str">
        <x:f>IF(NOT(ISNUMBER(AO270)),"",IF(AO270&gt;'Impostazioni'!$B$7,"Oltre soglia personale","Nella soglia personale"))</x:f>
      </x:c>
      <x:c r="AQ270" s="18" t="str">
        <x:f>IF(A270="",IF(COUNTA(B270:V270)=0,"","Inserisci ID"),IF(COUNTIFS($A$8:$A$507,A270)&lt;&gt;1,"ID duplicato",IF(OR(NOT(ISNUMBER(B270)),D270="",E270="",F270="",G270="",H270="",COUNTIFS('Impostazioni'!$J$6:$J$25,F270)&lt;&gt;1),"Completa dati / elenchi",IF(OR(AND(I270&lt;&gt;"Lordo manuale",I270&lt;&gt;"Netto manuale",I270&lt;&gt;"Esecuzioni"),AND(J270&lt;&gt;"Aperto",J270&lt;&gt;"Chiuso",J270&lt;&gt;"Annullato")),"Modalità / stato mancanti",IF(AND(J270&lt;&gt;"Aperto",OR(NOT(ISNUMBER(C270)),C270&lt;B270)),"Correggi data chiusura",IF(OR(AND(Q270&lt;&gt;"",OR(NOT(ISNUMBER(Q270)),Q270&lt;0)),AND(R270&lt;&gt;"",OR(NOT(ISNUMBER(R270)),R270&lt;0,R270&gt;1))),"Commissione non valida",IF(J270="Annullato","OK",IF(OR(NOT(ISNUMBER(Z270)),Z270&lt;0,AND(O270&lt;&gt;"",NOT(ISNUMBER(O270)))),"Inserisci rischio",IF(AND(I270="Esecuzioni",OR(W270=0,COUNTIFS('Esecuzioni'!$A$8:$A$1007,A270,'Esecuzioni'!$Q$8:$Q$1007,"&lt;&gt;OK")&gt;0)),"Correggi esecuzioni",IF(J270="Aperto","OK",IF(AND(I270="Esecuzioni",S270="Coperto",ABS(X270-Y270)&gt;'Impostazioni'!$B$11),"Copertura residua",IF(NOT(ISNUMBER(AC270)),"Completa risultato / esito",IF(AND(Z270=0,AC270&lt;&gt;0),"Rischio nullo con P/L","OK")))))))))))))</x:f>
      </x:c>
      <x:c r="AR270" s="20" t="str">
        <x:f>IF(OR(A270="",J270&lt;&gt;"Aperto",AQ270&lt;&gt;"OK"),"",IF(I270="Esecuzioni",SUMIFS('Esecuzioni'!$P$8:$P$1007,'Esecuzioni'!$A$8:$A$1007,A270,'Esecuzioni'!$B$8:$B$1007,_xlfn.MAXIFS('Esecuzioni'!$B$8:$B$1007,'Esecuzioni'!$A$8:$A$1007,A270)),IF(LEFT(U270,8)="FREEBET:",0,Z270)))</x:f>
      </x:c>
      <x:c r="AS270" s="48" t="str">
        <x:f>IF(OR(A270="",E270=""),"",IF(COUNTIFS($E$8:E270,E270)=1,COUNT($AS$7:AS269)+1,""))</x:f>
      </x:c>
    </x:row>
    <x:row r="271" ht="22" customHeight="1">
      <x:c r="A271" s="7"/>
      <x:c r="B271" s="19"/>
      <x:c r="C271" s="19"/>
      <x:c r="D271" s="7"/>
      <x:c r="E271" s="7"/>
      <x:c r="F271" s="7"/>
      <x:c r="G271" s="7"/>
      <x:c r="H271" s="7"/>
      <x:c r="I271" s="7"/>
      <x:c r="J271" s="7"/>
      <x:c r="K271" s="10"/>
      <x:c r="L271" s="7"/>
      <x:c r="M271" s="10"/>
      <x:c r="N271" s="7"/>
      <x:c r="O271" s="8"/>
      <x:c r="P271" s="8"/>
      <x:c r="Q271" s="8"/>
      <x:c r="R271" s="9"/>
      <x:c r="S271" s="7"/>
      <x:c r="T271" s="7"/>
      <x:c r="U271" s="7"/>
      <x:c r="V271" s="7"/>
      <x:c r="W271" s="22" t="str">
        <x:f>IF(A271="","",COUNTIFS('Esecuzioni'!$A$8:$A$1007,A271,'Esecuzioni'!$Q$8:$Q$1007,"OK"))</x:f>
      </x:c>
      <x:c r="X271" s="20" t="str">
        <x:f>IF(OR(A271="",I271&lt;&gt;"Esecuzioni",W271=0),"",SUMIFS('Esecuzioni'!$L$8:$L$1007,'Esecuzioni'!$A$8:$A$1007,A271))</x:f>
      </x:c>
      <x:c r="Y271" s="20" t="str">
        <x:f>IF(OR(A271="",I271&lt;&gt;"Esecuzioni",W271=0),"",SUMIFS('Esecuzioni'!$M$8:$M$1007,'Esecuzioni'!$A$8:$A$1007,A271))</x:f>
      </x:c>
      <x:c r="Z271" s="20" t="str">
        <x:f>IF(A271="","",IF(J271="Annullato",0,IF(ISNUMBER(O271),O271,IF(AND(I271="Esecuzioni",W271&gt;0),_xlfn.MAXIFS('Esecuzioni'!$P$8:$P$1007,'Esecuzioni'!$A$8:$A$1007,A271),""))))</x:f>
      </x:c>
      <x:c r="AA271" s="20" t="str">
        <x:f>IF(OR(A271="",J271="Aperto"),"",IF(J271="Annullato",0,IF(I271="Lordo manuale",IF(ISNUMBER(P271),P271,""),IF(I271="Netto manuale",IF(AND(ISNUMBER(P271),ISNUMBER(Q271)),P271+Q271,""),IF(OR(W271=0,COUNTIFS('Esecuzioni'!$A$8:$A$1007,A271,'Esecuzioni'!$Q$8:$Q$1007,"&lt;&gt;OK")&gt;0),"",IF(S271="Vince",X271,IF(S271="Perde",Y271,IF(AND(S271="Coperto",ABS(X271-Y271)&lt;='Impostazioni'!$B$11),ROUND((X271+Y271)/2,2),""))))))))</x:f>
      </x:c>
      <x:c r="AB271" s="20" t="str">
        <x:f>IF(NOT(ISNUMBER(AA271)),"",IF(J271="Annullato",0,IF(ISNUMBER(Q271),Q271,ROUND(MAX(0,AA271)*IF(ISNUMBER(R271),R271,'Impostazioni'!$B$8),2))))</x:f>
      </x:c>
      <x:c r="AC271" s="20" t="str">
        <x:f>IF(AND(ISNUMBER(AA271),ISNUMBER(AB271)),ROUND(AA271-AB271,2),"")</x:f>
      </x:c>
      <x:c r="AD271" s="18" t="str">
        <x:f>IF(A271="","",IF(AQ271&lt;&gt;"OK","Incompleto",IF(J271="Aperto","Aperto",IF(J271="Annullato","Annullato",IF(AC271&gt;0,"Green",IF(AC271&lt;0,"Red","Flat"))))))</x:f>
      </x:c>
      <x:c r="AE271" s="21" t="str">
        <x:f>IF(AND(AH271=1,Z271&gt;0),AC271/Z271,"")</x:f>
      </x:c>
      <x:c r="AF271" s="22" t="str">
        <x:f>IF(AH271&lt;&gt;1,"",COUNTIFS($C$8:$C$507,"&lt;"&amp;C271,$AH$8:$AH$507,1)+COUNTIFS($C$8:$C$507,C271,$A$8:$A$507,"&lt;="&amp;A271,$AH$8:$AH$507,1))</x:f>
      </x:c>
      <x:c r="AG271" s="20" t="str">
        <x:f>IF(AH271&lt;&gt;1,"",SUMIFS($AC$8:$AC$507,$C$8:$C$507,"&lt;"&amp;C271,$AH$8:$AH$507,1)+SUMIFS($AC$8:$AC$507,$C$8:$C$507,C271,$A$8:$A$507,"&lt;="&amp;A271,$AH$8:$AH$507,1))</x:f>
      </x:c>
      <x:c r="AH271" s="22" t="str">
        <x:f>IF(A271="","",IF(AND(J271="Chiuso",AQ271="OK",ISNUMBER(AC271)),1,0))</x:f>
      </x:c>
      <x:c r="AI271" s="20" t="str">
        <x:f>IF(AH271&lt;&gt;1,"",MAX(0,_xlfn.MAXIFS($AG$8:$AG$507,$AF$8:$AF$507,"&lt;="&amp;AF271,$AH$8:$AH$507,1)))</x:f>
      </x:c>
      <x:c r="AJ271" s="20" t="str">
        <x:f>IF(AH271&lt;&gt;1,"",MAX(0,AI271-AG271))</x:f>
      </x:c>
      <x:c r="AK271" s="21" t="str">
        <x:f>IF(OR(AH271&lt;&gt;1,NOT(ISNUMBER('Impostazioni'!$B$6)),'Impostazioni'!$B$6+AI271&lt;=0),"",AJ271/('Impostazioni'!$B$6+AI271))</x:f>
      </x:c>
      <x:c r="AL271" s="22" t="str">
        <x:f>IF(AH271&lt;&gt;1,"",IF(AC271&gt;0,AF271-_xlfn.MAXIFS($AF$8:$AF$507,$AF$8:$AF$507,"&lt;="&amp;AF271,$AC$8:$AC$507,"&lt;=0",$AH$8:$AH$507,1),0))</x:f>
      </x:c>
      <x:c r="AM271" s="22" t="str">
        <x:f>IF(AH271&lt;&gt;1,"",IF(AC271&lt;0,AF271-_xlfn.MAXIFS($AF$8:$AF$507,$AF$8:$AF$507,"&lt;="&amp;AF271,$AC$8:$AC$507,"&gt;=0",$AH$8:$AH$507,1),0))</x:f>
      </x:c>
      <x:c r="AN271" s="20" t="str">
        <x:f>IF(OR(A271="",NOT(ISNUMBER(B271)),NOT(ISNUMBER('Impostazioni'!$B$6))),"",'Impostazioni'!$B$6+SUMIFS($AC$8:$AC$507,$C$8:$C$507,"&lt;"&amp;B271,$AH$8:$AH$507,1)+SUMIFS('Cassa'!$F$8:$F$307,'Cassa'!$A$8:$A$307,"&lt;="&amp;B271,'Cassa'!$G$8:$G$307,"OK"))</x:f>
      </x:c>
      <x:c r="AO271" s="21" t="str">
        <x:f>IF(AND(ISNUMBER(Z271),ISNUMBER(AN271),AN271&gt;0),Z271/AN271,"")</x:f>
      </x:c>
      <x:c r="AP271" s="18" t="str">
        <x:f>IF(NOT(ISNUMBER(AO271)),"",IF(AO271&gt;'Impostazioni'!$B$7,"Oltre soglia personale","Nella soglia personale"))</x:f>
      </x:c>
      <x:c r="AQ271" s="18" t="str">
        <x:f>IF(A271="",IF(COUNTA(B271:V271)=0,"","Inserisci ID"),IF(COUNTIFS($A$8:$A$507,A271)&lt;&gt;1,"ID duplicato",IF(OR(NOT(ISNUMBER(B271)),D271="",E271="",F271="",G271="",H271="",COUNTIFS('Impostazioni'!$J$6:$J$25,F271)&lt;&gt;1),"Completa dati / elenchi",IF(OR(AND(I271&lt;&gt;"Lordo manuale",I271&lt;&gt;"Netto manuale",I271&lt;&gt;"Esecuzioni"),AND(J271&lt;&gt;"Aperto",J271&lt;&gt;"Chiuso",J271&lt;&gt;"Annullato")),"Modalità / stato mancanti",IF(AND(J271&lt;&gt;"Aperto",OR(NOT(ISNUMBER(C271)),C271&lt;B271)),"Correggi data chiusura",IF(OR(AND(Q271&lt;&gt;"",OR(NOT(ISNUMBER(Q271)),Q271&lt;0)),AND(R271&lt;&gt;"",OR(NOT(ISNUMBER(R271)),R271&lt;0,R271&gt;1))),"Commissione non valida",IF(J271="Annullato","OK",IF(OR(NOT(ISNUMBER(Z271)),Z271&lt;0,AND(O271&lt;&gt;"",NOT(ISNUMBER(O271)))),"Inserisci rischio",IF(AND(I271="Esecuzioni",OR(W271=0,COUNTIFS('Esecuzioni'!$A$8:$A$1007,A271,'Esecuzioni'!$Q$8:$Q$1007,"&lt;&gt;OK")&gt;0)),"Correggi esecuzioni",IF(J271="Aperto","OK",IF(AND(I271="Esecuzioni",S271="Coperto",ABS(X271-Y271)&gt;'Impostazioni'!$B$11),"Copertura residua",IF(NOT(ISNUMBER(AC271)),"Completa risultato / esito",IF(AND(Z271=0,AC271&lt;&gt;0),"Rischio nullo con P/L","OK")))))))))))))</x:f>
      </x:c>
      <x:c r="AR271" s="20" t="str">
        <x:f>IF(OR(A271="",J271&lt;&gt;"Aperto",AQ271&lt;&gt;"OK"),"",IF(I271="Esecuzioni",SUMIFS('Esecuzioni'!$P$8:$P$1007,'Esecuzioni'!$A$8:$A$1007,A271,'Esecuzioni'!$B$8:$B$1007,_xlfn.MAXIFS('Esecuzioni'!$B$8:$B$1007,'Esecuzioni'!$A$8:$A$1007,A271)),IF(LEFT(U271,8)="FREEBET:",0,Z271)))</x:f>
      </x:c>
      <x:c r="AS271" s="48" t="str">
        <x:f>IF(OR(A271="",E271=""),"",IF(COUNTIFS($E$8:E271,E271)=1,COUNT($AS$7:AS270)+1,""))</x:f>
      </x:c>
    </x:row>
    <x:row r="272" ht="22" customHeight="1">
      <x:c r="A272" s="7"/>
      <x:c r="B272" s="19"/>
      <x:c r="C272" s="19"/>
      <x:c r="D272" s="7"/>
      <x:c r="E272" s="7"/>
      <x:c r="F272" s="7"/>
      <x:c r="G272" s="7"/>
      <x:c r="H272" s="7"/>
      <x:c r="I272" s="7"/>
      <x:c r="J272" s="7"/>
      <x:c r="K272" s="10"/>
      <x:c r="L272" s="7"/>
      <x:c r="M272" s="10"/>
      <x:c r="N272" s="7"/>
      <x:c r="O272" s="8"/>
      <x:c r="P272" s="8"/>
      <x:c r="Q272" s="8"/>
      <x:c r="R272" s="9"/>
      <x:c r="S272" s="7"/>
      <x:c r="T272" s="7"/>
      <x:c r="U272" s="7"/>
      <x:c r="V272" s="7"/>
      <x:c r="W272" s="22" t="str">
        <x:f>IF(A272="","",COUNTIFS('Esecuzioni'!$A$8:$A$1007,A272,'Esecuzioni'!$Q$8:$Q$1007,"OK"))</x:f>
      </x:c>
      <x:c r="X272" s="20" t="str">
        <x:f>IF(OR(A272="",I272&lt;&gt;"Esecuzioni",W272=0),"",SUMIFS('Esecuzioni'!$L$8:$L$1007,'Esecuzioni'!$A$8:$A$1007,A272))</x:f>
      </x:c>
      <x:c r="Y272" s="20" t="str">
        <x:f>IF(OR(A272="",I272&lt;&gt;"Esecuzioni",W272=0),"",SUMIFS('Esecuzioni'!$M$8:$M$1007,'Esecuzioni'!$A$8:$A$1007,A272))</x:f>
      </x:c>
      <x:c r="Z272" s="20" t="str">
        <x:f>IF(A272="","",IF(J272="Annullato",0,IF(ISNUMBER(O272),O272,IF(AND(I272="Esecuzioni",W272&gt;0),_xlfn.MAXIFS('Esecuzioni'!$P$8:$P$1007,'Esecuzioni'!$A$8:$A$1007,A272),""))))</x:f>
      </x:c>
      <x:c r="AA272" s="20" t="str">
        <x:f>IF(OR(A272="",J272="Aperto"),"",IF(J272="Annullato",0,IF(I272="Lordo manuale",IF(ISNUMBER(P272),P272,""),IF(I272="Netto manuale",IF(AND(ISNUMBER(P272),ISNUMBER(Q272)),P272+Q272,""),IF(OR(W272=0,COUNTIFS('Esecuzioni'!$A$8:$A$1007,A272,'Esecuzioni'!$Q$8:$Q$1007,"&lt;&gt;OK")&gt;0),"",IF(S272="Vince",X272,IF(S272="Perde",Y272,IF(AND(S272="Coperto",ABS(X272-Y272)&lt;='Impostazioni'!$B$11),ROUND((X272+Y272)/2,2),""))))))))</x:f>
      </x:c>
      <x:c r="AB272" s="20" t="str">
        <x:f>IF(NOT(ISNUMBER(AA272)),"",IF(J272="Annullato",0,IF(ISNUMBER(Q272),Q272,ROUND(MAX(0,AA272)*IF(ISNUMBER(R272),R272,'Impostazioni'!$B$8),2))))</x:f>
      </x:c>
      <x:c r="AC272" s="20" t="str">
        <x:f>IF(AND(ISNUMBER(AA272),ISNUMBER(AB272)),ROUND(AA272-AB272,2),"")</x:f>
      </x:c>
      <x:c r="AD272" s="18" t="str">
        <x:f>IF(A272="","",IF(AQ272&lt;&gt;"OK","Incompleto",IF(J272="Aperto","Aperto",IF(J272="Annullato","Annullato",IF(AC272&gt;0,"Green",IF(AC272&lt;0,"Red","Flat"))))))</x:f>
      </x:c>
      <x:c r="AE272" s="21" t="str">
        <x:f>IF(AND(AH272=1,Z272&gt;0),AC272/Z272,"")</x:f>
      </x:c>
      <x:c r="AF272" s="22" t="str">
        <x:f>IF(AH272&lt;&gt;1,"",COUNTIFS($C$8:$C$507,"&lt;"&amp;C272,$AH$8:$AH$507,1)+COUNTIFS($C$8:$C$507,C272,$A$8:$A$507,"&lt;="&amp;A272,$AH$8:$AH$507,1))</x:f>
      </x:c>
      <x:c r="AG272" s="20" t="str">
        <x:f>IF(AH272&lt;&gt;1,"",SUMIFS($AC$8:$AC$507,$C$8:$C$507,"&lt;"&amp;C272,$AH$8:$AH$507,1)+SUMIFS($AC$8:$AC$507,$C$8:$C$507,C272,$A$8:$A$507,"&lt;="&amp;A272,$AH$8:$AH$507,1))</x:f>
      </x:c>
      <x:c r="AH272" s="22" t="str">
        <x:f>IF(A272="","",IF(AND(J272="Chiuso",AQ272="OK",ISNUMBER(AC272)),1,0))</x:f>
      </x:c>
      <x:c r="AI272" s="20" t="str">
        <x:f>IF(AH272&lt;&gt;1,"",MAX(0,_xlfn.MAXIFS($AG$8:$AG$507,$AF$8:$AF$507,"&lt;="&amp;AF272,$AH$8:$AH$507,1)))</x:f>
      </x:c>
      <x:c r="AJ272" s="20" t="str">
        <x:f>IF(AH272&lt;&gt;1,"",MAX(0,AI272-AG272))</x:f>
      </x:c>
      <x:c r="AK272" s="21" t="str">
        <x:f>IF(OR(AH272&lt;&gt;1,NOT(ISNUMBER('Impostazioni'!$B$6)),'Impostazioni'!$B$6+AI272&lt;=0),"",AJ272/('Impostazioni'!$B$6+AI272))</x:f>
      </x:c>
      <x:c r="AL272" s="22" t="str">
        <x:f>IF(AH272&lt;&gt;1,"",IF(AC272&gt;0,AF272-_xlfn.MAXIFS($AF$8:$AF$507,$AF$8:$AF$507,"&lt;="&amp;AF272,$AC$8:$AC$507,"&lt;=0",$AH$8:$AH$507,1),0))</x:f>
      </x:c>
      <x:c r="AM272" s="22" t="str">
        <x:f>IF(AH272&lt;&gt;1,"",IF(AC272&lt;0,AF272-_xlfn.MAXIFS($AF$8:$AF$507,$AF$8:$AF$507,"&lt;="&amp;AF272,$AC$8:$AC$507,"&gt;=0",$AH$8:$AH$507,1),0))</x:f>
      </x:c>
      <x:c r="AN272" s="20" t="str">
        <x:f>IF(OR(A272="",NOT(ISNUMBER(B272)),NOT(ISNUMBER('Impostazioni'!$B$6))),"",'Impostazioni'!$B$6+SUMIFS($AC$8:$AC$507,$C$8:$C$507,"&lt;"&amp;B272,$AH$8:$AH$507,1)+SUMIFS('Cassa'!$F$8:$F$307,'Cassa'!$A$8:$A$307,"&lt;="&amp;B272,'Cassa'!$G$8:$G$307,"OK"))</x:f>
      </x:c>
      <x:c r="AO272" s="21" t="str">
        <x:f>IF(AND(ISNUMBER(Z272),ISNUMBER(AN272),AN272&gt;0),Z272/AN272,"")</x:f>
      </x:c>
      <x:c r="AP272" s="18" t="str">
        <x:f>IF(NOT(ISNUMBER(AO272)),"",IF(AO272&gt;'Impostazioni'!$B$7,"Oltre soglia personale","Nella soglia personale"))</x:f>
      </x:c>
      <x:c r="AQ272" s="18" t="str">
        <x:f>IF(A272="",IF(COUNTA(B272:V272)=0,"","Inserisci ID"),IF(COUNTIFS($A$8:$A$507,A272)&lt;&gt;1,"ID duplicato",IF(OR(NOT(ISNUMBER(B272)),D272="",E272="",F272="",G272="",H272="",COUNTIFS('Impostazioni'!$J$6:$J$25,F272)&lt;&gt;1),"Completa dati / elenchi",IF(OR(AND(I272&lt;&gt;"Lordo manuale",I272&lt;&gt;"Netto manuale",I272&lt;&gt;"Esecuzioni"),AND(J272&lt;&gt;"Aperto",J272&lt;&gt;"Chiuso",J272&lt;&gt;"Annullato")),"Modalità / stato mancanti",IF(AND(J272&lt;&gt;"Aperto",OR(NOT(ISNUMBER(C272)),C272&lt;B272)),"Correggi data chiusura",IF(OR(AND(Q272&lt;&gt;"",OR(NOT(ISNUMBER(Q272)),Q272&lt;0)),AND(R272&lt;&gt;"",OR(NOT(ISNUMBER(R272)),R272&lt;0,R272&gt;1))),"Commissione non valida",IF(J272="Annullato","OK",IF(OR(NOT(ISNUMBER(Z272)),Z272&lt;0,AND(O272&lt;&gt;"",NOT(ISNUMBER(O272)))),"Inserisci rischio",IF(AND(I272="Esecuzioni",OR(W272=0,COUNTIFS('Esecuzioni'!$A$8:$A$1007,A272,'Esecuzioni'!$Q$8:$Q$1007,"&lt;&gt;OK")&gt;0)),"Correggi esecuzioni",IF(J272="Aperto","OK",IF(AND(I272="Esecuzioni",S272="Coperto",ABS(X272-Y272)&gt;'Impostazioni'!$B$11),"Copertura residua",IF(NOT(ISNUMBER(AC272)),"Completa risultato / esito",IF(AND(Z272=0,AC272&lt;&gt;0),"Rischio nullo con P/L","OK")))))))))))))</x:f>
      </x:c>
      <x:c r="AR272" s="20" t="str">
        <x:f>IF(OR(A272="",J272&lt;&gt;"Aperto",AQ272&lt;&gt;"OK"),"",IF(I272="Esecuzioni",SUMIFS('Esecuzioni'!$P$8:$P$1007,'Esecuzioni'!$A$8:$A$1007,A272,'Esecuzioni'!$B$8:$B$1007,_xlfn.MAXIFS('Esecuzioni'!$B$8:$B$1007,'Esecuzioni'!$A$8:$A$1007,A272)),IF(LEFT(U272,8)="FREEBET:",0,Z272)))</x:f>
      </x:c>
      <x:c r="AS272" s="48" t="str">
        <x:f>IF(OR(A272="",E272=""),"",IF(COUNTIFS($E$8:E272,E272)=1,COUNT($AS$7:AS271)+1,""))</x:f>
      </x:c>
    </x:row>
    <x:row r="273" ht="22" customHeight="1">
      <x:c r="A273" s="7"/>
      <x:c r="B273" s="19"/>
      <x:c r="C273" s="19"/>
      <x:c r="D273" s="7"/>
      <x:c r="E273" s="7"/>
      <x:c r="F273" s="7"/>
      <x:c r="G273" s="7"/>
      <x:c r="H273" s="7"/>
      <x:c r="I273" s="7"/>
      <x:c r="J273" s="7"/>
      <x:c r="K273" s="10"/>
      <x:c r="L273" s="7"/>
      <x:c r="M273" s="10"/>
      <x:c r="N273" s="7"/>
      <x:c r="O273" s="8"/>
      <x:c r="P273" s="8"/>
      <x:c r="Q273" s="8"/>
      <x:c r="R273" s="9"/>
      <x:c r="S273" s="7"/>
      <x:c r="T273" s="7"/>
      <x:c r="U273" s="7"/>
      <x:c r="V273" s="7"/>
      <x:c r="W273" s="22" t="str">
        <x:f>IF(A273="","",COUNTIFS('Esecuzioni'!$A$8:$A$1007,A273,'Esecuzioni'!$Q$8:$Q$1007,"OK"))</x:f>
      </x:c>
      <x:c r="X273" s="20" t="str">
        <x:f>IF(OR(A273="",I273&lt;&gt;"Esecuzioni",W273=0),"",SUMIFS('Esecuzioni'!$L$8:$L$1007,'Esecuzioni'!$A$8:$A$1007,A273))</x:f>
      </x:c>
      <x:c r="Y273" s="20" t="str">
        <x:f>IF(OR(A273="",I273&lt;&gt;"Esecuzioni",W273=0),"",SUMIFS('Esecuzioni'!$M$8:$M$1007,'Esecuzioni'!$A$8:$A$1007,A273))</x:f>
      </x:c>
      <x:c r="Z273" s="20" t="str">
        <x:f>IF(A273="","",IF(J273="Annullato",0,IF(ISNUMBER(O273),O273,IF(AND(I273="Esecuzioni",W273&gt;0),_xlfn.MAXIFS('Esecuzioni'!$P$8:$P$1007,'Esecuzioni'!$A$8:$A$1007,A273),""))))</x:f>
      </x:c>
      <x:c r="AA273" s="20" t="str">
        <x:f>IF(OR(A273="",J273="Aperto"),"",IF(J273="Annullato",0,IF(I273="Lordo manuale",IF(ISNUMBER(P273),P273,""),IF(I273="Netto manuale",IF(AND(ISNUMBER(P273),ISNUMBER(Q273)),P273+Q273,""),IF(OR(W273=0,COUNTIFS('Esecuzioni'!$A$8:$A$1007,A273,'Esecuzioni'!$Q$8:$Q$1007,"&lt;&gt;OK")&gt;0),"",IF(S273="Vince",X273,IF(S273="Perde",Y273,IF(AND(S273="Coperto",ABS(X273-Y273)&lt;='Impostazioni'!$B$11),ROUND((X273+Y273)/2,2),""))))))))</x:f>
      </x:c>
      <x:c r="AB273" s="20" t="str">
        <x:f>IF(NOT(ISNUMBER(AA273)),"",IF(J273="Annullato",0,IF(ISNUMBER(Q273),Q273,ROUND(MAX(0,AA273)*IF(ISNUMBER(R273),R273,'Impostazioni'!$B$8),2))))</x:f>
      </x:c>
      <x:c r="AC273" s="20" t="str">
        <x:f>IF(AND(ISNUMBER(AA273),ISNUMBER(AB273)),ROUND(AA273-AB273,2),"")</x:f>
      </x:c>
      <x:c r="AD273" s="18" t="str">
        <x:f>IF(A273="","",IF(AQ273&lt;&gt;"OK","Incompleto",IF(J273="Aperto","Aperto",IF(J273="Annullato","Annullato",IF(AC273&gt;0,"Green",IF(AC273&lt;0,"Red","Flat"))))))</x:f>
      </x:c>
      <x:c r="AE273" s="21" t="str">
        <x:f>IF(AND(AH273=1,Z273&gt;0),AC273/Z273,"")</x:f>
      </x:c>
      <x:c r="AF273" s="22" t="str">
        <x:f>IF(AH273&lt;&gt;1,"",COUNTIFS($C$8:$C$507,"&lt;"&amp;C273,$AH$8:$AH$507,1)+COUNTIFS($C$8:$C$507,C273,$A$8:$A$507,"&lt;="&amp;A273,$AH$8:$AH$507,1))</x:f>
      </x:c>
      <x:c r="AG273" s="20" t="str">
        <x:f>IF(AH273&lt;&gt;1,"",SUMIFS($AC$8:$AC$507,$C$8:$C$507,"&lt;"&amp;C273,$AH$8:$AH$507,1)+SUMIFS($AC$8:$AC$507,$C$8:$C$507,C273,$A$8:$A$507,"&lt;="&amp;A273,$AH$8:$AH$507,1))</x:f>
      </x:c>
      <x:c r="AH273" s="22" t="str">
        <x:f>IF(A273="","",IF(AND(J273="Chiuso",AQ273="OK",ISNUMBER(AC273)),1,0))</x:f>
      </x:c>
      <x:c r="AI273" s="20" t="str">
        <x:f>IF(AH273&lt;&gt;1,"",MAX(0,_xlfn.MAXIFS($AG$8:$AG$507,$AF$8:$AF$507,"&lt;="&amp;AF273,$AH$8:$AH$507,1)))</x:f>
      </x:c>
      <x:c r="AJ273" s="20" t="str">
        <x:f>IF(AH273&lt;&gt;1,"",MAX(0,AI273-AG273))</x:f>
      </x:c>
      <x:c r="AK273" s="21" t="str">
        <x:f>IF(OR(AH273&lt;&gt;1,NOT(ISNUMBER('Impostazioni'!$B$6)),'Impostazioni'!$B$6+AI273&lt;=0),"",AJ273/('Impostazioni'!$B$6+AI273))</x:f>
      </x:c>
      <x:c r="AL273" s="22" t="str">
        <x:f>IF(AH273&lt;&gt;1,"",IF(AC273&gt;0,AF273-_xlfn.MAXIFS($AF$8:$AF$507,$AF$8:$AF$507,"&lt;="&amp;AF273,$AC$8:$AC$507,"&lt;=0",$AH$8:$AH$507,1),0))</x:f>
      </x:c>
      <x:c r="AM273" s="22" t="str">
        <x:f>IF(AH273&lt;&gt;1,"",IF(AC273&lt;0,AF273-_xlfn.MAXIFS($AF$8:$AF$507,$AF$8:$AF$507,"&lt;="&amp;AF273,$AC$8:$AC$507,"&gt;=0",$AH$8:$AH$507,1),0))</x:f>
      </x:c>
      <x:c r="AN273" s="20" t="str">
        <x:f>IF(OR(A273="",NOT(ISNUMBER(B273)),NOT(ISNUMBER('Impostazioni'!$B$6))),"",'Impostazioni'!$B$6+SUMIFS($AC$8:$AC$507,$C$8:$C$507,"&lt;"&amp;B273,$AH$8:$AH$507,1)+SUMIFS('Cassa'!$F$8:$F$307,'Cassa'!$A$8:$A$307,"&lt;="&amp;B273,'Cassa'!$G$8:$G$307,"OK"))</x:f>
      </x:c>
      <x:c r="AO273" s="21" t="str">
        <x:f>IF(AND(ISNUMBER(Z273),ISNUMBER(AN273),AN273&gt;0),Z273/AN273,"")</x:f>
      </x:c>
      <x:c r="AP273" s="18" t="str">
        <x:f>IF(NOT(ISNUMBER(AO273)),"",IF(AO273&gt;'Impostazioni'!$B$7,"Oltre soglia personale","Nella soglia personale"))</x:f>
      </x:c>
      <x:c r="AQ273" s="18" t="str">
        <x:f>IF(A273="",IF(COUNTA(B273:V273)=0,"","Inserisci ID"),IF(COUNTIFS($A$8:$A$507,A273)&lt;&gt;1,"ID duplicato",IF(OR(NOT(ISNUMBER(B273)),D273="",E273="",F273="",G273="",H273="",COUNTIFS('Impostazioni'!$J$6:$J$25,F273)&lt;&gt;1),"Completa dati / elenchi",IF(OR(AND(I273&lt;&gt;"Lordo manuale",I273&lt;&gt;"Netto manuale",I273&lt;&gt;"Esecuzioni"),AND(J273&lt;&gt;"Aperto",J273&lt;&gt;"Chiuso",J273&lt;&gt;"Annullato")),"Modalità / stato mancanti",IF(AND(J273&lt;&gt;"Aperto",OR(NOT(ISNUMBER(C273)),C273&lt;B273)),"Correggi data chiusura",IF(OR(AND(Q273&lt;&gt;"",OR(NOT(ISNUMBER(Q273)),Q273&lt;0)),AND(R273&lt;&gt;"",OR(NOT(ISNUMBER(R273)),R273&lt;0,R273&gt;1))),"Commissione non valida",IF(J273="Annullato","OK",IF(OR(NOT(ISNUMBER(Z273)),Z273&lt;0,AND(O273&lt;&gt;"",NOT(ISNUMBER(O273)))),"Inserisci rischio",IF(AND(I273="Esecuzioni",OR(W273=0,COUNTIFS('Esecuzioni'!$A$8:$A$1007,A273,'Esecuzioni'!$Q$8:$Q$1007,"&lt;&gt;OK")&gt;0)),"Correggi esecuzioni",IF(J273="Aperto","OK",IF(AND(I273="Esecuzioni",S273="Coperto",ABS(X273-Y273)&gt;'Impostazioni'!$B$11),"Copertura residua",IF(NOT(ISNUMBER(AC273)),"Completa risultato / esito",IF(AND(Z273=0,AC273&lt;&gt;0),"Rischio nullo con P/L","OK")))))))))))))</x:f>
      </x:c>
      <x:c r="AR273" s="20" t="str">
        <x:f>IF(OR(A273="",J273&lt;&gt;"Aperto",AQ273&lt;&gt;"OK"),"",IF(I273="Esecuzioni",SUMIFS('Esecuzioni'!$P$8:$P$1007,'Esecuzioni'!$A$8:$A$1007,A273,'Esecuzioni'!$B$8:$B$1007,_xlfn.MAXIFS('Esecuzioni'!$B$8:$B$1007,'Esecuzioni'!$A$8:$A$1007,A273)),IF(LEFT(U273,8)="FREEBET:",0,Z273)))</x:f>
      </x:c>
      <x:c r="AS273" s="48" t="str">
        <x:f>IF(OR(A273="",E273=""),"",IF(COUNTIFS($E$8:E273,E273)=1,COUNT($AS$7:AS272)+1,""))</x:f>
      </x:c>
    </x:row>
    <x:row r="274" ht="22" customHeight="1">
      <x:c r="A274" s="7"/>
      <x:c r="B274" s="19"/>
      <x:c r="C274" s="19"/>
      <x:c r="D274" s="7"/>
      <x:c r="E274" s="7"/>
      <x:c r="F274" s="7"/>
      <x:c r="G274" s="7"/>
      <x:c r="H274" s="7"/>
      <x:c r="I274" s="7"/>
      <x:c r="J274" s="7"/>
      <x:c r="K274" s="10"/>
      <x:c r="L274" s="7"/>
      <x:c r="M274" s="10"/>
      <x:c r="N274" s="7"/>
      <x:c r="O274" s="8"/>
      <x:c r="P274" s="8"/>
      <x:c r="Q274" s="8"/>
      <x:c r="R274" s="9"/>
      <x:c r="S274" s="7"/>
      <x:c r="T274" s="7"/>
      <x:c r="U274" s="7"/>
      <x:c r="V274" s="7"/>
      <x:c r="W274" s="22" t="str">
        <x:f>IF(A274="","",COUNTIFS('Esecuzioni'!$A$8:$A$1007,A274,'Esecuzioni'!$Q$8:$Q$1007,"OK"))</x:f>
      </x:c>
      <x:c r="X274" s="20" t="str">
        <x:f>IF(OR(A274="",I274&lt;&gt;"Esecuzioni",W274=0),"",SUMIFS('Esecuzioni'!$L$8:$L$1007,'Esecuzioni'!$A$8:$A$1007,A274))</x:f>
      </x:c>
      <x:c r="Y274" s="20" t="str">
        <x:f>IF(OR(A274="",I274&lt;&gt;"Esecuzioni",W274=0),"",SUMIFS('Esecuzioni'!$M$8:$M$1007,'Esecuzioni'!$A$8:$A$1007,A274))</x:f>
      </x:c>
      <x:c r="Z274" s="20" t="str">
        <x:f>IF(A274="","",IF(J274="Annullato",0,IF(ISNUMBER(O274),O274,IF(AND(I274="Esecuzioni",W274&gt;0),_xlfn.MAXIFS('Esecuzioni'!$P$8:$P$1007,'Esecuzioni'!$A$8:$A$1007,A274),""))))</x:f>
      </x:c>
      <x:c r="AA274" s="20" t="str">
        <x:f>IF(OR(A274="",J274="Aperto"),"",IF(J274="Annullato",0,IF(I274="Lordo manuale",IF(ISNUMBER(P274),P274,""),IF(I274="Netto manuale",IF(AND(ISNUMBER(P274),ISNUMBER(Q274)),P274+Q274,""),IF(OR(W274=0,COUNTIFS('Esecuzioni'!$A$8:$A$1007,A274,'Esecuzioni'!$Q$8:$Q$1007,"&lt;&gt;OK")&gt;0),"",IF(S274="Vince",X274,IF(S274="Perde",Y274,IF(AND(S274="Coperto",ABS(X274-Y274)&lt;='Impostazioni'!$B$11),ROUND((X274+Y274)/2,2),""))))))))</x:f>
      </x:c>
      <x:c r="AB274" s="20" t="str">
        <x:f>IF(NOT(ISNUMBER(AA274)),"",IF(J274="Annullato",0,IF(ISNUMBER(Q274),Q274,ROUND(MAX(0,AA274)*IF(ISNUMBER(R274),R274,'Impostazioni'!$B$8),2))))</x:f>
      </x:c>
      <x:c r="AC274" s="20" t="str">
        <x:f>IF(AND(ISNUMBER(AA274),ISNUMBER(AB274)),ROUND(AA274-AB274,2),"")</x:f>
      </x:c>
      <x:c r="AD274" s="18" t="str">
        <x:f>IF(A274="","",IF(AQ274&lt;&gt;"OK","Incompleto",IF(J274="Aperto","Aperto",IF(J274="Annullato","Annullato",IF(AC274&gt;0,"Green",IF(AC274&lt;0,"Red","Flat"))))))</x:f>
      </x:c>
      <x:c r="AE274" s="21" t="str">
        <x:f>IF(AND(AH274=1,Z274&gt;0),AC274/Z274,"")</x:f>
      </x:c>
      <x:c r="AF274" s="22" t="str">
        <x:f>IF(AH274&lt;&gt;1,"",COUNTIFS($C$8:$C$507,"&lt;"&amp;C274,$AH$8:$AH$507,1)+COUNTIFS($C$8:$C$507,C274,$A$8:$A$507,"&lt;="&amp;A274,$AH$8:$AH$507,1))</x:f>
      </x:c>
      <x:c r="AG274" s="20" t="str">
        <x:f>IF(AH274&lt;&gt;1,"",SUMIFS($AC$8:$AC$507,$C$8:$C$507,"&lt;"&amp;C274,$AH$8:$AH$507,1)+SUMIFS($AC$8:$AC$507,$C$8:$C$507,C274,$A$8:$A$507,"&lt;="&amp;A274,$AH$8:$AH$507,1))</x:f>
      </x:c>
      <x:c r="AH274" s="22" t="str">
        <x:f>IF(A274="","",IF(AND(J274="Chiuso",AQ274="OK",ISNUMBER(AC274)),1,0))</x:f>
      </x:c>
      <x:c r="AI274" s="20" t="str">
        <x:f>IF(AH274&lt;&gt;1,"",MAX(0,_xlfn.MAXIFS($AG$8:$AG$507,$AF$8:$AF$507,"&lt;="&amp;AF274,$AH$8:$AH$507,1)))</x:f>
      </x:c>
      <x:c r="AJ274" s="20" t="str">
        <x:f>IF(AH274&lt;&gt;1,"",MAX(0,AI274-AG274))</x:f>
      </x:c>
      <x:c r="AK274" s="21" t="str">
        <x:f>IF(OR(AH274&lt;&gt;1,NOT(ISNUMBER('Impostazioni'!$B$6)),'Impostazioni'!$B$6+AI274&lt;=0),"",AJ274/('Impostazioni'!$B$6+AI274))</x:f>
      </x:c>
      <x:c r="AL274" s="22" t="str">
        <x:f>IF(AH274&lt;&gt;1,"",IF(AC274&gt;0,AF274-_xlfn.MAXIFS($AF$8:$AF$507,$AF$8:$AF$507,"&lt;="&amp;AF274,$AC$8:$AC$507,"&lt;=0",$AH$8:$AH$507,1),0))</x:f>
      </x:c>
      <x:c r="AM274" s="22" t="str">
        <x:f>IF(AH274&lt;&gt;1,"",IF(AC274&lt;0,AF274-_xlfn.MAXIFS($AF$8:$AF$507,$AF$8:$AF$507,"&lt;="&amp;AF274,$AC$8:$AC$507,"&gt;=0",$AH$8:$AH$507,1),0))</x:f>
      </x:c>
      <x:c r="AN274" s="20" t="str">
        <x:f>IF(OR(A274="",NOT(ISNUMBER(B274)),NOT(ISNUMBER('Impostazioni'!$B$6))),"",'Impostazioni'!$B$6+SUMIFS($AC$8:$AC$507,$C$8:$C$507,"&lt;"&amp;B274,$AH$8:$AH$507,1)+SUMIFS('Cassa'!$F$8:$F$307,'Cassa'!$A$8:$A$307,"&lt;="&amp;B274,'Cassa'!$G$8:$G$307,"OK"))</x:f>
      </x:c>
      <x:c r="AO274" s="21" t="str">
        <x:f>IF(AND(ISNUMBER(Z274),ISNUMBER(AN274),AN274&gt;0),Z274/AN274,"")</x:f>
      </x:c>
      <x:c r="AP274" s="18" t="str">
        <x:f>IF(NOT(ISNUMBER(AO274)),"",IF(AO274&gt;'Impostazioni'!$B$7,"Oltre soglia personale","Nella soglia personale"))</x:f>
      </x:c>
      <x:c r="AQ274" s="18" t="str">
        <x:f>IF(A274="",IF(COUNTA(B274:V274)=0,"","Inserisci ID"),IF(COUNTIFS($A$8:$A$507,A274)&lt;&gt;1,"ID duplicato",IF(OR(NOT(ISNUMBER(B274)),D274="",E274="",F274="",G274="",H274="",COUNTIFS('Impostazioni'!$J$6:$J$25,F274)&lt;&gt;1),"Completa dati / elenchi",IF(OR(AND(I274&lt;&gt;"Lordo manuale",I274&lt;&gt;"Netto manuale",I274&lt;&gt;"Esecuzioni"),AND(J274&lt;&gt;"Aperto",J274&lt;&gt;"Chiuso",J274&lt;&gt;"Annullato")),"Modalità / stato mancanti",IF(AND(J274&lt;&gt;"Aperto",OR(NOT(ISNUMBER(C274)),C274&lt;B274)),"Correggi data chiusura",IF(OR(AND(Q274&lt;&gt;"",OR(NOT(ISNUMBER(Q274)),Q274&lt;0)),AND(R274&lt;&gt;"",OR(NOT(ISNUMBER(R274)),R274&lt;0,R274&gt;1))),"Commissione non valida",IF(J274="Annullato","OK",IF(OR(NOT(ISNUMBER(Z274)),Z274&lt;0,AND(O274&lt;&gt;"",NOT(ISNUMBER(O274)))),"Inserisci rischio",IF(AND(I274="Esecuzioni",OR(W274=0,COUNTIFS('Esecuzioni'!$A$8:$A$1007,A274,'Esecuzioni'!$Q$8:$Q$1007,"&lt;&gt;OK")&gt;0)),"Correggi esecuzioni",IF(J274="Aperto","OK",IF(AND(I274="Esecuzioni",S274="Coperto",ABS(X274-Y274)&gt;'Impostazioni'!$B$11),"Copertura residua",IF(NOT(ISNUMBER(AC274)),"Completa risultato / esito",IF(AND(Z274=0,AC274&lt;&gt;0),"Rischio nullo con P/L","OK")))))))))))))</x:f>
      </x:c>
      <x:c r="AR274" s="20" t="str">
        <x:f>IF(OR(A274="",J274&lt;&gt;"Aperto",AQ274&lt;&gt;"OK"),"",IF(I274="Esecuzioni",SUMIFS('Esecuzioni'!$P$8:$P$1007,'Esecuzioni'!$A$8:$A$1007,A274,'Esecuzioni'!$B$8:$B$1007,_xlfn.MAXIFS('Esecuzioni'!$B$8:$B$1007,'Esecuzioni'!$A$8:$A$1007,A274)),IF(LEFT(U274,8)="FREEBET:",0,Z274)))</x:f>
      </x:c>
      <x:c r="AS274" s="48" t="str">
        <x:f>IF(OR(A274="",E274=""),"",IF(COUNTIFS($E$8:E274,E274)=1,COUNT($AS$7:AS273)+1,""))</x:f>
      </x:c>
    </x:row>
    <x:row r="275" ht="22" customHeight="1">
      <x:c r="A275" s="7"/>
      <x:c r="B275" s="19"/>
      <x:c r="C275" s="19"/>
      <x:c r="D275" s="7"/>
      <x:c r="E275" s="7"/>
      <x:c r="F275" s="7"/>
      <x:c r="G275" s="7"/>
      <x:c r="H275" s="7"/>
      <x:c r="I275" s="7"/>
      <x:c r="J275" s="7"/>
      <x:c r="K275" s="10"/>
      <x:c r="L275" s="7"/>
      <x:c r="M275" s="10"/>
      <x:c r="N275" s="7"/>
      <x:c r="O275" s="8"/>
      <x:c r="P275" s="8"/>
      <x:c r="Q275" s="8"/>
      <x:c r="R275" s="9"/>
      <x:c r="S275" s="7"/>
      <x:c r="T275" s="7"/>
      <x:c r="U275" s="7"/>
      <x:c r="V275" s="7"/>
      <x:c r="W275" s="22" t="str">
        <x:f>IF(A275="","",COUNTIFS('Esecuzioni'!$A$8:$A$1007,A275,'Esecuzioni'!$Q$8:$Q$1007,"OK"))</x:f>
      </x:c>
      <x:c r="X275" s="20" t="str">
        <x:f>IF(OR(A275="",I275&lt;&gt;"Esecuzioni",W275=0),"",SUMIFS('Esecuzioni'!$L$8:$L$1007,'Esecuzioni'!$A$8:$A$1007,A275))</x:f>
      </x:c>
      <x:c r="Y275" s="20" t="str">
        <x:f>IF(OR(A275="",I275&lt;&gt;"Esecuzioni",W275=0),"",SUMIFS('Esecuzioni'!$M$8:$M$1007,'Esecuzioni'!$A$8:$A$1007,A275))</x:f>
      </x:c>
      <x:c r="Z275" s="20" t="str">
        <x:f>IF(A275="","",IF(J275="Annullato",0,IF(ISNUMBER(O275),O275,IF(AND(I275="Esecuzioni",W275&gt;0),_xlfn.MAXIFS('Esecuzioni'!$P$8:$P$1007,'Esecuzioni'!$A$8:$A$1007,A275),""))))</x:f>
      </x:c>
      <x:c r="AA275" s="20" t="str">
        <x:f>IF(OR(A275="",J275="Aperto"),"",IF(J275="Annullato",0,IF(I275="Lordo manuale",IF(ISNUMBER(P275),P275,""),IF(I275="Netto manuale",IF(AND(ISNUMBER(P275),ISNUMBER(Q275)),P275+Q275,""),IF(OR(W275=0,COUNTIFS('Esecuzioni'!$A$8:$A$1007,A275,'Esecuzioni'!$Q$8:$Q$1007,"&lt;&gt;OK")&gt;0),"",IF(S275="Vince",X275,IF(S275="Perde",Y275,IF(AND(S275="Coperto",ABS(X275-Y275)&lt;='Impostazioni'!$B$11),ROUND((X275+Y275)/2,2),""))))))))</x:f>
      </x:c>
      <x:c r="AB275" s="20" t="str">
        <x:f>IF(NOT(ISNUMBER(AA275)),"",IF(J275="Annullato",0,IF(ISNUMBER(Q275),Q275,ROUND(MAX(0,AA275)*IF(ISNUMBER(R275),R275,'Impostazioni'!$B$8),2))))</x:f>
      </x:c>
      <x:c r="AC275" s="20" t="str">
        <x:f>IF(AND(ISNUMBER(AA275),ISNUMBER(AB275)),ROUND(AA275-AB275,2),"")</x:f>
      </x:c>
      <x:c r="AD275" s="18" t="str">
        <x:f>IF(A275="","",IF(AQ275&lt;&gt;"OK","Incompleto",IF(J275="Aperto","Aperto",IF(J275="Annullato","Annullato",IF(AC275&gt;0,"Green",IF(AC275&lt;0,"Red","Flat"))))))</x:f>
      </x:c>
      <x:c r="AE275" s="21" t="str">
        <x:f>IF(AND(AH275=1,Z275&gt;0),AC275/Z275,"")</x:f>
      </x:c>
      <x:c r="AF275" s="22" t="str">
        <x:f>IF(AH275&lt;&gt;1,"",COUNTIFS($C$8:$C$507,"&lt;"&amp;C275,$AH$8:$AH$507,1)+COUNTIFS($C$8:$C$507,C275,$A$8:$A$507,"&lt;="&amp;A275,$AH$8:$AH$507,1))</x:f>
      </x:c>
      <x:c r="AG275" s="20" t="str">
        <x:f>IF(AH275&lt;&gt;1,"",SUMIFS($AC$8:$AC$507,$C$8:$C$507,"&lt;"&amp;C275,$AH$8:$AH$507,1)+SUMIFS($AC$8:$AC$507,$C$8:$C$507,C275,$A$8:$A$507,"&lt;="&amp;A275,$AH$8:$AH$507,1))</x:f>
      </x:c>
      <x:c r="AH275" s="22" t="str">
        <x:f>IF(A275="","",IF(AND(J275="Chiuso",AQ275="OK",ISNUMBER(AC275)),1,0))</x:f>
      </x:c>
      <x:c r="AI275" s="20" t="str">
        <x:f>IF(AH275&lt;&gt;1,"",MAX(0,_xlfn.MAXIFS($AG$8:$AG$507,$AF$8:$AF$507,"&lt;="&amp;AF275,$AH$8:$AH$507,1)))</x:f>
      </x:c>
      <x:c r="AJ275" s="20" t="str">
        <x:f>IF(AH275&lt;&gt;1,"",MAX(0,AI275-AG275))</x:f>
      </x:c>
      <x:c r="AK275" s="21" t="str">
        <x:f>IF(OR(AH275&lt;&gt;1,NOT(ISNUMBER('Impostazioni'!$B$6)),'Impostazioni'!$B$6+AI275&lt;=0),"",AJ275/('Impostazioni'!$B$6+AI275))</x:f>
      </x:c>
      <x:c r="AL275" s="22" t="str">
        <x:f>IF(AH275&lt;&gt;1,"",IF(AC275&gt;0,AF275-_xlfn.MAXIFS($AF$8:$AF$507,$AF$8:$AF$507,"&lt;="&amp;AF275,$AC$8:$AC$507,"&lt;=0",$AH$8:$AH$507,1),0))</x:f>
      </x:c>
      <x:c r="AM275" s="22" t="str">
        <x:f>IF(AH275&lt;&gt;1,"",IF(AC275&lt;0,AF275-_xlfn.MAXIFS($AF$8:$AF$507,$AF$8:$AF$507,"&lt;="&amp;AF275,$AC$8:$AC$507,"&gt;=0",$AH$8:$AH$507,1),0))</x:f>
      </x:c>
      <x:c r="AN275" s="20" t="str">
        <x:f>IF(OR(A275="",NOT(ISNUMBER(B275)),NOT(ISNUMBER('Impostazioni'!$B$6))),"",'Impostazioni'!$B$6+SUMIFS($AC$8:$AC$507,$C$8:$C$507,"&lt;"&amp;B275,$AH$8:$AH$507,1)+SUMIFS('Cassa'!$F$8:$F$307,'Cassa'!$A$8:$A$307,"&lt;="&amp;B275,'Cassa'!$G$8:$G$307,"OK"))</x:f>
      </x:c>
      <x:c r="AO275" s="21" t="str">
        <x:f>IF(AND(ISNUMBER(Z275),ISNUMBER(AN275),AN275&gt;0),Z275/AN275,"")</x:f>
      </x:c>
      <x:c r="AP275" s="18" t="str">
        <x:f>IF(NOT(ISNUMBER(AO275)),"",IF(AO275&gt;'Impostazioni'!$B$7,"Oltre soglia personale","Nella soglia personale"))</x:f>
      </x:c>
      <x:c r="AQ275" s="18" t="str">
        <x:f>IF(A275="",IF(COUNTA(B275:V275)=0,"","Inserisci ID"),IF(COUNTIFS($A$8:$A$507,A275)&lt;&gt;1,"ID duplicato",IF(OR(NOT(ISNUMBER(B275)),D275="",E275="",F275="",G275="",H275="",COUNTIFS('Impostazioni'!$J$6:$J$25,F275)&lt;&gt;1),"Completa dati / elenchi",IF(OR(AND(I275&lt;&gt;"Lordo manuale",I275&lt;&gt;"Netto manuale",I275&lt;&gt;"Esecuzioni"),AND(J275&lt;&gt;"Aperto",J275&lt;&gt;"Chiuso",J275&lt;&gt;"Annullato")),"Modalità / stato mancanti",IF(AND(J275&lt;&gt;"Aperto",OR(NOT(ISNUMBER(C275)),C275&lt;B275)),"Correggi data chiusura",IF(OR(AND(Q275&lt;&gt;"",OR(NOT(ISNUMBER(Q275)),Q275&lt;0)),AND(R275&lt;&gt;"",OR(NOT(ISNUMBER(R275)),R275&lt;0,R275&gt;1))),"Commissione non valida",IF(J275="Annullato","OK",IF(OR(NOT(ISNUMBER(Z275)),Z275&lt;0,AND(O275&lt;&gt;"",NOT(ISNUMBER(O275)))),"Inserisci rischio",IF(AND(I275="Esecuzioni",OR(W275=0,COUNTIFS('Esecuzioni'!$A$8:$A$1007,A275,'Esecuzioni'!$Q$8:$Q$1007,"&lt;&gt;OK")&gt;0)),"Correggi esecuzioni",IF(J275="Aperto","OK",IF(AND(I275="Esecuzioni",S275="Coperto",ABS(X275-Y275)&gt;'Impostazioni'!$B$11),"Copertura residua",IF(NOT(ISNUMBER(AC275)),"Completa risultato / esito",IF(AND(Z275=0,AC275&lt;&gt;0),"Rischio nullo con P/L","OK")))))))))))))</x:f>
      </x:c>
      <x:c r="AR275" s="20" t="str">
        <x:f>IF(OR(A275="",J275&lt;&gt;"Aperto",AQ275&lt;&gt;"OK"),"",IF(I275="Esecuzioni",SUMIFS('Esecuzioni'!$P$8:$P$1007,'Esecuzioni'!$A$8:$A$1007,A275,'Esecuzioni'!$B$8:$B$1007,_xlfn.MAXIFS('Esecuzioni'!$B$8:$B$1007,'Esecuzioni'!$A$8:$A$1007,A275)),IF(LEFT(U275,8)="FREEBET:",0,Z275)))</x:f>
      </x:c>
      <x:c r="AS275" s="48" t="str">
        <x:f>IF(OR(A275="",E275=""),"",IF(COUNTIFS($E$8:E275,E275)=1,COUNT($AS$7:AS274)+1,""))</x:f>
      </x:c>
    </x:row>
    <x:row r="276" ht="22" customHeight="1">
      <x:c r="A276" s="7"/>
      <x:c r="B276" s="19"/>
      <x:c r="C276" s="19"/>
      <x:c r="D276" s="7"/>
      <x:c r="E276" s="7"/>
      <x:c r="F276" s="7"/>
      <x:c r="G276" s="7"/>
      <x:c r="H276" s="7"/>
      <x:c r="I276" s="7"/>
      <x:c r="J276" s="7"/>
      <x:c r="K276" s="10"/>
      <x:c r="L276" s="7"/>
      <x:c r="M276" s="10"/>
      <x:c r="N276" s="7"/>
      <x:c r="O276" s="8"/>
      <x:c r="P276" s="8"/>
      <x:c r="Q276" s="8"/>
      <x:c r="R276" s="9"/>
      <x:c r="S276" s="7"/>
      <x:c r="T276" s="7"/>
      <x:c r="U276" s="7"/>
      <x:c r="V276" s="7"/>
      <x:c r="W276" s="22" t="str">
        <x:f>IF(A276="","",COUNTIFS('Esecuzioni'!$A$8:$A$1007,A276,'Esecuzioni'!$Q$8:$Q$1007,"OK"))</x:f>
      </x:c>
      <x:c r="X276" s="20" t="str">
        <x:f>IF(OR(A276="",I276&lt;&gt;"Esecuzioni",W276=0),"",SUMIFS('Esecuzioni'!$L$8:$L$1007,'Esecuzioni'!$A$8:$A$1007,A276))</x:f>
      </x:c>
      <x:c r="Y276" s="20" t="str">
        <x:f>IF(OR(A276="",I276&lt;&gt;"Esecuzioni",W276=0),"",SUMIFS('Esecuzioni'!$M$8:$M$1007,'Esecuzioni'!$A$8:$A$1007,A276))</x:f>
      </x:c>
      <x:c r="Z276" s="20" t="str">
        <x:f>IF(A276="","",IF(J276="Annullato",0,IF(ISNUMBER(O276),O276,IF(AND(I276="Esecuzioni",W276&gt;0),_xlfn.MAXIFS('Esecuzioni'!$P$8:$P$1007,'Esecuzioni'!$A$8:$A$1007,A276),""))))</x:f>
      </x:c>
      <x:c r="AA276" s="20" t="str">
        <x:f>IF(OR(A276="",J276="Aperto"),"",IF(J276="Annullato",0,IF(I276="Lordo manuale",IF(ISNUMBER(P276),P276,""),IF(I276="Netto manuale",IF(AND(ISNUMBER(P276),ISNUMBER(Q276)),P276+Q276,""),IF(OR(W276=0,COUNTIFS('Esecuzioni'!$A$8:$A$1007,A276,'Esecuzioni'!$Q$8:$Q$1007,"&lt;&gt;OK")&gt;0),"",IF(S276="Vince",X276,IF(S276="Perde",Y276,IF(AND(S276="Coperto",ABS(X276-Y276)&lt;='Impostazioni'!$B$11),ROUND((X276+Y276)/2,2),""))))))))</x:f>
      </x:c>
      <x:c r="AB276" s="20" t="str">
        <x:f>IF(NOT(ISNUMBER(AA276)),"",IF(J276="Annullato",0,IF(ISNUMBER(Q276),Q276,ROUND(MAX(0,AA276)*IF(ISNUMBER(R276),R276,'Impostazioni'!$B$8),2))))</x:f>
      </x:c>
      <x:c r="AC276" s="20" t="str">
        <x:f>IF(AND(ISNUMBER(AA276),ISNUMBER(AB276)),ROUND(AA276-AB276,2),"")</x:f>
      </x:c>
      <x:c r="AD276" s="18" t="str">
        <x:f>IF(A276="","",IF(AQ276&lt;&gt;"OK","Incompleto",IF(J276="Aperto","Aperto",IF(J276="Annullato","Annullato",IF(AC276&gt;0,"Green",IF(AC276&lt;0,"Red","Flat"))))))</x:f>
      </x:c>
      <x:c r="AE276" s="21" t="str">
        <x:f>IF(AND(AH276=1,Z276&gt;0),AC276/Z276,"")</x:f>
      </x:c>
      <x:c r="AF276" s="22" t="str">
        <x:f>IF(AH276&lt;&gt;1,"",COUNTIFS($C$8:$C$507,"&lt;"&amp;C276,$AH$8:$AH$507,1)+COUNTIFS($C$8:$C$507,C276,$A$8:$A$507,"&lt;="&amp;A276,$AH$8:$AH$507,1))</x:f>
      </x:c>
      <x:c r="AG276" s="20" t="str">
        <x:f>IF(AH276&lt;&gt;1,"",SUMIFS($AC$8:$AC$507,$C$8:$C$507,"&lt;"&amp;C276,$AH$8:$AH$507,1)+SUMIFS($AC$8:$AC$507,$C$8:$C$507,C276,$A$8:$A$507,"&lt;="&amp;A276,$AH$8:$AH$507,1))</x:f>
      </x:c>
      <x:c r="AH276" s="22" t="str">
        <x:f>IF(A276="","",IF(AND(J276="Chiuso",AQ276="OK",ISNUMBER(AC276)),1,0))</x:f>
      </x:c>
      <x:c r="AI276" s="20" t="str">
        <x:f>IF(AH276&lt;&gt;1,"",MAX(0,_xlfn.MAXIFS($AG$8:$AG$507,$AF$8:$AF$507,"&lt;="&amp;AF276,$AH$8:$AH$507,1)))</x:f>
      </x:c>
      <x:c r="AJ276" s="20" t="str">
        <x:f>IF(AH276&lt;&gt;1,"",MAX(0,AI276-AG276))</x:f>
      </x:c>
      <x:c r="AK276" s="21" t="str">
        <x:f>IF(OR(AH276&lt;&gt;1,NOT(ISNUMBER('Impostazioni'!$B$6)),'Impostazioni'!$B$6+AI276&lt;=0),"",AJ276/('Impostazioni'!$B$6+AI276))</x:f>
      </x:c>
      <x:c r="AL276" s="22" t="str">
        <x:f>IF(AH276&lt;&gt;1,"",IF(AC276&gt;0,AF276-_xlfn.MAXIFS($AF$8:$AF$507,$AF$8:$AF$507,"&lt;="&amp;AF276,$AC$8:$AC$507,"&lt;=0",$AH$8:$AH$507,1),0))</x:f>
      </x:c>
      <x:c r="AM276" s="22" t="str">
        <x:f>IF(AH276&lt;&gt;1,"",IF(AC276&lt;0,AF276-_xlfn.MAXIFS($AF$8:$AF$507,$AF$8:$AF$507,"&lt;="&amp;AF276,$AC$8:$AC$507,"&gt;=0",$AH$8:$AH$507,1),0))</x:f>
      </x:c>
      <x:c r="AN276" s="20" t="str">
        <x:f>IF(OR(A276="",NOT(ISNUMBER(B276)),NOT(ISNUMBER('Impostazioni'!$B$6))),"",'Impostazioni'!$B$6+SUMIFS($AC$8:$AC$507,$C$8:$C$507,"&lt;"&amp;B276,$AH$8:$AH$507,1)+SUMIFS('Cassa'!$F$8:$F$307,'Cassa'!$A$8:$A$307,"&lt;="&amp;B276,'Cassa'!$G$8:$G$307,"OK"))</x:f>
      </x:c>
      <x:c r="AO276" s="21" t="str">
        <x:f>IF(AND(ISNUMBER(Z276),ISNUMBER(AN276),AN276&gt;0),Z276/AN276,"")</x:f>
      </x:c>
      <x:c r="AP276" s="18" t="str">
        <x:f>IF(NOT(ISNUMBER(AO276)),"",IF(AO276&gt;'Impostazioni'!$B$7,"Oltre soglia personale","Nella soglia personale"))</x:f>
      </x:c>
      <x:c r="AQ276" s="18" t="str">
        <x:f>IF(A276="",IF(COUNTA(B276:V276)=0,"","Inserisci ID"),IF(COUNTIFS($A$8:$A$507,A276)&lt;&gt;1,"ID duplicato",IF(OR(NOT(ISNUMBER(B276)),D276="",E276="",F276="",G276="",H276="",COUNTIFS('Impostazioni'!$J$6:$J$25,F276)&lt;&gt;1),"Completa dati / elenchi",IF(OR(AND(I276&lt;&gt;"Lordo manuale",I276&lt;&gt;"Netto manuale",I276&lt;&gt;"Esecuzioni"),AND(J276&lt;&gt;"Aperto",J276&lt;&gt;"Chiuso",J276&lt;&gt;"Annullato")),"Modalità / stato mancanti",IF(AND(J276&lt;&gt;"Aperto",OR(NOT(ISNUMBER(C276)),C276&lt;B276)),"Correggi data chiusura",IF(OR(AND(Q276&lt;&gt;"",OR(NOT(ISNUMBER(Q276)),Q276&lt;0)),AND(R276&lt;&gt;"",OR(NOT(ISNUMBER(R276)),R276&lt;0,R276&gt;1))),"Commissione non valida",IF(J276="Annullato","OK",IF(OR(NOT(ISNUMBER(Z276)),Z276&lt;0,AND(O276&lt;&gt;"",NOT(ISNUMBER(O276)))),"Inserisci rischio",IF(AND(I276="Esecuzioni",OR(W276=0,COUNTIFS('Esecuzioni'!$A$8:$A$1007,A276,'Esecuzioni'!$Q$8:$Q$1007,"&lt;&gt;OK")&gt;0)),"Correggi esecuzioni",IF(J276="Aperto","OK",IF(AND(I276="Esecuzioni",S276="Coperto",ABS(X276-Y276)&gt;'Impostazioni'!$B$11),"Copertura residua",IF(NOT(ISNUMBER(AC276)),"Completa risultato / esito",IF(AND(Z276=0,AC276&lt;&gt;0),"Rischio nullo con P/L","OK")))))))))))))</x:f>
      </x:c>
      <x:c r="AR276" s="20" t="str">
        <x:f>IF(OR(A276="",J276&lt;&gt;"Aperto",AQ276&lt;&gt;"OK"),"",IF(I276="Esecuzioni",SUMIFS('Esecuzioni'!$P$8:$P$1007,'Esecuzioni'!$A$8:$A$1007,A276,'Esecuzioni'!$B$8:$B$1007,_xlfn.MAXIFS('Esecuzioni'!$B$8:$B$1007,'Esecuzioni'!$A$8:$A$1007,A276)),IF(LEFT(U276,8)="FREEBET:",0,Z276)))</x:f>
      </x:c>
      <x:c r="AS276" s="48" t="str">
        <x:f>IF(OR(A276="",E276=""),"",IF(COUNTIFS($E$8:E276,E276)=1,COUNT($AS$7:AS275)+1,""))</x:f>
      </x:c>
    </x:row>
    <x:row r="277" ht="22" customHeight="1">
      <x:c r="A277" s="7"/>
      <x:c r="B277" s="19"/>
      <x:c r="C277" s="19"/>
      <x:c r="D277" s="7"/>
      <x:c r="E277" s="7"/>
      <x:c r="F277" s="7"/>
      <x:c r="G277" s="7"/>
      <x:c r="H277" s="7"/>
      <x:c r="I277" s="7"/>
      <x:c r="J277" s="7"/>
      <x:c r="K277" s="10"/>
      <x:c r="L277" s="7"/>
      <x:c r="M277" s="10"/>
      <x:c r="N277" s="7"/>
      <x:c r="O277" s="8"/>
      <x:c r="P277" s="8"/>
      <x:c r="Q277" s="8"/>
      <x:c r="R277" s="9"/>
      <x:c r="S277" s="7"/>
      <x:c r="T277" s="7"/>
      <x:c r="U277" s="7"/>
      <x:c r="V277" s="7"/>
      <x:c r="W277" s="22" t="str">
        <x:f>IF(A277="","",COUNTIFS('Esecuzioni'!$A$8:$A$1007,A277,'Esecuzioni'!$Q$8:$Q$1007,"OK"))</x:f>
      </x:c>
      <x:c r="X277" s="20" t="str">
        <x:f>IF(OR(A277="",I277&lt;&gt;"Esecuzioni",W277=0),"",SUMIFS('Esecuzioni'!$L$8:$L$1007,'Esecuzioni'!$A$8:$A$1007,A277))</x:f>
      </x:c>
      <x:c r="Y277" s="20" t="str">
        <x:f>IF(OR(A277="",I277&lt;&gt;"Esecuzioni",W277=0),"",SUMIFS('Esecuzioni'!$M$8:$M$1007,'Esecuzioni'!$A$8:$A$1007,A277))</x:f>
      </x:c>
      <x:c r="Z277" s="20" t="str">
        <x:f>IF(A277="","",IF(J277="Annullato",0,IF(ISNUMBER(O277),O277,IF(AND(I277="Esecuzioni",W277&gt;0),_xlfn.MAXIFS('Esecuzioni'!$P$8:$P$1007,'Esecuzioni'!$A$8:$A$1007,A277),""))))</x:f>
      </x:c>
      <x:c r="AA277" s="20" t="str">
        <x:f>IF(OR(A277="",J277="Aperto"),"",IF(J277="Annullato",0,IF(I277="Lordo manuale",IF(ISNUMBER(P277),P277,""),IF(I277="Netto manuale",IF(AND(ISNUMBER(P277),ISNUMBER(Q277)),P277+Q277,""),IF(OR(W277=0,COUNTIFS('Esecuzioni'!$A$8:$A$1007,A277,'Esecuzioni'!$Q$8:$Q$1007,"&lt;&gt;OK")&gt;0),"",IF(S277="Vince",X277,IF(S277="Perde",Y277,IF(AND(S277="Coperto",ABS(X277-Y277)&lt;='Impostazioni'!$B$11),ROUND((X277+Y277)/2,2),""))))))))</x:f>
      </x:c>
      <x:c r="AB277" s="20" t="str">
        <x:f>IF(NOT(ISNUMBER(AA277)),"",IF(J277="Annullato",0,IF(ISNUMBER(Q277),Q277,ROUND(MAX(0,AA277)*IF(ISNUMBER(R277),R277,'Impostazioni'!$B$8),2))))</x:f>
      </x:c>
      <x:c r="AC277" s="20" t="str">
        <x:f>IF(AND(ISNUMBER(AA277),ISNUMBER(AB277)),ROUND(AA277-AB277,2),"")</x:f>
      </x:c>
      <x:c r="AD277" s="18" t="str">
        <x:f>IF(A277="","",IF(AQ277&lt;&gt;"OK","Incompleto",IF(J277="Aperto","Aperto",IF(J277="Annullato","Annullato",IF(AC277&gt;0,"Green",IF(AC277&lt;0,"Red","Flat"))))))</x:f>
      </x:c>
      <x:c r="AE277" s="21" t="str">
        <x:f>IF(AND(AH277=1,Z277&gt;0),AC277/Z277,"")</x:f>
      </x:c>
      <x:c r="AF277" s="22" t="str">
        <x:f>IF(AH277&lt;&gt;1,"",COUNTIFS($C$8:$C$507,"&lt;"&amp;C277,$AH$8:$AH$507,1)+COUNTIFS($C$8:$C$507,C277,$A$8:$A$507,"&lt;="&amp;A277,$AH$8:$AH$507,1))</x:f>
      </x:c>
      <x:c r="AG277" s="20" t="str">
        <x:f>IF(AH277&lt;&gt;1,"",SUMIFS($AC$8:$AC$507,$C$8:$C$507,"&lt;"&amp;C277,$AH$8:$AH$507,1)+SUMIFS($AC$8:$AC$507,$C$8:$C$507,C277,$A$8:$A$507,"&lt;="&amp;A277,$AH$8:$AH$507,1))</x:f>
      </x:c>
      <x:c r="AH277" s="22" t="str">
        <x:f>IF(A277="","",IF(AND(J277="Chiuso",AQ277="OK",ISNUMBER(AC277)),1,0))</x:f>
      </x:c>
      <x:c r="AI277" s="20" t="str">
        <x:f>IF(AH277&lt;&gt;1,"",MAX(0,_xlfn.MAXIFS($AG$8:$AG$507,$AF$8:$AF$507,"&lt;="&amp;AF277,$AH$8:$AH$507,1)))</x:f>
      </x:c>
      <x:c r="AJ277" s="20" t="str">
        <x:f>IF(AH277&lt;&gt;1,"",MAX(0,AI277-AG277))</x:f>
      </x:c>
      <x:c r="AK277" s="21" t="str">
        <x:f>IF(OR(AH277&lt;&gt;1,NOT(ISNUMBER('Impostazioni'!$B$6)),'Impostazioni'!$B$6+AI277&lt;=0),"",AJ277/('Impostazioni'!$B$6+AI277))</x:f>
      </x:c>
      <x:c r="AL277" s="22" t="str">
        <x:f>IF(AH277&lt;&gt;1,"",IF(AC277&gt;0,AF277-_xlfn.MAXIFS($AF$8:$AF$507,$AF$8:$AF$507,"&lt;="&amp;AF277,$AC$8:$AC$507,"&lt;=0",$AH$8:$AH$507,1),0))</x:f>
      </x:c>
      <x:c r="AM277" s="22" t="str">
        <x:f>IF(AH277&lt;&gt;1,"",IF(AC277&lt;0,AF277-_xlfn.MAXIFS($AF$8:$AF$507,$AF$8:$AF$507,"&lt;="&amp;AF277,$AC$8:$AC$507,"&gt;=0",$AH$8:$AH$507,1),0))</x:f>
      </x:c>
      <x:c r="AN277" s="20" t="str">
        <x:f>IF(OR(A277="",NOT(ISNUMBER(B277)),NOT(ISNUMBER('Impostazioni'!$B$6))),"",'Impostazioni'!$B$6+SUMIFS($AC$8:$AC$507,$C$8:$C$507,"&lt;"&amp;B277,$AH$8:$AH$507,1)+SUMIFS('Cassa'!$F$8:$F$307,'Cassa'!$A$8:$A$307,"&lt;="&amp;B277,'Cassa'!$G$8:$G$307,"OK"))</x:f>
      </x:c>
      <x:c r="AO277" s="21" t="str">
        <x:f>IF(AND(ISNUMBER(Z277),ISNUMBER(AN277),AN277&gt;0),Z277/AN277,"")</x:f>
      </x:c>
      <x:c r="AP277" s="18" t="str">
        <x:f>IF(NOT(ISNUMBER(AO277)),"",IF(AO277&gt;'Impostazioni'!$B$7,"Oltre soglia personale","Nella soglia personale"))</x:f>
      </x:c>
      <x:c r="AQ277" s="18" t="str">
        <x:f>IF(A277="",IF(COUNTA(B277:V277)=0,"","Inserisci ID"),IF(COUNTIFS($A$8:$A$507,A277)&lt;&gt;1,"ID duplicato",IF(OR(NOT(ISNUMBER(B277)),D277="",E277="",F277="",G277="",H277="",COUNTIFS('Impostazioni'!$J$6:$J$25,F277)&lt;&gt;1),"Completa dati / elenchi",IF(OR(AND(I277&lt;&gt;"Lordo manuale",I277&lt;&gt;"Netto manuale",I277&lt;&gt;"Esecuzioni"),AND(J277&lt;&gt;"Aperto",J277&lt;&gt;"Chiuso",J277&lt;&gt;"Annullato")),"Modalità / stato mancanti",IF(AND(J277&lt;&gt;"Aperto",OR(NOT(ISNUMBER(C277)),C277&lt;B277)),"Correggi data chiusura",IF(OR(AND(Q277&lt;&gt;"",OR(NOT(ISNUMBER(Q277)),Q277&lt;0)),AND(R277&lt;&gt;"",OR(NOT(ISNUMBER(R277)),R277&lt;0,R277&gt;1))),"Commissione non valida",IF(J277="Annullato","OK",IF(OR(NOT(ISNUMBER(Z277)),Z277&lt;0,AND(O277&lt;&gt;"",NOT(ISNUMBER(O277)))),"Inserisci rischio",IF(AND(I277="Esecuzioni",OR(W277=0,COUNTIFS('Esecuzioni'!$A$8:$A$1007,A277,'Esecuzioni'!$Q$8:$Q$1007,"&lt;&gt;OK")&gt;0)),"Correggi esecuzioni",IF(J277="Aperto","OK",IF(AND(I277="Esecuzioni",S277="Coperto",ABS(X277-Y277)&gt;'Impostazioni'!$B$11),"Copertura residua",IF(NOT(ISNUMBER(AC277)),"Completa risultato / esito",IF(AND(Z277=0,AC277&lt;&gt;0),"Rischio nullo con P/L","OK")))))))))))))</x:f>
      </x:c>
      <x:c r="AR277" s="20" t="str">
        <x:f>IF(OR(A277="",J277&lt;&gt;"Aperto",AQ277&lt;&gt;"OK"),"",IF(I277="Esecuzioni",SUMIFS('Esecuzioni'!$P$8:$P$1007,'Esecuzioni'!$A$8:$A$1007,A277,'Esecuzioni'!$B$8:$B$1007,_xlfn.MAXIFS('Esecuzioni'!$B$8:$B$1007,'Esecuzioni'!$A$8:$A$1007,A277)),IF(LEFT(U277,8)="FREEBET:",0,Z277)))</x:f>
      </x:c>
      <x:c r="AS277" s="48" t="str">
        <x:f>IF(OR(A277="",E277=""),"",IF(COUNTIFS($E$8:E277,E277)=1,COUNT($AS$7:AS276)+1,""))</x:f>
      </x:c>
    </x:row>
    <x:row r="278" ht="22" customHeight="1">
      <x:c r="A278" s="7"/>
      <x:c r="B278" s="19"/>
      <x:c r="C278" s="19"/>
      <x:c r="D278" s="7"/>
      <x:c r="E278" s="7"/>
      <x:c r="F278" s="7"/>
      <x:c r="G278" s="7"/>
      <x:c r="H278" s="7"/>
      <x:c r="I278" s="7"/>
      <x:c r="J278" s="7"/>
      <x:c r="K278" s="10"/>
      <x:c r="L278" s="7"/>
      <x:c r="M278" s="10"/>
      <x:c r="N278" s="7"/>
      <x:c r="O278" s="8"/>
      <x:c r="P278" s="8"/>
      <x:c r="Q278" s="8"/>
      <x:c r="R278" s="9"/>
      <x:c r="S278" s="7"/>
      <x:c r="T278" s="7"/>
      <x:c r="U278" s="7"/>
      <x:c r="V278" s="7"/>
      <x:c r="W278" s="22" t="str">
        <x:f>IF(A278="","",COUNTIFS('Esecuzioni'!$A$8:$A$1007,A278,'Esecuzioni'!$Q$8:$Q$1007,"OK"))</x:f>
      </x:c>
      <x:c r="X278" s="20" t="str">
        <x:f>IF(OR(A278="",I278&lt;&gt;"Esecuzioni",W278=0),"",SUMIFS('Esecuzioni'!$L$8:$L$1007,'Esecuzioni'!$A$8:$A$1007,A278))</x:f>
      </x:c>
      <x:c r="Y278" s="20" t="str">
        <x:f>IF(OR(A278="",I278&lt;&gt;"Esecuzioni",W278=0),"",SUMIFS('Esecuzioni'!$M$8:$M$1007,'Esecuzioni'!$A$8:$A$1007,A278))</x:f>
      </x:c>
      <x:c r="Z278" s="20" t="str">
        <x:f>IF(A278="","",IF(J278="Annullato",0,IF(ISNUMBER(O278),O278,IF(AND(I278="Esecuzioni",W278&gt;0),_xlfn.MAXIFS('Esecuzioni'!$P$8:$P$1007,'Esecuzioni'!$A$8:$A$1007,A278),""))))</x:f>
      </x:c>
      <x:c r="AA278" s="20" t="str">
        <x:f>IF(OR(A278="",J278="Aperto"),"",IF(J278="Annullato",0,IF(I278="Lordo manuale",IF(ISNUMBER(P278),P278,""),IF(I278="Netto manuale",IF(AND(ISNUMBER(P278),ISNUMBER(Q278)),P278+Q278,""),IF(OR(W278=0,COUNTIFS('Esecuzioni'!$A$8:$A$1007,A278,'Esecuzioni'!$Q$8:$Q$1007,"&lt;&gt;OK")&gt;0),"",IF(S278="Vince",X278,IF(S278="Perde",Y278,IF(AND(S278="Coperto",ABS(X278-Y278)&lt;='Impostazioni'!$B$11),ROUND((X278+Y278)/2,2),""))))))))</x:f>
      </x:c>
      <x:c r="AB278" s="20" t="str">
        <x:f>IF(NOT(ISNUMBER(AA278)),"",IF(J278="Annullato",0,IF(ISNUMBER(Q278),Q278,ROUND(MAX(0,AA278)*IF(ISNUMBER(R278),R278,'Impostazioni'!$B$8),2))))</x:f>
      </x:c>
      <x:c r="AC278" s="20" t="str">
        <x:f>IF(AND(ISNUMBER(AA278),ISNUMBER(AB278)),ROUND(AA278-AB278,2),"")</x:f>
      </x:c>
      <x:c r="AD278" s="18" t="str">
        <x:f>IF(A278="","",IF(AQ278&lt;&gt;"OK","Incompleto",IF(J278="Aperto","Aperto",IF(J278="Annullato","Annullato",IF(AC278&gt;0,"Green",IF(AC278&lt;0,"Red","Flat"))))))</x:f>
      </x:c>
      <x:c r="AE278" s="21" t="str">
        <x:f>IF(AND(AH278=1,Z278&gt;0),AC278/Z278,"")</x:f>
      </x:c>
      <x:c r="AF278" s="22" t="str">
        <x:f>IF(AH278&lt;&gt;1,"",COUNTIFS($C$8:$C$507,"&lt;"&amp;C278,$AH$8:$AH$507,1)+COUNTIFS($C$8:$C$507,C278,$A$8:$A$507,"&lt;="&amp;A278,$AH$8:$AH$507,1))</x:f>
      </x:c>
      <x:c r="AG278" s="20" t="str">
        <x:f>IF(AH278&lt;&gt;1,"",SUMIFS($AC$8:$AC$507,$C$8:$C$507,"&lt;"&amp;C278,$AH$8:$AH$507,1)+SUMIFS($AC$8:$AC$507,$C$8:$C$507,C278,$A$8:$A$507,"&lt;="&amp;A278,$AH$8:$AH$507,1))</x:f>
      </x:c>
      <x:c r="AH278" s="22" t="str">
        <x:f>IF(A278="","",IF(AND(J278="Chiuso",AQ278="OK",ISNUMBER(AC278)),1,0))</x:f>
      </x:c>
      <x:c r="AI278" s="20" t="str">
        <x:f>IF(AH278&lt;&gt;1,"",MAX(0,_xlfn.MAXIFS($AG$8:$AG$507,$AF$8:$AF$507,"&lt;="&amp;AF278,$AH$8:$AH$507,1)))</x:f>
      </x:c>
      <x:c r="AJ278" s="20" t="str">
        <x:f>IF(AH278&lt;&gt;1,"",MAX(0,AI278-AG278))</x:f>
      </x:c>
      <x:c r="AK278" s="21" t="str">
        <x:f>IF(OR(AH278&lt;&gt;1,NOT(ISNUMBER('Impostazioni'!$B$6)),'Impostazioni'!$B$6+AI278&lt;=0),"",AJ278/('Impostazioni'!$B$6+AI278))</x:f>
      </x:c>
      <x:c r="AL278" s="22" t="str">
        <x:f>IF(AH278&lt;&gt;1,"",IF(AC278&gt;0,AF278-_xlfn.MAXIFS($AF$8:$AF$507,$AF$8:$AF$507,"&lt;="&amp;AF278,$AC$8:$AC$507,"&lt;=0",$AH$8:$AH$507,1),0))</x:f>
      </x:c>
      <x:c r="AM278" s="22" t="str">
        <x:f>IF(AH278&lt;&gt;1,"",IF(AC278&lt;0,AF278-_xlfn.MAXIFS($AF$8:$AF$507,$AF$8:$AF$507,"&lt;="&amp;AF278,$AC$8:$AC$507,"&gt;=0",$AH$8:$AH$507,1),0))</x:f>
      </x:c>
      <x:c r="AN278" s="20" t="str">
        <x:f>IF(OR(A278="",NOT(ISNUMBER(B278)),NOT(ISNUMBER('Impostazioni'!$B$6))),"",'Impostazioni'!$B$6+SUMIFS($AC$8:$AC$507,$C$8:$C$507,"&lt;"&amp;B278,$AH$8:$AH$507,1)+SUMIFS('Cassa'!$F$8:$F$307,'Cassa'!$A$8:$A$307,"&lt;="&amp;B278,'Cassa'!$G$8:$G$307,"OK"))</x:f>
      </x:c>
      <x:c r="AO278" s="21" t="str">
        <x:f>IF(AND(ISNUMBER(Z278),ISNUMBER(AN278),AN278&gt;0),Z278/AN278,"")</x:f>
      </x:c>
      <x:c r="AP278" s="18" t="str">
        <x:f>IF(NOT(ISNUMBER(AO278)),"",IF(AO278&gt;'Impostazioni'!$B$7,"Oltre soglia personale","Nella soglia personale"))</x:f>
      </x:c>
      <x:c r="AQ278" s="18" t="str">
        <x:f>IF(A278="",IF(COUNTA(B278:V278)=0,"","Inserisci ID"),IF(COUNTIFS($A$8:$A$507,A278)&lt;&gt;1,"ID duplicato",IF(OR(NOT(ISNUMBER(B278)),D278="",E278="",F278="",G278="",H278="",COUNTIFS('Impostazioni'!$J$6:$J$25,F278)&lt;&gt;1),"Completa dati / elenchi",IF(OR(AND(I278&lt;&gt;"Lordo manuale",I278&lt;&gt;"Netto manuale",I278&lt;&gt;"Esecuzioni"),AND(J278&lt;&gt;"Aperto",J278&lt;&gt;"Chiuso",J278&lt;&gt;"Annullato")),"Modalità / stato mancanti",IF(AND(J278&lt;&gt;"Aperto",OR(NOT(ISNUMBER(C278)),C278&lt;B278)),"Correggi data chiusura",IF(OR(AND(Q278&lt;&gt;"",OR(NOT(ISNUMBER(Q278)),Q278&lt;0)),AND(R278&lt;&gt;"",OR(NOT(ISNUMBER(R278)),R278&lt;0,R278&gt;1))),"Commissione non valida",IF(J278="Annullato","OK",IF(OR(NOT(ISNUMBER(Z278)),Z278&lt;0,AND(O278&lt;&gt;"",NOT(ISNUMBER(O278)))),"Inserisci rischio",IF(AND(I278="Esecuzioni",OR(W278=0,COUNTIFS('Esecuzioni'!$A$8:$A$1007,A278,'Esecuzioni'!$Q$8:$Q$1007,"&lt;&gt;OK")&gt;0)),"Correggi esecuzioni",IF(J278="Aperto","OK",IF(AND(I278="Esecuzioni",S278="Coperto",ABS(X278-Y278)&gt;'Impostazioni'!$B$11),"Copertura residua",IF(NOT(ISNUMBER(AC278)),"Completa risultato / esito",IF(AND(Z278=0,AC278&lt;&gt;0),"Rischio nullo con P/L","OK")))))))))))))</x:f>
      </x:c>
      <x:c r="AR278" s="20" t="str">
        <x:f>IF(OR(A278="",J278&lt;&gt;"Aperto",AQ278&lt;&gt;"OK"),"",IF(I278="Esecuzioni",SUMIFS('Esecuzioni'!$P$8:$P$1007,'Esecuzioni'!$A$8:$A$1007,A278,'Esecuzioni'!$B$8:$B$1007,_xlfn.MAXIFS('Esecuzioni'!$B$8:$B$1007,'Esecuzioni'!$A$8:$A$1007,A278)),IF(LEFT(U278,8)="FREEBET:",0,Z278)))</x:f>
      </x:c>
      <x:c r="AS278" s="48" t="str">
        <x:f>IF(OR(A278="",E278=""),"",IF(COUNTIFS($E$8:E278,E278)=1,COUNT($AS$7:AS277)+1,""))</x:f>
      </x:c>
    </x:row>
    <x:row r="279" ht="22" customHeight="1">
      <x:c r="A279" s="7"/>
      <x:c r="B279" s="19"/>
      <x:c r="C279" s="19"/>
      <x:c r="D279" s="7"/>
      <x:c r="E279" s="7"/>
      <x:c r="F279" s="7"/>
      <x:c r="G279" s="7"/>
      <x:c r="H279" s="7"/>
      <x:c r="I279" s="7"/>
      <x:c r="J279" s="7"/>
      <x:c r="K279" s="10"/>
      <x:c r="L279" s="7"/>
      <x:c r="M279" s="10"/>
      <x:c r="N279" s="7"/>
      <x:c r="O279" s="8"/>
      <x:c r="P279" s="8"/>
      <x:c r="Q279" s="8"/>
      <x:c r="R279" s="9"/>
      <x:c r="S279" s="7"/>
      <x:c r="T279" s="7"/>
      <x:c r="U279" s="7"/>
      <x:c r="V279" s="7"/>
      <x:c r="W279" s="22" t="str">
        <x:f>IF(A279="","",COUNTIFS('Esecuzioni'!$A$8:$A$1007,A279,'Esecuzioni'!$Q$8:$Q$1007,"OK"))</x:f>
      </x:c>
      <x:c r="X279" s="20" t="str">
        <x:f>IF(OR(A279="",I279&lt;&gt;"Esecuzioni",W279=0),"",SUMIFS('Esecuzioni'!$L$8:$L$1007,'Esecuzioni'!$A$8:$A$1007,A279))</x:f>
      </x:c>
      <x:c r="Y279" s="20" t="str">
        <x:f>IF(OR(A279="",I279&lt;&gt;"Esecuzioni",W279=0),"",SUMIFS('Esecuzioni'!$M$8:$M$1007,'Esecuzioni'!$A$8:$A$1007,A279))</x:f>
      </x:c>
      <x:c r="Z279" s="20" t="str">
        <x:f>IF(A279="","",IF(J279="Annullato",0,IF(ISNUMBER(O279),O279,IF(AND(I279="Esecuzioni",W279&gt;0),_xlfn.MAXIFS('Esecuzioni'!$P$8:$P$1007,'Esecuzioni'!$A$8:$A$1007,A279),""))))</x:f>
      </x:c>
      <x:c r="AA279" s="20" t="str">
        <x:f>IF(OR(A279="",J279="Aperto"),"",IF(J279="Annullato",0,IF(I279="Lordo manuale",IF(ISNUMBER(P279),P279,""),IF(I279="Netto manuale",IF(AND(ISNUMBER(P279),ISNUMBER(Q279)),P279+Q279,""),IF(OR(W279=0,COUNTIFS('Esecuzioni'!$A$8:$A$1007,A279,'Esecuzioni'!$Q$8:$Q$1007,"&lt;&gt;OK")&gt;0),"",IF(S279="Vince",X279,IF(S279="Perde",Y279,IF(AND(S279="Coperto",ABS(X279-Y279)&lt;='Impostazioni'!$B$11),ROUND((X279+Y279)/2,2),""))))))))</x:f>
      </x:c>
      <x:c r="AB279" s="20" t="str">
        <x:f>IF(NOT(ISNUMBER(AA279)),"",IF(J279="Annullato",0,IF(ISNUMBER(Q279),Q279,ROUND(MAX(0,AA279)*IF(ISNUMBER(R279),R279,'Impostazioni'!$B$8),2))))</x:f>
      </x:c>
      <x:c r="AC279" s="20" t="str">
        <x:f>IF(AND(ISNUMBER(AA279),ISNUMBER(AB279)),ROUND(AA279-AB279,2),"")</x:f>
      </x:c>
      <x:c r="AD279" s="18" t="str">
        <x:f>IF(A279="","",IF(AQ279&lt;&gt;"OK","Incompleto",IF(J279="Aperto","Aperto",IF(J279="Annullato","Annullato",IF(AC279&gt;0,"Green",IF(AC279&lt;0,"Red","Flat"))))))</x:f>
      </x:c>
      <x:c r="AE279" s="21" t="str">
        <x:f>IF(AND(AH279=1,Z279&gt;0),AC279/Z279,"")</x:f>
      </x:c>
      <x:c r="AF279" s="22" t="str">
        <x:f>IF(AH279&lt;&gt;1,"",COUNTIFS($C$8:$C$507,"&lt;"&amp;C279,$AH$8:$AH$507,1)+COUNTIFS($C$8:$C$507,C279,$A$8:$A$507,"&lt;="&amp;A279,$AH$8:$AH$507,1))</x:f>
      </x:c>
      <x:c r="AG279" s="20" t="str">
        <x:f>IF(AH279&lt;&gt;1,"",SUMIFS($AC$8:$AC$507,$C$8:$C$507,"&lt;"&amp;C279,$AH$8:$AH$507,1)+SUMIFS($AC$8:$AC$507,$C$8:$C$507,C279,$A$8:$A$507,"&lt;="&amp;A279,$AH$8:$AH$507,1))</x:f>
      </x:c>
      <x:c r="AH279" s="22" t="str">
        <x:f>IF(A279="","",IF(AND(J279="Chiuso",AQ279="OK",ISNUMBER(AC279)),1,0))</x:f>
      </x:c>
      <x:c r="AI279" s="20" t="str">
        <x:f>IF(AH279&lt;&gt;1,"",MAX(0,_xlfn.MAXIFS($AG$8:$AG$507,$AF$8:$AF$507,"&lt;="&amp;AF279,$AH$8:$AH$507,1)))</x:f>
      </x:c>
      <x:c r="AJ279" s="20" t="str">
        <x:f>IF(AH279&lt;&gt;1,"",MAX(0,AI279-AG279))</x:f>
      </x:c>
      <x:c r="AK279" s="21" t="str">
        <x:f>IF(OR(AH279&lt;&gt;1,NOT(ISNUMBER('Impostazioni'!$B$6)),'Impostazioni'!$B$6+AI279&lt;=0),"",AJ279/('Impostazioni'!$B$6+AI279))</x:f>
      </x:c>
      <x:c r="AL279" s="22" t="str">
        <x:f>IF(AH279&lt;&gt;1,"",IF(AC279&gt;0,AF279-_xlfn.MAXIFS($AF$8:$AF$507,$AF$8:$AF$507,"&lt;="&amp;AF279,$AC$8:$AC$507,"&lt;=0",$AH$8:$AH$507,1),0))</x:f>
      </x:c>
      <x:c r="AM279" s="22" t="str">
        <x:f>IF(AH279&lt;&gt;1,"",IF(AC279&lt;0,AF279-_xlfn.MAXIFS($AF$8:$AF$507,$AF$8:$AF$507,"&lt;="&amp;AF279,$AC$8:$AC$507,"&gt;=0",$AH$8:$AH$507,1),0))</x:f>
      </x:c>
      <x:c r="AN279" s="20" t="str">
        <x:f>IF(OR(A279="",NOT(ISNUMBER(B279)),NOT(ISNUMBER('Impostazioni'!$B$6))),"",'Impostazioni'!$B$6+SUMIFS($AC$8:$AC$507,$C$8:$C$507,"&lt;"&amp;B279,$AH$8:$AH$507,1)+SUMIFS('Cassa'!$F$8:$F$307,'Cassa'!$A$8:$A$307,"&lt;="&amp;B279,'Cassa'!$G$8:$G$307,"OK"))</x:f>
      </x:c>
      <x:c r="AO279" s="21" t="str">
        <x:f>IF(AND(ISNUMBER(Z279),ISNUMBER(AN279),AN279&gt;0),Z279/AN279,"")</x:f>
      </x:c>
      <x:c r="AP279" s="18" t="str">
        <x:f>IF(NOT(ISNUMBER(AO279)),"",IF(AO279&gt;'Impostazioni'!$B$7,"Oltre soglia personale","Nella soglia personale"))</x:f>
      </x:c>
      <x:c r="AQ279" s="18" t="str">
        <x:f>IF(A279="",IF(COUNTA(B279:V279)=0,"","Inserisci ID"),IF(COUNTIFS($A$8:$A$507,A279)&lt;&gt;1,"ID duplicato",IF(OR(NOT(ISNUMBER(B279)),D279="",E279="",F279="",G279="",H279="",COUNTIFS('Impostazioni'!$J$6:$J$25,F279)&lt;&gt;1),"Completa dati / elenchi",IF(OR(AND(I279&lt;&gt;"Lordo manuale",I279&lt;&gt;"Netto manuale",I279&lt;&gt;"Esecuzioni"),AND(J279&lt;&gt;"Aperto",J279&lt;&gt;"Chiuso",J279&lt;&gt;"Annullato")),"Modalità / stato mancanti",IF(AND(J279&lt;&gt;"Aperto",OR(NOT(ISNUMBER(C279)),C279&lt;B279)),"Correggi data chiusura",IF(OR(AND(Q279&lt;&gt;"",OR(NOT(ISNUMBER(Q279)),Q279&lt;0)),AND(R279&lt;&gt;"",OR(NOT(ISNUMBER(R279)),R279&lt;0,R279&gt;1))),"Commissione non valida",IF(J279="Annullato","OK",IF(OR(NOT(ISNUMBER(Z279)),Z279&lt;0,AND(O279&lt;&gt;"",NOT(ISNUMBER(O279)))),"Inserisci rischio",IF(AND(I279="Esecuzioni",OR(W279=0,COUNTIFS('Esecuzioni'!$A$8:$A$1007,A279,'Esecuzioni'!$Q$8:$Q$1007,"&lt;&gt;OK")&gt;0)),"Correggi esecuzioni",IF(J279="Aperto","OK",IF(AND(I279="Esecuzioni",S279="Coperto",ABS(X279-Y279)&gt;'Impostazioni'!$B$11),"Copertura residua",IF(NOT(ISNUMBER(AC279)),"Completa risultato / esito",IF(AND(Z279=0,AC279&lt;&gt;0),"Rischio nullo con P/L","OK")))))))))))))</x:f>
      </x:c>
      <x:c r="AR279" s="20" t="str">
        <x:f>IF(OR(A279="",J279&lt;&gt;"Aperto",AQ279&lt;&gt;"OK"),"",IF(I279="Esecuzioni",SUMIFS('Esecuzioni'!$P$8:$P$1007,'Esecuzioni'!$A$8:$A$1007,A279,'Esecuzioni'!$B$8:$B$1007,_xlfn.MAXIFS('Esecuzioni'!$B$8:$B$1007,'Esecuzioni'!$A$8:$A$1007,A279)),IF(LEFT(U279,8)="FREEBET:",0,Z279)))</x:f>
      </x:c>
      <x:c r="AS279" s="48" t="str">
        <x:f>IF(OR(A279="",E279=""),"",IF(COUNTIFS($E$8:E279,E279)=1,COUNT($AS$7:AS278)+1,""))</x:f>
      </x:c>
    </x:row>
    <x:row r="280" ht="22" customHeight="1">
      <x:c r="A280" s="7"/>
      <x:c r="B280" s="19"/>
      <x:c r="C280" s="19"/>
      <x:c r="D280" s="7"/>
      <x:c r="E280" s="7"/>
      <x:c r="F280" s="7"/>
      <x:c r="G280" s="7"/>
      <x:c r="H280" s="7"/>
      <x:c r="I280" s="7"/>
      <x:c r="J280" s="7"/>
      <x:c r="K280" s="10"/>
      <x:c r="L280" s="7"/>
      <x:c r="M280" s="10"/>
      <x:c r="N280" s="7"/>
      <x:c r="O280" s="8"/>
      <x:c r="P280" s="8"/>
      <x:c r="Q280" s="8"/>
      <x:c r="R280" s="9"/>
      <x:c r="S280" s="7"/>
      <x:c r="T280" s="7"/>
      <x:c r="U280" s="7"/>
      <x:c r="V280" s="7"/>
      <x:c r="W280" s="22" t="str">
        <x:f>IF(A280="","",COUNTIFS('Esecuzioni'!$A$8:$A$1007,A280,'Esecuzioni'!$Q$8:$Q$1007,"OK"))</x:f>
      </x:c>
      <x:c r="X280" s="20" t="str">
        <x:f>IF(OR(A280="",I280&lt;&gt;"Esecuzioni",W280=0),"",SUMIFS('Esecuzioni'!$L$8:$L$1007,'Esecuzioni'!$A$8:$A$1007,A280))</x:f>
      </x:c>
      <x:c r="Y280" s="20" t="str">
        <x:f>IF(OR(A280="",I280&lt;&gt;"Esecuzioni",W280=0),"",SUMIFS('Esecuzioni'!$M$8:$M$1007,'Esecuzioni'!$A$8:$A$1007,A280))</x:f>
      </x:c>
      <x:c r="Z280" s="20" t="str">
        <x:f>IF(A280="","",IF(J280="Annullato",0,IF(ISNUMBER(O280),O280,IF(AND(I280="Esecuzioni",W280&gt;0),_xlfn.MAXIFS('Esecuzioni'!$P$8:$P$1007,'Esecuzioni'!$A$8:$A$1007,A280),""))))</x:f>
      </x:c>
      <x:c r="AA280" s="20" t="str">
        <x:f>IF(OR(A280="",J280="Aperto"),"",IF(J280="Annullato",0,IF(I280="Lordo manuale",IF(ISNUMBER(P280),P280,""),IF(I280="Netto manuale",IF(AND(ISNUMBER(P280),ISNUMBER(Q280)),P280+Q280,""),IF(OR(W280=0,COUNTIFS('Esecuzioni'!$A$8:$A$1007,A280,'Esecuzioni'!$Q$8:$Q$1007,"&lt;&gt;OK")&gt;0),"",IF(S280="Vince",X280,IF(S280="Perde",Y280,IF(AND(S280="Coperto",ABS(X280-Y280)&lt;='Impostazioni'!$B$11),ROUND((X280+Y280)/2,2),""))))))))</x:f>
      </x:c>
      <x:c r="AB280" s="20" t="str">
        <x:f>IF(NOT(ISNUMBER(AA280)),"",IF(J280="Annullato",0,IF(ISNUMBER(Q280),Q280,ROUND(MAX(0,AA280)*IF(ISNUMBER(R280),R280,'Impostazioni'!$B$8),2))))</x:f>
      </x:c>
      <x:c r="AC280" s="20" t="str">
        <x:f>IF(AND(ISNUMBER(AA280),ISNUMBER(AB280)),ROUND(AA280-AB280,2),"")</x:f>
      </x:c>
      <x:c r="AD280" s="18" t="str">
        <x:f>IF(A280="","",IF(AQ280&lt;&gt;"OK","Incompleto",IF(J280="Aperto","Aperto",IF(J280="Annullato","Annullato",IF(AC280&gt;0,"Green",IF(AC280&lt;0,"Red","Flat"))))))</x:f>
      </x:c>
      <x:c r="AE280" s="21" t="str">
        <x:f>IF(AND(AH280=1,Z280&gt;0),AC280/Z280,"")</x:f>
      </x:c>
      <x:c r="AF280" s="22" t="str">
        <x:f>IF(AH280&lt;&gt;1,"",COUNTIFS($C$8:$C$507,"&lt;"&amp;C280,$AH$8:$AH$507,1)+COUNTIFS($C$8:$C$507,C280,$A$8:$A$507,"&lt;="&amp;A280,$AH$8:$AH$507,1))</x:f>
      </x:c>
      <x:c r="AG280" s="20" t="str">
        <x:f>IF(AH280&lt;&gt;1,"",SUMIFS($AC$8:$AC$507,$C$8:$C$507,"&lt;"&amp;C280,$AH$8:$AH$507,1)+SUMIFS($AC$8:$AC$507,$C$8:$C$507,C280,$A$8:$A$507,"&lt;="&amp;A280,$AH$8:$AH$507,1))</x:f>
      </x:c>
      <x:c r="AH280" s="22" t="str">
        <x:f>IF(A280="","",IF(AND(J280="Chiuso",AQ280="OK",ISNUMBER(AC280)),1,0))</x:f>
      </x:c>
      <x:c r="AI280" s="20" t="str">
        <x:f>IF(AH280&lt;&gt;1,"",MAX(0,_xlfn.MAXIFS($AG$8:$AG$507,$AF$8:$AF$507,"&lt;="&amp;AF280,$AH$8:$AH$507,1)))</x:f>
      </x:c>
      <x:c r="AJ280" s="20" t="str">
        <x:f>IF(AH280&lt;&gt;1,"",MAX(0,AI280-AG280))</x:f>
      </x:c>
      <x:c r="AK280" s="21" t="str">
        <x:f>IF(OR(AH280&lt;&gt;1,NOT(ISNUMBER('Impostazioni'!$B$6)),'Impostazioni'!$B$6+AI280&lt;=0),"",AJ280/('Impostazioni'!$B$6+AI280))</x:f>
      </x:c>
      <x:c r="AL280" s="22" t="str">
        <x:f>IF(AH280&lt;&gt;1,"",IF(AC280&gt;0,AF280-_xlfn.MAXIFS($AF$8:$AF$507,$AF$8:$AF$507,"&lt;="&amp;AF280,$AC$8:$AC$507,"&lt;=0",$AH$8:$AH$507,1),0))</x:f>
      </x:c>
      <x:c r="AM280" s="22" t="str">
        <x:f>IF(AH280&lt;&gt;1,"",IF(AC280&lt;0,AF280-_xlfn.MAXIFS($AF$8:$AF$507,$AF$8:$AF$507,"&lt;="&amp;AF280,$AC$8:$AC$507,"&gt;=0",$AH$8:$AH$507,1),0))</x:f>
      </x:c>
      <x:c r="AN280" s="20" t="str">
        <x:f>IF(OR(A280="",NOT(ISNUMBER(B280)),NOT(ISNUMBER('Impostazioni'!$B$6))),"",'Impostazioni'!$B$6+SUMIFS($AC$8:$AC$507,$C$8:$C$507,"&lt;"&amp;B280,$AH$8:$AH$507,1)+SUMIFS('Cassa'!$F$8:$F$307,'Cassa'!$A$8:$A$307,"&lt;="&amp;B280,'Cassa'!$G$8:$G$307,"OK"))</x:f>
      </x:c>
      <x:c r="AO280" s="21" t="str">
        <x:f>IF(AND(ISNUMBER(Z280),ISNUMBER(AN280),AN280&gt;0),Z280/AN280,"")</x:f>
      </x:c>
      <x:c r="AP280" s="18" t="str">
        <x:f>IF(NOT(ISNUMBER(AO280)),"",IF(AO280&gt;'Impostazioni'!$B$7,"Oltre soglia personale","Nella soglia personale"))</x:f>
      </x:c>
      <x:c r="AQ280" s="18" t="str">
        <x:f>IF(A280="",IF(COUNTA(B280:V280)=0,"","Inserisci ID"),IF(COUNTIFS($A$8:$A$507,A280)&lt;&gt;1,"ID duplicato",IF(OR(NOT(ISNUMBER(B280)),D280="",E280="",F280="",G280="",H280="",COUNTIFS('Impostazioni'!$J$6:$J$25,F280)&lt;&gt;1),"Completa dati / elenchi",IF(OR(AND(I280&lt;&gt;"Lordo manuale",I280&lt;&gt;"Netto manuale",I280&lt;&gt;"Esecuzioni"),AND(J280&lt;&gt;"Aperto",J280&lt;&gt;"Chiuso",J280&lt;&gt;"Annullato")),"Modalità / stato mancanti",IF(AND(J280&lt;&gt;"Aperto",OR(NOT(ISNUMBER(C280)),C280&lt;B280)),"Correggi data chiusura",IF(OR(AND(Q280&lt;&gt;"",OR(NOT(ISNUMBER(Q280)),Q280&lt;0)),AND(R280&lt;&gt;"",OR(NOT(ISNUMBER(R280)),R280&lt;0,R280&gt;1))),"Commissione non valida",IF(J280="Annullato","OK",IF(OR(NOT(ISNUMBER(Z280)),Z280&lt;0,AND(O280&lt;&gt;"",NOT(ISNUMBER(O280)))),"Inserisci rischio",IF(AND(I280="Esecuzioni",OR(W280=0,COUNTIFS('Esecuzioni'!$A$8:$A$1007,A280,'Esecuzioni'!$Q$8:$Q$1007,"&lt;&gt;OK")&gt;0)),"Correggi esecuzioni",IF(J280="Aperto","OK",IF(AND(I280="Esecuzioni",S280="Coperto",ABS(X280-Y280)&gt;'Impostazioni'!$B$11),"Copertura residua",IF(NOT(ISNUMBER(AC280)),"Completa risultato / esito",IF(AND(Z280=0,AC280&lt;&gt;0),"Rischio nullo con P/L","OK")))))))))))))</x:f>
      </x:c>
      <x:c r="AR280" s="20" t="str">
        <x:f>IF(OR(A280="",J280&lt;&gt;"Aperto",AQ280&lt;&gt;"OK"),"",IF(I280="Esecuzioni",SUMIFS('Esecuzioni'!$P$8:$P$1007,'Esecuzioni'!$A$8:$A$1007,A280,'Esecuzioni'!$B$8:$B$1007,_xlfn.MAXIFS('Esecuzioni'!$B$8:$B$1007,'Esecuzioni'!$A$8:$A$1007,A280)),IF(LEFT(U280,8)="FREEBET:",0,Z280)))</x:f>
      </x:c>
      <x:c r="AS280" s="48" t="str">
        <x:f>IF(OR(A280="",E280=""),"",IF(COUNTIFS($E$8:E280,E280)=1,COUNT($AS$7:AS279)+1,""))</x:f>
      </x:c>
    </x:row>
    <x:row r="281" ht="22" customHeight="1">
      <x:c r="A281" s="7"/>
      <x:c r="B281" s="19"/>
      <x:c r="C281" s="19"/>
      <x:c r="D281" s="7"/>
      <x:c r="E281" s="7"/>
      <x:c r="F281" s="7"/>
      <x:c r="G281" s="7"/>
      <x:c r="H281" s="7"/>
      <x:c r="I281" s="7"/>
      <x:c r="J281" s="7"/>
      <x:c r="K281" s="10"/>
      <x:c r="L281" s="7"/>
      <x:c r="M281" s="10"/>
      <x:c r="N281" s="7"/>
      <x:c r="O281" s="8"/>
      <x:c r="P281" s="8"/>
      <x:c r="Q281" s="8"/>
      <x:c r="R281" s="9"/>
      <x:c r="S281" s="7"/>
      <x:c r="T281" s="7"/>
      <x:c r="U281" s="7"/>
      <x:c r="V281" s="7"/>
      <x:c r="W281" s="22" t="str">
        <x:f>IF(A281="","",COUNTIFS('Esecuzioni'!$A$8:$A$1007,A281,'Esecuzioni'!$Q$8:$Q$1007,"OK"))</x:f>
      </x:c>
      <x:c r="X281" s="20" t="str">
        <x:f>IF(OR(A281="",I281&lt;&gt;"Esecuzioni",W281=0),"",SUMIFS('Esecuzioni'!$L$8:$L$1007,'Esecuzioni'!$A$8:$A$1007,A281))</x:f>
      </x:c>
      <x:c r="Y281" s="20" t="str">
        <x:f>IF(OR(A281="",I281&lt;&gt;"Esecuzioni",W281=0),"",SUMIFS('Esecuzioni'!$M$8:$M$1007,'Esecuzioni'!$A$8:$A$1007,A281))</x:f>
      </x:c>
      <x:c r="Z281" s="20" t="str">
        <x:f>IF(A281="","",IF(J281="Annullato",0,IF(ISNUMBER(O281),O281,IF(AND(I281="Esecuzioni",W281&gt;0),_xlfn.MAXIFS('Esecuzioni'!$P$8:$P$1007,'Esecuzioni'!$A$8:$A$1007,A281),""))))</x:f>
      </x:c>
      <x:c r="AA281" s="20" t="str">
        <x:f>IF(OR(A281="",J281="Aperto"),"",IF(J281="Annullato",0,IF(I281="Lordo manuale",IF(ISNUMBER(P281),P281,""),IF(I281="Netto manuale",IF(AND(ISNUMBER(P281),ISNUMBER(Q281)),P281+Q281,""),IF(OR(W281=0,COUNTIFS('Esecuzioni'!$A$8:$A$1007,A281,'Esecuzioni'!$Q$8:$Q$1007,"&lt;&gt;OK")&gt;0),"",IF(S281="Vince",X281,IF(S281="Perde",Y281,IF(AND(S281="Coperto",ABS(X281-Y281)&lt;='Impostazioni'!$B$11),ROUND((X281+Y281)/2,2),""))))))))</x:f>
      </x:c>
      <x:c r="AB281" s="20" t="str">
        <x:f>IF(NOT(ISNUMBER(AA281)),"",IF(J281="Annullato",0,IF(ISNUMBER(Q281),Q281,ROUND(MAX(0,AA281)*IF(ISNUMBER(R281),R281,'Impostazioni'!$B$8),2))))</x:f>
      </x:c>
      <x:c r="AC281" s="20" t="str">
        <x:f>IF(AND(ISNUMBER(AA281),ISNUMBER(AB281)),ROUND(AA281-AB281,2),"")</x:f>
      </x:c>
      <x:c r="AD281" s="18" t="str">
        <x:f>IF(A281="","",IF(AQ281&lt;&gt;"OK","Incompleto",IF(J281="Aperto","Aperto",IF(J281="Annullato","Annullato",IF(AC281&gt;0,"Green",IF(AC281&lt;0,"Red","Flat"))))))</x:f>
      </x:c>
      <x:c r="AE281" s="21" t="str">
        <x:f>IF(AND(AH281=1,Z281&gt;0),AC281/Z281,"")</x:f>
      </x:c>
      <x:c r="AF281" s="22" t="str">
        <x:f>IF(AH281&lt;&gt;1,"",COUNTIFS($C$8:$C$507,"&lt;"&amp;C281,$AH$8:$AH$507,1)+COUNTIFS($C$8:$C$507,C281,$A$8:$A$507,"&lt;="&amp;A281,$AH$8:$AH$507,1))</x:f>
      </x:c>
      <x:c r="AG281" s="20" t="str">
        <x:f>IF(AH281&lt;&gt;1,"",SUMIFS($AC$8:$AC$507,$C$8:$C$507,"&lt;"&amp;C281,$AH$8:$AH$507,1)+SUMIFS($AC$8:$AC$507,$C$8:$C$507,C281,$A$8:$A$507,"&lt;="&amp;A281,$AH$8:$AH$507,1))</x:f>
      </x:c>
      <x:c r="AH281" s="22" t="str">
        <x:f>IF(A281="","",IF(AND(J281="Chiuso",AQ281="OK",ISNUMBER(AC281)),1,0))</x:f>
      </x:c>
      <x:c r="AI281" s="20" t="str">
        <x:f>IF(AH281&lt;&gt;1,"",MAX(0,_xlfn.MAXIFS($AG$8:$AG$507,$AF$8:$AF$507,"&lt;="&amp;AF281,$AH$8:$AH$507,1)))</x:f>
      </x:c>
      <x:c r="AJ281" s="20" t="str">
        <x:f>IF(AH281&lt;&gt;1,"",MAX(0,AI281-AG281))</x:f>
      </x:c>
      <x:c r="AK281" s="21" t="str">
        <x:f>IF(OR(AH281&lt;&gt;1,NOT(ISNUMBER('Impostazioni'!$B$6)),'Impostazioni'!$B$6+AI281&lt;=0),"",AJ281/('Impostazioni'!$B$6+AI281))</x:f>
      </x:c>
      <x:c r="AL281" s="22" t="str">
        <x:f>IF(AH281&lt;&gt;1,"",IF(AC281&gt;0,AF281-_xlfn.MAXIFS($AF$8:$AF$507,$AF$8:$AF$507,"&lt;="&amp;AF281,$AC$8:$AC$507,"&lt;=0",$AH$8:$AH$507,1),0))</x:f>
      </x:c>
      <x:c r="AM281" s="22" t="str">
        <x:f>IF(AH281&lt;&gt;1,"",IF(AC281&lt;0,AF281-_xlfn.MAXIFS($AF$8:$AF$507,$AF$8:$AF$507,"&lt;="&amp;AF281,$AC$8:$AC$507,"&gt;=0",$AH$8:$AH$507,1),0))</x:f>
      </x:c>
      <x:c r="AN281" s="20" t="str">
        <x:f>IF(OR(A281="",NOT(ISNUMBER(B281)),NOT(ISNUMBER('Impostazioni'!$B$6))),"",'Impostazioni'!$B$6+SUMIFS($AC$8:$AC$507,$C$8:$C$507,"&lt;"&amp;B281,$AH$8:$AH$507,1)+SUMIFS('Cassa'!$F$8:$F$307,'Cassa'!$A$8:$A$307,"&lt;="&amp;B281,'Cassa'!$G$8:$G$307,"OK"))</x:f>
      </x:c>
      <x:c r="AO281" s="21" t="str">
        <x:f>IF(AND(ISNUMBER(Z281),ISNUMBER(AN281),AN281&gt;0),Z281/AN281,"")</x:f>
      </x:c>
      <x:c r="AP281" s="18" t="str">
        <x:f>IF(NOT(ISNUMBER(AO281)),"",IF(AO281&gt;'Impostazioni'!$B$7,"Oltre soglia personale","Nella soglia personale"))</x:f>
      </x:c>
      <x:c r="AQ281" s="18" t="str">
        <x:f>IF(A281="",IF(COUNTA(B281:V281)=0,"","Inserisci ID"),IF(COUNTIFS($A$8:$A$507,A281)&lt;&gt;1,"ID duplicato",IF(OR(NOT(ISNUMBER(B281)),D281="",E281="",F281="",G281="",H281="",COUNTIFS('Impostazioni'!$J$6:$J$25,F281)&lt;&gt;1),"Completa dati / elenchi",IF(OR(AND(I281&lt;&gt;"Lordo manuale",I281&lt;&gt;"Netto manuale",I281&lt;&gt;"Esecuzioni"),AND(J281&lt;&gt;"Aperto",J281&lt;&gt;"Chiuso",J281&lt;&gt;"Annullato")),"Modalità / stato mancanti",IF(AND(J281&lt;&gt;"Aperto",OR(NOT(ISNUMBER(C281)),C281&lt;B281)),"Correggi data chiusura",IF(OR(AND(Q281&lt;&gt;"",OR(NOT(ISNUMBER(Q281)),Q281&lt;0)),AND(R281&lt;&gt;"",OR(NOT(ISNUMBER(R281)),R281&lt;0,R281&gt;1))),"Commissione non valida",IF(J281="Annullato","OK",IF(OR(NOT(ISNUMBER(Z281)),Z281&lt;0,AND(O281&lt;&gt;"",NOT(ISNUMBER(O281)))),"Inserisci rischio",IF(AND(I281="Esecuzioni",OR(W281=0,COUNTIFS('Esecuzioni'!$A$8:$A$1007,A281,'Esecuzioni'!$Q$8:$Q$1007,"&lt;&gt;OK")&gt;0)),"Correggi esecuzioni",IF(J281="Aperto","OK",IF(AND(I281="Esecuzioni",S281="Coperto",ABS(X281-Y281)&gt;'Impostazioni'!$B$11),"Copertura residua",IF(NOT(ISNUMBER(AC281)),"Completa risultato / esito",IF(AND(Z281=0,AC281&lt;&gt;0),"Rischio nullo con P/L","OK")))))))))))))</x:f>
      </x:c>
      <x:c r="AR281" s="20" t="str">
        <x:f>IF(OR(A281="",J281&lt;&gt;"Aperto",AQ281&lt;&gt;"OK"),"",IF(I281="Esecuzioni",SUMIFS('Esecuzioni'!$P$8:$P$1007,'Esecuzioni'!$A$8:$A$1007,A281,'Esecuzioni'!$B$8:$B$1007,_xlfn.MAXIFS('Esecuzioni'!$B$8:$B$1007,'Esecuzioni'!$A$8:$A$1007,A281)),IF(LEFT(U281,8)="FREEBET:",0,Z281)))</x:f>
      </x:c>
      <x:c r="AS281" s="48" t="str">
        <x:f>IF(OR(A281="",E281=""),"",IF(COUNTIFS($E$8:E281,E281)=1,COUNT($AS$7:AS280)+1,""))</x:f>
      </x:c>
    </x:row>
    <x:row r="282" ht="22" customHeight="1">
      <x:c r="A282" s="7"/>
      <x:c r="B282" s="19"/>
      <x:c r="C282" s="19"/>
      <x:c r="D282" s="7"/>
      <x:c r="E282" s="7"/>
      <x:c r="F282" s="7"/>
      <x:c r="G282" s="7"/>
      <x:c r="H282" s="7"/>
      <x:c r="I282" s="7"/>
      <x:c r="J282" s="7"/>
      <x:c r="K282" s="10"/>
      <x:c r="L282" s="7"/>
      <x:c r="M282" s="10"/>
      <x:c r="N282" s="7"/>
      <x:c r="O282" s="8"/>
      <x:c r="P282" s="8"/>
      <x:c r="Q282" s="8"/>
      <x:c r="R282" s="9"/>
      <x:c r="S282" s="7"/>
      <x:c r="T282" s="7"/>
      <x:c r="U282" s="7"/>
      <x:c r="V282" s="7"/>
      <x:c r="W282" s="22" t="str">
        <x:f>IF(A282="","",COUNTIFS('Esecuzioni'!$A$8:$A$1007,A282,'Esecuzioni'!$Q$8:$Q$1007,"OK"))</x:f>
      </x:c>
      <x:c r="X282" s="20" t="str">
        <x:f>IF(OR(A282="",I282&lt;&gt;"Esecuzioni",W282=0),"",SUMIFS('Esecuzioni'!$L$8:$L$1007,'Esecuzioni'!$A$8:$A$1007,A282))</x:f>
      </x:c>
      <x:c r="Y282" s="20" t="str">
        <x:f>IF(OR(A282="",I282&lt;&gt;"Esecuzioni",W282=0),"",SUMIFS('Esecuzioni'!$M$8:$M$1007,'Esecuzioni'!$A$8:$A$1007,A282))</x:f>
      </x:c>
      <x:c r="Z282" s="20" t="str">
        <x:f>IF(A282="","",IF(J282="Annullato",0,IF(ISNUMBER(O282),O282,IF(AND(I282="Esecuzioni",W282&gt;0),_xlfn.MAXIFS('Esecuzioni'!$P$8:$P$1007,'Esecuzioni'!$A$8:$A$1007,A282),""))))</x:f>
      </x:c>
      <x:c r="AA282" s="20" t="str">
        <x:f>IF(OR(A282="",J282="Aperto"),"",IF(J282="Annullato",0,IF(I282="Lordo manuale",IF(ISNUMBER(P282),P282,""),IF(I282="Netto manuale",IF(AND(ISNUMBER(P282),ISNUMBER(Q282)),P282+Q282,""),IF(OR(W282=0,COUNTIFS('Esecuzioni'!$A$8:$A$1007,A282,'Esecuzioni'!$Q$8:$Q$1007,"&lt;&gt;OK")&gt;0),"",IF(S282="Vince",X282,IF(S282="Perde",Y282,IF(AND(S282="Coperto",ABS(X282-Y282)&lt;='Impostazioni'!$B$11),ROUND((X282+Y282)/2,2),""))))))))</x:f>
      </x:c>
      <x:c r="AB282" s="20" t="str">
        <x:f>IF(NOT(ISNUMBER(AA282)),"",IF(J282="Annullato",0,IF(ISNUMBER(Q282),Q282,ROUND(MAX(0,AA282)*IF(ISNUMBER(R282),R282,'Impostazioni'!$B$8),2))))</x:f>
      </x:c>
      <x:c r="AC282" s="20" t="str">
        <x:f>IF(AND(ISNUMBER(AA282),ISNUMBER(AB282)),ROUND(AA282-AB282,2),"")</x:f>
      </x:c>
      <x:c r="AD282" s="18" t="str">
        <x:f>IF(A282="","",IF(AQ282&lt;&gt;"OK","Incompleto",IF(J282="Aperto","Aperto",IF(J282="Annullato","Annullato",IF(AC282&gt;0,"Green",IF(AC282&lt;0,"Red","Flat"))))))</x:f>
      </x:c>
      <x:c r="AE282" s="21" t="str">
        <x:f>IF(AND(AH282=1,Z282&gt;0),AC282/Z282,"")</x:f>
      </x:c>
      <x:c r="AF282" s="22" t="str">
        <x:f>IF(AH282&lt;&gt;1,"",COUNTIFS($C$8:$C$507,"&lt;"&amp;C282,$AH$8:$AH$507,1)+COUNTIFS($C$8:$C$507,C282,$A$8:$A$507,"&lt;="&amp;A282,$AH$8:$AH$507,1))</x:f>
      </x:c>
      <x:c r="AG282" s="20" t="str">
        <x:f>IF(AH282&lt;&gt;1,"",SUMIFS($AC$8:$AC$507,$C$8:$C$507,"&lt;"&amp;C282,$AH$8:$AH$507,1)+SUMIFS($AC$8:$AC$507,$C$8:$C$507,C282,$A$8:$A$507,"&lt;="&amp;A282,$AH$8:$AH$507,1))</x:f>
      </x:c>
      <x:c r="AH282" s="22" t="str">
        <x:f>IF(A282="","",IF(AND(J282="Chiuso",AQ282="OK",ISNUMBER(AC282)),1,0))</x:f>
      </x:c>
      <x:c r="AI282" s="20" t="str">
        <x:f>IF(AH282&lt;&gt;1,"",MAX(0,_xlfn.MAXIFS($AG$8:$AG$507,$AF$8:$AF$507,"&lt;="&amp;AF282,$AH$8:$AH$507,1)))</x:f>
      </x:c>
      <x:c r="AJ282" s="20" t="str">
        <x:f>IF(AH282&lt;&gt;1,"",MAX(0,AI282-AG282))</x:f>
      </x:c>
      <x:c r="AK282" s="21" t="str">
        <x:f>IF(OR(AH282&lt;&gt;1,NOT(ISNUMBER('Impostazioni'!$B$6)),'Impostazioni'!$B$6+AI282&lt;=0),"",AJ282/('Impostazioni'!$B$6+AI282))</x:f>
      </x:c>
      <x:c r="AL282" s="22" t="str">
        <x:f>IF(AH282&lt;&gt;1,"",IF(AC282&gt;0,AF282-_xlfn.MAXIFS($AF$8:$AF$507,$AF$8:$AF$507,"&lt;="&amp;AF282,$AC$8:$AC$507,"&lt;=0",$AH$8:$AH$507,1),0))</x:f>
      </x:c>
      <x:c r="AM282" s="22" t="str">
        <x:f>IF(AH282&lt;&gt;1,"",IF(AC282&lt;0,AF282-_xlfn.MAXIFS($AF$8:$AF$507,$AF$8:$AF$507,"&lt;="&amp;AF282,$AC$8:$AC$507,"&gt;=0",$AH$8:$AH$507,1),0))</x:f>
      </x:c>
      <x:c r="AN282" s="20" t="str">
        <x:f>IF(OR(A282="",NOT(ISNUMBER(B282)),NOT(ISNUMBER('Impostazioni'!$B$6))),"",'Impostazioni'!$B$6+SUMIFS($AC$8:$AC$507,$C$8:$C$507,"&lt;"&amp;B282,$AH$8:$AH$507,1)+SUMIFS('Cassa'!$F$8:$F$307,'Cassa'!$A$8:$A$307,"&lt;="&amp;B282,'Cassa'!$G$8:$G$307,"OK"))</x:f>
      </x:c>
      <x:c r="AO282" s="21" t="str">
        <x:f>IF(AND(ISNUMBER(Z282),ISNUMBER(AN282),AN282&gt;0),Z282/AN282,"")</x:f>
      </x:c>
      <x:c r="AP282" s="18" t="str">
        <x:f>IF(NOT(ISNUMBER(AO282)),"",IF(AO282&gt;'Impostazioni'!$B$7,"Oltre soglia personale","Nella soglia personale"))</x:f>
      </x:c>
      <x:c r="AQ282" s="18" t="str">
        <x:f>IF(A282="",IF(COUNTA(B282:V282)=0,"","Inserisci ID"),IF(COUNTIFS($A$8:$A$507,A282)&lt;&gt;1,"ID duplicato",IF(OR(NOT(ISNUMBER(B282)),D282="",E282="",F282="",G282="",H282="",COUNTIFS('Impostazioni'!$J$6:$J$25,F282)&lt;&gt;1),"Completa dati / elenchi",IF(OR(AND(I282&lt;&gt;"Lordo manuale",I282&lt;&gt;"Netto manuale",I282&lt;&gt;"Esecuzioni"),AND(J282&lt;&gt;"Aperto",J282&lt;&gt;"Chiuso",J282&lt;&gt;"Annullato")),"Modalità / stato mancanti",IF(AND(J282&lt;&gt;"Aperto",OR(NOT(ISNUMBER(C282)),C282&lt;B282)),"Correggi data chiusura",IF(OR(AND(Q282&lt;&gt;"",OR(NOT(ISNUMBER(Q282)),Q282&lt;0)),AND(R282&lt;&gt;"",OR(NOT(ISNUMBER(R282)),R282&lt;0,R282&gt;1))),"Commissione non valida",IF(J282="Annullato","OK",IF(OR(NOT(ISNUMBER(Z282)),Z282&lt;0,AND(O282&lt;&gt;"",NOT(ISNUMBER(O282)))),"Inserisci rischio",IF(AND(I282="Esecuzioni",OR(W282=0,COUNTIFS('Esecuzioni'!$A$8:$A$1007,A282,'Esecuzioni'!$Q$8:$Q$1007,"&lt;&gt;OK")&gt;0)),"Correggi esecuzioni",IF(J282="Aperto","OK",IF(AND(I282="Esecuzioni",S282="Coperto",ABS(X282-Y282)&gt;'Impostazioni'!$B$11),"Copertura residua",IF(NOT(ISNUMBER(AC282)),"Completa risultato / esito",IF(AND(Z282=0,AC282&lt;&gt;0),"Rischio nullo con P/L","OK")))))))))))))</x:f>
      </x:c>
      <x:c r="AR282" s="20" t="str">
        <x:f>IF(OR(A282="",J282&lt;&gt;"Aperto",AQ282&lt;&gt;"OK"),"",IF(I282="Esecuzioni",SUMIFS('Esecuzioni'!$P$8:$P$1007,'Esecuzioni'!$A$8:$A$1007,A282,'Esecuzioni'!$B$8:$B$1007,_xlfn.MAXIFS('Esecuzioni'!$B$8:$B$1007,'Esecuzioni'!$A$8:$A$1007,A282)),IF(LEFT(U282,8)="FREEBET:",0,Z282)))</x:f>
      </x:c>
      <x:c r="AS282" s="48" t="str">
        <x:f>IF(OR(A282="",E282=""),"",IF(COUNTIFS($E$8:E282,E282)=1,COUNT($AS$7:AS281)+1,""))</x:f>
      </x:c>
    </x:row>
    <x:row r="283" ht="22" customHeight="1">
      <x:c r="A283" s="7"/>
      <x:c r="B283" s="19"/>
      <x:c r="C283" s="19"/>
      <x:c r="D283" s="7"/>
      <x:c r="E283" s="7"/>
      <x:c r="F283" s="7"/>
      <x:c r="G283" s="7"/>
      <x:c r="H283" s="7"/>
      <x:c r="I283" s="7"/>
      <x:c r="J283" s="7"/>
      <x:c r="K283" s="10"/>
      <x:c r="L283" s="7"/>
      <x:c r="M283" s="10"/>
      <x:c r="N283" s="7"/>
      <x:c r="O283" s="8"/>
      <x:c r="P283" s="8"/>
      <x:c r="Q283" s="8"/>
      <x:c r="R283" s="9"/>
      <x:c r="S283" s="7"/>
      <x:c r="T283" s="7"/>
      <x:c r="U283" s="7"/>
      <x:c r="V283" s="7"/>
      <x:c r="W283" s="22" t="str">
        <x:f>IF(A283="","",COUNTIFS('Esecuzioni'!$A$8:$A$1007,A283,'Esecuzioni'!$Q$8:$Q$1007,"OK"))</x:f>
      </x:c>
      <x:c r="X283" s="20" t="str">
        <x:f>IF(OR(A283="",I283&lt;&gt;"Esecuzioni",W283=0),"",SUMIFS('Esecuzioni'!$L$8:$L$1007,'Esecuzioni'!$A$8:$A$1007,A283))</x:f>
      </x:c>
      <x:c r="Y283" s="20" t="str">
        <x:f>IF(OR(A283="",I283&lt;&gt;"Esecuzioni",W283=0),"",SUMIFS('Esecuzioni'!$M$8:$M$1007,'Esecuzioni'!$A$8:$A$1007,A283))</x:f>
      </x:c>
      <x:c r="Z283" s="20" t="str">
        <x:f>IF(A283="","",IF(J283="Annullato",0,IF(ISNUMBER(O283),O283,IF(AND(I283="Esecuzioni",W283&gt;0),_xlfn.MAXIFS('Esecuzioni'!$P$8:$P$1007,'Esecuzioni'!$A$8:$A$1007,A283),""))))</x:f>
      </x:c>
      <x:c r="AA283" s="20" t="str">
        <x:f>IF(OR(A283="",J283="Aperto"),"",IF(J283="Annullato",0,IF(I283="Lordo manuale",IF(ISNUMBER(P283),P283,""),IF(I283="Netto manuale",IF(AND(ISNUMBER(P283),ISNUMBER(Q283)),P283+Q283,""),IF(OR(W283=0,COUNTIFS('Esecuzioni'!$A$8:$A$1007,A283,'Esecuzioni'!$Q$8:$Q$1007,"&lt;&gt;OK")&gt;0),"",IF(S283="Vince",X283,IF(S283="Perde",Y283,IF(AND(S283="Coperto",ABS(X283-Y283)&lt;='Impostazioni'!$B$11),ROUND((X283+Y283)/2,2),""))))))))</x:f>
      </x:c>
      <x:c r="AB283" s="20" t="str">
        <x:f>IF(NOT(ISNUMBER(AA283)),"",IF(J283="Annullato",0,IF(ISNUMBER(Q283),Q283,ROUND(MAX(0,AA283)*IF(ISNUMBER(R283),R283,'Impostazioni'!$B$8),2))))</x:f>
      </x:c>
      <x:c r="AC283" s="20" t="str">
        <x:f>IF(AND(ISNUMBER(AA283),ISNUMBER(AB283)),ROUND(AA283-AB283,2),"")</x:f>
      </x:c>
      <x:c r="AD283" s="18" t="str">
        <x:f>IF(A283="","",IF(AQ283&lt;&gt;"OK","Incompleto",IF(J283="Aperto","Aperto",IF(J283="Annullato","Annullato",IF(AC283&gt;0,"Green",IF(AC283&lt;0,"Red","Flat"))))))</x:f>
      </x:c>
      <x:c r="AE283" s="21" t="str">
        <x:f>IF(AND(AH283=1,Z283&gt;0),AC283/Z283,"")</x:f>
      </x:c>
      <x:c r="AF283" s="22" t="str">
        <x:f>IF(AH283&lt;&gt;1,"",COUNTIFS($C$8:$C$507,"&lt;"&amp;C283,$AH$8:$AH$507,1)+COUNTIFS($C$8:$C$507,C283,$A$8:$A$507,"&lt;="&amp;A283,$AH$8:$AH$507,1))</x:f>
      </x:c>
      <x:c r="AG283" s="20" t="str">
        <x:f>IF(AH283&lt;&gt;1,"",SUMIFS($AC$8:$AC$507,$C$8:$C$507,"&lt;"&amp;C283,$AH$8:$AH$507,1)+SUMIFS($AC$8:$AC$507,$C$8:$C$507,C283,$A$8:$A$507,"&lt;="&amp;A283,$AH$8:$AH$507,1))</x:f>
      </x:c>
      <x:c r="AH283" s="22" t="str">
        <x:f>IF(A283="","",IF(AND(J283="Chiuso",AQ283="OK",ISNUMBER(AC283)),1,0))</x:f>
      </x:c>
      <x:c r="AI283" s="20" t="str">
        <x:f>IF(AH283&lt;&gt;1,"",MAX(0,_xlfn.MAXIFS($AG$8:$AG$507,$AF$8:$AF$507,"&lt;="&amp;AF283,$AH$8:$AH$507,1)))</x:f>
      </x:c>
      <x:c r="AJ283" s="20" t="str">
        <x:f>IF(AH283&lt;&gt;1,"",MAX(0,AI283-AG283))</x:f>
      </x:c>
      <x:c r="AK283" s="21" t="str">
        <x:f>IF(OR(AH283&lt;&gt;1,NOT(ISNUMBER('Impostazioni'!$B$6)),'Impostazioni'!$B$6+AI283&lt;=0),"",AJ283/('Impostazioni'!$B$6+AI283))</x:f>
      </x:c>
      <x:c r="AL283" s="22" t="str">
        <x:f>IF(AH283&lt;&gt;1,"",IF(AC283&gt;0,AF283-_xlfn.MAXIFS($AF$8:$AF$507,$AF$8:$AF$507,"&lt;="&amp;AF283,$AC$8:$AC$507,"&lt;=0",$AH$8:$AH$507,1),0))</x:f>
      </x:c>
      <x:c r="AM283" s="22" t="str">
        <x:f>IF(AH283&lt;&gt;1,"",IF(AC283&lt;0,AF283-_xlfn.MAXIFS($AF$8:$AF$507,$AF$8:$AF$507,"&lt;="&amp;AF283,$AC$8:$AC$507,"&gt;=0",$AH$8:$AH$507,1),0))</x:f>
      </x:c>
      <x:c r="AN283" s="20" t="str">
        <x:f>IF(OR(A283="",NOT(ISNUMBER(B283)),NOT(ISNUMBER('Impostazioni'!$B$6))),"",'Impostazioni'!$B$6+SUMIFS($AC$8:$AC$507,$C$8:$C$507,"&lt;"&amp;B283,$AH$8:$AH$507,1)+SUMIFS('Cassa'!$F$8:$F$307,'Cassa'!$A$8:$A$307,"&lt;="&amp;B283,'Cassa'!$G$8:$G$307,"OK"))</x:f>
      </x:c>
      <x:c r="AO283" s="21" t="str">
        <x:f>IF(AND(ISNUMBER(Z283),ISNUMBER(AN283),AN283&gt;0),Z283/AN283,"")</x:f>
      </x:c>
      <x:c r="AP283" s="18" t="str">
        <x:f>IF(NOT(ISNUMBER(AO283)),"",IF(AO283&gt;'Impostazioni'!$B$7,"Oltre soglia personale","Nella soglia personale"))</x:f>
      </x:c>
      <x:c r="AQ283" s="18" t="str">
        <x:f>IF(A283="",IF(COUNTA(B283:V283)=0,"","Inserisci ID"),IF(COUNTIFS($A$8:$A$507,A283)&lt;&gt;1,"ID duplicato",IF(OR(NOT(ISNUMBER(B283)),D283="",E283="",F283="",G283="",H283="",COUNTIFS('Impostazioni'!$J$6:$J$25,F283)&lt;&gt;1),"Completa dati / elenchi",IF(OR(AND(I283&lt;&gt;"Lordo manuale",I283&lt;&gt;"Netto manuale",I283&lt;&gt;"Esecuzioni"),AND(J283&lt;&gt;"Aperto",J283&lt;&gt;"Chiuso",J283&lt;&gt;"Annullato")),"Modalità / stato mancanti",IF(AND(J283&lt;&gt;"Aperto",OR(NOT(ISNUMBER(C283)),C283&lt;B283)),"Correggi data chiusura",IF(OR(AND(Q283&lt;&gt;"",OR(NOT(ISNUMBER(Q283)),Q283&lt;0)),AND(R283&lt;&gt;"",OR(NOT(ISNUMBER(R283)),R283&lt;0,R283&gt;1))),"Commissione non valida",IF(J283="Annullato","OK",IF(OR(NOT(ISNUMBER(Z283)),Z283&lt;0,AND(O283&lt;&gt;"",NOT(ISNUMBER(O283)))),"Inserisci rischio",IF(AND(I283="Esecuzioni",OR(W283=0,COUNTIFS('Esecuzioni'!$A$8:$A$1007,A283,'Esecuzioni'!$Q$8:$Q$1007,"&lt;&gt;OK")&gt;0)),"Correggi esecuzioni",IF(J283="Aperto","OK",IF(AND(I283="Esecuzioni",S283="Coperto",ABS(X283-Y283)&gt;'Impostazioni'!$B$11),"Copertura residua",IF(NOT(ISNUMBER(AC283)),"Completa risultato / esito",IF(AND(Z283=0,AC283&lt;&gt;0),"Rischio nullo con P/L","OK")))))))))))))</x:f>
      </x:c>
      <x:c r="AR283" s="20" t="str">
        <x:f>IF(OR(A283="",J283&lt;&gt;"Aperto",AQ283&lt;&gt;"OK"),"",IF(I283="Esecuzioni",SUMIFS('Esecuzioni'!$P$8:$P$1007,'Esecuzioni'!$A$8:$A$1007,A283,'Esecuzioni'!$B$8:$B$1007,_xlfn.MAXIFS('Esecuzioni'!$B$8:$B$1007,'Esecuzioni'!$A$8:$A$1007,A283)),IF(LEFT(U283,8)="FREEBET:",0,Z283)))</x:f>
      </x:c>
      <x:c r="AS283" s="48" t="str">
        <x:f>IF(OR(A283="",E283=""),"",IF(COUNTIFS($E$8:E283,E283)=1,COUNT($AS$7:AS282)+1,""))</x:f>
      </x:c>
    </x:row>
    <x:row r="284" ht="22" customHeight="1">
      <x:c r="A284" s="7"/>
      <x:c r="B284" s="19"/>
      <x:c r="C284" s="19"/>
      <x:c r="D284" s="7"/>
      <x:c r="E284" s="7"/>
      <x:c r="F284" s="7"/>
      <x:c r="G284" s="7"/>
      <x:c r="H284" s="7"/>
      <x:c r="I284" s="7"/>
      <x:c r="J284" s="7"/>
      <x:c r="K284" s="10"/>
      <x:c r="L284" s="7"/>
      <x:c r="M284" s="10"/>
      <x:c r="N284" s="7"/>
      <x:c r="O284" s="8"/>
      <x:c r="P284" s="8"/>
      <x:c r="Q284" s="8"/>
      <x:c r="R284" s="9"/>
      <x:c r="S284" s="7"/>
      <x:c r="T284" s="7"/>
      <x:c r="U284" s="7"/>
      <x:c r="V284" s="7"/>
      <x:c r="W284" s="22" t="str">
        <x:f>IF(A284="","",COUNTIFS('Esecuzioni'!$A$8:$A$1007,A284,'Esecuzioni'!$Q$8:$Q$1007,"OK"))</x:f>
      </x:c>
      <x:c r="X284" s="20" t="str">
        <x:f>IF(OR(A284="",I284&lt;&gt;"Esecuzioni",W284=0),"",SUMIFS('Esecuzioni'!$L$8:$L$1007,'Esecuzioni'!$A$8:$A$1007,A284))</x:f>
      </x:c>
      <x:c r="Y284" s="20" t="str">
        <x:f>IF(OR(A284="",I284&lt;&gt;"Esecuzioni",W284=0),"",SUMIFS('Esecuzioni'!$M$8:$M$1007,'Esecuzioni'!$A$8:$A$1007,A284))</x:f>
      </x:c>
      <x:c r="Z284" s="20" t="str">
        <x:f>IF(A284="","",IF(J284="Annullato",0,IF(ISNUMBER(O284),O284,IF(AND(I284="Esecuzioni",W284&gt;0),_xlfn.MAXIFS('Esecuzioni'!$P$8:$P$1007,'Esecuzioni'!$A$8:$A$1007,A284),""))))</x:f>
      </x:c>
      <x:c r="AA284" s="20" t="str">
        <x:f>IF(OR(A284="",J284="Aperto"),"",IF(J284="Annullato",0,IF(I284="Lordo manuale",IF(ISNUMBER(P284),P284,""),IF(I284="Netto manuale",IF(AND(ISNUMBER(P284),ISNUMBER(Q284)),P284+Q284,""),IF(OR(W284=0,COUNTIFS('Esecuzioni'!$A$8:$A$1007,A284,'Esecuzioni'!$Q$8:$Q$1007,"&lt;&gt;OK")&gt;0),"",IF(S284="Vince",X284,IF(S284="Perde",Y284,IF(AND(S284="Coperto",ABS(X284-Y284)&lt;='Impostazioni'!$B$11),ROUND((X284+Y284)/2,2),""))))))))</x:f>
      </x:c>
      <x:c r="AB284" s="20" t="str">
        <x:f>IF(NOT(ISNUMBER(AA284)),"",IF(J284="Annullato",0,IF(ISNUMBER(Q284),Q284,ROUND(MAX(0,AA284)*IF(ISNUMBER(R284),R284,'Impostazioni'!$B$8),2))))</x:f>
      </x:c>
      <x:c r="AC284" s="20" t="str">
        <x:f>IF(AND(ISNUMBER(AA284),ISNUMBER(AB284)),ROUND(AA284-AB284,2),"")</x:f>
      </x:c>
      <x:c r="AD284" s="18" t="str">
        <x:f>IF(A284="","",IF(AQ284&lt;&gt;"OK","Incompleto",IF(J284="Aperto","Aperto",IF(J284="Annullato","Annullato",IF(AC284&gt;0,"Green",IF(AC284&lt;0,"Red","Flat"))))))</x:f>
      </x:c>
      <x:c r="AE284" s="21" t="str">
        <x:f>IF(AND(AH284=1,Z284&gt;0),AC284/Z284,"")</x:f>
      </x:c>
      <x:c r="AF284" s="22" t="str">
        <x:f>IF(AH284&lt;&gt;1,"",COUNTIFS($C$8:$C$507,"&lt;"&amp;C284,$AH$8:$AH$507,1)+COUNTIFS($C$8:$C$507,C284,$A$8:$A$507,"&lt;="&amp;A284,$AH$8:$AH$507,1))</x:f>
      </x:c>
      <x:c r="AG284" s="20" t="str">
        <x:f>IF(AH284&lt;&gt;1,"",SUMIFS($AC$8:$AC$507,$C$8:$C$507,"&lt;"&amp;C284,$AH$8:$AH$507,1)+SUMIFS($AC$8:$AC$507,$C$8:$C$507,C284,$A$8:$A$507,"&lt;="&amp;A284,$AH$8:$AH$507,1))</x:f>
      </x:c>
      <x:c r="AH284" s="22" t="str">
        <x:f>IF(A284="","",IF(AND(J284="Chiuso",AQ284="OK",ISNUMBER(AC284)),1,0))</x:f>
      </x:c>
      <x:c r="AI284" s="20" t="str">
        <x:f>IF(AH284&lt;&gt;1,"",MAX(0,_xlfn.MAXIFS($AG$8:$AG$507,$AF$8:$AF$507,"&lt;="&amp;AF284,$AH$8:$AH$507,1)))</x:f>
      </x:c>
      <x:c r="AJ284" s="20" t="str">
        <x:f>IF(AH284&lt;&gt;1,"",MAX(0,AI284-AG284))</x:f>
      </x:c>
      <x:c r="AK284" s="21" t="str">
        <x:f>IF(OR(AH284&lt;&gt;1,NOT(ISNUMBER('Impostazioni'!$B$6)),'Impostazioni'!$B$6+AI284&lt;=0),"",AJ284/('Impostazioni'!$B$6+AI284))</x:f>
      </x:c>
      <x:c r="AL284" s="22" t="str">
        <x:f>IF(AH284&lt;&gt;1,"",IF(AC284&gt;0,AF284-_xlfn.MAXIFS($AF$8:$AF$507,$AF$8:$AF$507,"&lt;="&amp;AF284,$AC$8:$AC$507,"&lt;=0",$AH$8:$AH$507,1),0))</x:f>
      </x:c>
      <x:c r="AM284" s="22" t="str">
        <x:f>IF(AH284&lt;&gt;1,"",IF(AC284&lt;0,AF284-_xlfn.MAXIFS($AF$8:$AF$507,$AF$8:$AF$507,"&lt;="&amp;AF284,$AC$8:$AC$507,"&gt;=0",$AH$8:$AH$507,1),0))</x:f>
      </x:c>
      <x:c r="AN284" s="20" t="str">
        <x:f>IF(OR(A284="",NOT(ISNUMBER(B284)),NOT(ISNUMBER('Impostazioni'!$B$6))),"",'Impostazioni'!$B$6+SUMIFS($AC$8:$AC$507,$C$8:$C$507,"&lt;"&amp;B284,$AH$8:$AH$507,1)+SUMIFS('Cassa'!$F$8:$F$307,'Cassa'!$A$8:$A$307,"&lt;="&amp;B284,'Cassa'!$G$8:$G$307,"OK"))</x:f>
      </x:c>
      <x:c r="AO284" s="21" t="str">
        <x:f>IF(AND(ISNUMBER(Z284),ISNUMBER(AN284),AN284&gt;0),Z284/AN284,"")</x:f>
      </x:c>
      <x:c r="AP284" s="18" t="str">
        <x:f>IF(NOT(ISNUMBER(AO284)),"",IF(AO284&gt;'Impostazioni'!$B$7,"Oltre soglia personale","Nella soglia personale"))</x:f>
      </x:c>
      <x:c r="AQ284" s="18" t="str">
        <x:f>IF(A284="",IF(COUNTA(B284:V284)=0,"","Inserisci ID"),IF(COUNTIFS($A$8:$A$507,A284)&lt;&gt;1,"ID duplicato",IF(OR(NOT(ISNUMBER(B284)),D284="",E284="",F284="",G284="",H284="",COUNTIFS('Impostazioni'!$J$6:$J$25,F284)&lt;&gt;1),"Completa dati / elenchi",IF(OR(AND(I284&lt;&gt;"Lordo manuale",I284&lt;&gt;"Netto manuale",I284&lt;&gt;"Esecuzioni"),AND(J284&lt;&gt;"Aperto",J284&lt;&gt;"Chiuso",J284&lt;&gt;"Annullato")),"Modalità / stato mancanti",IF(AND(J284&lt;&gt;"Aperto",OR(NOT(ISNUMBER(C284)),C284&lt;B284)),"Correggi data chiusura",IF(OR(AND(Q284&lt;&gt;"",OR(NOT(ISNUMBER(Q284)),Q284&lt;0)),AND(R284&lt;&gt;"",OR(NOT(ISNUMBER(R284)),R284&lt;0,R284&gt;1))),"Commissione non valida",IF(J284="Annullato","OK",IF(OR(NOT(ISNUMBER(Z284)),Z284&lt;0,AND(O284&lt;&gt;"",NOT(ISNUMBER(O284)))),"Inserisci rischio",IF(AND(I284="Esecuzioni",OR(W284=0,COUNTIFS('Esecuzioni'!$A$8:$A$1007,A284,'Esecuzioni'!$Q$8:$Q$1007,"&lt;&gt;OK")&gt;0)),"Correggi esecuzioni",IF(J284="Aperto","OK",IF(AND(I284="Esecuzioni",S284="Coperto",ABS(X284-Y284)&gt;'Impostazioni'!$B$11),"Copertura residua",IF(NOT(ISNUMBER(AC284)),"Completa risultato / esito",IF(AND(Z284=0,AC284&lt;&gt;0),"Rischio nullo con P/L","OK")))))))))))))</x:f>
      </x:c>
      <x:c r="AR284" s="20" t="str">
        <x:f>IF(OR(A284="",J284&lt;&gt;"Aperto",AQ284&lt;&gt;"OK"),"",IF(I284="Esecuzioni",SUMIFS('Esecuzioni'!$P$8:$P$1007,'Esecuzioni'!$A$8:$A$1007,A284,'Esecuzioni'!$B$8:$B$1007,_xlfn.MAXIFS('Esecuzioni'!$B$8:$B$1007,'Esecuzioni'!$A$8:$A$1007,A284)),IF(LEFT(U284,8)="FREEBET:",0,Z284)))</x:f>
      </x:c>
      <x:c r="AS284" s="48" t="str">
        <x:f>IF(OR(A284="",E284=""),"",IF(COUNTIFS($E$8:E284,E284)=1,COUNT($AS$7:AS283)+1,""))</x:f>
      </x:c>
    </x:row>
    <x:row r="285" ht="22" customHeight="1">
      <x:c r="A285" s="7"/>
      <x:c r="B285" s="19"/>
      <x:c r="C285" s="19"/>
      <x:c r="D285" s="7"/>
      <x:c r="E285" s="7"/>
      <x:c r="F285" s="7"/>
      <x:c r="G285" s="7"/>
      <x:c r="H285" s="7"/>
      <x:c r="I285" s="7"/>
      <x:c r="J285" s="7"/>
      <x:c r="K285" s="10"/>
      <x:c r="L285" s="7"/>
      <x:c r="M285" s="10"/>
      <x:c r="N285" s="7"/>
      <x:c r="O285" s="8"/>
      <x:c r="P285" s="8"/>
      <x:c r="Q285" s="8"/>
      <x:c r="R285" s="9"/>
      <x:c r="S285" s="7"/>
      <x:c r="T285" s="7"/>
      <x:c r="U285" s="7"/>
      <x:c r="V285" s="7"/>
      <x:c r="W285" s="22" t="str">
        <x:f>IF(A285="","",COUNTIFS('Esecuzioni'!$A$8:$A$1007,A285,'Esecuzioni'!$Q$8:$Q$1007,"OK"))</x:f>
      </x:c>
      <x:c r="X285" s="20" t="str">
        <x:f>IF(OR(A285="",I285&lt;&gt;"Esecuzioni",W285=0),"",SUMIFS('Esecuzioni'!$L$8:$L$1007,'Esecuzioni'!$A$8:$A$1007,A285))</x:f>
      </x:c>
      <x:c r="Y285" s="20" t="str">
        <x:f>IF(OR(A285="",I285&lt;&gt;"Esecuzioni",W285=0),"",SUMIFS('Esecuzioni'!$M$8:$M$1007,'Esecuzioni'!$A$8:$A$1007,A285))</x:f>
      </x:c>
      <x:c r="Z285" s="20" t="str">
        <x:f>IF(A285="","",IF(J285="Annullato",0,IF(ISNUMBER(O285),O285,IF(AND(I285="Esecuzioni",W285&gt;0),_xlfn.MAXIFS('Esecuzioni'!$P$8:$P$1007,'Esecuzioni'!$A$8:$A$1007,A285),""))))</x:f>
      </x:c>
      <x:c r="AA285" s="20" t="str">
        <x:f>IF(OR(A285="",J285="Aperto"),"",IF(J285="Annullato",0,IF(I285="Lordo manuale",IF(ISNUMBER(P285),P285,""),IF(I285="Netto manuale",IF(AND(ISNUMBER(P285),ISNUMBER(Q285)),P285+Q285,""),IF(OR(W285=0,COUNTIFS('Esecuzioni'!$A$8:$A$1007,A285,'Esecuzioni'!$Q$8:$Q$1007,"&lt;&gt;OK")&gt;0),"",IF(S285="Vince",X285,IF(S285="Perde",Y285,IF(AND(S285="Coperto",ABS(X285-Y285)&lt;='Impostazioni'!$B$11),ROUND((X285+Y285)/2,2),""))))))))</x:f>
      </x:c>
      <x:c r="AB285" s="20" t="str">
        <x:f>IF(NOT(ISNUMBER(AA285)),"",IF(J285="Annullato",0,IF(ISNUMBER(Q285),Q285,ROUND(MAX(0,AA285)*IF(ISNUMBER(R285),R285,'Impostazioni'!$B$8),2))))</x:f>
      </x:c>
      <x:c r="AC285" s="20" t="str">
        <x:f>IF(AND(ISNUMBER(AA285),ISNUMBER(AB285)),ROUND(AA285-AB285,2),"")</x:f>
      </x:c>
      <x:c r="AD285" s="18" t="str">
        <x:f>IF(A285="","",IF(AQ285&lt;&gt;"OK","Incompleto",IF(J285="Aperto","Aperto",IF(J285="Annullato","Annullato",IF(AC285&gt;0,"Green",IF(AC285&lt;0,"Red","Flat"))))))</x:f>
      </x:c>
      <x:c r="AE285" s="21" t="str">
        <x:f>IF(AND(AH285=1,Z285&gt;0),AC285/Z285,"")</x:f>
      </x:c>
      <x:c r="AF285" s="22" t="str">
        <x:f>IF(AH285&lt;&gt;1,"",COUNTIFS($C$8:$C$507,"&lt;"&amp;C285,$AH$8:$AH$507,1)+COUNTIFS($C$8:$C$507,C285,$A$8:$A$507,"&lt;="&amp;A285,$AH$8:$AH$507,1))</x:f>
      </x:c>
      <x:c r="AG285" s="20" t="str">
        <x:f>IF(AH285&lt;&gt;1,"",SUMIFS($AC$8:$AC$507,$C$8:$C$507,"&lt;"&amp;C285,$AH$8:$AH$507,1)+SUMIFS($AC$8:$AC$507,$C$8:$C$507,C285,$A$8:$A$507,"&lt;="&amp;A285,$AH$8:$AH$507,1))</x:f>
      </x:c>
      <x:c r="AH285" s="22" t="str">
        <x:f>IF(A285="","",IF(AND(J285="Chiuso",AQ285="OK",ISNUMBER(AC285)),1,0))</x:f>
      </x:c>
      <x:c r="AI285" s="20" t="str">
        <x:f>IF(AH285&lt;&gt;1,"",MAX(0,_xlfn.MAXIFS($AG$8:$AG$507,$AF$8:$AF$507,"&lt;="&amp;AF285,$AH$8:$AH$507,1)))</x:f>
      </x:c>
      <x:c r="AJ285" s="20" t="str">
        <x:f>IF(AH285&lt;&gt;1,"",MAX(0,AI285-AG285))</x:f>
      </x:c>
      <x:c r="AK285" s="21" t="str">
        <x:f>IF(OR(AH285&lt;&gt;1,NOT(ISNUMBER('Impostazioni'!$B$6)),'Impostazioni'!$B$6+AI285&lt;=0),"",AJ285/('Impostazioni'!$B$6+AI285))</x:f>
      </x:c>
      <x:c r="AL285" s="22" t="str">
        <x:f>IF(AH285&lt;&gt;1,"",IF(AC285&gt;0,AF285-_xlfn.MAXIFS($AF$8:$AF$507,$AF$8:$AF$507,"&lt;="&amp;AF285,$AC$8:$AC$507,"&lt;=0",$AH$8:$AH$507,1),0))</x:f>
      </x:c>
      <x:c r="AM285" s="22" t="str">
        <x:f>IF(AH285&lt;&gt;1,"",IF(AC285&lt;0,AF285-_xlfn.MAXIFS($AF$8:$AF$507,$AF$8:$AF$507,"&lt;="&amp;AF285,$AC$8:$AC$507,"&gt;=0",$AH$8:$AH$507,1),0))</x:f>
      </x:c>
      <x:c r="AN285" s="20" t="str">
        <x:f>IF(OR(A285="",NOT(ISNUMBER(B285)),NOT(ISNUMBER('Impostazioni'!$B$6))),"",'Impostazioni'!$B$6+SUMIFS($AC$8:$AC$507,$C$8:$C$507,"&lt;"&amp;B285,$AH$8:$AH$507,1)+SUMIFS('Cassa'!$F$8:$F$307,'Cassa'!$A$8:$A$307,"&lt;="&amp;B285,'Cassa'!$G$8:$G$307,"OK"))</x:f>
      </x:c>
      <x:c r="AO285" s="21" t="str">
        <x:f>IF(AND(ISNUMBER(Z285),ISNUMBER(AN285),AN285&gt;0),Z285/AN285,"")</x:f>
      </x:c>
      <x:c r="AP285" s="18" t="str">
        <x:f>IF(NOT(ISNUMBER(AO285)),"",IF(AO285&gt;'Impostazioni'!$B$7,"Oltre soglia personale","Nella soglia personale"))</x:f>
      </x:c>
      <x:c r="AQ285" s="18" t="str">
        <x:f>IF(A285="",IF(COUNTA(B285:V285)=0,"","Inserisci ID"),IF(COUNTIFS($A$8:$A$507,A285)&lt;&gt;1,"ID duplicato",IF(OR(NOT(ISNUMBER(B285)),D285="",E285="",F285="",G285="",H285="",COUNTIFS('Impostazioni'!$J$6:$J$25,F285)&lt;&gt;1),"Completa dati / elenchi",IF(OR(AND(I285&lt;&gt;"Lordo manuale",I285&lt;&gt;"Netto manuale",I285&lt;&gt;"Esecuzioni"),AND(J285&lt;&gt;"Aperto",J285&lt;&gt;"Chiuso",J285&lt;&gt;"Annullato")),"Modalità / stato mancanti",IF(AND(J285&lt;&gt;"Aperto",OR(NOT(ISNUMBER(C285)),C285&lt;B285)),"Correggi data chiusura",IF(OR(AND(Q285&lt;&gt;"",OR(NOT(ISNUMBER(Q285)),Q285&lt;0)),AND(R285&lt;&gt;"",OR(NOT(ISNUMBER(R285)),R285&lt;0,R285&gt;1))),"Commissione non valida",IF(J285="Annullato","OK",IF(OR(NOT(ISNUMBER(Z285)),Z285&lt;0,AND(O285&lt;&gt;"",NOT(ISNUMBER(O285)))),"Inserisci rischio",IF(AND(I285="Esecuzioni",OR(W285=0,COUNTIFS('Esecuzioni'!$A$8:$A$1007,A285,'Esecuzioni'!$Q$8:$Q$1007,"&lt;&gt;OK")&gt;0)),"Correggi esecuzioni",IF(J285="Aperto","OK",IF(AND(I285="Esecuzioni",S285="Coperto",ABS(X285-Y285)&gt;'Impostazioni'!$B$11),"Copertura residua",IF(NOT(ISNUMBER(AC285)),"Completa risultato / esito",IF(AND(Z285=0,AC285&lt;&gt;0),"Rischio nullo con P/L","OK")))))))))))))</x:f>
      </x:c>
      <x:c r="AR285" s="20" t="str">
        <x:f>IF(OR(A285="",J285&lt;&gt;"Aperto",AQ285&lt;&gt;"OK"),"",IF(I285="Esecuzioni",SUMIFS('Esecuzioni'!$P$8:$P$1007,'Esecuzioni'!$A$8:$A$1007,A285,'Esecuzioni'!$B$8:$B$1007,_xlfn.MAXIFS('Esecuzioni'!$B$8:$B$1007,'Esecuzioni'!$A$8:$A$1007,A285)),IF(LEFT(U285,8)="FREEBET:",0,Z285)))</x:f>
      </x:c>
      <x:c r="AS285" s="48" t="str">
        <x:f>IF(OR(A285="",E285=""),"",IF(COUNTIFS($E$8:E285,E285)=1,COUNT($AS$7:AS284)+1,""))</x:f>
      </x:c>
    </x:row>
    <x:row r="286" ht="22" customHeight="1">
      <x:c r="A286" s="7"/>
      <x:c r="B286" s="19"/>
      <x:c r="C286" s="19"/>
      <x:c r="D286" s="7"/>
      <x:c r="E286" s="7"/>
      <x:c r="F286" s="7"/>
      <x:c r="G286" s="7"/>
      <x:c r="H286" s="7"/>
      <x:c r="I286" s="7"/>
      <x:c r="J286" s="7"/>
      <x:c r="K286" s="10"/>
      <x:c r="L286" s="7"/>
      <x:c r="M286" s="10"/>
      <x:c r="N286" s="7"/>
      <x:c r="O286" s="8"/>
      <x:c r="P286" s="8"/>
      <x:c r="Q286" s="8"/>
      <x:c r="R286" s="9"/>
      <x:c r="S286" s="7"/>
      <x:c r="T286" s="7"/>
      <x:c r="U286" s="7"/>
      <x:c r="V286" s="7"/>
      <x:c r="W286" s="22" t="str">
        <x:f>IF(A286="","",COUNTIFS('Esecuzioni'!$A$8:$A$1007,A286,'Esecuzioni'!$Q$8:$Q$1007,"OK"))</x:f>
      </x:c>
      <x:c r="X286" s="20" t="str">
        <x:f>IF(OR(A286="",I286&lt;&gt;"Esecuzioni",W286=0),"",SUMIFS('Esecuzioni'!$L$8:$L$1007,'Esecuzioni'!$A$8:$A$1007,A286))</x:f>
      </x:c>
      <x:c r="Y286" s="20" t="str">
        <x:f>IF(OR(A286="",I286&lt;&gt;"Esecuzioni",W286=0),"",SUMIFS('Esecuzioni'!$M$8:$M$1007,'Esecuzioni'!$A$8:$A$1007,A286))</x:f>
      </x:c>
      <x:c r="Z286" s="20" t="str">
        <x:f>IF(A286="","",IF(J286="Annullato",0,IF(ISNUMBER(O286),O286,IF(AND(I286="Esecuzioni",W286&gt;0),_xlfn.MAXIFS('Esecuzioni'!$P$8:$P$1007,'Esecuzioni'!$A$8:$A$1007,A286),""))))</x:f>
      </x:c>
      <x:c r="AA286" s="20" t="str">
        <x:f>IF(OR(A286="",J286="Aperto"),"",IF(J286="Annullato",0,IF(I286="Lordo manuale",IF(ISNUMBER(P286),P286,""),IF(I286="Netto manuale",IF(AND(ISNUMBER(P286),ISNUMBER(Q286)),P286+Q286,""),IF(OR(W286=0,COUNTIFS('Esecuzioni'!$A$8:$A$1007,A286,'Esecuzioni'!$Q$8:$Q$1007,"&lt;&gt;OK")&gt;0),"",IF(S286="Vince",X286,IF(S286="Perde",Y286,IF(AND(S286="Coperto",ABS(X286-Y286)&lt;='Impostazioni'!$B$11),ROUND((X286+Y286)/2,2),""))))))))</x:f>
      </x:c>
      <x:c r="AB286" s="20" t="str">
        <x:f>IF(NOT(ISNUMBER(AA286)),"",IF(J286="Annullato",0,IF(ISNUMBER(Q286),Q286,ROUND(MAX(0,AA286)*IF(ISNUMBER(R286),R286,'Impostazioni'!$B$8),2))))</x:f>
      </x:c>
      <x:c r="AC286" s="20" t="str">
        <x:f>IF(AND(ISNUMBER(AA286),ISNUMBER(AB286)),ROUND(AA286-AB286,2),"")</x:f>
      </x:c>
      <x:c r="AD286" s="18" t="str">
        <x:f>IF(A286="","",IF(AQ286&lt;&gt;"OK","Incompleto",IF(J286="Aperto","Aperto",IF(J286="Annullato","Annullato",IF(AC286&gt;0,"Green",IF(AC286&lt;0,"Red","Flat"))))))</x:f>
      </x:c>
      <x:c r="AE286" s="21" t="str">
        <x:f>IF(AND(AH286=1,Z286&gt;0),AC286/Z286,"")</x:f>
      </x:c>
      <x:c r="AF286" s="22" t="str">
        <x:f>IF(AH286&lt;&gt;1,"",COUNTIFS($C$8:$C$507,"&lt;"&amp;C286,$AH$8:$AH$507,1)+COUNTIFS($C$8:$C$507,C286,$A$8:$A$507,"&lt;="&amp;A286,$AH$8:$AH$507,1))</x:f>
      </x:c>
      <x:c r="AG286" s="20" t="str">
        <x:f>IF(AH286&lt;&gt;1,"",SUMIFS($AC$8:$AC$507,$C$8:$C$507,"&lt;"&amp;C286,$AH$8:$AH$507,1)+SUMIFS($AC$8:$AC$507,$C$8:$C$507,C286,$A$8:$A$507,"&lt;="&amp;A286,$AH$8:$AH$507,1))</x:f>
      </x:c>
      <x:c r="AH286" s="22" t="str">
        <x:f>IF(A286="","",IF(AND(J286="Chiuso",AQ286="OK",ISNUMBER(AC286)),1,0))</x:f>
      </x:c>
      <x:c r="AI286" s="20" t="str">
        <x:f>IF(AH286&lt;&gt;1,"",MAX(0,_xlfn.MAXIFS($AG$8:$AG$507,$AF$8:$AF$507,"&lt;="&amp;AF286,$AH$8:$AH$507,1)))</x:f>
      </x:c>
      <x:c r="AJ286" s="20" t="str">
        <x:f>IF(AH286&lt;&gt;1,"",MAX(0,AI286-AG286))</x:f>
      </x:c>
      <x:c r="AK286" s="21" t="str">
        <x:f>IF(OR(AH286&lt;&gt;1,NOT(ISNUMBER('Impostazioni'!$B$6)),'Impostazioni'!$B$6+AI286&lt;=0),"",AJ286/('Impostazioni'!$B$6+AI286))</x:f>
      </x:c>
      <x:c r="AL286" s="22" t="str">
        <x:f>IF(AH286&lt;&gt;1,"",IF(AC286&gt;0,AF286-_xlfn.MAXIFS($AF$8:$AF$507,$AF$8:$AF$507,"&lt;="&amp;AF286,$AC$8:$AC$507,"&lt;=0",$AH$8:$AH$507,1),0))</x:f>
      </x:c>
      <x:c r="AM286" s="22" t="str">
        <x:f>IF(AH286&lt;&gt;1,"",IF(AC286&lt;0,AF286-_xlfn.MAXIFS($AF$8:$AF$507,$AF$8:$AF$507,"&lt;="&amp;AF286,$AC$8:$AC$507,"&gt;=0",$AH$8:$AH$507,1),0))</x:f>
      </x:c>
      <x:c r="AN286" s="20" t="str">
        <x:f>IF(OR(A286="",NOT(ISNUMBER(B286)),NOT(ISNUMBER('Impostazioni'!$B$6))),"",'Impostazioni'!$B$6+SUMIFS($AC$8:$AC$507,$C$8:$C$507,"&lt;"&amp;B286,$AH$8:$AH$507,1)+SUMIFS('Cassa'!$F$8:$F$307,'Cassa'!$A$8:$A$307,"&lt;="&amp;B286,'Cassa'!$G$8:$G$307,"OK"))</x:f>
      </x:c>
      <x:c r="AO286" s="21" t="str">
        <x:f>IF(AND(ISNUMBER(Z286),ISNUMBER(AN286),AN286&gt;0),Z286/AN286,"")</x:f>
      </x:c>
      <x:c r="AP286" s="18" t="str">
        <x:f>IF(NOT(ISNUMBER(AO286)),"",IF(AO286&gt;'Impostazioni'!$B$7,"Oltre soglia personale","Nella soglia personale"))</x:f>
      </x:c>
      <x:c r="AQ286" s="18" t="str">
        <x:f>IF(A286="",IF(COUNTA(B286:V286)=0,"","Inserisci ID"),IF(COUNTIFS($A$8:$A$507,A286)&lt;&gt;1,"ID duplicato",IF(OR(NOT(ISNUMBER(B286)),D286="",E286="",F286="",G286="",H286="",COUNTIFS('Impostazioni'!$J$6:$J$25,F286)&lt;&gt;1),"Completa dati / elenchi",IF(OR(AND(I286&lt;&gt;"Lordo manuale",I286&lt;&gt;"Netto manuale",I286&lt;&gt;"Esecuzioni"),AND(J286&lt;&gt;"Aperto",J286&lt;&gt;"Chiuso",J286&lt;&gt;"Annullato")),"Modalità / stato mancanti",IF(AND(J286&lt;&gt;"Aperto",OR(NOT(ISNUMBER(C286)),C286&lt;B286)),"Correggi data chiusura",IF(OR(AND(Q286&lt;&gt;"",OR(NOT(ISNUMBER(Q286)),Q286&lt;0)),AND(R286&lt;&gt;"",OR(NOT(ISNUMBER(R286)),R286&lt;0,R286&gt;1))),"Commissione non valida",IF(J286="Annullato","OK",IF(OR(NOT(ISNUMBER(Z286)),Z286&lt;0,AND(O286&lt;&gt;"",NOT(ISNUMBER(O286)))),"Inserisci rischio",IF(AND(I286="Esecuzioni",OR(W286=0,COUNTIFS('Esecuzioni'!$A$8:$A$1007,A286,'Esecuzioni'!$Q$8:$Q$1007,"&lt;&gt;OK")&gt;0)),"Correggi esecuzioni",IF(J286="Aperto","OK",IF(AND(I286="Esecuzioni",S286="Coperto",ABS(X286-Y286)&gt;'Impostazioni'!$B$11),"Copertura residua",IF(NOT(ISNUMBER(AC286)),"Completa risultato / esito",IF(AND(Z286=0,AC286&lt;&gt;0),"Rischio nullo con P/L","OK")))))))))))))</x:f>
      </x:c>
      <x:c r="AR286" s="20" t="str">
        <x:f>IF(OR(A286="",J286&lt;&gt;"Aperto",AQ286&lt;&gt;"OK"),"",IF(I286="Esecuzioni",SUMIFS('Esecuzioni'!$P$8:$P$1007,'Esecuzioni'!$A$8:$A$1007,A286,'Esecuzioni'!$B$8:$B$1007,_xlfn.MAXIFS('Esecuzioni'!$B$8:$B$1007,'Esecuzioni'!$A$8:$A$1007,A286)),IF(LEFT(U286,8)="FREEBET:",0,Z286)))</x:f>
      </x:c>
      <x:c r="AS286" s="48" t="str">
        <x:f>IF(OR(A286="",E286=""),"",IF(COUNTIFS($E$8:E286,E286)=1,COUNT($AS$7:AS285)+1,""))</x:f>
      </x:c>
    </x:row>
    <x:row r="287" ht="22" customHeight="1">
      <x:c r="A287" s="7"/>
      <x:c r="B287" s="19"/>
      <x:c r="C287" s="19"/>
      <x:c r="D287" s="7"/>
      <x:c r="E287" s="7"/>
      <x:c r="F287" s="7"/>
      <x:c r="G287" s="7"/>
      <x:c r="H287" s="7"/>
      <x:c r="I287" s="7"/>
      <x:c r="J287" s="7"/>
      <x:c r="K287" s="10"/>
      <x:c r="L287" s="7"/>
      <x:c r="M287" s="10"/>
      <x:c r="N287" s="7"/>
      <x:c r="O287" s="8"/>
      <x:c r="P287" s="8"/>
      <x:c r="Q287" s="8"/>
      <x:c r="R287" s="9"/>
      <x:c r="S287" s="7"/>
      <x:c r="T287" s="7"/>
      <x:c r="U287" s="7"/>
      <x:c r="V287" s="7"/>
      <x:c r="W287" s="22" t="str">
        <x:f>IF(A287="","",COUNTIFS('Esecuzioni'!$A$8:$A$1007,A287,'Esecuzioni'!$Q$8:$Q$1007,"OK"))</x:f>
      </x:c>
      <x:c r="X287" s="20" t="str">
        <x:f>IF(OR(A287="",I287&lt;&gt;"Esecuzioni",W287=0),"",SUMIFS('Esecuzioni'!$L$8:$L$1007,'Esecuzioni'!$A$8:$A$1007,A287))</x:f>
      </x:c>
      <x:c r="Y287" s="20" t="str">
        <x:f>IF(OR(A287="",I287&lt;&gt;"Esecuzioni",W287=0),"",SUMIFS('Esecuzioni'!$M$8:$M$1007,'Esecuzioni'!$A$8:$A$1007,A287))</x:f>
      </x:c>
      <x:c r="Z287" s="20" t="str">
        <x:f>IF(A287="","",IF(J287="Annullato",0,IF(ISNUMBER(O287),O287,IF(AND(I287="Esecuzioni",W287&gt;0),_xlfn.MAXIFS('Esecuzioni'!$P$8:$P$1007,'Esecuzioni'!$A$8:$A$1007,A287),""))))</x:f>
      </x:c>
      <x:c r="AA287" s="20" t="str">
        <x:f>IF(OR(A287="",J287="Aperto"),"",IF(J287="Annullato",0,IF(I287="Lordo manuale",IF(ISNUMBER(P287),P287,""),IF(I287="Netto manuale",IF(AND(ISNUMBER(P287),ISNUMBER(Q287)),P287+Q287,""),IF(OR(W287=0,COUNTIFS('Esecuzioni'!$A$8:$A$1007,A287,'Esecuzioni'!$Q$8:$Q$1007,"&lt;&gt;OK")&gt;0),"",IF(S287="Vince",X287,IF(S287="Perde",Y287,IF(AND(S287="Coperto",ABS(X287-Y287)&lt;='Impostazioni'!$B$11),ROUND((X287+Y287)/2,2),""))))))))</x:f>
      </x:c>
      <x:c r="AB287" s="20" t="str">
        <x:f>IF(NOT(ISNUMBER(AA287)),"",IF(J287="Annullato",0,IF(ISNUMBER(Q287),Q287,ROUND(MAX(0,AA287)*IF(ISNUMBER(R287),R287,'Impostazioni'!$B$8),2))))</x:f>
      </x:c>
      <x:c r="AC287" s="20" t="str">
        <x:f>IF(AND(ISNUMBER(AA287),ISNUMBER(AB287)),ROUND(AA287-AB287,2),"")</x:f>
      </x:c>
      <x:c r="AD287" s="18" t="str">
        <x:f>IF(A287="","",IF(AQ287&lt;&gt;"OK","Incompleto",IF(J287="Aperto","Aperto",IF(J287="Annullato","Annullato",IF(AC287&gt;0,"Green",IF(AC287&lt;0,"Red","Flat"))))))</x:f>
      </x:c>
      <x:c r="AE287" s="21" t="str">
        <x:f>IF(AND(AH287=1,Z287&gt;0),AC287/Z287,"")</x:f>
      </x:c>
      <x:c r="AF287" s="22" t="str">
        <x:f>IF(AH287&lt;&gt;1,"",COUNTIFS($C$8:$C$507,"&lt;"&amp;C287,$AH$8:$AH$507,1)+COUNTIFS($C$8:$C$507,C287,$A$8:$A$507,"&lt;="&amp;A287,$AH$8:$AH$507,1))</x:f>
      </x:c>
      <x:c r="AG287" s="20" t="str">
        <x:f>IF(AH287&lt;&gt;1,"",SUMIFS($AC$8:$AC$507,$C$8:$C$507,"&lt;"&amp;C287,$AH$8:$AH$507,1)+SUMIFS($AC$8:$AC$507,$C$8:$C$507,C287,$A$8:$A$507,"&lt;="&amp;A287,$AH$8:$AH$507,1))</x:f>
      </x:c>
      <x:c r="AH287" s="22" t="str">
        <x:f>IF(A287="","",IF(AND(J287="Chiuso",AQ287="OK",ISNUMBER(AC287)),1,0))</x:f>
      </x:c>
      <x:c r="AI287" s="20" t="str">
        <x:f>IF(AH287&lt;&gt;1,"",MAX(0,_xlfn.MAXIFS($AG$8:$AG$507,$AF$8:$AF$507,"&lt;="&amp;AF287,$AH$8:$AH$507,1)))</x:f>
      </x:c>
      <x:c r="AJ287" s="20" t="str">
        <x:f>IF(AH287&lt;&gt;1,"",MAX(0,AI287-AG287))</x:f>
      </x:c>
      <x:c r="AK287" s="21" t="str">
        <x:f>IF(OR(AH287&lt;&gt;1,NOT(ISNUMBER('Impostazioni'!$B$6)),'Impostazioni'!$B$6+AI287&lt;=0),"",AJ287/('Impostazioni'!$B$6+AI287))</x:f>
      </x:c>
      <x:c r="AL287" s="22" t="str">
        <x:f>IF(AH287&lt;&gt;1,"",IF(AC287&gt;0,AF287-_xlfn.MAXIFS($AF$8:$AF$507,$AF$8:$AF$507,"&lt;="&amp;AF287,$AC$8:$AC$507,"&lt;=0",$AH$8:$AH$507,1),0))</x:f>
      </x:c>
      <x:c r="AM287" s="22" t="str">
        <x:f>IF(AH287&lt;&gt;1,"",IF(AC287&lt;0,AF287-_xlfn.MAXIFS($AF$8:$AF$507,$AF$8:$AF$507,"&lt;="&amp;AF287,$AC$8:$AC$507,"&gt;=0",$AH$8:$AH$507,1),0))</x:f>
      </x:c>
      <x:c r="AN287" s="20" t="str">
        <x:f>IF(OR(A287="",NOT(ISNUMBER(B287)),NOT(ISNUMBER('Impostazioni'!$B$6))),"",'Impostazioni'!$B$6+SUMIFS($AC$8:$AC$507,$C$8:$C$507,"&lt;"&amp;B287,$AH$8:$AH$507,1)+SUMIFS('Cassa'!$F$8:$F$307,'Cassa'!$A$8:$A$307,"&lt;="&amp;B287,'Cassa'!$G$8:$G$307,"OK"))</x:f>
      </x:c>
      <x:c r="AO287" s="21" t="str">
        <x:f>IF(AND(ISNUMBER(Z287),ISNUMBER(AN287),AN287&gt;0),Z287/AN287,"")</x:f>
      </x:c>
      <x:c r="AP287" s="18" t="str">
        <x:f>IF(NOT(ISNUMBER(AO287)),"",IF(AO287&gt;'Impostazioni'!$B$7,"Oltre soglia personale","Nella soglia personale"))</x:f>
      </x:c>
      <x:c r="AQ287" s="18" t="str">
        <x:f>IF(A287="",IF(COUNTA(B287:V287)=0,"","Inserisci ID"),IF(COUNTIFS($A$8:$A$507,A287)&lt;&gt;1,"ID duplicato",IF(OR(NOT(ISNUMBER(B287)),D287="",E287="",F287="",G287="",H287="",COUNTIFS('Impostazioni'!$J$6:$J$25,F287)&lt;&gt;1),"Completa dati / elenchi",IF(OR(AND(I287&lt;&gt;"Lordo manuale",I287&lt;&gt;"Netto manuale",I287&lt;&gt;"Esecuzioni"),AND(J287&lt;&gt;"Aperto",J287&lt;&gt;"Chiuso",J287&lt;&gt;"Annullato")),"Modalità / stato mancanti",IF(AND(J287&lt;&gt;"Aperto",OR(NOT(ISNUMBER(C287)),C287&lt;B287)),"Correggi data chiusura",IF(OR(AND(Q287&lt;&gt;"",OR(NOT(ISNUMBER(Q287)),Q287&lt;0)),AND(R287&lt;&gt;"",OR(NOT(ISNUMBER(R287)),R287&lt;0,R287&gt;1))),"Commissione non valida",IF(J287="Annullato","OK",IF(OR(NOT(ISNUMBER(Z287)),Z287&lt;0,AND(O287&lt;&gt;"",NOT(ISNUMBER(O287)))),"Inserisci rischio",IF(AND(I287="Esecuzioni",OR(W287=0,COUNTIFS('Esecuzioni'!$A$8:$A$1007,A287,'Esecuzioni'!$Q$8:$Q$1007,"&lt;&gt;OK")&gt;0)),"Correggi esecuzioni",IF(J287="Aperto","OK",IF(AND(I287="Esecuzioni",S287="Coperto",ABS(X287-Y287)&gt;'Impostazioni'!$B$11),"Copertura residua",IF(NOT(ISNUMBER(AC287)),"Completa risultato / esito",IF(AND(Z287=0,AC287&lt;&gt;0),"Rischio nullo con P/L","OK")))))))))))))</x:f>
      </x:c>
      <x:c r="AR287" s="20" t="str">
        <x:f>IF(OR(A287="",J287&lt;&gt;"Aperto",AQ287&lt;&gt;"OK"),"",IF(I287="Esecuzioni",SUMIFS('Esecuzioni'!$P$8:$P$1007,'Esecuzioni'!$A$8:$A$1007,A287,'Esecuzioni'!$B$8:$B$1007,_xlfn.MAXIFS('Esecuzioni'!$B$8:$B$1007,'Esecuzioni'!$A$8:$A$1007,A287)),IF(LEFT(U287,8)="FREEBET:",0,Z287)))</x:f>
      </x:c>
      <x:c r="AS287" s="48" t="str">
        <x:f>IF(OR(A287="",E287=""),"",IF(COUNTIFS($E$8:E287,E287)=1,COUNT($AS$7:AS286)+1,""))</x:f>
      </x:c>
    </x:row>
    <x:row r="288" ht="22" customHeight="1">
      <x:c r="A288" s="7"/>
      <x:c r="B288" s="19"/>
      <x:c r="C288" s="19"/>
      <x:c r="D288" s="7"/>
      <x:c r="E288" s="7"/>
      <x:c r="F288" s="7"/>
      <x:c r="G288" s="7"/>
      <x:c r="H288" s="7"/>
      <x:c r="I288" s="7"/>
      <x:c r="J288" s="7"/>
      <x:c r="K288" s="10"/>
      <x:c r="L288" s="7"/>
      <x:c r="M288" s="10"/>
      <x:c r="N288" s="7"/>
      <x:c r="O288" s="8"/>
      <x:c r="P288" s="8"/>
      <x:c r="Q288" s="8"/>
      <x:c r="R288" s="9"/>
      <x:c r="S288" s="7"/>
      <x:c r="T288" s="7"/>
      <x:c r="U288" s="7"/>
      <x:c r="V288" s="7"/>
      <x:c r="W288" s="22" t="str">
        <x:f>IF(A288="","",COUNTIFS('Esecuzioni'!$A$8:$A$1007,A288,'Esecuzioni'!$Q$8:$Q$1007,"OK"))</x:f>
      </x:c>
      <x:c r="X288" s="20" t="str">
        <x:f>IF(OR(A288="",I288&lt;&gt;"Esecuzioni",W288=0),"",SUMIFS('Esecuzioni'!$L$8:$L$1007,'Esecuzioni'!$A$8:$A$1007,A288))</x:f>
      </x:c>
      <x:c r="Y288" s="20" t="str">
        <x:f>IF(OR(A288="",I288&lt;&gt;"Esecuzioni",W288=0),"",SUMIFS('Esecuzioni'!$M$8:$M$1007,'Esecuzioni'!$A$8:$A$1007,A288))</x:f>
      </x:c>
      <x:c r="Z288" s="20" t="str">
        <x:f>IF(A288="","",IF(J288="Annullato",0,IF(ISNUMBER(O288),O288,IF(AND(I288="Esecuzioni",W288&gt;0),_xlfn.MAXIFS('Esecuzioni'!$P$8:$P$1007,'Esecuzioni'!$A$8:$A$1007,A288),""))))</x:f>
      </x:c>
      <x:c r="AA288" s="20" t="str">
        <x:f>IF(OR(A288="",J288="Aperto"),"",IF(J288="Annullato",0,IF(I288="Lordo manuale",IF(ISNUMBER(P288),P288,""),IF(I288="Netto manuale",IF(AND(ISNUMBER(P288),ISNUMBER(Q288)),P288+Q288,""),IF(OR(W288=0,COUNTIFS('Esecuzioni'!$A$8:$A$1007,A288,'Esecuzioni'!$Q$8:$Q$1007,"&lt;&gt;OK")&gt;0),"",IF(S288="Vince",X288,IF(S288="Perde",Y288,IF(AND(S288="Coperto",ABS(X288-Y288)&lt;='Impostazioni'!$B$11),ROUND((X288+Y288)/2,2),""))))))))</x:f>
      </x:c>
      <x:c r="AB288" s="20" t="str">
        <x:f>IF(NOT(ISNUMBER(AA288)),"",IF(J288="Annullato",0,IF(ISNUMBER(Q288),Q288,ROUND(MAX(0,AA288)*IF(ISNUMBER(R288),R288,'Impostazioni'!$B$8),2))))</x:f>
      </x:c>
      <x:c r="AC288" s="20" t="str">
        <x:f>IF(AND(ISNUMBER(AA288),ISNUMBER(AB288)),ROUND(AA288-AB288,2),"")</x:f>
      </x:c>
      <x:c r="AD288" s="18" t="str">
        <x:f>IF(A288="","",IF(AQ288&lt;&gt;"OK","Incompleto",IF(J288="Aperto","Aperto",IF(J288="Annullato","Annullato",IF(AC288&gt;0,"Green",IF(AC288&lt;0,"Red","Flat"))))))</x:f>
      </x:c>
      <x:c r="AE288" s="21" t="str">
        <x:f>IF(AND(AH288=1,Z288&gt;0),AC288/Z288,"")</x:f>
      </x:c>
      <x:c r="AF288" s="22" t="str">
        <x:f>IF(AH288&lt;&gt;1,"",COUNTIFS($C$8:$C$507,"&lt;"&amp;C288,$AH$8:$AH$507,1)+COUNTIFS($C$8:$C$507,C288,$A$8:$A$507,"&lt;="&amp;A288,$AH$8:$AH$507,1))</x:f>
      </x:c>
      <x:c r="AG288" s="20" t="str">
        <x:f>IF(AH288&lt;&gt;1,"",SUMIFS($AC$8:$AC$507,$C$8:$C$507,"&lt;"&amp;C288,$AH$8:$AH$507,1)+SUMIFS($AC$8:$AC$507,$C$8:$C$507,C288,$A$8:$A$507,"&lt;="&amp;A288,$AH$8:$AH$507,1))</x:f>
      </x:c>
      <x:c r="AH288" s="22" t="str">
        <x:f>IF(A288="","",IF(AND(J288="Chiuso",AQ288="OK",ISNUMBER(AC288)),1,0))</x:f>
      </x:c>
      <x:c r="AI288" s="20" t="str">
        <x:f>IF(AH288&lt;&gt;1,"",MAX(0,_xlfn.MAXIFS($AG$8:$AG$507,$AF$8:$AF$507,"&lt;="&amp;AF288,$AH$8:$AH$507,1)))</x:f>
      </x:c>
      <x:c r="AJ288" s="20" t="str">
        <x:f>IF(AH288&lt;&gt;1,"",MAX(0,AI288-AG288))</x:f>
      </x:c>
      <x:c r="AK288" s="21" t="str">
        <x:f>IF(OR(AH288&lt;&gt;1,NOT(ISNUMBER('Impostazioni'!$B$6)),'Impostazioni'!$B$6+AI288&lt;=0),"",AJ288/('Impostazioni'!$B$6+AI288))</x:f>
      </x:c>
      <x:c r="AL288" s="22" t="str">
        <x:f>IF(AH288&lt;&gt;1,"",IF(AC288&gt;0,AF288-_xlfn.MAXIFS($AF$8:$AF$507,$AF$8:$AF$507,"&lt;="&amp;AF288,$AC$8:$AC$507,"&lt;=0",$AH$8:$AH$507,1),0))</x:f>
      </x:c>
      <x:c r="AM288" s="22" t="str">
        <x:f>IF(AH288&lt;&gt;1,"",IF(AC288&lt;0,AF288-_xlfn.MAXIFS($AF$8:$AF$507,$AF$8:$AF$507,"&lt;="&amp;AF288,$AC$8:$AC$507,"&gt;=0",$AH$8:$AH$507,1),0))</x:f>
      </x:c>
      <x:c r="AN288" s="20" t="str">
        <x:f>IF(OR(A288="",NOT(ISNUMBER(B288)),NOT(ISNUMBER('Impostazioni'!$B$6))),"",'Impostazioni'!$B$6+SUMIFS($AC$8:$AC$507,$C$8:$C$507,"&lt;"&amp;B288,$AH$8:$AH$507,1)+SUMIFS('Cassa'!$F$8:$F$307,'Cassa'!$A$8:$A$307,"&lt;="&amp;B288,'Cassa'!$G$8:$G$307,"OK"))</x:f>
      </x:c>
      <x:c r="AO288" s="21" t="str">
        <x:f>IF(AND(ISNUMBER(Z288),ISNUMBER(AN288),AN288&gt;0),Z288/AN288,"")</x:f>
      </x:c>
      <x:c r="AP288" s="18" t="str">
        <x:f>IF(NOT(ISNUMBER(AO288)),"",IF(AO288&gt;'Impostazioni'!$B$7,"Oltre soglia personale","Nella soglia personale"))</x:f>
      </x:c>
      <x:c r="AQ288" s="18" t="str">
        <x:f>IF(A288="",IF(COUNTA(B288:V288)=0,"","Inserisci ID"),IF(COUNTIFS($A$8:$A$507,A288)&lt;&gt;1,"ID duplicato",IF(OR(NOT(ISNUMBER(B288)),D288="",E288="",F288="",G288="",H288="",COUNTIFS('Impostazioni'!$J$6:$J$25,F288)&lt;&gt;1),"Completa dati / elenchi",IF(OR(AND(I288&lt;&gt;"Lordo manuale",I288&lt;&gt;"Netto manuale",I288&lt;&gt;"Esecuzioni"),AND(J288&lt;&gt;"Aperto",J288&lt;&gt;"Chiuso",J288&lt;&gt;"Annullato")),"Modalità / stato mancanti",IF(AND(J288&lt;&gt;"Aperto",OR(NOT(ISNUMBER(C288)),C288&lt;B288)),"Correggi data chiusura",IF(OR(AND(Q288&lt;&gt;"",OR(NOT(ISNUMBER(Q288)),Q288&lt;0)),AND(R288&lt;&gt;"",OR(NOT(ISNUMBER(R288)),R288&lt;0,R288&gt;1))),"Commissione non valida",IF(J288="Annullato","OK",IF(OR(NOT(ISNUMBER(Z288)),Z288&lt;0,AND(O288&lt;&gt;"",NOT(ISNUMBER(O288)))),"Inserisci rischio",IF(AND(I288="Esecuzioni",OR(W288=0,COUNTIFS('Esecuzioni'!$A$8:$A$1007,A288,'Esecuzioni'!$Q$8:$Q$1007,"&lt;&gt;OK")&gt;0)),"Correggi esecuzioni",IF(J288="Aperto","OK",IF(AND(I288="Esecuzioni",S288="Coperto",ABS(X288-Y288)&gt;'Impostazioni'!$B$11),"Copertura residua",IF(NOT(ISNUMBER(AC288)),"Completa risultato / esito",IF(AND(Z288=0,AC288&lt;&gt;0),"Rischio nullo con P/L","OK")))))))))))))</x:f>
      </x:c>
      <x:c r="AR288" s="20" t="str">
        <x:f>IF(OR(A288="",J288&lt;&gt;"Aperto",AQ288&lt;&gt;"OK"),"",IF(I288="Esecuzioni",SUMIFS('Esecuzioni'!$P$8:$P$1007,'Esecuzioni'!$A$8:$A$1007,A288,'Esecuzioni'!$B$8:$B$1007,_xlfn.MAXIFS('Esecuzioni'!$B$8:$B$1007,'Esecuzioni'!$A$8:$A$1007,A288)),IF(LEFT(U288,8)="FREEBET:",0,Z288)))</x:f>
      </x:c>
      <x:c r="AS288" s="48" t="str">
        <x:f>IF(OR(A288="",E288=""),"",IF(COUNTIFS($E$8:E288,E288)=1,COUNT($AS$7:AS287)+1,""))</x:f>
      </x:c>
    </x:row>
    <x:row r="289" ht="22" customHeight="1">
      <x:c r="A289" s="7"/>
      <x:c r="B289" s="19"/>
      <x:c r="C289" s="19"/>
      <x:c r="D289" s="7"/>
      <x:c r="E289" s="7"/>
      <x:c r="F289" s="7"/>
      <x:c r="G289" s="7"/>
      <x:c r="H289" s="7"/>
      <x:c r="I289" s="7"/>
      <x:c r="J289" s="7"/>
      <x:c r="K289" s="10"/>
      <x:c r="L289" s="7"/>
      <x:c r="M289" s="10"/>
      <x:c r="N289" s="7"/>
      <x:c r="O289" s="8"/>
      <x:c r="P289" s="8"/>
      <x:c r="Q289" s="8"/>
      <x:c r="R289" s="9"/>
      <x:c r="S289" s="7"/>
      <x:c r="T289" s="7"/>
      <x:c r="U289" s="7"/>
      <x:c r="V289" s="7"/>
      <x:c r="W289" s="22" t="str">
        <x:f>IF(A289="","",COUNTIFS('Esecuzioni'!$A$8:$A$1007,A289,'Esecuzioni'!$Q$8:$Q$1007,"OK"))</x:f>
      </x:c>
      <x:c r="X289" s="20" t="str">
        <x:f>IF(OR(A289="",I289&lt;&gt;"Esecuzioni",W289=0),"",SUMIFS('Esecuzioni'!$L$8:$L$1007,'Esecuzioni'!$A$8:$A$1007,A289))</x:f>
      </x:c>
      <x:c r="Y289" s="20" t="str">
        <x:f>IF(OR(A289="",I289&lt;&gt;"Esecuzioni",W289=0),"",SUMIFS('Esecuzioni'!$M$8:$M$1007,'Esecuzioni'!$A$8:$A$1007,A289))</x:f>
      </x:c>
      <x:c r="Z289" s="20" t="str">
        <x:f>IF(A289="","",IF(J289="Annullato",0,IF(ISNUMBER(O289),O289,IF(AND(I289="Esecuzioni",W289&gt;0),_xlfn.MAXIFS('Esecuzioni'!$P$8:$P$1007,'Esecuzioni'!$A$8:$A$1007,A289),""))))</x:f>
      </x:c>
      <x:c r="AA289" s="20" t="str">
        <x:f>IF(OR(A289="",J289="Aperto"),"",IF(J289="Annullato",0,IF(I289="Lordo manuale",IF(ISNUMBER(P289),P289,""),IF(I289="Netto manuale",IF(AND(ISNUMBER(P289),ISNUMBER(Q289)),P289+Q289,""),IF(OR(W289=0,COUNTIFS('Esecuzioni'!$A$8:$A$1007,A289,'Esecuzioni'!$Q$8:$Q$1007,"&lt;&gt;OK")&gt;0),"",IF(S289="Vince",X289,IF(S289="Perde",Y289,IF(AND(S289="Coperto",ABS(X289-Y289)&lt;='Impostazioni'!$B$11),ROUND((X289+Y289)/2,2),""))))))))</x:f>
      </x:c>
      <x:c r="AB289" s="20" t="str">
        <x:f>IF(NOT(ISNUMBER(AA289)),"",IF(J289="Annullato",0,IF(ISNUMBER(Q289),Q289,ROUND(MAX(0,AA289)*IF(ISNUMBER(R289),R289,'Impostazioni'!$B$8),2))))</x:f>
      </x:c>
      <x:c r="AC289" s="20" t="str">
        <x:f>IF(AND(ISNUMBER(AA289),ISNUMBER(AB289)),ROUND(AA289-AB289,2),"")</x:f>
      </x:c>
      <x:c r="AD289" s="18" t="str">
        <x:f>IF(A289="","",IF(AQ289&lt;&gt;"OK","Incompleto",IF(J289="Aperto","Aperto",IF(J289="Annullato","Annullato",IF(AC289&gt;0,"Green",IF(AC289&lt;0,"Red","Flat"))))))</x:f>
      </x:c>
      <x:c r="AE289" s="21" t="str">
        <x:f>IF(AND(AH289=1,Z289&gt;0),AC289/Z289,"")</x:f>
      </x:c>
      <x:c r="AF289" s="22" t="str">
        <x:f>IF(AH289&lt;&gt;1,"",COUNTIFS($C$8:$C$507,"&lt;"&amp;C289,$AH$8:$AH$507,1)+COUNTIFS($C$8:$C$507,C289,$A$8:$A$507,"&lt;="&amp;A289,$AH$8:$AH$507,1))</x:f>
      </x:c>
      <x:c r="AG289" s="20" t="str">
        <x:f>IF(AH289&lt;&gt;1,"",SUMIFS($AC$8:$AC$507,$C$8:$C$507,"&lt;"&amp;C289,$AH$8:$AH$507,1)+SUMIFS($AC$8:$AC$507,$C$8:$C$507,C289,$A$8:$A$507,"&lt;="&amp;A289,$AH$8:$AH$507,1))</x:f>
      </x:c>
      <x:c r="AH289" s="22" t="str">
        <x:f>IF(A289="","",IF(AND(J289="Chiuso",AQ289="OK",ISNUMBER(AC289)),1,0))</x:f>
      </x:c>
      <x:c r="AI289" s="20" t="str">
        <x:f>IF(AH289&lt;&gt;1,"",MAX(0,_xlfn.MAXIFS($AG$8:$AG$507,$AF$8:$AF$507,"&lt;="&amp;AF289,$AH$8:$AH$507,1)))</x:f>
      </x:c>
      <x:c r="AJ289" s="20" t="str">
        <x:f>IF(AH289&lt;&gt;1,"",MAX(0,AI289-AG289))</x:f>
      </x:c>
      <x:c r="AK289" s="21" t="str">
        <x:f>IF(OR(AH289&lt;&gt;1,NOT(ISNUMBER('Impostazioni'!$B$6)),'Impostazioni'!$B$6+AI289&lt;=0),"",AJ289/('Impostazioni'!$B$6+AI289))</x:f>
      </x:c>
      <x:c r="AL289" s="22" t="str">
        <x:f>IF(AH289&lt;&gt;1,"",IF(AC289&gt;0,AF289-_xlfn.MAXIFS($AF$8:$AF$507,$AF$8:$AF$507,"&lt;="&amp;AF289,$AC$8:$AC$507,"&lt;=0",$AH$8:$AH$507,1),0))</x:f>
      </x:c>
      <x:c r="AM289" s="22" t="str">
        <x:f>IF(AH289&lt;&gt;1,"",IF(AC289&lt;0,AF289-_xlfn.MAXIFS($AF$8:$AF$507,$AF$8:$AF$507,"&lt;="&amp;AF289,$AC$8:$AC$507,"&gt;=0",$AH$8:$AH$507,1),0))</x:f>
      </x:c>
      <x:c r="AN289" s="20" t="str">
        <x:f>IF(OR(A289="",NOT(ISNUMBER(B289)),NOT(ISNUMBER('Impostazioni'!$B$6))),"",'Impostazioni'!$B$6+SUMIFS($AC$8:$AC$507,$C$8:$C$507,"&lt;"&amp;B289,$AH$8:$AH$507,1)+SUMIFS('Cassa'!$F$8:$F$307,'Cassa'!$A$8:$A$307,"&lt;="&amp;B289,'Cassa'!$G$8:$G$307,"OK"))</x:f>
      </x:c>
      <x:c r="AO289" s="21" t="str">
        <x:f>IF(AND(ISNUMBER(Z289),ISNUMBER(AN289),AN289&gt;0),Z289/AN289,"")</x:f>
      </x:c>
      <x:c r="AP289" s="18" t="str">
        <x:f>IF(NOT(ISNUMBER(AO289)),"",IF(AO289&gt;'Impostazioni'!$B$7,"Oltre soglia personale","Nella soglia personale"))</x:f>
      </x:c>
      <x:c r="AQ289" s="18" t="str">
        <x:f>IF(A289="",IF(COUNTA(B289:V289)=0,"","Inserisci ID"),IF(COUNTIFS($A$8:$A$507,A289)&lt;&gt;1,"ID duplicato",IF(OR(NOT(ISNUMBER(B289)),D289="",E289="",F289="",G289="",H289="",COUNTIFS('Impostazioni'!$J$6:$J$25,F289)&lt;&gt;1),"Completa dati / elenchi",IF(OR(AND(I289&lt;&gt;"Lordo manuale",I289&lt;&gt;"Netto manuale",I289&lt;&gt;"Esecuzioni"),AND(J289&lt;&gt;"Aperto",J289&lt;&gt;"Chiuso",J289&lt;&gt;"Annullato")),"Modalità / stato mancanti",IF(AND(J289&lt;&gt;"Aperto",OR(NOT(ISNUMBER(C289)),C289&lt;B289)),"Correggi data chiusura",IF(OR(AND(Q289&lt;&gt;"",OR(NOT(ISNUMBER(Q289)),Q289&lt;0)),AND(R289&lt;&gt;"",OR(NOT(ISNUMBER(R289)),R289&lt;0,R289&gt;1))),"Commissione non valida",IF(J289="Annullato","OK",IF(OR(NOT(ISNUMBER(Z289)),Z289&lt;0,AND(O289&lt;&gt;"",NOT(ISNUMBER(O289)))),"Inserisci rischio",IF(AND(I289="Esecuzioni",OR(W289=0,COUNTIFS('Esecuzioni'!$A$8:$A$1007,A289,'Esecuzioni'!$Q$8:$Q$1007,"&lt;&gt;OK")&gt;0)),"Correggi esecuzioni",IF(J289="Aperto","OK",IF(AND(I289="Esecuzioni",S289="Coperto",ABS(X289-Y289)&gt;'Impostazioni'!$B$11),"Copertura residua",IF(NOT(ISNUMBER(AC289)),"Completa risultato / esito",IF(AND(Z289=0,AC289&lt;&gt;0),"Rischio nullo con P/L","OK")))))))))))))</x:f>
      </x:c>
      <x:c r="AR289" s="20" t="str">
        <x:f>IF(OR(A289="",J289&lt;&gt;"Aperto",AQ289&lt;&gt;"OK"),"",IF(I289="Esecuzioni",SUMIFS('Esecuzioni'!$P$8:$P$1007,'Esecuzioni'!$A$8:$A$1007,A289,'Esecuzioni'!$B$8:$B$1007,_xlfn.MAXIFS('Esecuzioni'!$B$8:$B$1007,'Esecuzioni'!$A$8:$A$1007,A289)),IF(LEFT(U289,8)="FREEBET:",0,Z289)))</x:f>
      </x:c>
      <x:c r="AS289" s="48" t="str">
        <x:f>IF(OR(A289="",E289=""),"",IF(COUNTIFS($E$8:E289,E289)=1,COUNT($AS$7:AS288)+1,""))</x:f>
      </x:c>
    </x:row>
    <x:row r="290" ht="22" customHeight="1">
      <x:c r="A290" s="7"/>
      <x:c r="B290" s="19"/>
      <x:c r="C290" s="19"/>
      <x:c r="D290" s="7"/>
      <x:c r="E290" s="7"/>
      <x:c r="F290" s="7"/>
      <x:c r="G290" s="7"/>
      <x:c r="H290" s="7"/>
      <x:c r="I290" s="7"/>
      <x:c r="J290" s="7"/>
      <x:c r="K290" s="10"/>
      <x:c r="L290" s="7"/>
      <x:c r="M290" s="10"/>
      <x:c r="N290" s="7"/>
      <x:c r="O290" s="8"/>
      <x:c r="P290" s="8"/>
      <x:c r="Q290" s="8"/>
      <x:c r="R290" s="9"/>
      <x:c r="S290" s="7"/>
      <x:c r="T290" s="7"/>
      <x:c r="U290" s="7"/>
      <x:c r="V290" s="7"/>
      <x:c r="W290" s="22" t="str">
        <x:f>IF(A290="","",COUNTIFS('Esecuzioni'!$A$8:$A$1007,A290,'Esecuzioni'!$Q$8:$Q$1007,"OK"))</x:f>
      </x:c>
      <x:c r="X290" s="20" t="str">
        <x:f>IF(OR(A290="",I290&lt;&gt;"Esecuzioni",W290=0),"",SUMIFS('Esecuzioni'!$L$8:$L$1007,'Esecuzioni'!$A$8:$A$1007,A290))</x:f>
      </x:c>
      <x:c r="Y290" s="20" t="str">
        <x:f>IF(OR(A290="",I290&lt;&gt;"Esecuzioni",W290=0),"",SUMIFS('Esecuzioni'!$M$8:$M$1007,'Esecuzioni'!$A$8:$A$1007,A290))</x:f>
      </x:c>
      <x:c r="Z290" s="20" t="str">
        <x:f>IF(A290="","",IF(J290="Annullato",0,IF(ISNUMBER(O290),O290,IF(AND(I290="Esecuzioni",W290&gt;0),_xlfn.MAXIFS('Esecuzioni'!$P$8:$P$1007,'Esecuzioni'!$A$8:$A$1007,A290),""))))</x:f>
      </x:c>
      <x:c r="AA290" s="20" t="str">
        <x:f>IF(OR(A290="",J290="Aperto"),"",IF(J290="Annullato",0,IF(I290="Lordo manuale",IF(ISNUMBER(P290),P290,""),IF(I290="Netto manuale",IF(AND(ISNUMBER(P290),ISNUMBER(Q290)),P290+Q290,""),IF(OR(W290=0,COUNTIFS('Esecuzioni'!$A$8:$A$1007,A290,'Esecuzioni'!$Q$8:$Q$1007,"&lt;&gt;OK")&gt;0),"",IF(S290="Vince",X290,IF(S290="Perde",Y290,IF(AND(S290="Coperto",ABS(X290-Y290)&lt;='Impostazioni'!$B$11),ROUND((X290+Y290)/2,2),""))))))))</x:f>
      </x:c>
      <x:c r="AB290" s="20" t="str">
        <x:f>IF(NOT(ISNUMBER(AA290)),"",IF(J290="Annullato",0,IF(ISNUMBER(Q290),Q290,ROUND(MAX(0,AA290)*IF(ISNUMBER(R290),R290,'Impostazioni'!$B$8),2))))</x:f>
      </x:c>
      <x:c r="AC290" s="20" t="str">
        <x:f>IF(AND(ISNUMBER(AA290),ISNUMBER(AB290)),ROUND(AA290-AB290,2),"")</x:f>
      </x:c>
      <x:c r="AD290" s="18" t="str">
        <x:f>IF(A290="","",IF(AQ290&lt;&gt;"OK","Incompleto",IF(J290="Aperto","Aperto",IF(J290="Annullato","Annullato",IF(AC290&gt;0,"Green",IF(AC290&lt;0,"Red","Flat"))))))</x:f>
      </x:c>
      <x:c r="AE290" s="21" t="str">
        <x:f>IF(AND(AH290=1,Z290&gt;0),AC290/Z290,"")</x:f>
      </x:c>
      <x:c r="AF290" s="22" t="str">
        <x:f>IF(AH290&lt;&gt;1,"",COUNTIFS($C$8:$C$507,"&lt;"&amp;C290,$AH$8:$AH$507,1)+COUNTIFS($C$8:$C$507,C290,$A$8:$A$507,"&lt;="&amp;A290,$AH$8:$AH$507,1))</x:f>
      </x:c>
      <x:c r="AG290" s="20" t="str">
        <x:f>IF(AH290&lt;&gt;1,"",SUMIFS($AC$8:$AC$507,$C$8:$C$507,"&lt;"&amp;C290,$AH$8:$AH$507,1)+SUMIFS($AC$8:$AC$507,$C$8:$C$507,C290,$A$8:$A$507,"&lt;="&amp;A290,$AH$8:$AH$507,1))</x:f>
      </x:c>
      <x:c r="AH290" s="22" t="str">
        <x:f>IF(A290="","",IF(AND(J290="Chiuso",AQ290="OK",ISNUMBER(AC290)),1,0))</x:f>
      </x:c>
      <x:c r="AI290" s="20" t="str">
        <x:f>IF(AH290&lt;&gt;1,"",MAX(0,_xlfn.MAXIFS($AG$8:$AG$507,$AF$8:$AF$507,"&lt;="&amp;AF290,$AH$8:$AH$507,1)))</x:f>
      </x:c>
      <x:c r="AJ290" s="20" t="str">
        <x:f>IF(AH290&lt;&gt;1,"",MAX(0,AI290-AG290))</x:f>
      </x:c>
      <x:c r="AK290" s="21" t="str">
        <x:f>IF(OR(AH290&lt;&gt;1,NOT(ISNUMBER('Impostazioni'!$B$6)),'Impostazioni'!$B$6+AI290&lt;=0),"",AJ290/('Impostazioni'!$B$6+AI290))</x:f>
      </x:c>
      <x:c r="AL290" s="22" t="str">
        <x:f>IF(AH290&lt;&gt;1,"",IF(AC290&gt;0,AF290-_xlfn.MAXIFS($AF$8:$AF$507,$AF$8:$AF$507,"&lt;="&amp;AF290,$AC$8:$AC$507,"&lt;=0",$AH$8:$AH$507,1),0))</x:f>
      </x:c>
      <x:c r="AM290" s="22" t="str">
        <x:f>IF(AH290&lt;&gt;1,"",IF(AC290&lt;0,AF290-_xlfn.MAXIFS($AF$8:$AF$507,$AF$8:$AF$507,"&lt;="&amp;AF290,$AC$8:$AC$507,"&gt;=0",$AH$8:$AH$507,1),0))</x:f>
      </x:c>
      <x:c r="AN290" s="20" t="str">
        <x:f>IF(OR(A290="",NOT(ISNUMBER(B290)),NOT(ISNUMBER('Impostazioni'!$B$6))),"",'Impostazioni'!$B$6+SUMIFS($AC$8:$AC$507,$C$8:$C$507,"&lt;"&amp;B290,$AH$8:$AH$507,1)+SUMIFS('Cassa'!$F$8:$F$307,'Cassa'!$A$8:$A$307,"&lt;="&amp;B290,'Cassa'!$G$8:$G$307,"OK"))</x:f>
      </x:c>
      <x:c r="AO290" s="21" t="str">
        <x:f>IF(AND(ISNUMBER(Z290),ISNUMBER(AN290),AN290&gt;0),Z290/AN290,"")</x:f>
      </x:c>
      <x:c r="AP290" s="18" t="str">
        <x:f>IF(NOT(ISNUMBER(AO290)),"",IF(AO290&gt;'Impostazioni'!$B$7,"Oltre soglia personale","Nella soglia personale"))</x:f>
      </x:c>
      <x:c r="AQ290" s="18" t="str">
        <x:f>IF(A290="",IF(COUNTA(B290:V290)=0,"","Inserisci ID"),IF(COUNTIFS($A$8:$A$507,A290)&lt;&gt;1,"ID duplicato",IF(OR(NOT(ISNUMBER(B290)),D290="",E290="",F290="",G290="",H290="",COUNTIFS('Impostazioni'!$J$6:$J$25,F290)&lt;&gt;1),"Completa dati / elenchi",IF(OR(AND(I290&lt;&gt;"Lordo manuale",I290&lt;&gt;"Netto manuale",I290&lt;&gt;"Esecuzioni"),AND(J290&lt;&gt;"Aperto",J290&lt;&gt;"Chiuso",J290&lt;&gt;"Annullato")),"Modalità / stato mancanti",IF(AND(J290&lt;&gt;"Aperto",OR(NOT(ISNUMBER(C290)),C290&lt;B290)),"Correggi data chiusura",IF(OR(AND(Q290&lt;&gt;"",OR(NOT(ISNUMBER(Q290)),Q290&lt;0)),AND(R290&lt;&gt;"",OR(NOT(ISNUMBER(R290)),R290&lt;0,R290&gt;1))),"Commissione non valida",IF(J290="Annullato","OK",IF(OR(NOT(ISNUMBER(Z290)),Z290&lt;0,AND(O290&lt;&gt;"",NOT(ISNUMBER(O290)))),"Inserisci rischio",IF(AND(I290="Esecuzioni",OR(W290=0,COUNTIFS('Esecuzioni'!$A$8:$A$1007,A290,'Esecuzioni'!$Q$8:$Q$1007,"&lt;&gt;OK")&gt;0)),"Correggi esecuzioni",IF(J290="Aperto","OK",IF(AND(I290="Esecuzioni",S290="Coperto",ABS(X290-Y290)&gt;'Impostazioni'!$B$11),"Copertura residua",IF(NOT(ISNUMBER(AC290)),"Completa risultato / esito",IF(AND(Z290=0,AC290&lt;&gt;0),"Rischio nullo con P/L","OK")))))))))))))</x:f>
      </x:c>
      <x:c r="AR290" s="20" t="str">
        <x:f>IF(OR(A290="",J290&lt;&gt;"Aperto",AQ290&lt;&gt;"OK"),"",IF(I290="Esecuzioni",SUMIFS('Esecuzioni'!$P$8:$P$1007,'Esecuzioni'!$A$8:$A$1007,A290,'Esecuzioni'!$B$8:$B$1007,_xlfn.MAXIFS('Esecuzioni'!$B$8:$B$1007,'Esecuzioni'!$A$8:$A$1007,A290)),IF(LEFT(U290,8)="FREEBET:",0,Z290)))</x:f>
      </x:c>
      <x:c r="AS290" s="48" t="str">
        <x:f>IF(OR(A290="",E290=""),"",IF(COUNTIFS($E$8:E290,E290)=1,COUNT($AS$7:AS289)+1,""))</x:f>
      </x:c>
    </x:row>
    <x:row r="291" ht="22" customHeight="1">
      <x:c r="A291" s="7"/>
      <x:c r="B291" s="19"/>
      <x:c r="C291" s="19"/>
      <x:c r="D291" s="7"/>
      <x:c r="E291" s="7"/>
      <x:c r="F291" s="7"/>
      <x:c r="G291" s="7"/>
      <x:c r="H291" s="7"/>
      <x:c r="I291" s="7"/>
      <x:c r="J291" s="7"/>
      <x:c r="K291" s="10"/>
      <x:c r="L291" s="7"/>
      <x:c r="M291" s="10"/>
      <x:c r="N291" s="7"/>
      <x:c r="O291" s="8"/>
      <x:c r="P291" s="8"/>
      <x:c r="Q291" s="8"/>
      <x:c r="R291" s="9"/>
      <x:c r="S291" s="7"/>
      <x:c r="T291" s="7"/>
      <x:c r="U291" s="7"/>
      <x:c r="V291" s="7"/>
      <x:c r="W291" s="22" t="str">
        <x:f>IF(A291="","",COUNTIFS('Esecuzioni'!$A$8:$A$1007,A291,'Esecuzioni'!$Q$8:$Q$1007,"OK"))</x:f>
      </x:c>
      <x:c r="X291" s="20" t="str">
        <x:f>IF(OR(A291="",I291&lt;&gt;"Esecuzioni",W291=0),"",SUMIFS('Esecuzioni'!$L$8:$L$1007,'Esecuzioni'!$A$8:$A$1007,A291))</x:f>
      </x:c>
      <x:c r="Y291" s="20" t="str">
        <x:f>IF(OR(A291="",I291&lt;&gt;"Esecuzioni",W291=0),"",SUMIFS('Esecuzioni'!$M$8:$M$1007,'Esecuzioni'!$A$8:$A$1007,A291))</x:f>
      </x:c>
      <x:c r="Z291" s="20" t="str">
        <x:f>IF(A291="","",IF(J291="Annullato",0,IF(ISNUMBER(O291),O291,IF(AND(I291="Esecuzioni",W291&gt;0),_xlfn.MAXIFS('Esecuzioni'!$P$8:$P$1007,'Esecuzioni'!$A$8:$A$1007,A291),""))))</x:f>
      </x:c>
      <x:c r="AA291" s="20" t="str">
        <x:f>IF(OR(A291="",J291="Aperto"),"",IF(J291="Annullato",0,IF(I291="Lordo manuale",IF(ISNUMBER(P291),P291,""),IF(I291="Netto manuale",IF(AND(ISNUMBER(P291),ISNUMBER(Q291)),P291+Q291,""),IF(OR(W291=0,COUNTIFS('Esecuzioni'!$A$8:$A$1007,A291,'Esecuzioni'!$Q$8:$Q$1007,"&lt;&gt;OK")&gt;0),"",IF(S291="Vince",X291,IF(S291="Perde",Y291,IF(AND(S291="Coperto",ABS(X291-Y291)&lt;='Impostazioni'!$B$11),ROUND((X291+Y291)/2,2),""))))))))</x:f>
      </x:c>
      <x:c r="AB291" s="20" t="str">
        <x:f>IF(NOT(ISNUMBER(AA291)),"",IF(J291="Annullato",0,IF(ISNUMBER(Q291),Q291,ROUND(MAX(0,AA291)*IF(ISNUMBER(R291),R291,'Impostazioni'!$B$8),2))))</x:f>
      </x:c>
      <x:c r="AC291" s="20" t="str">
        <x:f>IF(AND(ISNUMBER(AA291),ISNUMBER(AB291)),ROUND(AA291-AB291,2),"")</x:f>
      </x:c>
      <x:c r="AD291" s="18" t="str">
        <x:f>IF(A291="","",IF(AQ291&lt;&gt;"OK","Incompleto",IF(J291="Aperto","Aperto",IF(J291="Annullato","Annullato",IF(AC291&gt;0,"Green",IF(AC291&lt;0,"Red","Flat"))))))</x:f>
      </x:c>
      <x:c r="AE291" s="21" t="str">
        <x:f>IF(AND(AH291=1,Z291&gt;0),AC291/Z291,"")</x:f>
      </x:c>
      <x:c r="AF291" s="22" t="str">
        <x:f>IF(AH291&lt;&gt;1,"",COUNTIFS($C$8:$C$507,"&lt;"&amp;C291,$AH$8:$AH$507,1)+COUNTIFS($C$8:$C$507,C291,$A$8:$A$507,"&lt;="&amp;A291,$AH$8:$AH$507,1))</x:f>
      </x:c>
      <x:c r="AG291" s="20" t="str">
        <x:f>IF(AH291&lt;&gt;1,"",SUMIFS($AC$8:$AC$507,$C$8:$C$507,"&lt;"&amp;C291,$AH$8:$AH$507,1)+SUMIFS($AC$8:$AC$507,$C$8:$C$507,C291,$A$8:$A$507,"&lt;="&amp;A291,$AH$8:$AH$507,1))</x:f>
      </x:c>
      <x:c r="AH291" s="22" t="str">
        <x:f>IF(A291="","",IF(AND(J291="Chiuso",AQ291="OK",ISNUMBER(AC291)),1,0))</x:f>
      </x:c>
      <x:c r="AI291" s="20" t="str">
        <x:f>IF(AH291&lt;&gt;1,"",MAX(0,_xlfn.MAXIFS($AG$8:$AG$507,$AF$8:$AF$507,"&lt;="&amp;AF291,$AH$8:$AH$507,1)))</x:f>
      </x:c>
      <x:c r="AJ291" s="20" t="str">
        <x:f>IF(AH291&lt;&gt;1,"",MAX(0,AI291-AG291))</x:f>
      </x:c>
      <x:c r="AK291" s="21" t="str">
        <x:f>IF(OR(AH291&lt;&gt;1,NOT(ISNUMBER('Impostazioni'!$B$6)),'Impostazioni'!$B$6+AI291&lt;=0),"",AJ291/('Impostazioni'!$B$6+AI291))</x:f>
      </x:c>
      <x:c r="AL291" s="22" t="str">
        <x:f>IF(AH291&lt;&gt;1,"",IF(AC291&gt;0,AF291-_xlfn.MAXIFS($AF$8:$AF$507,$AF$8:$AF$507,"&lt;="&amp;AF291,$AC$8:$AC$507,"&lt;=0",$AH$8:$AH$507,1),0))</x:f>
      </x:c>
      <x:c r="AM291" s="22" t="str">
        <x:f>IF(AH291&lt;&gt;1,"",IF(AC291&lt;0,AF291-_xlfn.MAXIFS($AF$8:$AF$507,$AF$8:$AF$507,"&lt;="&amp;AF291,$AC$8:$AC$507,"&gt;=0",$AH$8:$AH$507,1),0))</x:f>
      </x:c>
      <x:c r="AN291" s="20" t="str">
        <x:f>IF(OR(A291="",NOT(ISNUMBER(B291)),NOT(ISNUMBER('Impostazioni'!$B$6))),"",'Impostazioni'!$B$6+SUMIFS($AC$8:$AC$507,$C$8:$C$507,"&lt;"&amp;B291,$AH$8:$AH$507,1)+SUMIFS('Cassa'!$F$8:$F$307,'Cassa'!$A$8:$A$307,"&lt;="&amp;B291,'Cassa'!$G$8:$G$307,"OK"))</x:f>
      </x:c>
      <x:c r="AO291" s="21" t="str">
        <x:f>IF(AND(ISNUMBER(Z291),ISNUMBER(AN291),AN291&gt;0),Z291/AN291,"")</x:f>
      </x:c>
      <x:c r="AP291" s="18" t="str">
        <x:f>IF(NOT(ISNUMBER(AO291)),"",IF(AO291&gt;'Impostazioni'!$B$7,"Oltre soglia personale","Nella soglia personale"))</x:f>
      </x:c>
      <x:c r="AQ291" s="18" t="str">
        <x:f>IF(A291="",IF(COUNTA(B291:V291)=0,"","Inserisci ID"),IF(COUNTIFS($A$8:$A$507,A291)&lt;&gt;1,"ID duplicato",IF(OR(NOT(ISNUMBER(B291)),D291="",E291="",F291="",G291="",H291="",COUNTIFS('Impostazioni'!$J$6:$J$25,F291)&lt;&gt;1),"Completa dati / elenchi",IF(OR(AND(I291&lt;&gt;"Lordo manuale",I291&lt;&gt;"Netto manuale",I291&lt;&gt;"Esecuzioni"),AND(J291&lt;&gt;"Aperto",J291&lt;&gt;"Chiuso",J291&lt;&gt;"Annullato")),"Modalità / stato mancanti",IF(AND(J291&lt;&gt;"Aperto",OR(NOT(ISNUMBER(C291)),C291&lt;B291)),"Correggi data chiusura",IF(OR(AND(Q291&lt;&gt;"",OR(NOT(ISNUMBER(Q291)),Q291&lt;0)),AND(R291&lt;&gt;"",OR(NOT(ISNUMBER(R291)),R291&lt;0,R291&gt;1))),"Commissione non valida",IF(J291="Annullato","OK",IF(OR(NOT(ISNUMBER(Z291)),Z291&lt;0,AND(O291&lt;&gt;"",NOT(ISNUMBER(O291)))),"Inserisci rischio",IF(AND(I291="Esecuzioni",OR(W291=0,COUNTIFS('Esecuzioni'!$A$8:$A$1007,A291,'Esecuzioni'!$Q$8:$Q$1007,"&lt;&gt;OK")&gt;0)),"Correggi esecuzioni",IF(J291="Aperto","OK",IF(AND(I291="Esecuzioni",S291="Coperto",ABS(X291-Y291)&gt;'Impostazioni'!$B$11),"Copertura residua",IF(NOT(ISNUMBER(AC291)),"Completa risultato / esito",IF(AND(Z291=0,AC291&lt;&gt;0),"Rischio nullo con P/L","OK")))))))))))))</x:f>
      </x:c>
      <x:c r="AR291" s="20" t="str">
        <x:f>IF(OR(A291="",J291&lt;&gt;"Aperto",AQ291&lt;&gt;"OK"),"",IF(I291="Esecuzioni",SUMIFS('Esecuzioni'!$P$8:$P$1007,'Esecuzioni'!$A$8:$A$1007,A291,'Esecuzioni'!$B$8:$B$1007,_xlfn.MAXIFS('Esecuzioni'!$B$8:$B$1007,'Esecuzioni'!$A$8:$A$1007,A291)),IF(LEFT(U291,8)="FREEBET:",0,Z291)))</x:f>
      </x:c>
      <x:c r="AS291" s="48" t="str">
        <x:f>IF(OR(A291="",E291=""),"",IF(COUNTIFS($E$8:E291,E291)=1,COUNT($AS$7:AS290)+1,""))</x:f>
      </x:c>
    </x:row>
    <x:row r="292" ht="22" customHeight="1">
      <x:c r="A292" s="7"/>
      <x:c r="B292" s="19"/>
      <x:c r="C292" s="19"/>
      <x:c r="D292" s="7"/>
      <x:c r="E292" s="7"/>
      <x:c r="F292" s="7"/>
      <x:c r="G292" s="7"/>
      <x:c r="H292" s="7"/>
      <x:c r="I292" s="7"/>
      <x:c r="J292" s="7"/>
      <x:c r="K292" s="10"/>
      <x:c r="L292" s="7"/>
      <x:c r="M292" s="10"/>
      <x:c r="N292" s="7"/>
      <x:c r="O292" s="8"/>
      <x:c r="P292" s="8"/>
      <x:c r="Q292" s="8"/>
      <x:c r="R292" s="9"/>
      <x:c r="S292" s="7"/>
      <x:c r="T292" s="7"/>
      <x:c r="U292" s="7"/>
      <x:c r="V292" s="7"/>
      <x:c r="W292" s="22" t="str">
        <x:f>IF(A292="","",COUNTIFS('Esecuzioni'!$A$8:$A$1007,A292,'Esecuzioni'!$Q$8:$Q$1007,"OK"))</x:f>
      </x:c>
      <x:c r="X292" s="20" t="str">
        <x:f>IF(OR(A292="",I292&lt;&gt;"Esecuzioni",W292=0),"",SUMIFS('Esecuzioni'!$L$8:$L$1007,'Esecuzioni'!$A$8:$A$1007,A292))</x:f>
      </x:c>
      <x:c r="Y292" s="20" t="str">
        <x:f>IF(OR(A292="",I292&lt;&gt;"Esecuzioni",W292=0),"",SUMIFS('Esecuzioni'!$M$8:$M$1007,'Esecuzioni'!$A$8:$A$1007,A292))</x:f>
      </x:c>
      <x:c r="Z292" s="20" t="str">
        <x:f>IF(A292="","",IF(J292="Annullato",0,IF(ISNUMBER(O292),O292,IF(AND(I292="Esecuzioni",W292&gt;0),_xlfn.MAXIFS('Esecuzioni'!$P$8:$P$1007,'Esecuzioni'!$A$8:$A$1007,A292),""))))</x:f>
      </x:c>
      <x:c r="AA292" s="20" t="str">
        <x:f>IF(OR(A292="",J292="Aperto"),"",IF(J292="Annullato",0,IF(I292="Lordo manuale",IF(ISNUMBER(P292),P292,""),IF(I292="Netto manuale",IF(AND(ISNUMBER(P292),ISNUMBER(Q292)),P292+Q292,""),IF(OR(W292=0,COUNTIFS('Esecuzioni'!$A$8:$A$1007,A292,'Esecuzioni'!$Q$8:$Q$1007,"&lt;&gt;OK")&gt;0),"",IF(S292="Vince",X292,IF(S292="Perde",Y292,IF(AND(S292="Coperto",ABS(X292-Y292)&lt;='Impostazioni'!$B$11),ROUND((X292+Y292)/2,2),""))))))))</x:f>
      </x:c>
      <x:c r="AB292" s="20" t="str">
        <x:f>IF(NOT(ISNUMBER(AA292)),"",IF(J292="Annullato",0,IF(ISNUMBER(Q292),Q292,ROUND(MAX(0,AA292)*IF(ISNUMBER(R292),R292,'Impostazioni'!$B$8),2))))</x:f>
      </x:c>
      <x:c r="AC292" s="20" t="str">
        <x:f>IF(AND(ISNUMBER(AA292),ISNUMBER(AB292)),ROUND(AA292-AB292,2),"")</x:f>
      </x:c>
      <x:c r="AD292" s="18" t="str">
        <x:f>IF(A292="","",IF(AQ292&lt;&gt;"OK","Incompleto",IF(J292="Aperto","Aperto",IF(J292="Annullato","Annullato",IF(AC292&gt;0,"Green",IF(AC292&lt;0,"Red","Flat"))))))</x:f>
      </x:c>
      <x:c r="AE292" s="21" t="str">
        <x:f>IF(AND(AH292=1,Z292&gt;0),AC292/Z292,"")</x:f>
      </x:c>
      <x:c r="AF292" s="22" t="str">
        <x:f>IF(AH292&lt;&gt;1,"",COUNTIFS($C$8:$C$507,"&lt;"&amp;C292,$AH$8:$AH$507,1)+COUNTIFS($C$8:$C$507,C292,$A$8:$A$507,"&lt;="&amp;A292,$AH$8:$AH$507,1))</x:f>
      </x:c>
      <x:c r="AG292" s="20" t="str">
        <x:f>IF(AH292&lt;&gt;1,"",SUMIFS($AC$8:$AC$507,$C$8:$C$507,"&lt;"&amp;C292,$AH$8:$AH$507,1)+SUMIFS($AC$8:$AC$507,$C$8:$C$507,C292,$A$8:$A$507,"&lt;="&amp;A292,$AH$8:$AH$507,1))</x:f>
      </x:c>
      <x:c r="AH292" s="22" t="str">
        <x:f>IF(A292="","",IF(AND(J292="Chiuso",AQ292="OK",ISNUMBER(AC292)),1,0))</x:f>
      </x:c>
      <x:c r="AI292" s="20" t="str">
        <x:f>IF(AH292&lt;&gt;1,"",MAX(0,_xlfn.MAXIFS($AG$8:$AG$507,$AF$8:$AF$507,"&lt;="&amp;AF292,$AH$8:$AH$507,1)))</x:f>
      </x:c>
      <x:c r="AJ292" s="20" t="str">
        <x:f>IF(AH292&lt;&gt;1,"",MAX(0,AI292-AG292))</x:f>
      </x:c>
      <x:c r="AK292" s="21" t="str">
        <x:f>IF(OR(AH292&lt;&gt;1,NOT(ISNUMBER('Impostazioni'!$B$6)),'Impostazioni'!$B$6+AI292&lt;=0),"",AJ292/('Impostazioni'!$B$6+AI292))</x:f>
      </x:c>
      <x:c r="AL292" s="22" t="str">
        <x:f>IF(AH292&lt;&gt;1,"",IF(AC292&gt;0,AF292-_xlfn.MAXIFS($AF$8:$AF$507,$AF$8:$AF$507,"&lt;="&amp;AF292,$AC$8:$AC$507,"&lt;=0",$AH$8:$AH$507,1),0))</x:f>
      </x:c>
      <x:c r="AM292" s="22" t="str">
        <x:f>IF(AH292&lt;&gt;1,"",IF(AC292&lt;0,AF292-_xlfn.MAXIFS($AF$8:$AF$507,$AF$8:$AF$507,"&lt;="&amp;AF292,$AC$8:$AC$507,"&gt;=0",$AH$8:$AH$507,1),0))</x:f>
      </x:c>
      <x:c r="AN292" s="20" t="str">
        <x:f>IF(OR(A292="",NOT(ISNUMBER(B292)),NOT(ISNUMBER('Impostazioni'!$B$6))),"",'Impostazioni'!$B$6+SUMIFS($AC$8:$AC$507,$C$8:$C$507,"&lt;"&amp;B292,$AH$8:$AH$507,1)+SUMIFS('Cassa'!$F$8:$F$307,'Cassa'!$A$8:$A$307,"&lt;="&amp;B292,'Cassa'!$G$8:$G$307,"OK"))</x:f>
      </x:c>
      <x:c r="AO292" s="21" t="str">
        <x:f>IF(AND(ISNUMBER(Z292),ISNUMBER(AN292),AN292&gt;0),Z292/AN292,"")</x:f>
      </x:c>
      <x:c r="AP292" s="18" t="str">
        <x:f>IF(NOT(ISNUMBER(AO292)),"",IF(AO292&gt;'Impostazioni'!$B$7,"Oltre soglia personale","Nella soglia personale"))</x:f>
      </x:c>
      <x:c r="AQ292" s="18" t="str">
        <x:f>IF(A292="",IF(COUNTA(B292:V292)=0,"","Inserisci ID"),IF(COUNTIFS($A$8:$A$507,A292)&lt;&gt;1,"ID duplicato",IF(OR(NOT(ISNUMBER(B292)),D292="",E292="",F292="",G292="",H292="",COUNTIFS('Impostazioni'!$J$6:$J$25,F292)&lt;&gt;1),"Completa dati / elenchi",IF(OR(AND(I292&lt;&gt;"Lordo manuale",I292&lt;&gt;"Netto manuale",I292&lt;&gt;"Esecuzioni"),AND(J292&lt;&gt;"Aperto",J292&lt;&gt;"Chiuso",J292&lt;&gt;"Annullato")),"Modalità / stato mancanti",IF(AND(J292&lt;&gt;"Aperto",OR(NOT(ISNUMBER(C292)),C292&lt;B292)),"Correggi data chiusura",IF(OR(AND(Q292&lt;&gt;"",OR(NOT(ISNUMBER(Q292)),Q292&lt;0)),AND(R292&lt;&gt;"",OR(NOT(ISNUMBER(R292)),R292&lt;0,R292&gt;1))),"Commissione non valida",IF(J292="Annullato","OK",IF(OR(NOT(ISNUMBER(Z292)),Z292&lt;0,AND(O292&lt;&gt;"",NOT(ISNUMBER(O292)))),"Inserisci rischio",IF(AND(I292="Esecuzioni",OR(W292=0,COUNTIFS('Esecuzioni'!$A$8:$A$1007,A292,'Esecuzioni'!$Q$8:$Q$1007,"&lt;&gt;OK")&gt;0)),"Correggi esecuzioni",IF(J292="Aperto","OK",IF(AND(I292="Esecuzioni",S292="Coperto",ABS(X292-Y292)&gt;'Impostazioni'!$B$11),"Copertura residua",IF(NOT(ISNUMBER(AC292)),"Completa risultato / esito",IF(AND(Z292=0,AC292&lt;&gt;0),"Rischio nullo con P/L","OK")))))))))))))</x:f>
      </x:c>
      <x:c r="AR292" s="20" t="str">
        <x:f>IF(OR(A292="",J292&lt;&gt;"Aperto",AQ292&lt;&gt;"OK"),"",IF(I292="Esecuzioni",SUMIFS('Esecuzioni'!$P$8:$P$1007,'Esecuzioni'!$A$8:$A$1007,A292,'Esecuzioni'!$B$8:$B$1007,_xlfn.MAXIFS('Esecuzioni'!$B$8:$B$1007,'Esecuzioni'!$A$8:$A$1007,A292)),IF(LEFT(U292,8)="FREEBET:",0,Z292)))</x:f>
      </x:c>
      <x:c r="AS292" s="48" t="str">
        <x:f>IF(OR(A292="",E292=""),"",IF(COUNTIFS($E$8:E292,E292)=1,COUNT($AS$7:AS291)+1,""))</x:f>
      </x:c>
    </x:row>
    <x:row r="293" ht="22" customHeight="1">
      <x:c r="A293" s="7"/>
      <x:c r="B293" s="19"/>
      <x:c r="C293" s="19"/>
      <x:c r="D293" s="7"/>
      <x:c r="E293" s="7"/>
      <x:c r="F293" s="7"/>
      <x:c r="G293" s="7"/>
      <x:c r="H293" s="7"/>
      <x:c r="I293" s="7"/>
      <x:c r="J293" s="7"/>
      <x:c r="K293" s="10"/>
      <x:c r="L293" s="7"/>
      <x:c r="M293" s="10"/>
      <x:c r="N293" s="7"/>
      <x:c r="O293" s="8"/>
      <x:c r="P293" s="8"/>
      <x:c r="Q293" s="8"/>
      <x:c r="R293" s="9"/>
      <x:c r="S293" s="7"/>
      <x:c r="T293" s="7"/>
      <x:c r="U293" s="7"/>
      <x:c r="V293" s="7"/>
      <x:c r="W293" s="22" t="str">
        <x:f>IF(A293="","",COUNTIFS('Esecuzioni'!$A$8:$A$1007,A293,'Esecuzioni'!$Q$8:$Q$1007,"OK"))</x:f>
      </x:c>
      <x:c r="X293" s="20" t="str">
        <x:f>IF(OR(A293="",I293&lt;&gt;"Esecuzioni",W293=0),"",SUMIFS('Esecuzioni'!$L$8:$L$1007,'Esecuzioni'!$A$8:$A$1007,A293))</x:f>
      </x:c>
      <x:c r="Y293" s="20" t="str">
        <x:f>IF(OR(A293="",I293&lt;&gt;"Esecuzioni",W293=0),"",SUMIFS('Esecuzioni'!$M$8:$M$1007,'Esecuzioni'!$A$8:$A$1007,A293))</x:f>
      </x:c>
      <x:c r="Z293" s="20" t="str">
        <x:f>IF(A293="","",IF(J293="Annullato",0,IF(ISNUMBER(O293),O293,IF(AND(I293="Esecuzioni",W293&gt;0),_xlfn.MAXIFS('Esecuzioni'!$P$8:$P$1007,'Esecuzioni'!$A$8:$A$1007,A293),""))))</x:f>
      </x:c>
      <x:c r="AA293" s="20" t="str">
        <x:f>IF(OR(A293="",J293="Aperto"),"",IF(J293="Annullato",0,IF(I293="Lordo manuale",IF(ISNUMBER(P293),P293,""),IF(I293="Netto manuale",IF(AND(ISNUMBER(P293),ISNUMBER(Q293)),P293+Q293,""),IF(OR(W293=0,COUNTIFS('Esecuzioni'!$A$8:$A$1007,A293,'Esecuzioni'!$Q$8:$Q$1007,"&lt;&gt;OK")&gt;0),"",IF(S293="Vince",X293,IF(S293="Perde",Y293,IF(AND(S293="Coperto",ABS(X293-Y293)&lt;='Impostazioni'!$B$11),ROUND((X293+Y293)/2,2),""))))))))</x:f>
      </x:c>
      <x:c r="AB293" s="20" t="str">
        <x:f>IF(NOT(ISNUMBER(AA293)),"",IF(J293="Annullato",0,IF(ISNUMBER(Q293),Q293,ROUND(MAX(0,AA293)*IF(ISNUMBER(R293),R293,'Impostazioni'!$B$8),2))))</x:f>
      </x:c>
      <x:c r="AC293" s="20" t="str">
        <x:f>IF(AND(ISNUMBER(AA293),ISNUMBER(AB293)),ROUND(AA293-AB293,2),"")</x:f>
      </x:c>
      <x:c r="AD293" s="18" t="str">
        <x:f>IF(A293="","",IF(AQ293&lt;&gt;"OK","Incompleto",IF(J293="Aperto","Aperto",IF(J293="Annullato","Annullato",IF(AC293&gt;0,"Green",IF(AC293&lt;0,"Red","Flat"))))))</x:f>
      </x:c>
      <x:c r="AE293" s="21" t="str">
        <x:f>IF(AND(AH293=1,Z293&gt;0),AC293/Z293,"")</x:f>
      </x:c>
      <x:c r="AF293" s="22" t="str">
        <x:f>IF(AH293&lt;&gt;1,"",COUNTIFS($C$8:$C$507,"&lt;"&amp;C293,$AH$8:$AH$507,1)+COUNTIFS($C$8:$C$507,C293,$A$8:$A$507,"&lt;="&amp;A293,$AH$8:$AH$507,1))</x:f>
      </x:c>
      <x:c r="AG293" s="20" t="str">
        <x:f>IF(AH293&lt;&gt;1,"",SUMIFS($AC$8:$AC$507,$C$8:$C$507,"&lt;"&amp;C293,$AH$8:$AH$507,1)+SUMIFS($AC$8:$AC$507,$C$8:$C$507,C293,$A$8:$A$507,"&lt;="&amp;A293,$AH$8:$AH$507,1))</x:f>
      </x:c>
      <x:c r="AH293" s="22" t="str">
        <x:f>IF(A293="","",IF(AND(J293="Chiuso",AQ293="OK",ISNUMBER(AC293)),1,0))</x:f>
      </x:c>
      <x:c r="AI293" s="20" t="str">
        <x:f>IF(AH293&lt;&gt;1,"",MAX(0,_xlfn.MAXIFS($AG$8:$AG$507,$AF$8:$AF$507,"&lt;="&amp;AF293,$AH$8:$AH$507,1)))</x:f>
      </x:c>
      <x:c r="AJ293" s="20" t="str">
        <x:f>IF(AH293&lt;&gt;1,"",MAX(0,AI293-AG293))</x:f>
      </x:c>
      <x:c r="AK293" s="21" t="str">
        <x:f>IF(OR(AH293&lt;&gt;1,NOT(ISNUMBER('Impostazioni'!$B$6)),'Impostazioni'!$B$6+AI293&lt;=0),"",AJ293/('Impostazioni'!$B$6+AI293))</x:f>
      </x:c>
      <x:c r="AL293" s="22" t="str">
        <x:f>IF(AH293&lt;&gt;1,"",IF(AC293&gt;0,AF293-_xlfn.MAXIFS($AF$8:$AF$507,$AF$8:$AF$507,"&lt;="&amp;AF293,$AC$8:$AC$507,"&lt;=0",$AH$8:$AH$507,1),0))</x:f>
      </x:c>
      <x:c r="AM293" s="22" t="str">
        <x:f>IF(AH293&lt;&gt;1,"",IF(AC293&lt;0,AF293-_xlfn.MAXIFS($AF$8:$AF$507,$AF$8:$AF$507,"&lt;="&amp;AF293,$AC$8:$AC$507,"&gt;=0",$AH$8:$AH$507,1),0))</x:f>
      </x:c>
      <x:c r="AN293" s="20" t="str">
        <x:f>IF(OR(A293="",NOT(ISNUMBER(B293)),NOT(ISNUMBER('Impostazioni'!$B$6))),"",'Impostazioni'!$B$6+SUMIFS($AC$8:$AC$507,$C$8:$C$507,"&lt;"&amp;B293,$AH$8:$AH$507,1)+SUMIFS('Cassa'!$F$8:$F$307,'Cassa'!$A$8:$A$307,"&lt;="&amp;B293,'Cassa'!$G$8:$G$307,"OK"))</x:f>
      </x:c>
      <x:c r="AO293" s="21" t="str">
        <x:f>IF(AND(ISNUMBER(Z293),ISNUMBER(AN293),AN293&gt;0),Z293/AN293,"")</x:f>
      </x:c>
      <x:c r="AP293" s="18" t="str">
        <x:f>IF(NOT(ISNUMBER(AO293)),"",IF(AO293&gt;'Impostazioni'!$B$7,"Oltre soglia personale","Nella soglia personale"))</x:f>
      </x:c>
      <x:c r="AQ293" s="18" t="str">
        <x:f>IF(A293="",IF(COUNTA(B293:V293)=0,"","Inserisci ID"),IF(COUNTIFS($A$8:$A$507,A293)&lt;&gt;1,"ID duplicato",IF(OR(NOT(ISNUMBER(B293)),D293="",E293="",F293="",G293="",H293="",COUNTIFS('Impostazioni'!$J$6:$J$25,F293)&lt;&gt;1),"Completa dati / elenchi",IF(OR(AND(I293&lt;&gt;"Lordo manuale",I293&lt;&gt;"Netto manuale",I293&lt;&gt;"Esecuzioni"),AND(J293&lt;&gt;"Aperto",J293&lt;&gt;"Chiuso",J293&lt;&gt;"Annullato")),"Modalità / stato mancanti",IF(AND(J293&lt;&gt;"Aperto",OR(NOT(ISNUMBER(C293)),C293&lt;B293)),"Correggi data chiusura",IF(OR(AND(Q293&lt;&gt;"",OR(NOT(ISNUMBER(Q293)),Q293&lt;0)),AND(R293&lt;&gt;"",OR(NOT(ISNUMBER(R293)),R293&lt;0,R293&gt;1))),"Commissione non valida",IF(J293="Annullato","OK",IF(OR(NOT(ISNUMBER(Z293)),Z293&lt;0,AND(O293&lt;&gt;"",NOT(ISNUMBER(O293)))),"Inserisci rischio",IF(AND(I293="Esecuzioni",OR(W293=0,COUNTIFS('Esecuzioni'!$A$8:$A$1007,A293,'Esecuzioni'!$Q$8:$Q$1007,"&lt;&gt;OK")&gt;0)),"Correggi esecuzioni",IF(J293="Aperto","OK",IF(AND(I293="Esecuzioni",S293="Coperto",ABS(X293-Y293)&gt;'Impostazioni'!$B$11),"Copertura residua",IF(NOT(ISNUMBER(AC293)),"Completa risultato / esito",IF(AND(Z293=0,AC293&lt;&gt;0),"Rischio nullo con P/L","OK")))))))))))))</x:f>
      </x:c>
      <x:c r="AR293" s="20" t="str">
        <x:f>IF(OR(A293="",J293&lt;&gt;"Aperto",AQ293&lt;&gt;"OK"),"",IF(I293="Esecuzioni",SUMIFS('Esecuzioni'!$P$8:$P$1007,'Esecuzioni'!$A$8:$A$1007,A293,'Esecuzioni'!$B$8:$B$1007,_xlfn.MAXIFS('Esecuzioni'!$B$8:$B$1007,'Esecuzioni'!$A$8:$A$1007,A293)),IF(LEFT(U293,8)="FREEBET:",0,Z293)))</x:f>
      </x:c>
      <x:c r="AS293" s="48" t="str">
        <x:f>IF(OR(A293="",E293=""),"",IF(COUNTIFS($E$8:E293,E293)=1,COUNT($AS$7:AS292)+1,""))</x:f>
      </x:c>
    </x:row>
    <x:row r="294" ht="22" customHeight="1">
      <x:c r="A294" s="7"/>
      <x:c r="B294" s="19"/>
      <x:c r="C294" s="19"/>
      <x:c r="D294" s="7"/>
      <x:c r="E294" s="7"/>
      <x:c r="F294" s="7"/>
      <x:c r="G294" s="7"/>
      <x:c r="H294" s="7"/>
      <x:c r="I294" s="7"/>
      <x:c r="J294" s="7"/>
      <x:c r="K294" s="10"/>
      <x:c r="L294" s="7"/>
      <x:c r="M294" s="10"/>
      <x:c r="N294" s="7"/>
      <x:c r="O294" s="8"/>
      <x:c r="P294" s="8"/>
      <x:c r="Q294" s="8"/>
      <x:c r="R294" s="9"/>
      <x:c r="S294" s="7"/>
      <x:c r="T294" s="7"/>
      <x:c r="U294" s="7"/>
      <x:c r="V294" s="7"/>
      <x:c r="W294" s="22" t="str">
        <x:f>IF(A294="","",COUNTIFS('Esecuzioni'!$A$8:$A$1007,A294,'Esecuzioni'!$Q$8:$Q$1007,"OK"))</x:f>
      </x:c>
      <x:c r="X294" s="20" t="str">
        <x:f>IF(OR(A294="",I294&lt;&gt;"Esecuzioni",W294=0),"",SUMIFS('Esecuzioni'!$L$8:$L$1007,'Esecuzioni'!$A$8:$A$1007,A294))</x:f>
      </x:c>
      <x:c r="Y294" s="20" t="str">
        <x:f>IF(OR(A294="",I294&lt;&gt;"Esecuzioni",W294=0),"",SUMIFS('Esecuzioni'!$M$8:$M$1007,'Esecuzioni'!$A$8:$A$1007,A294))</x:f>
      </x:c>
      <x:c r="Z294" s="20" t="str">
        <x:f>IF(A294="","",IF(J294="Annullato",0,IF(ISNUMBER(O294),O294,IF(AND(I294="Esecuzioni",W294&gt;0),_xlfn.MAXIFS('Esecuzioni'!$P$8:$P$1007,'Esecuzioni'!$A$8:$A$1007,A294),""))))</x:f>
      </x:c>
      <x:c r="AA294" s="20" t="str">
        <x:f>IF(OR(A294="",J294="Aperto"),"",IF(J294="Annullato",0,IF(I294="Lordo manuale",IF(ISNUMBER(P294),P294,""),IF(I294="Netto manuale",IF(AND(ISNUMBER(P294),ISNUMBER(Q294)),P294+Q294,""),IF(OR(W294=0,COUNTIFS('Esecuzioni'!$A$8:$A$1007,A294,'Esecuzioni'!$Q$8:$Q$1007,"&lt;&gt;OK")&gt;0),"",IF(S294="Vince",X294,IF(S294="Perde",Y294,IF(AND(S294="Coperto",ABS(X294-Y294)&lt;='Impostazioni'!$B$11),ROUND((X294+Y294)/2,2),""))))))))</x:f>
      </x:c>
      <x:c r="AB294" s="20" t="str">
        <x:f>IF(NOT(ISNUMBER(AA294)),"",IF(J294="Annullato",0,IF(ISNUMBER(Q294),Q294,ROUND(MAX(0,AA294)*IF(ISNUMBER(R294),R294,'Impostazioni'!$B$8),2))))</x:f>
      </x:c>
      <x:c r="AC294" s="20" t="str">
        <x:f>IF(AND(ISNUMBER(AA294),ISNUMBER(AB294)),ROUND(AA294-AB294,2),"")</x:f>
      </x:c>
      <x:c r="AD294" s="18" t="str">
        <x:f>IF(A294="","",IF(AQ294&lt;&gt;"OK","Incompleto",IF(J294="Aperto","Aperto",IF(J294="Annullato","Annullato",IF(AC294&gt;0,"Green",IF(AC294&lt;0,"Red","Flat"))))))</x:f>
      </x:c>
      <x:c r="AE294" s="21" t="str">
        <x:f>IF(AND(AH294=1,Z294&gt;0),AC294/Z294,"")</x:f>
      </x:c>
      <x:c r="AF294" s="22" t="str">
        <x:f>IF(AH294&lt;&gt;1,"",COUNTIFS($C$8:$C$507,"&lt;"&amp;C294,$AH$8:$AH$507,1)+COUNTIFS($C$8:$C$507,C294,$A$8:$A$507,"&lt;="&amp;A294,$AH$8:$AH$507,1))</x:f>
      </x:c>
      <x:c r="AG294" s="20" t="str">
        <x:f>IF(AH294&lt;&gt;1,"",SUMIFS($AC$8:$AC$507,$C$8:$C$507,"&lt;"&amp;C294,$AH$8:$AH$507,1)+SUMIFS($AC$8:$AC$507,$C$8:$C$507,C294,$A$8:$A$507,"&lt;="&amp;A294,$AH$8:$AH$507,1))</x:f>
      </x:c>
      <x:c r="AH294" s="22" t="str">
        <x:f>IF(A294="","",IF(AND(J294="Chiuso",AQ294="OK",ISNUMBER(AC294)),1,0))</x:f>
      </x:c>
      <x:c r="AI294" s="20" t="str">
        <x:f>IF(AH294&lt;&gt;1,"",MAX(0,_xlfn.MAXIFS($AG$8:$AG$507,$AF$8:$AF$507,"&lt;="&amp;AF294,$AH$8:$AH$507,1)))</x:f>
      </x:c>
      <x:c r="AJ294" s="20" t="str">
        <x:f>IF(AH294&lt;&gt;1,"",MAX(0,AI294-AG294))</x:f>
      </x:c>
      <x:c r="AK294" s="21" t="str">
        <x:f>IF(OR(AH294&lt;&gt;1,NOT(ISNUMBER('Impostazioni'!$B$6)),'Impostazioni'!$B$6+AI294&lt;=0),"",AJ294/('Impostazioni'!$B$6+AI294))</x:f>
      </x:c>
      <x:c r="AL294" s="22" t="str">
        <x:f>IF(AH294&lt;&gt;1,"",IF(AC294&gt;0,AF294-_xlfn.MAXIFS($AF$8:$AF$507,$AF$8:$AF$507,"&lt;="&amp;AF294,$AC$8:$AC$507,"&lt;=0",$AH$8:$AH$507,1),0))</x:f>
      </x:c>
      <x:c r="AM294" s="22" t="str">
        <x:f>IF(AH294&lt;&gt;1,"",IF(AC294&lt;0,AF294-_xlfn.MAXIFS($AF$8:$AF$507,$AF$8:$AF$507,"&lt;="&amp;AF294,$AC$8:$AC$507,"&gt;=0",$AH$8:$AH$507,1),0))</x:f>
      </x:c>
      <x:c r="AN294" s="20" t="str">
        <x:f>IF(OR(A294="",NOT(ISNUMBER(B294)),NOT(ISNUMBER('Impostazioni'!$B$6))),"",'Impostazioni'!$B$6+SUMIFS($AC$8:$AC$507,$C$8:$C$507,"&lt;"&amp;B294,$AH$8:$AH$507,1)+SUMIFS('Cassa'!$F$8:$F$307,'Cassa'!$A$8:$A$307,"&lt;="&amp;B294,'Cassa'!$G$8:$G$307,"OK"))</x:f>
      </x:c>
      <x:c r="AO294" s="21" t="str">
        <x:f>IF(AND(ISNUMBER(Z294),ISNUMBER(AN294),AN294&gt;0),Z294/AN294,"")</x:f>
      </x:c>
      <x:c r="AP294" s="18" t="str">
        <x:f>IF(NOT(ISNUMBER(AO294)),"",IF(AO294&gt;'Impostazioni'!$B$7,"Oltre soglia personale","Nella soglia personale"))</x:f>
      </x:c>
      <x:c r="AQ294" s="18" t="str">
        <x:f>IF(A294="",IF(COUNTA(B294:V294)=0,"","Inserisci ID"),IF(COUNTIFS($A$8:$A$507,A294)&lt;&gt;1,"ID duplicato",IF(OR(NOT(ISNUMBER(B294)),D294="",E294="",F294="",G294="",H294="",COUNTIFS('Impostazioni'!$J$6:$J$25,F294)&lt;&gt;1),"Completa dati / elenchi",IF(OR(AND(I294&lt;&gt;"Lordo manuale",I294&lt;&gt;"Netto manuale",I294&lt;&gt;"Esecuzioni"),AND(J294&lt;&gt;"Aperto",J294&lt;&gt;"Chiuso",J294&lt;&gt;"Annullato")),"Modalità / stato mancanti",IF(AND(J294&lt;&gt;"Aperto",OR(NOT(ISNUMBER(C294)),C294&lt;B294)),"Correggi data chiusura",IF(OR(AND(Q294&lt;&gt;"",OR(NOT(ISNUMBER(Q294)),Q294&lt;0)),AND(R294&lt;&gt;"",OR(NOT(ISNUMBER(R294)),R294&lt;0,R294&gt;1))),"Commissione non valida",IF(J294="Annullato","OK",IF(OR(NOT(ISNUMBER(Z294)),Z294&lt;0,AND(O294&lt;&gt;"",NOT(ISNUMBER(O294)))),"Inserisci rischio",IF(AND(I294="Esecuzioni",OR(W294=0,COUNTIFS('Esecuzioni'!$A$8:$A$1007,A294,'Esecuzioni'!$Q$8:$Q$1007,"&lt;&gt;OK")&gt;0)),"Correggi esecuzioni",IF(J294="Aperto","OK",IF(AND(I294="Esecuzioni",S294="Coperto",ABS(X294-Y294)&gt;'Impostazioni'!$B$11),"Copertura residua",IF(NOT(ISNUMBER(AC294)),"Completa risultato / esito",IF(AND(Z294=0,AC294&lt;&gt;0),"Rischio nullo con P/L","OK")))))))))))))</x:f>
      </x:c>
      <x:c r="AR294" s="20" t="str">
        <x:f>IF(OR(A294="",J294&lt;&gt;"Aperto",AQ294&lt;&gt;"OK"),"",IF(I294="Esecuzioni",SUMIFS('Esecuzioni'!$P$8:$P$1007,'Esecuzioni'!$A$8:$A$1007,A294,'Esecuzioni'!$B$8:$B$1007,_xlfn.MAXIFS('Esecuzioni'!$B$8:$B$1007,'Esecuzioni'!$A$8:$A$1007,A294)),IF(LEFT(U294,8)="FREEBET:",0,Z294)))</x:f>
      </x:c>
      <x:c r="AS294" s="48" t="str">
        <x:f>IF(OR(A294="",E294=""),"",IF(COUNTIFS($E$8:E294,E294)=1,COUNT($AS$7:AS293)+1,""))</x:f>
      </x:c>
    </x:row>
    <x:row r="295" ht="22" customHeight="1">
      <x:c r="A295" s="7"/>
      <x:c r="B295" s="19"/>
      <x:c r="C295" s="19"/>
      <x:c r="D295" s="7"/>
      <x:c r="E295" s="7"/>
      <x:c r="F295" s="7"/>
      <x:c r="G295" s="7"/>
      <x:c r="H295" s="7"/>
      <x:c r="I295" s="7"/>
      <x:c r="J295" s="7"/>
      <x:c r="K295" s="10"/>
      <x:c r="L295" s="7"/>
      <x:c r="M295" s="10"/>
      <x:c r="N295" s="7"/>
      <x:c r="O295" s="8"/>
      <x:c r="P295" s="8"/>
      <x:c r="Q295" s="8"/>
      <x:c r="R295" s="9"/>
      <x:c r="S295" s="7"/>
      <x:c r="T295" s="7"/>
      <x:c r="U295" s="7"/>
      <x:c r="V295" s="7"/>
      <x:c r="W295" s="22" t="str">
        <x:f>IF(A295="","",COUNTIFS('Esecuzioni'!$A$8:$A$1007,A295,'Esecuzioni'!$Q$8:$Q$1007,"OK"))</x:f>
      </x:c>
      <x:c r="X295" s="20" t="str">
        <x:f>IF(OR(A295="",I295&lt;&gt;"Esecuzioni",W295=0),"",SUMIFS('Esecuzioni'!$L$8:$L$1007,'Esecuzioni'!$A$8:$A$1007,A295))</x:f>
      </x:c>
      <x:c r="Y295" s="20" t="str">
        <x:f>IF(OR(A295="",I295&lt;&gt;"Esecuzioni",W295=0),"",SUMIFS('Esecuzioni'!$M$8:$M$1007,'Esecuzioni'!$A$8:$A$1007,A295))</x:f>
      </x:c>
      <x:c r="Z295" s="20" t="str">
        <x:f>IF(A295="","",IF(J295="Annullato",0,IF(ISNUMBER(O295),O295,IF(AND(I295="Esecuzioni",W295&gt;0),_xlfn.MAXIFS('Esecuzioni'!$P$8:$P$1007,'Esecuzioni'!$A$8:$A$1007,A295),""))))</x:f>
      </x:c>
      <x:c r="AA295" s="20" t="str">
        <x:f>IF(OR(A295="",J295="Aperto"),"",IF(J295="Annullato",0,IF(I295="Lordo manuale",IF(ISNUMBER(P295),P295,""),IF(I295="Netto manuale",IF(AND(ISNUMBER(P295),ISNUMBER(Q295)),P295+Q295,""),IF(OR(W295=0,COUNTIFS('Esecuzioni'!$A$8:$A$1007,A295,'Esecuzioni'!$Q$8:$Q$1007,"&lt;&gt;OK")&gt;0),"",IF(S295="Vince",X295,IF(S295="Perde",Y295,IF(AND(S295="Coperto",ABS(X295-Y295)&lt;='Impostazioni'!$B$11),ROUND((X295+Y295)/2,2),""))))))))</x:f>
      </x:c>
      <x:c r="AB295" s="20" t="str">
        <x:f>IF(NOT(ISNUMBER(AA295)),"",IF(J295="Annullato",0,IF(ISNUMBER(Q295),Q295,ROUND(MAX(0,AA295)*IF(ISNUMBER(R295),R295,'Impostazioni'!$B$8),2))))</x:f>
      </x:c>
      <x:c r="AC295" s="20" t="str">
        <x:f>IF(AND(ISNUMBER(AA295),ISNUMBER(AB295)),ROUND(AA295-AB295,2),"")</x:f>
      </x:c>
      <x:c r="AD295" s="18" t="str">
        <x:f>IF(A295="","",IF(AQ295&lt;&gt;"OK","Incompleto",IF(J295="Aperto","Aperto",IF(J295="Annullato","Annullato",IF(AC295&gt;0,"Green",IF(AC295&lt;0,"Red","Flat"))))))</x:f>
      </x:c>
      <x:c r="AE295" s="21" t="str">
        <x:f>IF(AND(AH295=1,Z295&gt;0),AC295/Z295,"")</x:f>
      </x:c>
      <x:c r="AF295" s="22" t="str">
        <x:f>IF(AH295&lt;&gt;1,"",COUNTIFS($C$8:$C$507,"&lt;"&amp;C295,$AH$8:$AH$507,1)+COUNTIFS($C$8:$C$507,C295,$A$8:$A$507,"&lt;="&amp;A295,$AH$8:$AH$507,1))</x:f>
      </x:c>
      <x:c r="AG295" s="20" t="str">
        <x:f>IF(AH295&lt;&gt;1,"",SUMIFS($AC$8:$AC$507,$C$8:$C$507,"&lt;"&amp;C295,$AH$8:$AH$507,1)+SUMIFS($AC$8:$AC$507,$C$8:$C$507,C295,$A$8:$A$507,"&lt;="&amp;A295,$AH$8:$AH$507,1))</x:f>
      </x:c>
      <x:c r="AH295" s="22" t="str">
        <x:f>IF(A295="","",IF(AND(J295="Chiuso",AQ295="OK",ISNUMBER(AC295)),1,0))</x:f>
      </x:c>
      <x:c r="AI295" s="20" t="str">
        <x:f>IF(AH295&lt;&gt;1,"",MAX(0,_xlfn.MAXIFS($AG$8:$AG$507,$AF$8:$AF$507,"&lt;="&amp;AF295,$AH$8:$AH$507,1)))</x:f>
      </x:c>
      <x:c r="AJ295" s="20" t="str">
        <x:f>IF(AH295&lt;&gt;1,"",MAX(0,AI295-AG295))</x:f>
      </x:c>
      <x:c r="AK295" s="21" t="str">
        <x:f>IF(OR(AH295&lt;&gt;1,NOT(ISNUMBER('Impostazioni'!$B$6)),'Impostazioni'!$B$6+AI295&lt;=0),"",AJ295/('Impostazioni'!$B$6+AI295))</x:f>
      </x:c>
      <x:c r="AL295" s="22" t="str">
        <x:f>IF(AH295&lt;&gt;1,"",IF(AC295&gt;0,AF295-_xlfn.MAXIFS($AF$8:$AF$507,$AF$8:$AF$507,"&lt;="&amp;AF295,$AC$8:$AC$507,"&lt;=0",$AH$8:$AH$507,1),0))</x:f>
      </x:c>
      <x:c r="AM295" s="22" t="str">
        <x:f>IF(AH295&lt;&gt;1,"",IF(AC295&lt;0,AF295-_xlfn.MAXIFS($AF$8:$AF$507,$AF$8:$AF$507,"&lt;="&amp;AF295,$AC$8:$AC$507,"&gt;=0",$AH$8:$AH$507,1),0))</x:f>
      </x:c>
      <x:c r="AN295" s="20" t="str">
        <x:f>IF(OR(A295="",NOT(ISNUMBER(B295)),NOT(ISNUMBER('Impostazioni'!$B$6))),"",'Impostazioni'!$B$6+SUMIFS($AC$8:$AC$507,$C$8:$C$507,"&lt;"&amp;B295,$AH$8:$AH$507,1)+SUMIFS('Cassa'!$F$8:$F$307,'Cassa'!$A$8:$A$307,"&lt;="&amp;B295,'Cassa'!$G$8:$G$307,"OK"))</x:f>
      </x:c>
      <x:c r="AO295" s="21" t="str">
        <x:f>IF(AND(ISNUMBER(Z295),ISNUMBER(AN295),AN295&gt;0),Z295/AN295,"")</x:f>
      </x:c>
      <x:c r="AP295" s="18" t="str">
        <x:f>IF(NOT(ISNUMBER(AO295)),"",IF(AO295&gt;'Impostazioni'!$B$7,"Oltre soglia personale","Nella soglia personale"))</x:f>
      </x:c>
      <x:c r="AQ295" s="18" t="str">
        <x:f>IF(A295="",IF(COUNTA(B295:V295)=0,"","Inserisci ID"),IF(COUNTIFS($A$8:$A$507,A295)&lt;&gt;1,"ID duplicato",IF(OR(NOT(ISNUMBER(B295)),D295="",E295="",F295="",G295="",H295="",COUNTIFS('Impostazioni'!$J$6:$J$25,F295)&lt;&gt;1),"Completa dati / elenchi",IF(OR(AND(I295&lt;&gt;"Lordo manuale",I295&lt;&gt;"Netto manuale",I295&lt;&gt;"Esecuzioni"),AND(J295&lt;&gt;"Aperto",J295&lt;&gt;"Chiuso",J295&lt;&gt;"Annullato")),"Modalità / stato mancanti",IF(AND(J295&lt;&gt;"Aperto",OR(NOT(ISNUMBER(C295)),C295&lt;B295)),"Correggi data chiusura",IF(OR(AND(Q295&lt;&gt;"",OR(NOT(ISNUMBER(Q295)),Q295&lt;0)),AND(R295&lt;&gt;"",OR(NOT(ISNUMBER(R295)),R295&lt;0,R295&gt;1))),"Commissione non valida",IF(J295="Annullato","OK",IF(OR(NOT(ISNUMBER(Z295)),Z295&lt;0,AND(O295&lt;&gt;"",NOT(ISNUMBER(O295)))),"Inserisci rischio",IF(AND(I295="Esecuzioni",OR(W295=0,COUNTIFS('Esecuzioni'!$A$8:$A$1007,A295,'Esecuzioni'!$Q$8:$Q$1007,"&lt;&gt;OK")&gt;0)),"Correggi esecuzioni",IF(J295="Aperto","OK",IF(AND(I295="Esecuzioni",S295="Coperto",ABS(X295-Y295)&gt;'Impostazioni'!$B$11),"Copertura residua",IF(NOT(ISNUMBER(AC295)),"Completa risultato / esito",IF(AND(Z295=0,AC295&lt;&gt;0),"Rischio nullo con P/L","OK")))))))))))))</x:f>
      </x:c>
      <x:c r="AR295" s="20" t="str">
        <x:f>IF(OR(A295="",J295&lt;&gt;"Aperto",AQ295&lt;&gt;"OK"),"",IF(I295="Esecuzioni",SUMIFS('Esecuzioni'!$P$8:$P$1007,'Esecuzioni'!$A$8:$A$1007,A295,'Esecuzioni'!$B$8:$B$1007,_xlfn.MAXIFS('Esecuzioni'!$B$8:$B$1007,'Esecuzioni'!$A$8:$A$1007,A295)),IF(LEFT(U295,8)="FREEBET:",0,Z295)))</x:f>
      </x:c>
      <x:c r="AS295" s="48" t="str">
        <x:f>IF(OR(A295="",E295=""),"",IF(COUNTIFS($E$8:E295,E295)=1,COUNT($AS$7:AS294)+1,""))</x:f>
      </x:c>
    </x:row>
    <x:row r="296" ht="22" customHeight="1">
      <x:c r="A296" s="7"/>
      <x:c r="B296" s="19"/>
      <x:c r="C296" s="19"/>
      <x:c r="D296" s="7"/>
      <x:c r="E296" s="7"/>
      <x:c r="F296" s="7"/>
      <x:c r="G296" s="7"/>
      <x:c r="H296" s="7"/>
      <x:c r="I296" s="7"/>
      <x:c r="J296" s="7"/>
      <x:c r="K296" s="10"/>
      <x:c r="L296" s="7"/>
      <x:c r="M296" s="10"/>
      <x:c r="N296" s="7"/>
      <x:c r="O296" s="8"/>
      <x:c r="P296" s="8"/>
      <x:c r="Q296" s="8"/>
      <x:c r="R296" s="9"/>
      <x:c r="S296" s="7"/>
      <x:c r="T296" s="7"/>
      <x:c r="U296" s="7"/>
      <x:c r="V296" s="7"/>
      <x:c r="W296" s="22" t="str">
        <x:f>IF(A296="","",COUNTIFS('Esecuzioni'!$A$8:$A$1007,A296,'Esecuzioni'!$Q$8:$Q$1007,"OK"))</x:f>
      </x:c>
      <x:c r="X296" s="20" t="str">
        <x:f>IF(OR(A296="",I296&lt;&gt;"Esecuzioni",W296=0),"",SUMIFS('Esecuzioni'!$L$8:$L$1007,'Esecuzioni'!$A$8:$A$1007,A296))</x:f>
      </x:c>
      <x:c r="Y296" s="20" t="str">
        <x:f>IF(OR(A296="",I296&lt;&gt;"Esecuzioni",W296=0),"",SUMIFS('Esecuzioni'!$M$8:$M$1007,'Esecuzioni'!$A$8:$A$1007,A296))</x:f>
      </x:c>
      <x:c r="Z296" s="20" t="str">
        <x:f>IF(A296="","",IF(J296="Annullato",0,IF(ISNUMBER(O296),O296,IF(AND(I296="Esecuzioni",W296&gt;0),_xlfn.MAXIFS('Esecuzioni'!$P$8:$P$1007,'Esecuzioni'!$A$8:$A$1007,A296),""))))</x:f>
      </x:c>
      <x:c r="AA296" s="20" t="str">
        <x:f>IF(OR(A296="",J296="Aperto"),"",IF(J296="Annullato",0,IF(I296="Lordo manuale",IF(ISNUMBER(P296),P296,""),IF(I296="Netto manuale",IF(AND(ISNUMBER(P296),ISNUMBER(Q296)),P296+Q296,""),IF(OR(W296=0,COUNTIFS('Esecuzioni'!$A$8:$A$1007,A296,'Esecuzioni'!$Q$8:$Q$1007,"&lt;&gt;OK")&gt;0),"",IF(S296="Vince",X296,IF(S296="Perde",Y296,IF(AND(S296="Coperto",ABS(X296-Y296)&lt;='Impostazioni'!$B$11),ROUND((X296+Y296)/2,2),""))))))))</x:f>
      </x:c>
      <x:c r="AB296" s="20" t="str">
        <x:f>IF(NOT(ISNUMBER(AA296)),"",IF(J296="Annullato",0,IF(ISNUMBER(Q296),Q296,ROUND(MAX(0,AA296)*IF(ISNUMBER(R296),R296,'Impostazioni'!$B$8),2))))</x:f>
      </x:c>
      <x:c r="AC296" s="20" t="str">
        <x:f>IF(AND(ISNUMBER(AA296),ISNUMBER(AB296)),ROUND(AA296-AB296,2),"")</x:f>
      </x:c>
      <x:c r="AD296" s="18" t="str">
        <x:f>IF(A296="","",IF(AQ296&lt;&gt;"OK","Incompleto",IF(J296="Aperto","Aperto",IF(J296="Annullato","Annullato",IF(AC296&gt;0,"Green",IF(AC296&lt;0,"Red","Flat"))))))</x:f>
      </x:c>
      <x:c r="AE296" s="21" t="str">
        <x:f>IF(AND(AH296=1,Z296&gt;0),AC296/Z296,"")</x:f>
      </x:c>
      <x:c r="AF296" s="22" t="str">
        <x:f>IF(AH296&lt;&gt;1,"",COUNTIFS($C$8:$C$507,"&lt;"&amp;C296,$AH$8:$AH$507,1)+COUNTIFS($C$8:$C$507,C296,$A$8:$A$507,"&lt;="&amp;A296,$AH$8:$AH$507,1))</x:f>
      </x:c>
      <x:c r="AG296" s="20" t="str">
        <x:f>IF(AH296&lt;&gt;1,"",SUMIFS($AC$8:$AC$507,$C$8:$C$507,"&lt;"&amp;C296,$AH$8:$AH$507,1)+SUMIFS($AC$8:$AC$507,$C$8:$C$507,C296,$A$8:$A$507,"&lt;="&amp;A296,$AH$8:$AH$507,1))</x:f>
      </x:c>
      <x:c r="AH296" s="22" t="str">
        <x:f>IF(A296="","",IF(AND(J296="Chiuso",AQ296="OK",ISNUMBER(AC296)),1,0))</x:f>
      </x:c>
      <x:c r="AI296" s="20" t="str">
        <x:f>IF(AH296&lt;&gt;1,"",MAX(0,_xlfn.MAXIFS($AG$8:$AG$507,$AF$8:$AF$507,"&lt;="&amp;AF296,$AH$8:$AH$507,1)))</x:f>
      </x:c>
      <x:c r="AJ296" s="20" t="str">
        <x:f>IF(AH296&lt;&gt;1,"",MAX(0,AI296-AG296))</x:f>
      </x:c>
      <x:c r="AK296" s="21" t="str">
        <x:f>IF(OR(AH296&lt;&gt;1,NOT(ISNUMBER('Impostazioni'!$B$6)),'Impostazioni'!$B$6+AI296&lt;=0),"",AJ296/('Impostazioni'!$B$6+AI296))</x:f>
      </x:c>
      <x:c r="AL296" s="22" t="str">
        <x:f>IF(AH296&lt;&gt;1,"",IF(AC296&gt;0,AF296-_xlfn.MAXIFS($AF$8:$AF$507,$AF$8:$AF$507,"&lt;="&amp;AF296,$AC$8:$AC$507,"&lt;=0",$AH$8:$AH$507,1),0))</x:f>
      </x:c>
      <x:c r="AM296" s="22" t="str">
        <x:f>IF(AH296&lt;&gt;1,"",IF(AC296&lt;0,AF296-_xlfn.MAXIFS($AF$8:$AF$507,$AF$8:$AF$507,"&lt;="&amp;AF296,$AC$8:$AC$507,"&gt;=0",$AH$8:$AH$507,1),0))</x:f>
      </x:c>
      <x:c r="AN296" s="20" t="str">
        <x:f>IF(OR(A296="",NOT(ISNUMBER(B296)),NOT(ISNUMBER('Impostazioni'!$B$6))),"",'Impostazioni'!$B$6+SUMIFS($AC$8:$AC$507,$C$8:$C$507,"&lt;"&amp;B296,$AH$8:$AH$507,1)+SUMIFS('Cassa'!$F$8:$F$307,'Cassa'!$A$8:$A$307,"&lt;="&amp;B296,'Cassa'!$G$8:$G$307,"OK"))</x:f>
      </x:c>
      <x:c r="AO296" s="21" t="str">
        <x:f>IF(AND(ISNUMBER(Z296),ISNUMBER(AN296),AN296&gt;0),Z296/AN296,"")</x:f>
      </x:c>
      <x:c r="AP296" s="18" t="str">
        <x:f>IF(NOT(ISNUMBER(AO296)),"",IF(AO296&gt;'Impostazioni'!$B$7,"Oltre soglia personale","Nella soglia personale"))</x:f>
      </x:c>
      <x:c r="AQ296" s="18" t="str">
        <x:f>IF(A296="",IF(COUNTA(B296:V296)=0,"","Inserisci ID"),IF(COUNTIFS($A$8:$A$507,A296)&lt;&gt;1,"ID duplicato",IF(OR(NOT(ISNUMBER(B296)),D296="",E296="",F296="",G296="",H296="",COUNTIFS('Impostazioni'!$J$6:$J$25,F296)&lt;&gt;1),"Completa dati / elenchi",IF(OR(AND(I296&lt;&gt;"Lordo manuale",I296&lt;&gt;"Netto manuale",I296&lt;&gt;"Esecuzioni"),AND(J296&lt;&gt;"Aperto",J296&lt;&gt;"Chiuso",J296&lt;&gt;"Annullato")),"Modalità / stato mancanti",IF(AND(J296&lt;&gt;"Aperto",OR(NOT(ISNUMBER(C296)),C296&lt;B296)),"Correggi data chiusura",IF(OR(AND(Q296&lt;&gt;"",OR(NOT(ISNUMBER(Q296)),Q296&lt;0)),AND(R296&lt;&gt;"",OR(NOT(ISNUMBER(R296)),R296&lt;0,R296&gt;1))),"Commissione non valida",IF(J296="Annullato","OK",IF(OR(NOT(ISNUMBER(Z296)),Z296&lt;0,AND(O296&lt;&gt;"",NOT(ISNUMBER(O296)))),"Inserisci rischio",IF(AND(I296="Esecuzioni",OR(W296=0,COUNTIFS('Esecuzioni'!$A$8:$A$1007,A296,'Esecuzioni'!$Q$8:$Q$1007,"&lt;&gt;OK")&gt;0)),"Correggi esecuzioni",IF(J296="Aperto","OK",IF(AND(I296="Esecuzioni",S296="Coperto",ABS(X296-Y296)&gt;'Impostazioni'!$B$11),"Copertura residua",IF(NOT(ISNUMBER(AC296)),"Completa risultato / esito",IF(AND(Z296=0,AC296&lt;&gt;0),"Rischio nullo con P/L","OK")))))))))))))</x:f>
      </x:c>
      <x:c r="AR296" s="20" t="str">
        <x:f>IF(OR(A296="",J296&lt;&gt;"Aperto",AQ296&lt;&gt;"OK"),"",IF(I296="Esecuzioni",SUMIFS('Esecuzioni'!$P$8:$P$1007,'Esecuzioni'!$A$8:$A$1007,A296,'Esecuzioni'!$B$8:$B$1007,_xlfn.MAXIFS('Esecuzioni'!$B$8:$B$1007,'Esecuzioni'!$A$8:$A$1007,A296)),IF(LEFT(U296,8)="FREEBET:",0,Z296)))</x:f>
      </x:c>
      <x:c r="AS296" s="48" t="str">
        <x:f>IF(OR(A296="",E296=""),"",IF(COUNTIFS($E$8:E296,E296)=1,COUNT($AS$7:AS295)+1,""))</x:f>
      </x:c>
    </x:row>
    <x:row r="297" ht="22" customHeight="1">
      <x:c r="A297" s="7"/>
      <x:c r="B297" s="19"/>
      <x:c r="C297" s="19"/>
      <x:c r="D297" s="7"/>
      <x:c r="E297" s="7"/>
      <x:c r="F297" s="7"/>
      <x:c r="G297" s="7"/>
      <x:c r="H297" s="7"/>
      <x:c r="I297" s="7"/>
      <x:c r="J297" s="7"/>
      <x:c r="K297" s="10"/>
      <x:c r="L297" s="7"/>
      <x:c r="M297" s="10"/>
      <x:c r="N297" s="7"/>
      <x:c r="O297" s="8"/>
      <x:c r="P297" s="8"/>
      <x:c r="Q297" s="8"/>
      <x:c r="R297" s="9"/>
      <x:c r="S297" s="7"/>
      <x:c r="T297" s="7"/>
      <x:c r="U297" s="7"/>
      <x:c r="V297" s="7"/>
      <x:c r="W297" s="22" t="str">
        <x:f>IF(A297="","",COUNTIFS('Esecuzioni'!$A$8:$A$1007,A297,'Esecuzioni'!$Q$8:$Q$1007,"OK"))</x:f>
      </x:c>
      <x:c r="X297" s="20" t="str">
        <x:f>IF(OR(A297="",I297&lt;&gt;"Esecuzioni",W297=0),"",SUMIFS('Esecuzioni'!$L$8:$L$1007,'Esecuzioni'!$A$8:$A$1007,A297))</x:f>
      </x:c>
      <x:c r="Y297" s="20" t="str">
        <x:f>IF(OR(A297="",I297&lt;&gt;"Esecuzioni",W297=0),"",SUMIFS('Esecuzioni'!$M$8:$M$1007,'Esecuzioni'!$A$8:$A$1007,A297))</x:f>
      </x:c>
      <x:c r="Z297" s="20" t="str">
        <x:f>IF(A297="","",IF(J297="Annullato",0,IF(ISNUMBER(O297),O297,IF(AND(I297="Esecuzioni",W297&gt;0),_xlfn.MAXIFS('Esecuzioni'!$P$8:$P$1007,'Esecuzioni'!$A$8:$A$1007,A297),""))))</x:f>
      </x:c>
      <x:c r="AA297" s="20" t="str">
        <x:f>IF(OR(A297="",J297="Aperto"),"",IF(J297="Annullato",0,IF(I297="Lordo manuale",IF(ISNUMBER(P297),P297,""),IF(I297="Netto manuale",IF(AND(ISNUMBER(P297),ISNUMBER(Q297)),P297+Q297,""),IF(OR(W297=0,COUNTIFS('Esecuzioni'!$A$8:$A$1007,A297,'Esecuzioni'!$Q$8:$Q$1007,"&lt;&gt;OK")&gt;0),"",IF(S297="Vince",X297,IF(S297="Perde",Y297,IF(AND(S297="Coperto",ABS(X297-Y297)&lt;='Impostazioni'!$B$11),ROUND((X297+Y297)/2,2),""))))))))</x:f>
      </x:c>
      <x:c r="AB297" s="20" t="str">
        <x:f>IF(NOT(ISNUMBER(AA297)),"",IF(J297="Annullato",0,IF(ISNUMBER(Q297),Q297,ROUND(MAX(0,AA297)*IF(ISNUMBER(R297),R297,'Impostazioni'!$B$8),2))))</x:f>
      </x:c>
      <x:c r="AC297" s="20" t="str">
        <x:f>IF(AND(ISNUMBER(AA297),ISNUMBER(AB297)),ROUND(AA297-AB297,2),"")</x:f>
      </x:c>
      <x:c r="AD297" s="18" t="str">
        <x:f>IF(A297="","",IF(AQ297&lt;&gt;"OK","Incompleto",IF(J297="Aperto","Aperto",IF(J297="Annullato","Annullato",IF(AC297&gt;0,"Green",IF(AC297&lt;0,"Red","Flat"))))))</x:f>
      </x:c>
      <x:c r="AE297" s="21" t="str">
        <x:f>IF(AND(AH297=1,Z297&gt;0),AC297/Z297,"")</x:f>
      </x:c>
      <x:c r="AF297" s="22" t="str">
        <x:f>IF(AH297&lt;&gt;1,"",COUNTIFS($C$8:$C$507,"&lt;"&amp;C297,$AH$8:$AH$507,1)+COUNTIFS($C$8:$C$507,C297,$A$8:$A$507,"&lt;="&amp;A297,$AH$8:$AH$507,1))</x:f>
      </x:c>
      <x:c r="AG297" s="20" t="str">
        <x:f>IF(AH297&lt;&gt;1,"",SUMIFS($AC$8:$AC$507,$C$8:$C$507,"&lt;"&amp;C297,$AH$8:$AH$507,1)+SUMIFS($AC$8:$AC$507,$C$8:$C$507,C297,$A$8:$A$507,"&lt;="&amp;A297,$AH$8:$AH$507,1))</x:f>
      </x:c>
      <x:c r="AH297" s="22" t="str">
        <x:f>IF(A297="","",IF(AND(J297="Chiuso",AQ297="OK",ISNUMBER(AC297)),1,0))</x:f>
      </x:c>
      <x:c r="AI297" s="20" t="str">
        <x:f>IF(AH297&lt;&gt;1,"",MAX(0,_xlfn.MAXIFS($AG$8:$AG$507,$AF$8:$AF$507,"&lt;="&amp;AF297,$AH$8:$AH$507,1)))</x:f>
      </x:c>
      <x:c r="AJ297" s="20" t="str">
        <x:f>IF(AH297&lt;&gt;1,"",MAX(0,AI297-AG297))</x:f>
      </x:c>
      <x:c r="AK297" s="21" t="str">
        <x:f>IF(OR(AH297&lt;&gt;1,NOT(ISNUMBER('Impostazioni'!$B$6)),'Impostazioni'!$B$6+AI297&lt;=0),"",AJ297/('Impostazioni'!$B$6+AI297))</x:f>
      </x:c>
      <x:c r="AL297" s="22" t="str">
        <x:f>IF(AH297&lt;&gt;1,"",IF(AC297&gt;0,AF297-_xlfn.MAXIFS($AF$8:$AF$507,$AF$8:$AF$507,"&lt;="&amp;AF297,$AC$8:$AC$507,"&lt;=0",$AH$8:$AH$507,1),0))</x:f>
      </x:c>
      <x:c r="AM297" s="22" t="str">
        <x:f>IF(AH297&lt;&gt;1,"",IF(AC297&lt;0,AF297-_xlfn.MAXIFS($AF$8:$AF$507,$AF$8:$AF$507,"&lt;="&amp;AF297,$AC$8:$AC$507,"&gt;=0",$AH$8:$AH$507,1),0))</x:f>
      </x:c>
      <x:c r="AN297" s="20" t="str">
        <x:f>IF(OR(A297="",NOT(ISNUMBER(B297)),NOT(ISNUMBER('Impostazioni'!$B$6))),"",'Impostazioni'!$B$6+SUMIFS($AC$8:$AC$507,$C$8:$C$507,"&lt;"&amp;B297,$AH$8:$AH$507,1)+SUMIFS('Cassa'!$F$8:$F$307,'Cassa'!$A$8:$A$307,"&lt;="&amp;B297,'Cassa'!$G$8:$G$307,"OK"))</x:f>
      </x:c>
      <x:c r="AO297" s="21" t="str">
        <x:f>IF(AND(ISNUMBER(Z297),ISNUMBER(AN297),AN297&gt;0),Z297/AN297,"")</x:f>
      </x:c>
      <x:c r="AP297" s="18" t="str">
        <x:f>IF(NOT(ISNUMBER(AO297)),"",IF(AO297&gt;'Impostazioni'!$B$7,"Oltre soglia personale","Nella soglia personale"))</x:f>
      </x:c>
      <x:c r="AQ297" s="18" t="str">
        <x:f>IF(A297="",IF(COUNTA(B297:V297)=0,"","Inserisci ID"),IF(COUNTIFS($A$8:$A$507,A297)&lt;&gt;1,"ID duplicato",IF(OR(NOT(ISNUMBER(B297)),D297="",E297="",F297="",G297="",H297="",COUNTIFS('Impostazioni'!$J$6:$J$25,F297)&lt;&gt;1),"Completa dati / elenchi",IF(OR(AND(I297&lt;&gt;"Lordo manuale",I297&lt;&gt;"Netto manuale",I297&lt;&gt;"Esecuzioni"),AND(J297&lt;&gt;"Aperto",J297&lt;&gt;"Chiuso",J297&lt;&gt;"Annullato")),"Modalità / stato mancanti",IF(AND(J297&lt;&gt;"Aperto",OR(NOT(ISNUMBER(C297)),C297&lt;B297)),"Correggi data chiusura",IF(OR(AND(Q297&lt;&gt;"",OR(NOT(ISNUMBER(Q297)),Q297&lt;0)),AND(R297&lt;&gt;"",OR(NOT(ISNUMBER(R297)),R297&lt;0,R297&gt;1))),"Commissione non valida",IF(J297="Annullato","OK",IF(OR(NOT(ISNUMBER(Z297)),Z297&lt;0,AND(O297&lt;&gt;"",NOT(ISNUMBER(O297)))),"Inserisci rischio",IF(AND(I297="Esecuzioni",OR(W297=0,COUNTIFS('Esecuzioni'!$A$8:$A$1007,A297,'Esecuzioni'!$Q$8:$Q$1007,"&lt;&gt;OK")&gt;0)),"Correggi esecuzioni",IF(J297="Aperto","OK",IF(AND(I297="Esecuzioni",S297="Coperto",ABS(X297-Y297)&gt;'Impostazioni'!$B$11),"Copertura residua",IF(NOT(ISNUMBER(AC297)),"Completa risultato / esito",IF(AND(Z297=0,AC297&lt;&gt;0),"Rischio nullo con P/L","OK")))))))))))))</x:f>
      </x:c>
      <x:c r="AR297" s="20" t="str">
        <x:f>IF(OR(A297="",J297&lt;&gt;"Aperto",AQ297&lt;&gt;"OK"),"",IF(I297="Esecuzioni",SUMIFS('Esecuzioni'!$P$8:$P$1007,'Esecuzioni'!$A$8:$A$1007,A297,'Esecuzioni'!$B$8:$B$1007,_xlfn.MAXIFS('Esecuzioni'!$B$8:$B$1007,'Esecuzioni'!$A$8:$A$1007,A297)),IF(LEFT(U297,8)="FREEBET:",0,Z297)))</x:f>
      </x:c>
      <x:c r="AS297" s="48" t="str">
        <x:f>IF(OR(A297="",E297=""),"",IF(COUNTIFS($E$8:E297,E297)=1,COUNT($AS$7:AS296)+1,""))</x:f>
      </x:c>
    </x:row>
    <x:row r="298" ht="22" customHeight="1">
      <x:c r="A298" s="7"/>
      <x:c r="B298" s="19"/>
      <x:c r="C298" s="19"/>
      <x:c r="D298" s="7"/>
      <x:c r="E298" s="7"/>
      <x:c r="F298" s="7"/>
      <x:c r="G298" s="7"/>
      <x:c r="H298" s="7"/>
      <x:c r="I298" s="7"/>
      <x:c r="J298" s="7"/>
      <x:c r="K298" s="10"/>
      <x:c r="L298" s="7"/>
      <x:c r="M298" s="10"/>
      <x:c r="N298" s="7"/>
      <x:c r="O298" s="8"/>
      <x:c r="P298" s="8"/>
      <x:c r="Q298" s="8"/>
      <x:c r="R298" s="9"/>
      <x:c r="S298" s="7"/>
      <x:c r="T298" s="7"/>
      <x:c r="U298" s="7"/>
      <x:c r="V298" s="7"/>
      <x:c r="W298" s="22" t="str">
        <x:f>IF(A298="","",COUNTIFS('Esecuzioni'!$A$8:$A$1007,A298,'Esecuzioni'!$Q$8:$Q$1007,"OK"))</x:f>
      </x:c>
      <x:c r="X298" s="20" t="str">
        <x:f>IF(OR(A298="",I298&lt;&gt;"Esecuzioni",W298=0),"",SUMIFS('Esecuzioni'!$L$8:$L$1007,'Esecuzioni'!$A$8:$A$1007,A298))</x:f>
      </x:c>
      <x:c r="Y298" s="20" t="str">
        <x:f>IF(OR(A298="",I298&lt;&gt;"Esecuzioni",W298=0),"",SUMIFS('Esecuzioni'!$M$8:$M$1007,'Esecuzioni'!$A$8:$A$1007,A298))</x:f>
      </x:c>
      <x:c r="Z298" s="20" t="str">
        <x:f>IF(A298="","",IF(J298="Annullato",0,IF(ISNUMBER(O298),O298,IF(AND(I298="Esecuzioni",W298&gt;0),_xlfn.MAXIFS('Esecuzioni'!$P$8:$P$1007,'Esecuzioni'!$A$8:$A$1007,A298),""))))</x:f>
      </x:c>
      <x:c r="AA298" s="20" t="str">
        <x:f>IF(OR(A298="",J298="Aperto"),"",IF(J298="Annullato",0,IF(I298="Lordo manuale",IF(ISNUMBER(P298),P298,""),IF(I298="Netto manuale",IF(AND(ISNUMBER(P298),ISNUMBER(Q298)),P298+Q298,""),IF(OR(W298=0,COUNTIFS('Esecuzioni'!$A$8:$A$1007,A298,'Esecuzioni'!$Q$8:$Q$1007,"&lt;&gt;OK")&gt;0),"",IF(S298="Vince",X298,IF(S298="Perde",Y298,IF(AND(S298="Coperto",ABS(X298-Y298)&lt;='Impostazioni'!$B$11),ROUND((X298+Y298)/2,2),""))))))))</x:f>
      </x:c>
      <x:c r="AB298" s="20" t="str">
        <x:f>IF(NOT(ISNUMBER(AA298)),"",IF(J298="Annullato",0,IF(ISNUMBER(Q298),Q298,ROUND(MAX(0,AA298)*IF(ISNUMBER(R298),R298,'Impostazioni'!$B$8),2))))</x:f>
      </x:c>
      <x:c r="AC298" s="20" t="str">
        <x:f>IF(AND(ISNUMBER(AA298),ISNUMBER(AB298)),ROUND(AA298-AB298,2),"")</x:f>
      </x:c>
      <x:c r="AD298" s="18" t="str">
        <x:f>IF(A298="","",IF(AQ298&lt;&gt;"OK","Incompleto",IF(J298="Aperto","Aperto",IF(J298="Annullato","Annullato",IF(AC298&gt;0,"Green",IF(AC298&lt;0,"Red","Flat"))))))</x:f>
      </x:c>
      <x:c r="AE298" s="21" t="str">
        <x:f>IF(AND(AH298=1,Z298&gt;0),AC298/Z298,"")</x:f>
      </x:c>
      <x:c r="AF298" s="22" t="str">
        <x:f>IF(AH298&lt;&gt;1,"",COUNTIFS($C$8:$C$507,"&lt;"&amp;C298,$AH$8:$AH$507,1)+COUNTIFS($C$8:$C$507,C298,$A$8:$A$507,"&lt;="&amp;A298,$AH$8:$AH$507,1))</x:f>
      </x:c>
      <x:c r="AG298" s="20" t="str">
        <x:f>IF(AH298&lt;&gt;1,"",SUMIFS($AC$8:$AC$507,$C$8:$C$507,"&lt;"&amp;C298,$AH$8:$AH$507,1)+SUMIFS($AC$8:$AC$507,$C$8:$C$507,C298,$A$8:$A$507,"&lt;="&amp;A298,$AH$8:$AH$507,1))</x:f>
      </x:c>
      <x:c r="AH298" s="22" t="str">
        <x:f>IF(A298="","",IF(AND(J298="Chiuso",AQ298="OK",ISNUMBER(AC298)),1,0))</x:f>
      </x:c>
      <x:c r="AI298" s="20" t="str">
        <x:f>IF(AH298&lt;&gt;1,"",MAX(0,_xlfn.MAXIFS($AG$8:$AG$507,$AF$8:$AF$507,"&lt;="&amp;AF298,$AH$8:$AH$507,1)))</x:f>
      </x:c>
      <x:c r="AJ298" s="20" t="str">
        <x:f>IF(AH298&lt;&gt;1,"",MAX(0,AI298-AG298))</x:f>
      </x:c>
      <x:c r="AK298" s="21" t="str">
        <x:f>IF(OR(AH298&lt;&gt;1,NOT(ISNUMBER('Impostazioni'!$B$6)),'Impostazioni'!$B$6+AI298&lt;=0),"",AJ298/('Impostazioni'!$B$6+AI298))</x:f>
      </x:c>
      <x:c r="AL298" s="22" t="str">
        <x:f>IF(AH298&lt;&gt;1,"",IF(AC298&gt;0,AF298-_xlfn.MAXIFS($AF$8:$AF$507,$AF$8:$AF$507,"&lt;="&amp;AF298,$AC$8:$AC$507,"&lt;=0",$AH$8:$AH$507,1),0))</x:f>
      </x:c>
      <x:c r="AM298" s="22" t="str">
        <x:f>IF(AH298&lt;&gt;1,"",IF(AC298&lt;0,AF298-_xlfn.MAXIFS($AF$8:$AF$507,$AF$8:$AF$507,"&lt;="&amp;AF298,$AC$8:$AC$507,"&gt;=0",$AH$8:$AH$507,1),0))</x:f>
      </x:c>
      <x:c r="AN298" s="20" t="str">
        <x:f>IF(OR(A298="",NOT(ISNUMBER(B298)),NOT(ISNUMBER('Impostazioni'!$B$6))),"",'Impostazioni'!$B$6+SUMIFS($AC$8:$AC$507,$C$8:$C$507,"&lt;"&amp;B298,$AH$8:$AH$507,1)+SUMIFS('Cassa'!$F$8:$F$307,'Cassa'!$A$8:$A$307,"&lt;="&amp;B298,'Cassa'!$G$8:$G$307,"OK"))</x:f>
      </x:c>
      <x:c r="AO298" s="21" t="str">
        <x:f>IF(AND(ISNUMBER(Z298),ISNUMBER(AN298),AN298&gt;0),Z298/AN298,"")</x:f>
      </x:c>
      <x:c r="AP298" s="18" t="str">
        <x:f>IF(NOT(ISNUMBER(AO298)),"",IF(AO298&gt;'Impostazioni'!$B$7,"Oltre soglia personale","Nella soglia personale"))</x:f>
      </x:c>
      <x:c r="AQ298" s="18" t="str">
        <x:f>IF(A298="",IF(COUNTA(B298:V298)=0,"","Inserisci ID"),IF(COUNTIFS($A$8:$A$507,A298)&lt;&gt;1,"ID duplicato",IF(OR(NOT(ISNUMBER(B298)),D298="",E298="",F298="",G298="",H298="",COUNTIFS('Impostazioni'!$J$6:$J$25,F298)&lt;&gt;1),"Completa dati / elenchi",IF(OR(AND(I298&lt;&gt;"Lordo manuale",I298&lt;&gt;"Netto manuale",I298&lt;&gt;"Esecuzioni"),AND(J298&lt;&gt;"Aperto",J298&lt;&gt;"Chiuso",J298&lt;&gt;"Annullato")),"Modalità / stato mancanti",IF(AND(J298&lt;&gt;"Aperto",OR(NOT(ISNUMBER(C298)),C298&lt;B298)),"Correggi data chiusura",IF(OR(AND(Q298&lt;&gt;"",OR(NOT(ISNUMBER(Q298)),Q298&lt;0)),AND(R298&lt;&gt;"",OR(NOT(ISNUMBER(R298)),R298&lt;0,R298&gt;1))),"Commissione non valida",IF(J298="Annullato","OK",IF(OR(NOT(ISNUMBER(Z298)),Z298&lt;0,AND(O298&lt;&gt;"",NOT(ISNUMBER(O298)))),"Inserisci rischio",IF(AND(I298="Esecuzioni",OR(W298=0,COUNTIFS('Esecuzioni'!$A$8:$A$1007,A298,'Esecuzioni'!$Q$8:$Q$1007,"&lt;&gt;OK")&gt;0)),"Correggi esecuzioni",IF(J298="Aperto","OK",IF(AND(I298="Esecuzioni",S298="Coperto",ABS(X298-Y298)&gt;'Impostazioni'!$B$11),"Copertura residua",IF(NOT(ISNUMBER(AC298)),"Completa risultato / esito",IF(AND(Z298=0,AC298&lt;&gt;0),"Rischio nullo con P/L","OK")))))))))))))</x:f>
      </x:c>
      <x:c r="AR298" s="20" t="str">
        <x:f>IF(OR(A298="",J298&lt;&gt;"Aperto",AQ298&lt;&gt;"OK"),"",IF(I298="Esecuzioni",SUMIFS('Esecuzioni'!$P$8:$P$1007,'Esecuzioni'!$A$8:$A$1007,A298,'Esecuzioni'!$B$8:$B$1007,_xlfn.MAXIFS('Esecuzioni'!$B$8:$B$1007,'Esecuzioni'!$A$8:$A$1007,A298)),IF(LEFT(U298,8)="FREEBET:",0,Z298)))</x:f>
      </x:c>
      <x:c r="AS298" s="48" t="str">
        <x:f>IF(OR(A298="",E298=""),"",IF(COUNTIFS($E$8:E298,E298)=1,COUNT($AS$7:AS297)+1,""))</x:f>
      </x:c>
    </x:row>
    <x:row r="299" ht="22" customHeight="1">
      <x:c r="A299" s="7"/>
      <x:c r="B299" s="19"/>
      <x:c r="C299" s="19"/>
      <x:c r="D299" s="7"/>
      <x:c r="E299" s="7"/>
      <x:c r="F299" s="7"/>
      <x:c r="G299" s="7"/>
      <x:c r="H299" s="7"/>
      <x:c r="I299" s="7"/>
      <x:c r="J299" s="7"/>
      <x:c r="K299" s="10"/>
      <x:c r="L299" s="7"/>
      <x:c r="M299" s="10"/>
      <x:c r="N299" s="7"/>
      <x:c r="O299" s="8"/>
      <x:c r="P299" s="8"/>
      <x:c r="Q299" s="8"/>
      <x:c r="R299" s="9"/>
      <x:c r="S299" s="7"/>
      <x:c r="T299" s="7"/>
      <x:c r="U299" s="7"/>
      <x:c r="V299" s="7"/>
      <x:c r="W299" s="22" t="str">
        <x:f>IF(A299="","",COUNTIFS('Esecuzioni'!$A$8:$A$1007,A299,'Esecuzioni'!$Q$8:$Q$1007,"OK"))</x:f>
      </x:c>
      <x:c r="X299" s="20" t="str">
        <x:f>IF(OR(A299="",I299&lt;&gt;"Esecuzioni",W299=0),"",SUMIFS('Esecuzioni'!$L$8:$L$1007,'Esecuzioni'!$A$8:$A$1007,A299))</x:f>
      </x:c>
      <x:c r="Y299" s="20" t="str">
        <x:f>IF(OR(A299="",I299&lt;&gt;"Esecuzioni",W299=0),"",SUMIFS('Esecuzioni'!$M$8:$M$1007,'Esecuzioni'!$A$8:$A$1007,A299))</x:f>
      </x:c>
      <x:c r="Z299" s="20" t="str">
        <x:f>IF(A299="","",IF(J299="Annullato",0,IF(ISNUMBER(O299),O299,IF(AND(I299="Esecuzioni",W299&gt;0),_xlfn.MAXIFS('Esecuzioni'!$P$8:$P$1007,'Esecuzioni'!$A$8:$A$1007,A299),""))))</x:f>
      </x:c>
      <x:c r="AA299" s="20" t="str">
        <x:f>IF(OR(A299="",J299="Aperto"),"",IF(J299="Annullato",0,IF(I299="Lordo manuale",IF(ISNUMBER(P299),P299,""),IF(I299="Netto manuale",IF(AND(ISNUMBER(P299),ISNUMBER(Q299)),P299+Q299,""),IF(OR(W299=0,COUNTIFS('Esecuzioni'!$A$8:$A$1007,A299,'Esecuzioni'!$Q$8:$Q$1007,"&lt;&gt;OK")&gt;0),"",IF(S299="Vince",X299,IF(S299="Perde",Y299,IF(AND(S299="Coperto",ABS(X299-Y299)&lt;='Impostazioni'!$B$11),ROUND((X299+Y299)/2,2),""))))))))</x:f>
      </x:c>
      <x:c r="AB299" s="20" t="str">
        <x:f>IF(NOT(ISNUMBER(AA299)),"",IF(J299="Annullato",0,IF(ISNUMBER(Q299),Q299,ROUND(MAX(0,AA299)*IF(ISNUMBER(R299),R299,'Impostazioni'!$B$8),2))))</x:f>
      </x:c>
      <x:c r="AC299" s="20" t="str">
        <x:f>IF(AND(ISNUMBER(AA299),ISNUMBER(AB299)),ROUND(AA299-AB299,2),"")</x:f>
      </x:c>
      <x:c r="AD299" s="18" t="str">
        <x:f>IF(A299="","",IF(AQ299&lt;&gt;"OK","Incompleto",IF(J299="Aperto","Aperto",IF(J299="Annullato","Annullato",IF(AC299&gt;0,"Green",IF(AC299&lt;0,"Red","Flat"))))))</x:f>
      </x:c>
      <x:c r="AE299" s="21" t="str">
        <x:f>IF(AND(AH299=1,Z299&gt;0),AC299/Z299,"")</x:f>
      </x:c>
      <x:c r="AF299" s="22" t="str">
        <x:f>IF(AH299&lt;&gt;1,"",COUNTIFS($C$8:$C$507,"&lt;"&amp;C299,$AH$8:$AH$507,1)+COUNTIFS($C$8:$C$507,C299,$A$8:$A$507,"&lt;="&amp;A299,$AH$8:$AH$507,1))</x:f>
      </x:c>
      <x:c r="AG299" s="20" t="str">
        <x:f>IF(AH299&lt;&gt;1,"",SUMIFS($AC$8:$AC$507,$C$8:$C$507,"&lt;"&amp;C299,$AH$8:$AH$507,1)+SUMIFS($AC$8:$AC$507,$C$8:$C$507,C299,$A$8:$A$507,"&lt;="&amp;A299,$AH$8:$AH$507,1))</x:f>
      </x:c>
      <x:c r="AH299" s="22" t="str">
        <x:f>IF(A299="","",IF(AND(J299="Chiuso",AQ299="OK",ISNUMBER(AC299)),1,0))</x:f>
      </x:c>
      <x:c r="AI299" s="20" t="str">
        <x:f>IF(AH299&lt;&gt;1,"",MAX(0,_xlfn.MAXIFS($AG$8:$AG$507,$AF$8:$AF$507,"&lt;="&amp;AF299,$AH$8:$AH$507,1)))</x:f>
      </x:c>
      <x:c r="AJ299" s="20" t="str">
        <x:f>IF(AH299&lt;&gt;1,"",MAX(0,AI299-AG299))</x:f>
      </x:c>
      <x:c r="AK299" s="21" t="str">
        <x:f>IF(OR(AH299&lt;&gt;1,NOT(ISNUMBER('Impostazioni'!$B$6)),'Impostazioni'!$B$6+AI299&lt;=0),"",AJ299/('Impostazioni'!$B$6+AI299))</x:f>
      </x:c>
      <x:c r="AL299" s="22" t="str">
        <x:f>IF(AH299&lt;&gt;1,"",IF(AC299&gt;0,AF299-_xlfn.MAXIFS($AF$8:$AF$507,$AF$8:$AF$507,"&lt;="&amp;AF299,$AC$8:$AC$507,"&lt;=0",$AH$8:$AH$507,1),0))</x:f>
      </x:c>
      <x:c r="AM299" s="22" t="str">
        <x:f>IF(AH299&lt;&gt;1,"",IF(AC299&lt;0,AF299-_xlfn.MAXIFS($AF$8:$AF$507,$AF$8:$AF$507,"&lt;="&amp;AF299,$AC$8:$AC$507,"&gt;=0",$AH$8:$AH$507,1),0))</x:f>
      </x:c>
      <x:c r="AN299" s="20" t="str">
        <x:f>IF(OR(A299="",NOT(ISNUMBER(B299)),NOT(ISNUMBER('Impostazioni'!$B$6))),"",'Impostazioni'!$B$6+SUMIFS($AC$8:$AC$507,$C$8:$C$507,"&lt;"&amp;B299,$AH$8:$AH$507,1)+SUMIFS('Cassa'!$F$8:$F$307,'Cassa'!$A$8:$A$307,"&lt;="&amp;B299,'Cassa'!$G$8:$G$307,"OK"))</x:f>
      </x:c>
      <x:c r="AO299" s="21" t="str">
        <x:f>IF(AND(ISNUMBER(Z299),ISNUMBER(AN299),AN299&gt;0),Z299/AN299,"")</x:f>
      </x:c>
      <x:c r="AP299" s="18" t="str">
        <x:f>IF(NOT(ISNUMBER(AO299)),"",IF(AO299&gt;'Impostazioni'!$B$7,"Oltre soglia personale","Nella soglia personale"))</x:f>
      </x:c>
      <x:c r="AQ299" s="18" t="str">
        <x:f>IF(A299="",IF(COUNTA(B299:V299)=0,"","Inserisci ID"),IF(COUNTIFS($A$8:$A$507,A299)&lt;&gt;1,"ID duplicato",IF(OR(NOT(ISNUMBER(B299)),D299="",E299="",F299="",G299="",H299="",COUNTIFS('Impostazioni'!$J$6:$J$25,F299)&lt;&gt;1),"Completa dati / elenchi",IF(OR(AND(I299&lt;&gt;"Lordo manuale",I299&lt;&gt;"Netto manuale",I299&lt;&gt;"Esecuzioni"),AND(J299&lt;&gt;"Aperto",J299&lt;&gt;"Chiuso",J299&lt;&gt;"Annullato")),"Modalità / stato mancanti",IF(AND(J299&lt;&gt;"Aperto",OR(NOT(ISNUMBER(C299)),C299&lt;B299)),"Correggi data chiusura",IF(OR(AND(Q299&lt;&gt;"",OR(NOT(ISNUMBER(Q299)),Q299&lt;0)),AND(R299&lt;&gt;"",OR(NOT(ISNUMBER(R299)),R299&lt;0,R299&gt;1))),"Commissione non valida",IF(J299="Annullato","OK",IF(OR(NOT(ISNUMBER(Z299)),Z299&lt;0,AND(O299&lt;&gt;"",NOT(ISNUMBER(O299)))),"Inserisci rischio",IF(AND(I299="Esecuzioni",OR(W299=0,COUNTIFS('Esecuzioni'!$A$8:$A$1007,A299,'Esecuzioni'!$Q$8:$Q$1007,"&lt;&gt;OK")&gt;0)),"Correggi esecuzioni",IF(J299="Aperto","OK",IF(AND(I299="Esecuzioni",S299="Coperto",ABS(X299-Y299)&gt;'Impostazioni'!$B$11),"Copertura residua",IF(NOT(ISNUMBER(AC299)),"Completa risultato / esito",IF(AND(Z299=0,AC299&lt;&gt;0),"Rischio nullo con P/L","OK")))))))))))))</x:f>
      </x:c>
      <x:c r="AR299" s="20" t="str">
        <x:f>IF(OR(A299="",J299&lt;&gt;"Aperto",AQ299&lt;&gt;"OK"),"",IF(I299="Esecuzioni",SUMIFS('Esecuzioni'!$P$8:$P$1007,'Esecuzioni'!$A$8:$A$1007,A299,'Esecuzioni'!$B$8:$B$1007,_xlfn.MAXIFS('Esecuzioni'!$B$8:$B$1007,'Esecuzioni'!$A$8:$A$1007,A299)),IF(LEFT(U299,8)="FREEBET:",0,Z299)))</x:f>
      </x:c>
      <x:c r="AS299" s="48" t="str">
        <x:f>IF(OR(A299="",E299=""),"",IF(COUNTIFS($E$8:E299,E299)=1,COUNT($AS$7:AS298)+1,""))</x:f>
      </x:c>
    </x:row>
    <x:row r="300" ht="22" customHeight="1">
      <x:c r="A300" s="7"/>
      <x:c r="B300" s="19"/>
      <x:c r="C300" s="19"/>
      <x:c r="D300" s="7"/>
      <x:c r="E300" s="7"/>
      <x:c r="F300" s="7"/>
      <x:c r="G300" s="7"/>
      <x:c r="H300" s="7"/>
      <x:c r="I300" s="7"/>
      <x:c r="J300" s="7"/>
      <x:c r="K300" s="10"/>
      <x:c r="L300" s="7"/>
      <x:c r="M300" s="10"/>
      <x:c r="N300" s="7"/>
      <x:c r="O300" s="8"/>
      <x:c r="P300" s="8"/>
      <x:c r="Q300" s="8"/>
      <x:c r="R300" s="9"/>
      <x:c r="S300" s="7"/>
      <x:c r="T300" s="7"/>
      <x:c r="U300" s="7"/>
      <x:c r="V300" s="7"/>
      <x:c r="W300" s="22" t="str">
        <x:f>IF(A300="","",COUNTIFS('Esecuzioni'!$A$8:$A$1007,A300,'Esecuzioni'!$Q$8:$Q$1007,"OK"))</x:f>
      </x:c>
      <x:c r="X300" s="20" t="str">
        <x:f>IF(OR(A300="",I300&lt;&gt;"Esecuzioni",W300=0),"",SUMIFS('Esecuzioni'!$L$8:$L$1007,'Esecuzioni'!$A$8:$A$1007,A300))</x:f>
      </x:c>
      <x:c r="Y300" s="20" t="str">
        <x:f>IF(OR(A300="",I300&lt;&gt;"Esecuzioni",W300=0),"",SUMIFS('Esecuzioni'!$M$8:$M$1007,'Esecuzioni'!$A$8:$A$1007,A300))</x:f>
      </x:c>
      <x:c r="Z300" s="20" t="str">
        <x:f>IF(A300="","",IF(J300="Annullato",0,IF(ISNUMBER(O300),O300,IF(AND(I300="Esecuzioni",W300&gt;0),_xlfn.MAXIFS('Esecuzioni'!$P$8:$P$1007,'Esecuzioni'!$A$8:$A$1007,A300),""))))</x:f>
      </x:c>
      <x:c r="AA300" s="20" t="str">
        <x:f>IF(OR(A300="",J300="Aperto"),"",IF(J300="Annullato",0,IF(I300="Lordo manuale",IF(ISNUMBER(P300),P300,""),IF(I300="Netto manuale",IF(AND(ISNUMBER(P300),ISNUMBER(Q300)),P300+Q300,""),IF(OR(W300=0,COUNTIFS('Esecuzioni'!$A$8:$A$1007,A300,'Esecuzioni'!$Q$8:$Q$1007,"&lt;&gt;OK")&gt;0),"",IF(S300="Vince",X300,IF(S300="Perde",Y300,IF(AND(S300="Coperto",ABS(X300-Y300)&lt;='Impostazioni'!$B$11),ROUND((X300+Y300)/2,2),""))))))))</x:f>
      </x:c>
      <x:c r="AB300" s="20" t="str">
        <x:f>IF(NOT(ISNUMBER(AA300)),"",IF(J300="Annullato",0,IF(ISNUMBER(Q300),Q300,ROUND(MAX(0,AA300)*IF(ISNUMBER(R300),R300,'Impostazioni'!$B$8),2))))</x:f>
      </x:c>
      <x:c r="AC300" s="20" t="str">
        <x:f>IF(AND(ISNUMBER(AA300),ISNUMBER(AB300)),ROUND(AA300-AB300,2),"")</x:f>
      </x:c>
      <x:c r="AD300" s="18" t="str">
        <x:f>IF(A300="","",IF(AQ300&lt;&gt;"OK","Incompleto",IF(J300="Aperto","Aperto",IF(J300="Annullato","Annullato",IF(AC300&gt;0,"Green",IF(AC300&lt;0,"Red","Flat"))))))</x:f>
      </x:c>
      <x:c r="AE300" s="21" t="str">
        <x:f>IF(AND(AH300=1,Z300&gt;0),AC300/Z300,"")</x:f>
      </x:c>
      <x:c r="AF300" s="22" t="str">
        <x:f>IF(AH300&lt;&gt;1,"",COUNTIFS($C$8:$C$507,"&lt;"&amp;C300,$AH$8:$AH$507,1)+COUNTIFS($C$8:$C$507,C300,$A$8:$A$507,"&lt;="&amp;A300,$AH$8:$AH$507,1))</x:f>
      </x:c>
      <x:c r="AG300" s="20" t="str">
        <x:f>IF(AH300&lt;&gt;1,"",SUMIFS($AC$8:$AC$507,$C$8:$C$507,"&lt;"&amp;C300,$AH$8:$AH$507,1)+SUMIFS($AC$8:$AC$507,$C$8:$C$507,C300,$A$8:$A$507,"&lt;="&amp;A300,$AH$8:$AH$507,1))</x:f>
      </x:c>
      <x:c r="AH300" s="22" t="str">
        <x:f>IF(A300="","",IF(AND(J300="Chiuso",AQ300="OK",ISNUMBER(AC300)),1,0))</x:f>
      </x:c>
      <x:c r="AI300" s="20" t="str">
        <x:f>IF(AH300&lt;&gt;1,"",MAX(0,_xlfn.MAXIFS($AG$8:$AG$507,$AF$8:$AF$507,"&lt;="&amp;AF300,$AH$8:$AH$507,1)))</x:f>
      </x:c>
      <x:c r="AJ300" s="20" t="str">
        <x:f>IF(AH300&lt;&gt;1,"",MAX(0,AI300-AG300))</x:f>
      </x:c>
      <x:c r="AK300" s="21" t="str">
        <x:f>IF(OR(AH300&lt;&gt;1,NOT(ISNUMBER('Impostazioni'!$B$6)),'Impostazioni'!$B$6+AI300&lt;=0),"",AJ300/('Impostazioni'!$B$6+AI300))</x:f>
      </x:c>
      <x:c r="AL300" s="22" t="str">
        <x:f>IF(AH300&lt;&gt;1,"",IF(AC300&gt;0,AF300-_xlfn.MAXIFS($AF$8:$AF$507,$AF$8:$AF$507,"&lt;="&amp;AF300,$AC$8:$AC$507,"&lt;=0",$AH$8:$AH$507,1),0))</x:f>
      </x:c>
      <x:c r="AM300" s="22" t="str">
        <x:f>IF(AH300&lt;&gt;1,"",IF(AC300&lt;0,AF300-_xlfn.MAXIFS($AF$8:$AF$507,$AF$8:$AF$507,"&lt;="&amp;AF300,$AC$8:$AC$507,"&gt;=0",$AH$8:$AH$507,1),0))</x:f>
      </x:c>
      <x:c r="AN300" s="20" t="str">
        <x:f>IF(OR(A300="",NOT(ISNUMBER(B300)),NOT(ISNUMBER('Impostazioni'!$B$6))),"",'Impostazioni'!$B$6+SUMIFS($AC$8:$AC$507,$C$8:$C$507,"&lt;"&amp;B300,$AH$8:$AH$507,1)+SUMIFS('Cassa'!$F$8:$F$307,'Cassa'!$A$8:$A$307,"&lt;="&amp;B300,'Cassa'!$G$8:$G$307,"OK"))</x:f>
      </x:c>
      <x:c r="AO300" s="21" t="str">
        <x:f>IF(AND(ISNUMBER(Z300),ISNUMBER(AN300),AN300&gt;0),Z300/AN300,"")</x:f>
      </x:c>
      <x:c r="AP300" s="18" t="str">
        <x:f>IF(NOT(ISNUMBER(AO300)),"",IF(AO300&gt;'Impostazioni'!$B$7,"Oltre soglia personale","Nella soglia personale"))</x:f>
      </x:c>
      <x:c r="AQ300" s="18" t="str">
        <x:f>IF(A300="",IF(COUNTA(B300:V300)=0,"","Inserisci ID"),IF(COUNTIFS($A$8:$A$507,A300)&lt;&gt;1,"ID duplicato",IF(OR(NOT(ISNUMBER(B300)),D300="",E300="",F300="",G300="",H300="",COUNTIFS('Impostazioni'!$J$6:$J$25,F300)&lt;&gt;1),"Completa dati / elenchi",IF(OR(AND(I300&lt;&gt;"Lordo manuale",I300&lt;&gt;"Netto manuale",I300&lt;&gt;"Esecuzioni"),AND(J300&lt;&gt;"Aperto",J300&lt;&gt;"Chiuso",J300&lt;&gt;"Annullato")),"Modalità / stato mancanti",IF(AND(J300&lt;&gt;"Aperto",OR(NOT(ISNUMBER(C300)),C300&lt;B300)),"Correggi data chiusura",IF(OR(AND(Q300&lt;&gt;"",OR(NOT(ISNUMBER(Q300)),Q300&lt;0)),AND(R300&lt;&gt;"",OR(NOT(ISNUMBER(R300)),R300&lt;0,R300&gt;1))),"Commissione non valida",IF(J300="Annullato","OK",IF(OR(NOT(ISNUMBER(Z300)),Z300&lt;0,AND(O300&lt;&gt;"",NOT(ISNUMBER(O300)))),"Inserisci rischio",IF(AND(I300="Esecuzioni",OR(W300=0,COUNTIFS('Esecuzioni'!$A$8:$A$1007,A300,'Esecuzioni'!$Q$8:$Q$1007,"&lt;&gt;OK")&gt;0)),"Correggi esecuzioni",IF(J300="Aperto","OK",IF(AND(I300="Esecuzioni",S300="Coperto",ABS(X300-Y300)&gt;'Impostazioni'!$B$11),"Copertura residua",IF(NOT(ISNUMBER(AC300)),"Completa risultato / esito",IF(AND(Z300=0,AC300&lt;&gt;0),"Rischio nullo con P/L","OK")))))))))))))</x:f>
      </x:c>
      <x:c r="AR300" s="20" t="str">
        <x:f>IF(OR(A300="",J300&lt;&gt;"Aperto",AQ300&lt;&gt;"OK"),"",IF(I300="Esecuzioni",SUMIFS('Esecuzioni'!$P$8:$P$1007,'Esecuzioni'!$A$8:$A$1007,A300,'Esecuzioni'!$B$8:$B$1007,_xlfn.MAXIFS('Esecuzioni'!$B$8:$B$1007,'Esecuzioni'!$A$8:$A$1007,A300)),IF(LEFT(U300,8)="FREEBET:",0,Z300)))</x:f>
      </x:c>
      <x:c r="AS300" s="48" t="str">
        <x:f>IF(OR(A300="",E300=""),"",IF(COUNTIFS($E$8:E300,E300)=1,COUNT($AS$7:AS299)+1,""))</x:f>
      </x:c>
    </x:row>
    <x:row r="301" ht="22" customHeight="1">
      <x:c r="A301" s="7"/>
      <x:c r="B301" s="19"/>
      <x:c r="C301" s="19"/>
      <x:c r="D301" s="7"/>
      <x:c r="E301" s="7"/>
      <x:c r="F301" s="7"/>
      <x:c r="G301" s="7"/>
      <x:c r="H301" s="7"/>
      <x:c r="I301" s="7"/>
      <x:c r="J301" s="7"/>
      <x:c r="K301" s="10"/>
      <x:c r="L301" s="7"/>
      <x:c r="M301" s="10"/>
      <x:c r="N301" s="7"/>
      <x:c r="O301" s="8"/>
      <x:c r="P301" s="8"/>
      <x:c r="Q301" s="8"/>
      <x:c r="R301" s="9"/>
      <x:c r="S301" s="7"/>
      <x:c r="T301" s="7"/>
      <x:c r="U301" s="7"/>
      <x:c r="V301" s="7"/>
      <x:c r="W301" s="22" t="str">
        <x:f>IF(A301="","",COUNTIFS('Esecuzioni'!$A$8:$A$1007,A301,'Esecuzioni'!$Q$8:$Q$1007,"OK"))</x:f>
      </x:c>
      <x:c r="X301" s="20" t="str">
        <x:f>IF(OR(A301="",I301&lt;&gt;"Esecuzioni",W301=0),"",SUMIFS('Esecuzioni'!$L$8:$L$1007,'Esecuzioni'!$A$8:$A$1007,A301))</x:f>
      </x:c>
      <x:c r="Y301" s="20" t="str">
        <x:f>IF(OR(A301="",I301&lt;&gt;"Esecuzioni",W301=0),"",SUMIFS('Esecuzioni'!$M$8:$M$1007,'Esecuzioni'!$A$8:$A$1007,A301))</x:f>
      </x:c>
      <x:c r="Z301" s="20" t="str">
        <x:f>IF(A301="","",IF(J301="Annullato",0,IF(ISNUMBER(O301),O301,IF(AND(I301="Esecuzioni",W301&gt;0),_xlfn.MAXIFS('Esecuzioni'!$P$8:$P$1007,'Esecuzioni'!$A$8:$A$1007,A301),""))))</x:f>
      </x:c>
      <x:c r="AA301" s="20" t="str">
        <x:f>IF(OR(A301="",J301="Aperto"),"",IF(J301="Annullato",0,IF(I301="Lordo manuale",IF(ISNUMBER(P301),P301,""),IF(I301="Netto manuale",IF(AND(ISNUMBER(P301),ISNUMBER(Q301)),P301+Q301,""),IF(OR(W301=0,COUNTIFS('Esecuzioni'!$A$8:$A$1007,A301,'Esecuzioni'!$Q$8:$Q$1007,"&lt;&gt;OK")&gt;0),"",IF(S301="Vince",X301,IF(S301="Perde",Y301,IF(AND(S301="Coperto",ABS(X301-Y301)&lt;='Impostazioni'!$B$11),ROUND((X301+Y301)/2,2),""))))))))</x:f>
      </x:c>
      <x:c r="AB301" s="20" t="str">
        <x:f>IF(NOT(ISNUMBER(AA301)),"",IF(J301="Annullato",0,IF(ISNUMBER(Q301),Q301,ROUND(MAX(0,AA301)*IF(ISNUMBER(R301),R301,'Impostazioni'!$B$8),2))))</x:f>
      </x:c>
      <x:c r="AC301" s="20" t="str">
        <x:f>IF(AND(ISNUMBER(AA301),ISNUMBER(AB301)),ROUND(AA301-AB301,2),"")</x:f>
      </x:c>
      <x:c r="AD301" s="18" t="str">
        <x:f>IF(A301="","",IF(AQ301&lt;&gt;"OK","Incompleto",IF(J301="Aperto","Aperto",IF(J301="Annullato","Annullato",IF(AC301&gt;0,"Green",IF(AC301&lt;0,"Red","Flat"))))))</x:f>
      </x:c>
      <x:c r="AE301" s="21" t="str">
        <x:f>IF(AND(AH301=1,Z301&gt;0),AC301/Z301,"")</x:f>
      </x:c>
      <x:c r="AF301" s="22" t="str">
        <x:f>IF(AH301&lt;&gt;1,"",COUNTIFS($C$8:$C$507,"&lt;"&amp;C301,$AH$8:$AH$507,1)+COUNTIFS($C$8:$C$507,C301,$A$8:$A$507,"&lt;="&amp;A301,$AH$8:$AH$507,1))</x:f>
      </x:c>
      <x:c r="AG301" s="20" t="str">
        <x:f>IF(AH301&lt;&gt;1,"",SUMIFS($AC$8:$AC$507,$C$8:$C$507,"&lt;"&amp;C301,$AH$8:$AH$507,1)+SUMIFS($AC$8:$AC$507,$C$8:$C$507,C301,$A$8:$A$507,"&lt;="&amp;A301,$AH$8:$AH$507,1))</x:f>
      </x:c>
      <x:c r="AH301" s="22" t="str">
        <x:f>IF(A301="","",IF(AND(J301="Chiuso",AQ301="OK",ISNUMBER(AC301)),1,0))</x:f>
      </x:c>
      <x:c r="AI301" s="20" t="str">
        <x:f>IF(AH301&lt;&gt;1,"",MAX(0,_xlfn.MAXIFS($AG$8:$AG$507,$AF$8:$AF$507,"&lt;="&amp;AF301,$AH$8:$AH$507,1)))</x:f>
      </x:c>
      <x:c r="AJ301" s="20" t="str">
        <x:f>IF(AH301&lt;&gt;1,"",MAX(0,AI301-AG301))</x:f>
      </x:c>
      <x:c r="AK301" s="21" t="str">
        <x:f>IF(OR(AH301&lt;&gt;1,NOT(ISNUMBER('Impostazioni'!$B$6)),'Impostazioni'!$B$6+AI301&lt;=0),"",AJ301/('Impostazioni'!$B$6+AI301))</x:f>
      </x:c>
      <x:c r="AL301" s="22" t="str">
        <x:f>IF(AH301&lt;&gt;1,"",IF(AC301&gt;0,AF301-_xlfn.MAXIFS($AF$8:$AF$507,$AF$8:$AF$507,"&lt;="&amp;AF301,$AC$8:$AC$507,"&lt;=0",$AH$8:$AH$507,1),0))</x:f>
      </x:c>
      <x:c r="AM301" s="22" t="str">
        <x:f>IF(AH301&lt;&gt;1,"",IF(AC301&lt;0,AF301-_xlfn.MAXIFS($AF$8:$AF$507,$AF$8:$AF$507,"&lt;="&amp;AF301,$AC$8:$AC$507,"&gt;=0",$AH$8:$AH$507,1),0))</x:f>
      </x:c>
      <x:c r="AN301" s="20" t="str">
        <x:f>IF(OR(A301="",NOT(ISNUMBER(B301)),NOT(ISNUMBER('Impostazioni'!$B$6))),"",'Impostazioni'!$B$6+SUMIFS($AC$8:$AC$507,$C$8:$C$507,"&lt;"&amp;B301,$AH$8:$AH$507,1)+SUMIFS('Cassa'!$F$8:$F$307,'Cassa'!$A$8:$A$307,"&lt;="&amp;B301,'Cassa'!$G$8:$G$307,"OK"))</x:f>
      </x:c>
      <x:c r="AO301" s="21" t="str">
        <x:f>IF(AND(ISNUMBER(Z301),ISNUMBER(AN301),AN301&gt;0),Z301/AN301,"")</x:f>
      </x:c>
      <x:c r="AP301" s="18" t="str">
        <x:f>IF(NOT(ISNUMBER(AO301)),"",IF(AO301&gt;'Impostazioni'!$B$7,"Oltre soglia personale","Nella soglia personale"))</x:f>
      </x:c>
      <x:c r="AQ301" s="18" t="str">
        <x:f>IF(A301="",IF(COUNTA(B301:V301)=0,"","Inserisci ID"),IF(COUNTIFS($A$8:$A$507,A301)&lt;&gt;1,"ID duplicato",IF(OR(NOT(ISNUMBER(B301)),D301="",E301="",F301="",G301="",H301="",COUNTIFS('Impostazioni'!$J$6:$J$25,F301)&lt;&gt;1),"Completa dati / elenchi",IF(OR(AND(I301&lt;&gt;"Lordo manuale",I301&lt;&gt;"Netto manuale",I301&lt;&gt;"Esecuzioni"),AND(J301&lt;&gt;"Aperto",J301&lt;&gt;"Chiuso",J301&lt;&gt;"Annullato")),"Modalità / stato mancanti",IF(AND(J301&lt;&gt;"Aperto",OR(NOT(ISNUMBER(C301)),C301&lt;B301)),"Correggi data chiusura",IF(OR(AND(Q301&lt;&gt;"",OR(NOT(ISNUMBER(Q301)),Q301&lt;0)),AND(R301&lt;&gt;"",OR(NOT(ISNUMBER(R301)),R301&lt;0,R301&gt;1))),"Commissione non valida",IF(J301="Annullato","OK",IF(OR(NOT(ISNUMBER(Z301)),Z301&lt;0,AND(O301&lt;&gt;"",NOT(ISNUMBER(O301)))),"Inserisci rischio",IF(AND(I301="Esecuzioni",OR(W301=0,COUNTIFS('Esecuzioni'!$A$8:$A$1007,A301,'Esecuzioni'!$Q$8:$Q$1007,"&lt;&gt;OK")&gt;0)),"Correggi esecuzioni",IF(J301="Aperto","OK",IF(AND(I301="Esecuzioni",S301="Coperto",ABS(X301-Y301)&gt;'Impostazioni'!$B$11),"Copertura residua",IF(NOT(ISNUMBER(AC301)),"Completa risultato / esito",IF(AND(Z301=0,AC301&lt;&gt;0),"Rischio nullo con P/L","OK")))))))))))))</x:f>
      </x:c>
      <x:c r="AR301" s="20" t="str">
        <x:f>IF(OR(A301="",J301&lt;&gt;"Aperto",AQ301&lt;&gt;"OK"),"",IF(I301="Esecuzioni",SUMIFS('Esecuzioni'!$P$8:$P$1007,'Esecuzioni'!$A$8:$A$1007,A301,'Esecuzioni'!$B$8:$B$1007,_xlfn.MAXIFS('Esecuzioni'!$B$8:$B$1007,'Esecuzioni'!$A$8:$A$1007,A301)),IF(LEFT(U301,8)="FREEBET:",0,Z301)))</x:f>
      </x:c>
      <x:c r="AS301" s="48" t="str">
        <x:f>IF(OR(A301="",E301=""),"",IF(COUNTIFS($E$8:E301,E301)=1,COUNT($AS$7:AS300)+1,""))</x:f>
      </x:c>
    </x:row>
    <x:row r="302" ht="22" customHeight="1">
      <x:c r="A302" s="7"/>
      <x:c r="B302" s="19"/>
      <x:c r="C302" s="19"/>
      <x:c r="D302" s="7"/>
      <x:c r="E302" s="7"/>
      <x:c r="F302" s="7"/>
      <x:c r="G302" s="7"/>
      <x:c r="H302" s="7"/>
      <x:c r="I302" s="7"/>
      <x:c r="J302" s="7"/>
      <x:c r="K302" s="10"/>
      <x:c r="L302" s="7"/>
      <x:c r="M302" s="10"/>
      <x:c r="N302" s="7"/>
      <x:c r="O302" s="8"/>
      <x:c r="P302" s="8"/>
      <x:c r="Q302" s="8"/>
      <x:c r="R302" s="9"/>
      <x:c r="S302" s="7"/>
      <x:c r="T302" s="7"/>
      <x:c r="U302" s="7"/>
      <x:c r="V302" s="7"/>
      <x:c r="W302" s="22" t="str">
        <x:f>IF(A302="","",COUNTIFS('Esecuzioni'!$A$8:$A$1007,A302,'Esecuzioni'!$Q$8:$Q$1007,"OK"))</x:f>
      </x:c>
      <x:c r="X302" s="20" t="str">
        <x:f>IF(OR(A302="",I302&lt;&gt;"Esecuzioni",W302=0),"",SUMIFS('Esecuzioni'!$L$8:$L$1007,'Esecuzioni'!$A$8:$A$1007,A302))</x:f>
      </x:c>
      <x:c r="Y302" s="20" t="str">
        <x:f>IF(OR(A302="",I302&lt;&gt;"Esecuzioni",W302=0),"",SUMIFS('Esecuzioni'!$M$8:$M$1007,'Esecuzioni'!$A$8:$A$1007,A302))</x:f>
      </x:c>
      <x:c r="Z302" s="20" t="str">
        <x:f>IF(A302="","",IF(J302="Annullato",0,IF(ISNUMBER(O302),O302,IF(AND(I302="Esecuzioni",W302&gt;0),_xlfn.MAXIFS('Esecuzioni'!$P$8:$P$1007,'Esecuzioni'!$A$8:$A$1007,A302),""))))</x:f>
      </x:c>
      <x:c r="AA302" s="20" t="str">
        <x:f>IF(OR(A302="",J302="Aperto"),"",IF(J302="Annullato",0,IF(I302="Lordo manuale",IF(ISNUMBER(P302),P302,""),IF(I302="Netto manuale",IF(AND(ISNUMBER(P302),ISNUMBER(Q302)),P302+Q302,""),IF(OR(W302=0,COUNTIFS('Esecuzioni'!$A$8:$A$1007,A302,'Esecuzioni'!$Q$8:$Q$1007,"&lt;&gt;OK")&gt;0),"",IF(S302="Vince",X302,IF(S302="Perde",Y302,IF(AND(S302="Coperto",ABS(X302-Y302)&lt;='Impostazioni'!$B$11),ROUND((X302+Y302)/2,2),""))))))))</x:f>
      </x:c>
      <x:c r="AB302" s="20" t="str">
        <x:f>IF(NOT(ISNUMBER(AA302)),"",IF(J302="Annullato",0,IF(ISNUMBER(Q302),Q302,ROUND(MAX(0,AA302)*IF(ISNUMBER(R302),R302,'Impostazioni'!$B$8),2))))</x:f>
      </x:c>
      <x:c r="AC302" s="20" t="str">
        <x:f>IF(AND(ISNUMBER(AA302),ISNUMBER(AB302)),ROUND(AA302-AB302,2),"")</x:f>
      </x:c>
      <x:c r="AD302" s="18" t="str">
        <x:f>IF(A302="","",IF(AQ302&lt;&gt;"OK","Incompleto",IF(J302="Aperto","Aperto",IF(J302="Annullato","Annullato",IF(AC302&gt;0,"Green",IF(AC302&lt;0,"Red","Flat"))))))</x:f>
      </x:c>
      <x:c r="AE302" s="21" t="str">
        <x:f>IF(AND(AH302=1,Z302&gt;0),AC302/Z302,"")</x:f>
      </x:c>
      <x:c r="AF302" s="22" t="str">
        <x:f>IF(AH302&lt;&gt;1,"",COUNTIFS($C$8:$C$507,"&lt;"&amp;C302,$AH$8:$AH$507,1)+COUNTIFS($C$8:$C$507,C302,$A$8:$A$507,"&lt;="&amp;A302,$AH$8:$AH$507,1))</x:f>
      </x:c>
      <x:c r="AG302" s="20" t="str">
        <x:f>IF(AH302&lt;&gt;1,"",SUMIFS($AC$8:$AC$507,$C$8:$C$507,"&lt;"&amp;C302,$AH$8:$AH$507,1)+SUMIFS($AC$8:$AC$507,$C$8:$C$507,C302,$A$8:$A$507,"&lt;="&amp;A302,$AH$8:$AH$507,1))</x:f>
      </x:c>
      <x:c r="AH302" s="22" t="str">
        <x:f>IF(A302="","",IF(AND(J302="Chiuso",AQ302="OK",ISNUMBER(AC302)),1,0))</x:f>
      </x:c>
      <x:c r="AI302" s="20" t="str">
        <x:f>IF(AH302&lt;&gt;1,"",MAX(0,_xlfn.MAXIFS($AG$8:$AG$507,$AF$8:$AF$507,"&lt;="&amp;AF302,$AH$8:$AH$507,1)))</x:f>
      </x:c>
      <x:c r="AJ302" s="20" t="str">
        <x:f>IF(AH302&lt;&gt;1,"",MAX(0,AI302-AG302))</x:f>
      </x:c>
      <x:c r="AK302" s="21" t="str">
        <x:f>IF(OR(AH302&lt;&gt;1,NOT(ISNUMBER('Impostazioni'!$B$6)),'Impostazioni'!$B$6+AI302&lt;=0),"",AJ302/('Impostazioni'!$B$6+AI302))</x:f>
      </x:c>
      <x:c r="AL302" s="22" t="str">
        <x:f>IF(AH302&lt;&gt;1,"",IF(AC302&gt;0,AF302-_xlfn.MAXIFS($AF$8:$AF$507,$AF$8:$AF$507,"&lt;="&amp;AF302,$AC$8:$AC$507,"&lt;=0",$AH$8:$AH$507,1),0))</x:f>
      </x:c>
      <x:c r="AM302" s="22" t="str">
        <x:f>IF(AH302&lt;&gt;1,"",IF(AC302&lt;0,AF302-_xlfn.MAXIFS($AF$8:$AF$507,$AF$8:$AF$507,"&lt;="&amp;AF302,$AC$8:$AC$507,"&gt;=0",$AH$8:$AH$507,1),0))</x:f>
      </x:c>
      <x:c r="AN302" s="20" t="str">
        <x:f>IF(OR(A302="",NOT(ISNUMBER(B302)),NOT(ISNUMBER('Impostazioni'!$B$6))),"",'Impostazioni'!$B$6+SUMIFS($AC$8:$AC$507,$C$8:$C$507,"&lt;"&amp;B302,$AH$8:$AH$507,1)+SUMIFS('Cassa'!$F$8:$F$307,'Cassa'!$A$8:$A$307,"&lt;="&amp;B302,'Cassa'!$G$8:$G$307,"OK"))</x:f>
      </x:c>
      <x:c r="AO302" s="21" t="str">
        <x:f>IF(AND(ISNUMBER(Z302),ISNUMBER(AN302),AN302&gt;0),Z302/AN302,"")</x:f>
      </x:c>
      <x:c r="AP302" s="18" t="str">
        <x:f>IF(NOT(ISNUMBER(AO302)),"",IF(AO302&gt;'Impostazioni'!$B$7,"Oltre soglia personale","Nella soglia personale"))</x:f>
      </x:c>
      <x:c r="AQ302" s="18" t="str">
        <x:f>IF(A302="",IF(COUNTA(B302:V302)=0,"","Inserisci ID"),IF(COUNTIFS($A$8:$A$507,A302)&lt;&gt;1,"ID duplicato",IF(OR(NOT(ISNUMBER(B302)),D302="",E302="",F302="",G302="",H302="",COUNTIFS('Impostazioni'!$J$6:$J$25,F302)&lt;&gt;1),"Completa dati / elenchi",IF(OR(AND(I302&lt;&gt;"Lordo manuale",I302&lt;&gt;"Netto manuale",I302&lt;&gt;"Esecuzioni"),AND(J302&lt;&gt;"Aperto",J302&lt;&gt;"Chiuso",J302&lt;&gt;"Annullato")),"Modalità / stato mancanti",IF(AND(J302&lt;&gt;"Aperto",OR(NOT(ISNUMBER(C302)),C302&lt;B302)),"Correggi data chiusura",IF(OR(AND(Q302&lt;&gt;"",OR(NOT(ISNUMBER(Q302)),Q302&lt;0)),AND(R302&lt;&gt;"",OR(NOT(ISNUMBER(R302)),R302&lt;0,R302&gt;1))),"Commissione non valida",IF(J302="Annullato","OK",IF(OR(NOT(ISNUMBER(Z302)),Z302&lt;0,AND(O302&lt;&gt;"",NOT(ISNUMBER(O302)))),"Inserisci rischio",IF(AND(I302="Esecuzioni",OR(W302=0,COUNTIFS('Esecuzioni'!$A$8:$A$1007,A302,'Esecuzioni'!$Q$8:$Q$1007,"&lt;&gt;OK")&gt;0)),"Correggi esecuzioni",IF(J302="Aperto","OK",IF(AND(I302="Esecuzioni",S302="Coperto",ABS(X302-Y302)&gt;'Impostazioni'!$B$11),"Copertura residua",IF(NOT(ISNUMBER(AC302)),"Completa risultato / esito",IF(AND(Z302=0,AC302&lt;&gt;0),"Rischio nullo con P/L","OK")))))))))))))</x:f>
      </x:c>
      <x:c r="AR302" s="20" t="str">
        <x:f>IF(OR(A302="",J302&lt;&gt;"Aperto",AQ302&lt;&gt;"OK"),"",IF(I302="Esecuzioni",SUMIFS('Esecuzioni'!$P$8:$P$1007,'Esecuzioni'!$A$8:$A$1007,A302,'Esecuzioni'!$B$8:$B$1007,_xlfn.MAXIFS('Esecuzioni'!$B$8:$B$1007,'Esecuzioni'!$A$8:$A$1007,A302)),IF(LEFT(U302,8)="FREEBET:",0,Z302)))</x:f>
      </x:c>
      <x:c r="AS302" s="48" t="str">
        <x:f>IF(OR(A302="",E302=""),"",IF(COUNTIFS($E$8:E302,E302)=1,COUNT($AS$7:AS301)+1,""))</x:f>
      </x:c>
    </x:row>
    <x:row r="303" ht="22" customHeight="1">
      <x:c r="A303" s="7"/>
      <x:c r="B303" s="19"/>
      <x:c r="C303" s="19"/>
      <x:c r="D303" s="7"/>
      <x:c r="E303" s="7"/>
      <x:c r="F303" s="7"/>
      <x:c r="G303" s="7"/>
      <x:c r="H303" s="7"/>
      <x:c r="I303" s="7"/>
      <x:c r="J303" s="7"/>
      <x:c r="K303" s="10"/>
      <x:c r="L303" s="7"/>
      <x:c r="M303" s="10"/>
      <x:c r="N303" s="7"/>
      <x:c r="O303" s="8"/>
      <x:c r="P303" s="8"/>
      <x:c r="Q303" s="8"/>
      <x:c r="R303" s="9"/>
      <x:c r="S303" s="7"/>
      <x:c r="T303" s="7"/>
      <x:c r="U303" s="7"/>
      <x:c r="V303" s="7"/>
      <x:c r="W303" s="22" t="str">
        <x:f>IF(A303="","",COUNTIFS('Esecuzioni'!$A$8:$A$1007,A303,'Esecuzioni'!$Q$8:$Q$1007,"OK"))</x:f>
      </x:c>
      <x:c r="X303" s="20" t="str">
        <x:f>IF(OR(A303="",I303&lt;&gt;"Esecuzioni",W303=0),"",SUMIFS('Esecuzioni'!$L$8:$L$1007,'Esecuzioni'!$A$8:$A$1007,A303))</x:f>
      </x:c>
      <x:c r="Y303" s="20" t="str">
        <x:f>IF(OR(A303="",I303&lt;&gt;"Esecuzioni",W303=0),"",SUMIFS('Esecuzioni'!$M$8:$M$1007,'Esecuzioni'!$A$8:$A$1007,A303))</x:f>
      </x:c>
      <x:c r="Z303" s="20" t="str">
        <x:f>IF(A303="","",IF(J303="Annullato",0,IF(ISNUMBER(O303),O303,IF(AND(I303="Esecuzioni",W303&gt;0),_xlfn.MAXIFS('Esecuzioni'!$P$8:$P$1007,'Esecuzioni'!$A$8:$A$1007,A303),""))))</x:f>
      </x:c>
      <x:c r="AA303" s="20" t="str">
        <x:f>IF(OR(A303="",J303="Aperto"),"",IF(J303="Annullato",0,IF(I303="Lordo manuale",IF(ISNUMBER(P303),P303,""),IF(I303="Netto manuale",IF(AND(ISNUMBER(P303),ISNUMBER(Q303)),P303+Q303,""),IF(OR(W303=0,COUNTIFS('Esecuzioni'!$A$8:$A$1007,A303,'Esecuzioni'!$Q$8:$Q$1007,"&lt;&gt;OK")&gt;0),"",IF(S303="Vince",X303,IF(S303="Perde",Y303,IF(AND(S303="Coperto",ABS(X303-Y303)&lt;='Impostazioni'!$B$11),ROUND((X303+Y303)/2,2),""))))))))</x:f>
      </x:c>
      <x:c r="AB303" s="20" t="str">
        <x:f>IF(NOT(ISNUMBER(AA303)),"",IF(J303="Annullato",0,IF(ISNUMBER(Q303),Q303,ROUND(MAX(0,AA303)*IF(ISNUMBER(R303),R303,'Impostazioni'!$B$8),2))))</x:f>
      </x:c>
      <x:c r="AC303" s="20" t="str">
        <x:f>IF(AND(ISNUMBER(AA303),ISNUMBER(AB303)),ROUND(AA303-AB303,2),"")</x:f>
      </x:c>
      <x:c r="AD303" s="18" t="str">
        <x:f>IF(A303="","",IF(AQ303&lt;&gt;"OK","Incompleto",IF(J303="Aperto","Aperto",IF(J303="Annullato","Annullato",IF(AC303&gt;0,"Green",IF(AC303&lt;0,"Red","Flat"))))))</x:f>
      </x:c>
      <x:c r="AE303" s="21" t="str">
        <x:f>IF(AND(AH303=1,Z303&gt;0),AC303/Z303,"")</x:f>
      </x:c>
      <x:c r="AF303" s="22" t="str">
        <x:f>IF(AH303&lt;&gt;1,"",COUNTIFS($C$8:$C$507,"&lt;"&amp;C303,$AH$8:$AH$507,1)+COUNTIFS($C$8:$C$507,C303,$A$8:$A$507,"&lt;="&amp;A303,$AH$8:$AH$507,1))</x:f>
      </x:c>
      <x:c r="AG303" s="20" t="str">
        <x:f>IF(AH303&lt;&gt;1,"",SUMIFS($AC$8:$AC$507,$C$8:$C$507,"&lt;"&amp;C303,$AH$8:$AH$507,1)+SUMIFS($AC$8:$AC$507,$C$8:$C$507,C303,$A$8:$A$507,"&lt;="&amp;A303,$AH$8:$AH$507,1))</x:f>
      </x:c>
      <x:c r="AH303" s="22" t="str">
        <x:f>IF(A303="","",IF(AND(J303="Chiuso",AQ303="OK",ISNUMBER(AC303)),1,0))</x:f>
      </x:c>
      <x:c r="AI303" s="20" t="str">
        <x:f>IF(AH303&lt;&gt;1,"",MAX(0,_xlfn.MAXIFS($AG$8:$AG$507,$AF$8:$AF$507,"&lt;="&amp;AF303,$AH$8:$AH$507,1)))</x:f>
      </x:c>
      <x:c r="AJ303" s="20" t="str">
        <x:f>IF(AH303&lt;&gt;1,"",MAX(0,AI303-AG303))</x:f>
      </x:c>
      <x:c r="AK303" s="21" t="str">
        <x:f>IF(OR(AH303&lt;&gt;1,NOT(ISNUMBER('Impostazioni'!$B$6)),'Impostazioni'!$B$6+AI303&lt;=0),"",AJ303/('Impostazioni'!$B$6+AI303))</x:f>
      </x:c>
      <x:c r="AL303" s="22" t="str">
        <x:f>IF(AH303&lt;&gt;1,"",IF(AC303&gt;0,AF303-_xlfn.MAXIFS($AF$8:$AF$507,$AF$8:$AF$507,"&lt;="&amp;AF303,$AC$8:$AC$507,"&lt;=0",$AH$8:$AH$507,1),0))</x:f>
      </x:c>
      <x:c r="AM303" s="22" t="str">
        <x:f>IF(AH303&lt;&gt;1,"",IF(AC303&lt;0,AF303-_xlfn.MAXIFS($AF$8:$AF$507,$AF$8:$AF$507,"&lt;="&amp;AF303,$AC$8:$AC$507,"&gt;=0",$AH$8:$AH$507,1),0))</x:f>
      </x:c>
      <x:c r="AN303" s="20" t="str">
        <x:f>IF(OR(A303="",NOT(ISNUMBER(B303)),NOT(ISNUMBER('Impostazioni'!$B$6))),"",'Impostazioni'!$B$6+SUMIFS($AC$8:$AC$507,$C$8:$C$507,"&lt;"&amp;B303,$AH$8:$AH$507,1)+SUMIFS('Cassa'!$F$8:$F$307,'Cassa'!$A$8:$A$307,"&lt;="&amp;B303,'Cassa'!$G$8:$G$307,"OK"))</x:f>
      </x:c>
      <x:c r="AO303" s="21" t="str">
        <x:f>IF(AND(ISNUMBER(Z303),ISNUMBER(AN303),AN303&gt;0),Z303/AN303,"")</x:f>
      </x:c>
      <x:c r="AP303" s="18" t="str">
        <x:f>IF(NOT(ISNUMBER(AO303)),"",IF(AO303&gt;'Impostazioni'!$B$7,"Oltre soglia personale","Nella soglia personale"))</x:f>
      </x:c>
      <x:c r="AQ303" s="18" t="str">
        <x:f>IF(A303="",IF(COUNTA(B303:V303)=0,"","Inserisci ID"),IF(COUNTIFS($A$8:$A$507,A303)&lt;&gt;1,"ID duplicato",IF(OR(NOT(ISNUMBER(B303)),D303="",E303="",F303="",G303="",H303="",COUNTIFS('Impostazioni'!$J$6:$J$25,F303)&lt;&gt;1),"Completa dati / elenchi",IF(OR(AND(I303&lt;&gt;"Lordo manuale",I303&lt;&gt;"Netto manuale",I303&lt;&gt;"Esecuzioni"),AND(J303&lt;&gt;"Aperto",J303&lt;&gt;"Chiuso",J303&lt;&gt;"Annullato")),"Modalità / stato mancanti",IF(AND(J303&lt;&gt;"Aperto",OR(NOT(ISNUMBER(C303)),C303&lt;B303)),"Correggi data chiusura",IF(OR(AND(Q303&lt;&gt;"",OR(NOT(ISNUMBER(Q303)),Q303&lt;0)),AND(R303&lt;&gt;"",OR(NOT(ISNUMBER(R303)),R303&lt;0,R303&gt;1))),"Commissione non valida",IF(J303="Annullato","OK",IF(OR(NOT(ISNUMBER(Z303)),Z303&lt;0,AND(O303&lt;&gt;"",NOT(ISNUMBER(O303)))),"Inserisci rischio",IF(AND(I303="Esecuzioni",OR(W303=0,COUNTIFS('Esecuzioni'!$A$8:$A$1007,A303,'Esecuzioni'!$Q$8:$Q$1007,"&lt;&gt;OK")&gt;0)),"Correggi esecuzioni",IF(J303="Aperto","OK",IF(AND(I303="Esecuzioni",S303="Coperto",ABS(X303-Y303)&gt;'Impostazioni'!$B$11),"Copertura residua",IF(NOT(ISNUMBER(AC303)),"Completa risultato / esito",IF(AND(Z303=0,AC303&lt;&gt;0),"Rischio nullo con P/L","OK")))))))))))))</x:f>
      </x:c>
      <x:c r="AR303" s="20" t="str">
        <x:f>IF(OR(A303="",J303&lt;&gt;"Aperto",AQ303&lt;&gt;"OK"),"",IF(I303="Esecuzioni",SUMIFS('Esecuzioni'!$P$8:$P$1007,'Esecuzioni'!$A$8:$A$1007,A303,'Esecuzioni'!$B$8:$B$1007,_xlfn.MAXIFS('Esecuzioni'!$B$8:$B$1007,'Esecuzioni'!$A$8:$A$1007,A303)),IF(LEFT(U303,8)="FREEBET:",0,Z303)))</x:f>
      </x:c>
      <x:c r="AS303" s="48" t="str">
        <x:f>IF(OR(A303="",E303=""),"",IF(COUNTIFS($E$8:E303,E303)=1,COUNT($AS$7:AS302)+1,""))</x:f>
      </x:c>
    </x:row>
    <x:row r="304" ht="22" customHeight="1">
      <x:c r="A304" s="7"/>
      <x:c r="B304" s="19"/>
      <x:c r="C304" s="19"/>
      <x:c r="D304" s="7"/>
      <x:c r="E304" s="7"/>
      <x:c r="F304" s="7"/>
      <x:c r="G304" s="7"/>
      <x:c r="H304" s="7"/>
      <x:c r="I304" s="7"/>
      <x:c r="J304" s="7"/>
      <x:c r="K304" s="10"/>
      <x:c r="L304" s="7"/>
      <x:c r="M304" s="10"/>
      <x:c r="N304" s="7"/>
      <x:c r="O304" s="8"/>
      <x:c r="P304" s="8"/>
      <x:c r="Q304" s="8"/>
      <x:c r="R304" s="9"/>
      <x:c r="S304" s="7"/>
      <x:c r="T304" s="7"/>
      <x:c r="U304" s="7"/>
      <x:c r="V304" s="7"/>
      <x:c r="W304" s="22" t="str">
        <x:f>IF(A304="","",COUNTIFS('Esecuzioni'!$A$8:$A$1007,A304,'Esecuzioni'!$Q$8:$Q$1007,"OK"))</x:f>
      </x:c>
      <x:c r="X304" s="20" t="str">
        <x:f>IF(OR(A304="",I304&lt;&gt;"Esecuzioni",W304=0),"",SUMIFS('Esecuzioni'!$L$8:$L$1007,'Esecuzioni'!$A$8:$A$1007,A304))</x:f>
      </x:c>
      <x:c r="Y304" s="20" t="str">
        <x:f>IF(OR(A304="",I304&lt;&gt;"Esecuzioni",W304=0),"",SUMIFS('Esecuzioni'!$M$8:$M$1007,'Esecuzioni'!$A$8:$A$1007,A304))</x:f>
      </x:c>
      <x:c r="Z304" s="20" t="str">
        <x:f>IF(A304="","",IF(J304="Annullato",0,IF(ISNUMBER(O304),O304,IF(AND(I304="Esecuzioni",W304&gt;0),_xlfn.MAXIFS('Esecuzioni'!$P$8:$P$1007,'Esecuzioni'!$A$8:$A$1007,A304),""))))</x:f>
      </x:c>
      <x:c r="AA304" s="20" t="str">
        <x:f>IF(OR(A304="",J304="Aperto"),"",IF(J304="Annullato",0,IF(I304="Lordo manuale",IF(ISNUMBER(P304),P304,""),IF(I304="Netto manuale",IF(AND(ISNUMBER(P304),ISNUMBER(Q304)),P304+Q304,""),IF(OR(W304=0,COUNTIFS('Esecuzioni'!$A$8:$A$1007,A304,'Esecuzioni'!$Q$8:$Q$1007,"&lt;&gt;OK")&gt;0),"",IF(S304="Vince",X304,IF(S304="Perde",Y304,IF(AND(S304="Coperto",ABS(X304-Y304)&lt;='Impostazioni'!$B$11),ROUND((X304+Y304)/2,2),""))))))))</x:f>
      </x:c>
      <x:c r="AB304" s="20" t="str">
        <x:f>IF(NOT(ISNUMBER(AA304)),"",IF(J304="Annullato",0,IF(ISNUMBER(Q304),Q304,ROUND(MAX(0,AA304)*IF(ISNUMBER(R304),R304,'Impostazioni'!$B$8),2))))</x:f>
      </x:c>
      <x:c r="AC304" s="20" t="str">
        <x:f>IF(AND(ISNUMBER(AA304),ISNUMBER(AB304)),ROUND(AA304-AB304,2),"")</x:f>
      </x:c>
      <x:c r="AD304" s="18" t="str">
        <x:f>IF(A304="","",IF(AQ304&lt;&gt;"OK","Incompleto",IF(J304="Aperto","Aperto",IF(J304="Annullato","Annullato",IF(AC304&gt;0,"Green",IF(AC304&lt;0,"Red","Flat"))))))</x:f>
      </x:c>
      <x:c r="AE304" s="21" t="str">
        <x:f>IF(AND(AH304=1,Z304&gt;0),AC304/Z304,"")</x:f>
      </x:c>
      <x:c r="AF304" s="22" t="str">
        <x:f>IF(AH304&lt;&gt;1,"",COUNTIFS($C$8:$C$507,"&lt;"&amp;C304,$AH$8:$AH$507,1)+COUNTIFS($C$8:$C$507,C304,$A$8:$A$507,"&lt;="&amp;A304,$AH$8:$AH$507,1))</x:f>
      </x:c>
      <x:c r="AG304" s="20" t="str">
        <x:f>IF(AH304&lt;&gt;1,"",SUMIFS($AC$8:$AC$507,$C$8:$C$507,"&lt;"&amp;C304,$AH$8:$AH$507,1)+SUMIFS($AC$8:$AC$507,$C$8:$C$507,C304,$A$8:$A$507,"&lt;="&amp;A304,$AH$8:$AH$507,1))</x:f>
      </x:c>
      <x:c r="AH304" s="22" t="str">
        <x:f>IF(A304="","",IF(AND(J304="Chiuso",AQ304="OK",ISNUMBER(AC304)),1,0))</x:f>
      </x:c>
      <x:c r="AI304" s="20" t="str">
        <x:f>IF(AH304&lt;&gt;1,"",MAX(0,_xlfn.MAXIFS($AG$8:$AG$507,$AF$8:$AF$507,"&lt;="&amp;AF304,$AH$8:$AH$507,1)))</x:f>
      </x:c>
      <x:c r="AJ304" s="20" t="str">
        <x:f>IF(AH304&lt;&gt;1,"",MAX(0,AI304-AG304))</x:f>
      </x:c>
      <x:c r="AK304" s="21" t="str">
        <x:f>IF(OR(AH304&lt;&gt;1,NOT(ISNUMBER('Impostazioni'!$B$6)),'Impostazioni'!$B$6+AI304&lt;=0),"",AJ304/('Impostazioni'!$B$6+AI304))</x:f>
      </x:c>
      <x:c r="AL304" s="22" t="str">
        <x:f>IF(AH304&lt;&gt;1,"",IF(AC304&gt;0,AF304-_xlfn.MAXIFS($AF$8:$AF$507,$AF$8:$AF$507,"&lt;="&amp;AF304,$AC$8:$AC$507,"&lt;=0",$AH$8:$AH$507,1),0))</x:f>
      </x:c>
      <x:c r="AM304" s="22" t="str">
        <x:f>IF(AH304&lt;&gt;1,"",IF(AC304&lt;0,AF304-_xlfn.MAXIFS($AF$8:$AF$507,$AF$8:$AF$507,"&lt;="&amp;AF304,$AC$8:$AC$507,"&gt;=0",$AH$8:$AH$507,1),0))</x:f>
      </x:c>
      <x:c r="AN304" s="20" t="str">
        <x:f>IF(OR(A304="",NOT(ISNUMBER(B304)),NOT(ISNUMBER('Impostazioni'!$B$6))),"",'Impostazioni'!$B$6+SUMIFS($AC$8:$AC$507,$C$8:$C$507,"&lt;"&amp;B304,$AH$8:$AH$507,1)+SUMIFS('Cassa'!$F$8:$F$307,'Cassa'!$A$8:$A$307,"&lt;="&amp;B304,'Cassa'!$G$8:$G$307,"OK"))</x:f>
      </x:c>
      <x:c r="AO304" s="21" t="str">
        <x:f>IF(AND(ISNUMBER(Z304),ISNUMBER(AN304),AN304&gt;0),Z304/AN304,"")</x:f>
      </x:c>
      <x:c r="AP304" s="18" t="str">
        <x:f>IF(NOT(ISNUMBER(AO304)),"",IF(AO304&gt;'Impostazioni'!$B$7,"Oltre soglia personale","Nella soglia personale"))</x:f>
      </x:c>
      <x:c r="AQ304" s="18" t="str">
        <x:f>IF(A304="",IF(COUNTA(B304:V304)=0,"","Inserisci ID"),IF(COUNTIFS($A$8:$A$507,A304)&lt;&gt;1,"ID duplicato",IF(OR(NOT(ISNUMBER(B304)),D304="",E304="",F304="",G304="",H304="",COUNTIFS('Impostazioni'!$J$6:$J$25,F304)&lt;&gt;1),"Completa dati / elenchi",IF(OR(AND(I304&lt;&gt;"Lordo manuale",I304&lt;&gt;"Netto manuale",I304&lt;&gt;"Esecuzioni"),AND(J304&lt;&gt;"Aperto",J304&lt;&gt;"Chiuso",J304&lt;&gt;"Annullato")),"Modalità / stato mancanti",IF(AND(J304&lt;&gt;"Aperto",OR(NOT(ISNUMBER(C304)),C304&lt;B304)),"Correggi data chiusura",IF(OR(AND(Q304&lt;&gt;"",OR(NOT(ISNUMBER(Q304)),Q304&lt;0)),AND(R304&lt;&gt;"",OR(NOT(ISNUMBER(R304)),R304&lt;0,R304&gt;1))),"Commissione non valida",IF(J304="Annullato","OK",IF(OR(NOT(ISNUMBER(Z304)),Z304&lt;0,AND(O304&lt;&gt;"",NOT(ISNUMBER(O304)))),"Inserisci rischio",IF(AND(I304="Esecuzioni",OR(W304=0,COUNTIFS('Esecuzioni'!$A$8:$A$1007,A304,'Esecuzioni'!$Q$8:$Q$1007,"&lt;&gt;OK")&gt;0)),"Correggi esecuzioni",IF(J304="Aperto","OK",IF(AND(I304="Esecuzioni",S304="Coperto",ABS(X304-Y304)&gt;'Impostazioni'!$B$11),"Copertura residua",IF(NOT(ISNUMBER(AC304)),"Completa risultato / esito",IF(AND(Z304=0,AC304&lt;&gt;0),"Rischio nullo con P/L","OK")))))))))))))</x:f>
      </x:c>
      <x:c r="AR304" s="20" t="str">
        <x:f>IF(OR(A304="",J304&lt;&gt;"Aperto",AQ304&lt;&gt;"OK"),"",IF(I304="Esecuzioni",SUMIFS('Esecuzioni'!$P$8:$P$1007,'Esecuzioni'!$A$8:$A$1007,A304,'Esecuzioni'!$B$8:$B$1007,_xlfn.MAXIFS('Esecuzioni'!$B$8:$B$1007,'Esecuzioni'!$A$8:$A$1007,A304)),IF(LEFT(U304,8)="FREEBET:",0,Z304)))</x:f>
      </x:c>
      <x:c r="AS304" s="48" t="str">
        <x:f>IF(OR(A304="",E304=""),"",IF(COUNTIFS($E$8:E304,E304)=1,COUNT($AS$7:AS303)+1,""))</x:f>
      </x:c>
    </x:row>
    <x:row r="305" ht="22" customHeight="1">
      <x:c r="A305" s="7"/>
      <x:c r="B305" s="19"/>
      <x:c r="C305" s="19"/>
      <x:c r="D305" s="7"/>
      <x:c r="E305" s="7"/>
      <x:c r="F305" s="7"/>
      <x:c r="G305" s="7"/>
      <x:c r="H305" s="7"/>
      <x:c r="I305" s="7"/>
      <x:c r="J305" s="7"/>
      <x:c r="K305" s="10"/>
      <x:c r="L305" s="7"/>
      <x:c r="M305" s="10"/>
      <x:c r="N305" s="7"/>
      <x:c r="O305" s="8"/>
      <x:c r="P305" s="8"/>
      <x:c r="Q305" s="8"/>
      <x:c r="R305" s="9"/>
      <x:c r="S305" s="7"/>
      <x:c r="T305" s="7"/>
      <x:c r="U305" s="7"/>
      <x:c r="V305" s="7"/>
      <x:c r="W305" s="22" t="str">
        <x:f>IF(A305="","",COUNTIFS('Esecuzioni'!$A$8:$A$1007,A305,'Esecuzioni'!$Q$8:$Q$1007,"OK"))</x:f>
      </x:c>
      <x:c r="X305" s="20" t="str">
        <x:f>IF(OR(A305="",I305&lt;&gt;"Esecuzioni",W305=0),"",SUMIFS('Esecuzioni'!$L$8:$L$1007,'Esecuzioni'!$A$8:$A$1007,A305))</x:f>
      </x:c>
      <x:c r="Y305" s="20" t="str">
        <x:f>IF(OR(A305="",I305&lt;&gt;"Esecuzioni",W305=0),"",SUMIFS('Esecuzioni'!$M$8:$M$1007,'Esecuzioni'!$A$8:$A$1007,A305))</x:f>
      </x:c>
      <x:c r="Z305" s="20" t="str">
        <x:f>IF(A305="","",IF(J305="Annullato",0,IF(ISNUMBER(O305),O305,IF(AND(I305="Esecuzioni",W305&gt;0),_xlfn.MAXIFS('Esecuzioni'!$P$8:$P$1007,'Esecuzioni'!$A$8:$A$1007,A305),""))))</x:f>
      </x:c>
      <x:c r="AA305" s="20" t="str">
        <x:f>IF(OR(A305="",J305="Aperto"),"",IF(J305="Annullato",0,IF(I305="Lordo manuale",IF(ISNUMBER(P305),P305,""),IF(I305="Netto manuale",IF(AND(ISNUMBER(P305),ISNUMBER(Q305)),P305+Q305,""),IF(OR(W305=0,COUNTIFS('Esecuzioni'!$A$8:$A$1007,A305,'Esecuzioni'!$Q$8:$Q$1007,"&lt;&gt;OK")&gt;0),"",IF(S305="Vince",X305,IF(S305="Perde",Y305,IF(AND(S305="Coperto",ABS(X305-Y305)&lt;='Impostazioni'!$B$11),ROUND((X305+Y305)/2,2),""))))))))</x:f>
      </x:c>
      <x:c r="AB305" s="20" t="str">
        <x:f>IF(NOT(ISNUMBER(AA305)),"",IF(J305="Annullato",0,IF(ISNUMBER(Q305),Q305,ROUND(MAX(0,AA305)*IF(ISNUMBER(R305),R305,'Impostazioni'!$B$8),2))))</x:f>
      </x:c>
      <x:c r="AC305" s="20" t="str">
        <x:f>IF(AND(ISNUMBER(AA305),ISNUMBER(AB305)),ROUND(AA305-AB305,2),"")</x:f>
      </x:c>
      <x:c r="AD305" s="18" t="str">
        <x:f>IF(A305="","",IF(AQ305&lt;&gt;"OK","Incompleto",IF(J305="Aperto","Aperto",IF(J305="Annullato","Annullato",IF(AC305&gt;0,"Green",IF(AC305&lt;0,"Red","Flat"))))))</x:f>
      </x:c>
      <x:c r="AE305" s="21" t="str">
        <x:f>IF(AND(AH305=1,Z305&gt;0),AC305/Z305,"")</x:f>
      </x:c>
      <x:c r="AF305" s="22" t="str">
        <x:f>IF(AH305&lt;&gt;1,"",COUNTIFS($C$8:$C$507,"&lt;"&amp;C305,$AH$8:$AH$507,1)+COUNTIFS($C$8:$C$507,C305,$A$8:$A$507,"&lt;="&amp;A305,$AH$8:$AH$507,1))</x:f>
      </x:c>
      <x:c r="AG305" s="20" t="str">
        <x:f>IF(AH305&lt;&gt;1,"",SUMIFS($AC$8:$AC$507,$C$8:$C$507,"&lt;"&amp;C305,$AH$8:$AH$507,1)+SUMIFS($AC$8:$AC$507,$C$8:$C$507,C305,$A$8:$A$507,"&lt;="&amp;A305,$AH$8:$AH$507,1))</x:f>
      </x:c>
      <x:c r="AH305" s="22" t="str">
        <x:f>IF(A305="","",IF(AND(J305="Chiuso",AQ305="OK",ISNUMBER(AC305)),1,0))</x:f>
      </x:c>
      <x:c r="AI305" s="20" t="str">
        <x:f>IF(AH305&lt;&gt;1,"",MAX(0,_xlfn.MAXIFS($AG$8:$AG$507,$AF$8:$AF$507,"&lt;="&amp;AF305,$AH$8:$AH$507,1)))</x:f>
      </x:c>
      <x:c r="AJ305" s="20" t="str">
        <x:f>IF(AH305&lt;&gt;1,"",MAX(0,AI305-AG305))</x:f>
      </x:c>
      <x:c r="AK305" s="21" t="str">
        <x:f>IF(OR(AH305&lt;&gt;1,NOT(ISNUMBER('Impostazioni'!$B$6)),'Impostazioni'!$B$6+AI305&lt;=0),"",AJ305/('Impostazioni'!$B$6+AI305))</x:f>
      </x:c>
      <x:c r="AL305" s="22" t="str">
        <x:f>IF(AH305&lt;&gt;1,"",IF(AC305&gt;0,AF305-_xlfn.MAXIFS($AF$8:$AF$507,$AF$8:$AF$507,"&lt;="&amp;AF305,$AC$8:$AC$507,"&lt;=0",$AH$8:$AH$507,1),0))</x:f>
      </x:c>
      <x:c r="AM305" s="22" t="str">
        <x:f>IF(AH305&lt;&gt;1,"",IF(AC305&lt;0,AF305-_xlfn.MAXIFS($AF$8:$AF$507,$AF$8:$AF$507,"&lt;="&amp;AF305,$AC$8:$AC$507,"&gt;=0",$AH$8:$AH$507,1),0))</x:f>
      </x:c>
      <x:c r="AN305" s="20" t="str">
        <x:f>IF(OR(A305="",NOT(ISNUMBER(B305)),NOT(ISNUMBER('Impostazioni'!$B$6))),"",'Impostazioni'!$B$6+SUMIFS($AC$8:$AC$507,$C$8:$C$507,"&lt;"&amp;B305,$AH$8:$AH$507,1)+SUMIFS('Cassa'!$F$8:$F$307,'Cassa'!$A$8:$A$307,"&lt;="&amp;B305,'Cassa'!$G$8:$G$307,"OK"))</x:f>
      </x:c>
      <x:c r="AO305" s="21" t="str">
        <x:f>IF(AND(ISNUMBER(Z305),ISNUMBER(AN305),AN305&gt;0),Z305/AN305,"")</x:f>
      </x:c>
      <x:c r="AP305" s="18" t="str">
        <x:f>IF(NOT(ISNUMBER(AO305)),"",IF(AO305&gt;'Impostazioni'!$B$7,"Oltre soglia personale","Nella soglia personale"))</x:f>
      </x:c>
      <x:c r="AQ305" s="18" t="str">
        <x:f>IF(A305="",IF(COUNTA(B305:V305)=0,"","Inserisci ID"),IF(COUNTIFS($A$8:$A$507,A305)&lt;&gt;1,"ID duplicato",IF(OR(NOT(ISNUMBER(B305)),D305="",E305="",F305="",G305="",H305="",COUNTIFS('Impostazioni'!$J$6:$J$25,F305)&lt;&gt;1),"Completa dati / elenchi",IF(OR(AND(I305&lt;&gt;"Lordo manuale",I305&lt;&gt;"Netto manuale",I305&lt;&gt;"Esecuzioni"),AND(J305&lt;&gt;"Aperto",J305&lt;&gt;"Chiuso",J305&lt;&gt;"Annullato")),"Modalità / stato mancanti",IF(AND(J305&lt;&gt;"Aperto",OR(NOT(ISNUMBER(C305)),C305&lt;B305)),"Correggi data chiusura",IF(OR(AND(Q305&lt;&gt;"",OR(NOT(ISNUMBER(Q305)),Q305&lt;0)),AND(R305&lt;&gt;"",OR(NOT(ISNUMBER(R305)),R305&lt;0,R305&gt;1))),"Commissione non valida",IF(J305="Annullato","OK",IF(OR(NOT(ISNUMBER(Z305)),Z305&lt;0,AND(O305&lt;&gt;"",NOT(ISNUMBER(O305)))),"Inserisci rischio",IF(AND(I305="Esecuzioni",OR(W305=0,COUNTIFS('Esecuzioni'!$A$8:$A$1007,A305,'Esecuzioni'!$Q$8:$Q$1007,"&lt;&gt;OK")&gt;0)),"Correggi esecuzioni",IF(J305="Aperto","OK",IF(AND(I305="Esecuzioni",S305="Coperto",ABS(X305-Y305)&gt;'Impostazioni'!$B$11),"Copertura residua",IF(NOT(ISNUMBER(AC305)),"Completa risultato / esito",IF(AND(Z305=0,AC305&lt;&gt;0),"Rischio nullo con P/L","OK")))))))))))))</x:f>
      </x:c>
      <x:c r="AR305" s="20" t="str">
        <x:f>IF(OR(A305="",J305&lt;&gt;"Aperto",AQ305&lt;&gt;"OK"),"",IF(I305="Esecuzioni",SUMIFS('Esecuzioni'!$P$8:$P$1007,'Esecuzioni'!$A$8:$A$1007,A305,'Esecuzioni'!$B$8:$B$1007,_xlfn.MAXIFS('Esecuzioni'!$B$8:$B$1007,'Esecuzioni'!$A$8:$A$1007,A305)),IF(LEFT(U305,8)="FREEBET:",0,Z305)))</x:f>
      </x:c>
      <x:c r="AS305" s="48" t="str">
        <x:f>IF(OR(A305="",E305=""),"",IF(COUNTIFS($E$8:E305,E305)=1,COUNT($AS$7:AS304)+1,""))</x:f>
      </x:c>
    </x:row>
    <x:row r="306" ht="22" customHeight="1">
      <x:c r="A306" s="7"/>
      <x:c r="B306" s="19"/>
      <x:c r="C306" s="19"/>
      <x:c r="D306" s="7"/>
      <x:c r="E306" s="7"/>
      <x:c r="F306" s="7"/>
      <x:c r="G306" s="7"/>
      <x:c r="H306" s="7"/>
      <x:c r="I306" s="7"/>
      <x:c r="J306" s="7"/>
      <x:c r="K306" s="10"/>
      <x:c r="L306" s="7"/>
      <x:c r="M306" s="10"/>
      <x:c r="N306" s="7"/>
      <x:c r="O306" s="8"/>
      <x:c r="P306" s="8"/>
      <x:c r="Q306" s="8"/>
      <x:c r="R306" s="9"/>
      <x:c r="S306" s="7"/>
      <x:c r="T306" s="7"/>
      <x:c r="U306" s="7"/>
      <x:c r="V306" s="7"/>
      <x:c r="W306" s="22" t="str">
        <x:f>IF(A306="","",COUNTIFS('Esecuzioni'!$A$8:$A$1007,A306,'Esecuzioni'!$Q$8:$Q$1007,"OK"))</x:f>
      </x:c>
      <x:c r="X306" s="20" t="str">
        <x:f>IF(OR(A306="",I306&lt;&gt;"Esecuzioni",W306=0),"",SUMIFS('Esecuzioni'!$L$8:$L$1007,'Esecuzioni'!$A$8:$A$1007,A306))</x:f>
      </x:c>
      <x:c r="Y306" s="20" t="str">
        <x:f>IF(OR(A306="",I306&lt;&gt;"Esecuzioni",W306=0),"",SUMIFS('Esecuzioni'!$M$8:$M$1007,'Esecuzioni'!$A$8:$A$1007,A306))</x:f>
      </x:c>
      <x:c r="Z306" s="20" t="str">
        <x:f>IF(A306="","",IF(J306="Annullato",0,IF(ISNUMBER(O306),O306,IF(AND(I306="Esecuzioni",W306&gt;0),_xlfn.MAXIFS('Esecuzioni'!$P$8:$P$1007,'Esecuzioni'!$A$8:$A$1007,A306),""))))</x:f>
      </x:c>
      <x:c r="AA306" s="20" t="str">
        <x:f>IF(OR(A306="",J306="Aperto"),"",IF(J306="Annullato",0,IF(I306="Lordo manuale",IF(ISNUMBER(P306),P306,""),IF(I306="Netto manuale",IF(AND(ISNUMBER(P306),ISNUMBER(Q306)),P306+Q306,""),IF(OR(W306=0,COUNTIFS('Esecuzioni'!$A$8:$A$1007,A306,'Esecuzioni'!$Q$8:$Q$1007,"&lt;&gt;OK")&gt;0),"",IF(S306="Vince",X306,IF(S306="Perde",Y306,IF(AND(S306="Coperto",ABS(X306-Y306)&lt;='Impostazioni'!$B$11),ROUND((X306+Y306)/2,2),""))))))))</x:f>
      </x:c>
      <x:c r="AB306" s="20" t="str">
        <x:f>IF(NOT(ISNUMBER(AA306)),"",IF(J306="Annullato",0,IF(ISNUMBER(Q306),Q306,ROUND(MAX(0,AA306)*IF(ISNUMBER(R306),R306,'Impostazioni'!$B$8),2))))</x:f>
      </x:c>
      <x:c r="AC306" s="20" t="str">
        <x:f>IF(AND(ISNUMBER(AA306),ISNUMBER(AB306)),ROUND(AA306-AB306,2),"")</x:f>
      </x:c>
      <x:c r="AD306" s="18" t="str">
        <x:f>IF(A306="","",IF(AQ306&lt;&gt;"OK","Incompleto",IF(J306="Aperto","Aperto",IF(J306="Annullato","Annullato",IF(AC306&gt;0,"Green",IF(AC306&lt;0,"Red","Flat"))))))</x:f>
      </x:c>
      <x:c r="AE306" s="21" t="str">
        <x:f>IF(AND(AH306=1,Z306&gt;0),AC306/Z306,"")</x:f>
      </x:c>
      <x:c r="AF306" s="22" t="str">
        <x:f>IF(AH306&lt;&gt;1,"",COUNTIFS($C$8:$C$507,"&lt;"&amp;C306,$AH$8:$AH$507,1)+COUNTIFS($C$8:$C$507,C306,$A$8:$A$507,"&lt;="&amp;A306,$AH$8:$AH$507,1))</x:f>
      </x:c>
      <x:c r="AG306" s="20" t="str">
        <x:f>IF(AH306&lt;&gt;1,"",SUMIFS($AC$8:$AC$507,$C$8:$C$507,"&lt;"&amp;C306,$AH$8:$AH$507,1)+SUMIFS($AC$8:$AC$507,$C$8:$C$507,C306,$A$8:$A$507,"&lt;="&amp;A306,$AH$8:$AH$507,1))</x:f>
      </x:c>
      <x:c r="AH306" s="22" t="str">
        <x:f>IF(A306="","",IF(AND(J306="Chiuso",AQ306="OK",ISNUMBER(AC306)),1,0))</x:f>
      </x:c>
      <x:c r="AI306" s="20" t="str">
        <x:f>IF(AH306&lt;&gt;1,"",MAX(0,_xlfn.MAXIFS($AG$8:$AG$507,$AF$8:$AF$507,"&lt;="&amp;AF306,$AH$8:$AH$507,1)))</x:f>
      </x:c>
      <x:c r="AJ306" s="20" t="str">
        <x:f>IF(AH306&lt;&gt;1,"",MAX(0,AI306-AG306))</x:f>
      </x:c>
      <x:c r="AK306" s="21" t="str">
        <x:f>IF(OR(AH306&lt;&gt;1,NOT(ISNUMBER('Impostazioni'!$B$6)),'Impostazioni'!$B$6+AI306&lt;=0),"",AJ306/('Impostazioni'!$B$6+AI306))</x:f>
      </x:c>
      <x:c r="AL306" s="22" t="str">
        <x:f>IF(AH306&lt;&gt;1,"",IF(AC306&gt;0,AF306-_xlfn.MAXIFS($AF$8:$AF$507,$AF$8:$AF$507,"&lt;="&amp;AF306,$AC$8:$AC$507,"&lt;=0",$AH$8:$AH$507,1),0))</x:f>
      </x:c>
      <x:c r="AM306" s="22" t="str">
        <x:f>IF(AH306&lt;&gt;1,"",IF(AC306&lt;0,AF306-_xlfn.MAXIFS($AF$8:$AF$507,$AF$8:$AF$507,"&lt;="&amp;AF306,$AC$8:$AC$507,"&gt;=0",$AH$8:$AH$507,1),0))</x:f>
      </x:c>
      <x:c r="AN306" s="20" t="str">
        <x:f>IF(OR(A306="",NOT(ISNUMBER(B306)),NOT(ISNUMBER('Impostazioni'!$B$6))),"",'Impostazioni'!$B$6+SUMIFS($AC$8:$AC$507,$C$8:$C$507,"&lt;"&amp;B306,$AH$8:$AH$507,1)+SUMIFS('Cassa'!$F$8:$F$307,'Cassa'!$A$8:$A$307,"&lt;="&amp;B306,'Cassa'!$G$8:$G$307,"OK"))</x:f>
      </x:c>
      <x:c r="AO306" s="21" t="str">
        <x:f>IF(AND(ISNUMBER(Z306),ISNUMBER(AN306),AN306&gt;0),Z306/AN306,"")</x:f>
      </x:c>
      <x:c r="AP306" s="18" t="str">
        <x:f>IF(NOT(ISNUMBER(AO306)),"",IF(AO306&gt;'Impostazioni'!$B$7,"Oltre soglia personale","Nella soglia personale"))</x:f>
      </x:c>
      <x:c r="AQ306" s="18" t="str">
        <x:f>IF(A306="",IF(COUNTA(B306:V306)=0,"","Inserisci ID"),IF(COUNTIFS($A$8:$A$507,A306)&lt;&gt;1,"ID duplicato",IF(OR(NOT(ISNUMBER(B306)),D306="",E306="",F306="",G306="",H306="",COUNTIFS('Impostazioni'!$J$6:$J$25,F306)&lt;&gt;1),"Completa dati / elenchi",IF(OR(AND(I306&lt;&gt;"Lordo manuale",I306&lt;&gt;"Netto manuale",I306&lt;&gt;"Esecuzioni"),AND(J306&lt;&gt;"Aperto",J306&lt;&gt;"Chiuso",J306&lt;&gt;"Annullato")),"Modalità / stato mancanti",IF(AND(J306&lt;&gt;"Aperto",OR(NOT(ISNUMBER(C306)),C306&lt;B306)),"Correggi data chiusura",IF(OR(AND(Q306&lt;&gt;"",OR(NOT(ISNUMBER(Q306)),Q306&lt;0)),AND(R306&lt;&gt;"",OR(NOT(ISNUMBER(R306)),R306&lt;0,R306&gt;1))),"Commissione non valida",IF(J306="Annullato","OK",IF(OR(NOT(ISNUMBER(Z306)),Z306&lt;0,AND(O306&lt;&gt;"",NOT(ISNUMBER(O306)))),"Inserisci rischio",IF(AND(I306="Esecuzioni",OR(W306=0,COUNTIFS('Esecuzioni'!$A$8:$A$1007,A306,'Esecuzioni'!$Q$8:$Q$1007,"&lt;&gt;OK")&gt;0)),"Correggi esecuzioni",IF(J306="Aperto","OK",IF(AND(I306="Esecuzioni",S306="Coperto",ABS(X306-Y306)&gt;'Impostazioni'!$B$11),"Copertura residua",IF(NOT(ISNUMBER(AC306)),"Completa risultato / esito",IF(AND(Z306=0,AC306&lt;&gt;0),"Rischio nullo con P/L","OK")))))))))))))</x:f>
      </x:c>
      <x:c r="AR306" s="20" t="str">
        <x:f>IF(OR(A306="",J306&lt;&gt;"Aperto",AQ306&lt;&gt;"OK"),"",IF(I306="Esecuzioni",SUMIFS('Esecuzioni'!$P$8:$P$1007,'Esecuzioni'!$A$8:$A$1007,A306,'Esecuzioni'!$B$8:$B$1007,_xlfn.MAXIFS('Esecuzioni'!$B$8:$B$1007,'Esecuzioni'!$A$8:$A$1007,A306)),IF(LEFT(U306,8)="FREEBET:",0,Z306)))</x:f>
      </x:c>
      <x:c r="AS306" s="48" t="str">
        <x:f>IF(OR(A306="",E306=""),"",IF(COUNTIFS($E$8:E306,E306)=1,COUNT($AS$7:AS305)+1,""))</x:f>
      </x:c>
    </x:row>
    <x:row r="307" ht="22" customHeight="1">
      <x:c r="A307" s="7"/>
      <x:c r="B307" s="19"/>
      <x:c r="C307" s="19"/>
      <x:c r="D307" s="7"/>
      <x:c r="E307" s="7"/>
      <x:c r="F307" s="7"/>
      <x:c r="G307" s="7"/>
      <x:c r="H307" s="7"/>
      <x:c r="I307" s="7"/>
      <x:c r="J307" s="7"/>
      <x:c r="K307" s="10"/>
      <x:c r="L307" s="7"/>
      <x:c r="M307" s="10"/>
      <x:c r="N307" s="7"/>
      <x:c r="O307" s="8"/>
      <x:c r="P307" s="8"/>
      <x:c r="Q307" s="8"/>
      <x:c r="R307" s="9"/>
      <x:c r="S307" s="7"/>
      <x:c r="T307" s="7"/>
      <x:c r="U307" s="7"/>
      <x:c r="V307" s="7"/>
      <x:c r="W307" s="22" t="str">
        <x:f>IF(A307="","",COUNTIFS('Esecuzioni'!$A$8:$A$1007,A307,'Esecuzioni'!$Q$8:$Q$1007,"OK"))</x:f>
      </x:c>
      <x:c r="X307" s="20" t="str">
        <x:f>IF(OR(A307="",I307&lt;&gt;"Esecuzioni",W307=0),"",SUMIFS('Esecuzioni'!$L$8:$L$1007,'Esecuzioni'!$A$8:$A$1007,A307))</x:f>
      </x:c>
      <x:c r="Y307" s="20" t="str">
        <x:f>IF(OR(A307="",I307&lt;&gt;"Esecuzioni",W307=0),"",SUMIFS('Esecuzioni'!$M$8:$M$1007,'Esecuzioni'!$A$8:$A$1007,A307))</x:f>
      </x:c>
      <x:c r="Z307" s="20" t="str">
        <x:f>IF(A307="","",IF(J307="Annullato",0,IF(ISNUMBER(O307),O307,IF(AND(I307="Esecuzioni",W307&gt;0),_xlfn.MAXIFS('Esecuzioni'!$P$8:$P$1007,'Esecuzioni'!$A$8:$A$1007,A307),""))))</x:f>
      </x:c>
      <x:c r="AA307" s="20" t="str">
        <x:f>IF(OR(A307="",J307="Aperto"),"",IF(J307="Annullato",0,IF(I307="Lordo manuale",IF(ISNUMBER(P307),P307,""),IF(I307="Netto manuale",IF(AND(ISNUMBER(P307),ISNUMBER(Q307)),P307+Q307,""),IF(OR(W307=0,COUNTIFS('Esecuzioni'!$A$8:$A$1007,A307,'Esecuzioni'!$Q$8:$Q$1007,"&lt;&gt;OK")&gt;0),"",IF(S307="Vince",X307,IF(S307="Perde",Y307,IF(AND(S307="Coperto",ABS(X307-Y307)&lt;='Impostazioni'!$B$11),ROUND((X307+Y307)/2,2),""))))))))</x:f>
      </x:c>
      <x:c r="AB307" s="20" t="str">
        <x:f>IF(NOT(ISNUMBER(AA307)),"",IF(J307="Annullato",0,IF(ISNUMBER(Q307),Q307,ROUND(MAX(0,AA307)*IF(ISNUMBER(R307),R307,'Impostazioni'!$B$8),2))))</x:f>
      </x:c>
      <x:c r="AC307" s="20" t="str">
        <x:f>IF(AND(ISNUMBER(AA307),ISNUMBER(AB307)),ROUND(AA307-AB307,2),"")</x:f>
      </x:c>
      <x:c r="AD307" s="18" t="str">
        <x:f>IF(A307="","",IF(AQ307&lt;&gt;"OK","Incompleto",IF(J307="Aperto","Aperto",IF(J307="Annullato","Annullato",IF(AC307&gt;0,"Green",IF(AC307&lt;0,"Red","Flat"))))))</x:f>
      </x:c>
      <x:c r="AE307" s="21" t="str">
        <x:f>IF(AND(AH307=1,Z307&gt;0),AC307/Z307,"")</x:f>
      </x:c>
      <x:c r="AF307" s="22" t="str">
        <x:f>IF(AH307&lt;&gt;1,"",COUNTIFS($C$8:$C$507,"&lt;"&amp;C307,$AH$8:$AH$507,1)+COUNTIFS($C$8:$C$507,C307,$A$8:$A$507,"&lt;="&amp;A307,$AH$8:$AH$507,1))</x:f>
      </x:c>
      <x:c r="AG307" s="20" t="str">
        <x:f>IF(AH307&lt;&gt;1,"",SUMIFS($AC$8:$AC$507,$C$8:$C$507,"&lt;"&amp;C307,$AH$8:$AH$507,1)+SUMIFS($AC$8:$AC$507,$C$8:$C$507,C307,$A$8:$A$507,"&lt;="&amp;A307,$AH$8:$AH$507,1))</x:f>
      </x:c>
      <x:c r="AH307" s="22" t="str">
        <x:f>IF(A307="","",IF(AND(J307="Chiuso",AQ307="OK",ISNUMBER(AC307)),1,0))</x:f>
      </x:c>
      <x:c r="AI307" s="20" t="str">
        <x:f>IF(AH307&lt;&gt;1,"",MAX(0,_xlfn.MAXIFS($AG$8:$AG$507,$AF$8:$AF$507,"&lt;="&amp;AF307,$AH$8:$AH$507,1)))</x:f>
      </x:c>
      <x:c r="AJ307" s="20" t="str">
        <x:f>IF(AH307&lt;&gt;1,"",MAX(0,AI307-AG307))</x:f>
      </x:c>
      <x:c r="AK307" s="21" t="str">
        <x:f>IF(OR(AH307&lt;&gt;1,NOT(ISNUMBER('Impostazioni'!$B$6)),'Impostazioni'!$B$6+AI307&lt;=0),"",AJ307/('Impostazioni'!$B$6+AI307))</x:f>
      </x:c>
      <x:c r="AL307" s="22" t="str">
        <x:f>IF(AH307&lt;&gt;1,"",IF(AC307&gt;0,AF307-_xlfn.MAXIFS($AF$8:$AF$507,$AF$8:$AF$507,"&lt;="&amp;AF307,$AC$8:$AC$507,"&lt;=0",$AH$8:$AH$507,1),0))</x:f>
      </x:c>
      <x:c r="AM307" s="22" t="str">
        <x:f>IF(AH307&lt;&gt;1,"",IF(AC307&lt;0,AF307-_xlfn.MAXIFS($AF$8:$AF$507,$AF$8:$AF$507,"&lt;="&amp;AF307,$AC$8:$AC$507,"&gt;=0",$AH$8:$AH$507,1),0))</x:f>
      </x:c>
      <x:c r="AN307" s="20" t="str">
        <x:f>IF(OR(A307="",NOT(ISNUMBER(B307)),NOT(ISNUMBER('Impostazioni'!$B$6))),"",'Impostazioni'!$B$6+SUMIFS($AC$8:$AC$507,$C$8:$C$507,"&lt;"&amp;B307,$AH$8:$AH$507,1)+SUMIFS('Cassa'!$F$8:$F$307,'Cassa'!$A$8:$A$307,"&lt;="&amp;B307,'Cassa'!$G$8:$G$307,"OK"))</x:f>
      </x:c>
      <x:c r="AO307" s="21" t="str">
        <x:f>IF(AND(ISNUMBER(Z307),ISNUMBER(AN307),AN307&gt;0),Z307/AN307,"")</x:f>
      </x:c>
      <x:c r="AP307" s="18" t="str">
        <x:f>IF(NOT(ISNUMBER(AO307)),"",IF(AO307&gt;'Impostazioni'!$B$7,"Oltre soglia personale","Nella soglia personale"))</x:f>
      </x:c>
      <x:c r="AQ307" s="18" t="str">
        <x:f>IF(A307="",IF(COUNTA(B307:V307)=0,"","Inserisci ID"),IF(COUNTIFS($A$8:$A$507,A307)&lt;&gt;1,"ID duplicato",IF(OR(NOT(ISNUMBER(B307)),D307="",E307="",F307="",G307="",H307="",COUNTIFS('Impostazioni'!$J$6:$J$25,F307)&lt;&gt;1),"Completa dati / elenchi",IF(OR(AND(I307&lt;&gt;"Lordo manuale",I307&lt;&gt;"Netto manuale",I307&lt;&gt;"Esecuzioni"),AND(J307&lt;&gt;"Aperto",J307&lt;&gt;"Chiuso",J307&lt;&gt;"Annullato")),"Modalità / stato mancanti",IF(AND(J307&lt;&gt;"Aperto",OR(NOT(ISNUMBER(C307)),C307&lt;B307)),"Correggi data chiusura",IF(OR(AND(Q307&lt;&gt;"",OR(NOT(ISNUMBER(Q307)),Q307&lt;0)),AND(R307&lt;&gt;"",OR(NOT(ISNUMBER(R307)),R307&lt;0,R307&gt;1))),"Commissione non valida",IF(J307="Annullato","OK",IF(OR(NOT(ISNUMBER(Z307)),Z307&lt;0,AND(O307&lt;&gt;"",NOT(ISNUMBER(O307)))),"Inserisci rischio",IF(AND(I307="Esecuzioni",OR(W307=0,COUNTIFS('Esecuzioni'!$A$8:$A$1007,A307,'Esecuzioni'!$Q$8:$Q$1007,"&lt;&gt;OK")&gt;0)),"Correggi esecuzioni",IF(J307="Aperto","OK",IF(AND(I307="Esecuzioni",S307="Coperto",ABS(X307-Y307)&gt;'Impostazioni'!$B$11),"Copertura residua",IF(NOT(ISNUMBER(AC307)),"Completa risultato / esito",IF(AND(Z307=0,AC307&lt;&gt;0),"Rischio nullo con P/L","OK")))))))))))))</x:f>
      </x:c>
      <x:c r="AR307" s="20" t="str">
        <x:f>IF(OR(A307="",J307&lt;&gt;"Aperto",AQ307&lt;&gt;"OK"),"",IF(I307="Esecuzioni",SUMIFS('Esecuzioni'!$P$8:$P$1007,'Esecuzioni'!$A$8:$A$1007,A307,'Esecuzioni'!$B$8:$B$1007,_xlfn.MAXIFS('Esecuzioni'!$B$8:$B$1007,'Esecuzioni'!$A$8:$A$1007,A307)),IF(LEFT(U307,8)="FREEBET:",0,Z307)))</x:f>
      </x:c>
      <x:c r="AS307" s="48" t="str">
        <x:f>IF(OR(A307="",E307=""),"",IF(COUNTIFS($E$8:E307,E307)=1,COUNT($AS$7:AS306)+1,""))</x:f>
      </x:c>
    </x:row>
    <x:row r="308" ht="22" customHeight="1">
      <x:c r="A308" s="7"/>
      <x:c r="B308" s="19"/>
      <x:c r="C308" s="19"/>
      <x:c r="D308" s="7"/>
      <x:c r="E308" s="7"/>
      <x:c r="F308" s="7"/>
      <x:c r="G308" s="7"/>
      <x:c r="H308" s="7"/>
      <x:c r="I308" s="7"/>
      <x:c r="J308" s="7"/>
      <x:c r="K308" s="10"/>
      <x:c r="L308" s="7"/>
      <x:c r="M308" s="10"/>
      <x:c r="N308" s="7"/>
      <x:c r="O308" s="8"/>
      <x:c r="P308" s="8"/>
      <x:c r="Q308" s="8"/>
      <x:c r="R308" s="9"/>
      <x:c r="S308" s="7"/>
      <x:c r="T308" s="7"/>
      <x:c r="U308" s="7"/>
      <x:c r="V308" s="7"/>
      <x:c r="W308" s="22" t="str">
        <x:f>IF(A308="","",COUNTIFS('Esecuzioni'!$A$8:$A$1007,A308,'Esecuzioni'!$Q$8:$Q$1007,"OK"))</x:f>
      </x:c>
      <x:c r="X308" s="20" t="str">
        <x:f>IF(OR(A308="",I308&lt;&gt;"Esecuzioni",W308=0),"",SUMIFS('Esecuzioni'!$L$8:$L$1007,'Esecuzioni'!$A$8:$A$1007,A308))</x:f>
      </x:c>
      <x:c r="Y308" s="20" t="str">
        <x:f>IF(OR(A308="",I308&lt;&gt;"Esecuzioni",W308=0),"",SUMIFS('Esecuzioni'!$M$8:$M$1007,'Esecuzioni'!$A$8:$A$1007,A308))</x:f>
      </x:c>
      <x:c r="Z308" s="20" t="str">
        <x:f>IF(A308="","",IF(J308="Annullato",0,IF(ISNUMBER(O308),O308,IF(AND(I308="Esecuzioni",W308&gt;0),_xlfn.MAXIFS('Esecuzioni'!$P$8:$P$1007,'Esecuzioni'!$A$8:$A$1007,A308),""))))</x:f>
      </x:c>
      <x:c r="AA308" s="20" t="str">
        <x:f>IF(OR(A308="",J308="Aperto"),"",IF(J308="Annullato",0,IF(I308="Lordo manuale",IF(ISNUMBER(P308),P308,""),IF(I308="Netto manuale",IF(AND(ISNUMBER(P308),ISNUMBER(Q308)),P308+Q308,""),IF(OR(W308=0,COUNTIFS('Esecuzioni'!$A$8:$A$1007,A308,'Esecuzioni'!$Q$8:$Q$1007,"&lt;&gt;OK")&gt;0),"",IF(S308="Vince",X308,IF(S308="Perde",Y308,IF(AND(S308="Coperto",ABS(X308-Y308)&lt;='Impostazioni'!$B$11),ROUND((X308+Y308)/2,2),""))))))))</x:f>
      </x:c>
      <x:c r="AB308" s="20" t="str">
        <x:f>IF(NOT(ISNUMBER(AA308)),"",IF(J308="Annullato",0,IF(ISNUMBER(Q308),Q308,ROUND(MAX(0,AA308)*IF(ISNUMBER(R308),R308,'Impostazioni'!$B$8),2))))</x:f>
      </x:c>
      <x:c r="AC308" s="20" t="str">
        <x:f>IF(AND(ISNUMBER(AA308),ISNUMBER(AB308)),ROUND(AA308-AB308,2),"")</x:f>
      </x:c>
      <x:c r="AD308" s="18" t="str">
        <x:f>IF(A308="","",IF(AQ308&lt;&gt;"OK","Incompleto",IF(J308="Aperto","Aperto",IF(J308="Annullato","Annullato",IF(AC308&gt;0,"Green",IF(AC308&lt;0,"Red","Flat"))))))</x:f>
      </x:c>
      <x:c r="AE308" s="21" t="str">
        <x:f>IF(AND(AH308=1,Z308&gt;0),AC308/Z308,"")</x:f>
      </x:c>
      <x:c r="AF308" s="22" t="str">
        <x:f>IF(AH308&lt;&gt;1,"",COUNTIFS($C$8:$C$507,"&lt;"&amp;C308,$AH$8:$AH$507,1)+COUNTIFS($C$8:$C$507,C308,$A$8:$A$507,"&lt;="&amp;A308,$AH$8:$AH$507,1))</x:f>
      </x:c>
      <x:c r="AG308" s="20" t="str">
        <x:f>IF(AH308&lt;&gt;1,"",SUMIFS($AC$8:$AC$507,$C$8:$C$507,"&lt;"&amp;C308,$AH$8:$AH$507,1)+SUMIFS($AC$8:$AC$507,$C$8:$C$507,C308,$A$8:$A$507,"&lt;="&amp;A308,$AH$8:$AH$507,1))</x:f>
      </x:c>
      <x:c r="AH308" s="22" t="str">
        <x:f>IF(A308="","",IF(AND(J308="Chiuso",AQ308="OK",ISNUMBER(AC308)),1,0))</x:f>
      </x:c>
      <x:c r="AI308" s="20" t="str">
        <x:f>IF(AH308&lt;&gt;1,"",MAX(0,_xlfn.MAXIFS($AG$8:$AG$507,$AF$8:$AF$507,"&lt;="&amp;AF308,$AH$8:$AH$507,1)))</x:f>
      </x:c>
      <x:c r="AJ308" s="20" t="str">
        <x:f>IF(AH308&lt;&gt;1,"",MAX(0,AI308-AG308))</x:f>
      </x:c>
      <x:c r="AK308" s="21" t="str">
        <x:f>IF(OR(AH308&lt;&gt;1,NOT(ISNUMBER('Impostazioni'!$B$6)),'Impostazioni'!$B$6+AI308&lt;=0),"",AJ308/('Impostazioni'!$B$6+AI308))</x:f>
      </x:c>
      <x:c r="AL308" s="22" t="str">
        <x:f>IF(AH308&lt;&gt;1,"",IF(AC308&gt;0,AF308-_xlfn.MAXIFS($AF$8:$AF$507,$AF$8:$AF$507,"&lt;="&amp;AF308,$AC$8:$AC$507,"&lt;=0",$AH$8:$AH$507,1),0))</x:f>
      </x:c>
      <x:c r="AM308" s="22" t="str">
        <x:f>IF(AH308&lt;&gt;1,"",IF(AC308&lt;0,AF308-_xlfn.MAXIFS($AF$8:$AF$507,$AF$8:$AF$507,"&lt;="&amp;AF308,$AC$8:$AC$507,"&gt;=0",$AH$8:$AH$507,1),0))</x:f>
      </x:c>
      <x:c r="AN308" s="20" t="str">
        <x:f>IF(OR(A308="",NOT(ISNUMBER(B308)),NOT(ISNUMBER('Impostazioni'!$B$6))),"",'Impostazioni'!$B$6+SUMIFS($AC$8:$AC$507,$C$8:$C$507,"&lt;"&amp;B308,$AH$8:$AH$507,1)+SUMIFS('Cassa'!$F$8:$F$307,'Cassa'!$A$8:$A$307,"&lt;="&amp;B308,'Cassa'!$G$8:$G$307,"OK"))</x:f>
      </x:c>
      <x:c r="AO308" s="21" t="str">
        <x:f>IF(AND(ISNUMBER(Z308),ISNUMBER(AN308),AN308&gt;0),Z308/AN308,"")</x:f>
      </x:c>
      <x:c r="AP308" s="18" t="str">
        <x:f>IF(NOT(ISNUMBER(AO308)),"",IF(AO308&gt;'Impostazioni'!$B$7,"Oltre soglia personale","Nella soglia personale"))</x:f>
      </x:c>
      <x:c r="AQ308" s="18" t="str">
        <x:f>IF(A308="",IF(COUNTA(B308:V308)=0,"","Inserisci ID"),IF(COUNTIFS($A$8:$A$507,A308)&lt;&gt;1,"ID duplicato",IF(OR(NOT(ISNUMBER(B308)),D308="",E308="",F308="",G308="",H308="",COUNTIFS('Impostazioni'!$J$6:$J$25,F308)&lt;&gt;1),"Completa dati / elenchi",IF(OR(AND(I308&lt;&gt;"Lordo manuale",I308&lt;&gt;"Netto manuale",I308&lt;&gt;"Esecuzioni"),AND(J308&lt;&gt;"Aperto",J308&lt;&gt;"Chiuso",J308&lt;&gt;"Annullato")),"Modalità / stato mancanti",IF(AND(J308&lt;&gt;"Aperto",OR(NOT(ISNUMBER(C308)),C308&lt;B308)),"Correggi data chiusura",IF(OR(AND(Q308&lt;&gt;"",OR(NOT(ISNUMBER(Q308)),Q308&lt;0)),AND(R308&lt;&gt;"",OR(NOT(ISNUMBER(R308)),R308&lt;0,R308&gt;1))),"Commissione non valida",IF(J308="Annullato","OK",IF(OR(NOT(ISNUMBER(Z308)),Z308&lt;0,AND(O308&lt;&gt;"",NOT(ISNUMBER(O308)))),"Inserisci rischio",IF(AND(I308="Esecuzioni",OR(W308=0,COUNTIFS('Esecuzioni'!$A$8:$A$1007,A308,'Esecuzioni'!$Q$8:$Q$1007,"&lt;&gt;OK")&gt;0)),"Correggi esecuzioni",IF(J308="Aperto","OK",IF(AND(I308="Esecuzioni",S308="Coperto",ABS(X308-Y308)&gt;'Impostazioni'!$B$11),"Copertura residua",IF(NOT(ISNUMBER(AC308)),"Completa risultato / esito",IF(AND(Z308=0,AC308&lt;&gt;0),"Rischio nullo con P/L","OK")))))))))))))</x:f>
      </x:c>
      <x:c r="AR308" s="20" t="str">
        <x:f>IF(OR(A308="",J308&lt;&gt;"Aperto",AQ308&lt;&gt;"OK"),"",IF(I308="Esecuzioni",SUMIFS('Esecuzioni'!$P$8:$P$1007,'Esecuzioni'!$A$8:$A$1007,A308,'Esecuzioni'!$B$8:$B$1007,_xlfn.MAXIFS('Esecuzioni'!$B$8:$B$1007,'Esecuzioni'!$A$8:$A$1007,A308)),IF(LEFT(U308,8)="FREEBET:",0,Z308)))</x:f>
      </x:c>
      <x:c r="AS308" s="48" t="str">
        <x:f>IF(OR(A308="",E308=""),"",IF(COUNTIFS($E$8:E308,E308)=1,COUNT($AS$7:AS307)+1,""))</x:f>
      </x:c>
    </x:row>
    <x:row r="309" ht="22" customHeight="1">
      <x:c r="A309" s="7"/>
      <x:c r="B309" s="19"/>
      <x:c r="C309" s="19"/>
      <x:c r="D309" s="7"/>
      <x:c r="E309" s="7"/>
      <x:c r="F309" s="7"/>
      <x:c r="G309" s="7"/>
      <x:c r="H309" s="7"/>
      <x:c r="I309" s="7"/>
      <x:c r="J309" s="7"/>
      <x:c r="K309" s="10"/>
      <x:c r="L309" s="7"/>
      <x:c r="M309" s="10"/>
      <x:c r="N309" s="7"/>
      <x:c r="O309" s="8"/>
      <x:c r="P309" s="8"/>
      <x:c r="Q309" s="8"/>
      <x:c r="R309" s="9"/>
      <x:c r="S309" s="7"/>
      <x:c r="T309" s="7"/>
      <x:c r="U309" s="7"/>
      <x:c r="V309" s="7"/>
      <x:c r="W309" s="22" t="str">
        <x:f>IF(A309="","",COUNTIFS('Esecuzioni'!$A$8:$A$1007,A309,'Esecuzioni'!$Q$8:$Q$1007,"OK"))</x:f>
      </x:c>
      <x:c r="X309" s="20" t="str">
        <x:f>IF(OR(A309="",I309&lt;&gt;"Esecuzioni",W309=0),"",SUMIFS('Esecuzioni'!$L$8:$L$1007,'Esecuzioni'!$A$8:$A$1007,A309))</x:f>
      </x:c>
      <x:c r="Y309" s="20" t="str">
        <x:f>IF(OR(A309="",I309&lt;&gt;"Esecuzioni",W309=0),"",SUMIFS('Esecuzioni'!$M$8:$M$1007,'Esecuzioni'!$A$8:$A$1007,A309))</x:f>
      </x:c>
      <x:c r="Z309" s="20" t="str">
        <x:f>IF(A309="","",IF(J309="Annullato",0,IF(ISNUMBER(O309),O309,IF(AND(I309="Esecuzioni",W309&gt;0),_xlfn.MAXIFS('Esecuzioni'!$P$8:$P$1007,'Esecuzioni'!$A$8:$A$1007,A309),""))))</x:f>
      </x:c>
      <x:c r="AA309" s="20" t="str">
        <x:f>IF(OR(A309="",J309="Aperto"),"",IF(J309="Annullato",0,IF(I309="Lordo manuale",IF(ISNUMBER(P309),P309,""),IF(I309="Netto manuale",IF(AND(ISNUMBER(P309),ISNUMBER(Q309)),P309+Q309,""),IF(OR(W309=0,COUNTIFS('Esecuzioni'!$A$8:$A$1007,A309,'Esecuzioni'!$Q$8:$Q$1007,"&lt;&gt;OK")&gt;0),"",IF(S309="Vince",X309,IF(S309="Perde",Y309,IF(AND(S309="Coperto",ABS(X309-Y309)&lt;='Impostazioni'!$B$11),ROUND((X309+Y309)/2,2),""))))))))</x:f>
      </x:c>
      <x:c r="AB309" s="20" t="str">
        <x:f>IF(NOT(ISNUMBER(AA309)),"",IF(J309="Annullato",0,IF(ISNUMBER(Q309),Q309,ROUND(MAX(0,AA309)*IF(ISNUMBER(R309),R309,'Impostazioni'!$B$8),2))))</x:f>
      </x:c>
      <x:c r="AC309" s="20" t="str">
        <x:f>IF(AND(ISNUMBER(AA309),ISNUMBER(AB309)),ROUND(AA309-AB309,2),"")</x:f>
      </x:c>
      <x:c r="AD309" s="18" t="str">
        <x:f>IF(A309="","",IF(AQ309&lt;&gt;"OK","Incompleto",IF(J309="Aperto","Aperto",IF(J309="Annullato","Annullato",IF(AC309&gt;0,"Green",IF(AC309&lt;0,"Red","Flat"))))))</x:f>
      </x:c>
      <x:c r="AE309" s="21" t="str">
        <x:f>IF(AND(AH309=1,Z309&gt;0),AC309/Z309,"")</x:f>
      </x:c>
      <x:c r="AF309" s="22" t="str">
        <x:f>IF(AH309&lt;&gt;1,"",COUNTIFS($C$8:$C$507,"&lt;"&amp;C309,$AH$8:$AH$507,1)+COUNTIFS($C$8:$C$507,C309,$A$8:$A$507,"&lt;="&amp;A309,$AH$8:$AH$507,1))</x:f>
      </x:c>
      <x:c r="AG309" s="20" t="str">
        <x:f>IF(AH309&lt;&gt;1,"",SUMIFS($AC$8:$AC$507,$C$8:$C$507,"&lt;"&amp;C309,$AH$8:$AH$507,1)+SUMIFS($AC$8:$AC$507,$C$8:$C$507,C309,$A$8:$A$507,"&lt;="&amp;A309,$AH$8:$AH$507,1))</x:f>
      </x:c>
      <x:c r="AH309" s="22" t="str">
        <x:f>IF(A309="","",IF(AND(J309="Chiuso",AQ309="OK",ISNUMBER(AC309)),1,0))</x:f>
      </x:c>
      <x:c r="AI309" s="20" t="str">
        <x:f>IF(AH309&lt;&gt;1,"",MAX(0,_xlfn.MAXIFS($AG$8:$AG$507,$AF$8:$AF$507,"&lt;="&amp;AF309,$AH$8:$AH$507,1)))</x:f>
      </x:c>
      <x:c r="AJ309" s="20" t="str">
        <x:f>IF(AH309&lt;&gt;1,"",MAX(0,AI309-AG309))</x:f>
      </x:c>
      <x:c r="AK309" s="21" t="str">
        <x:f>IF(OR(AH309&lt;&gt;1,NOT(ISNUMBER('Impostazioni'!$B$6)),'Impostazioni'!$B$6+AI309&lt;=0),"",AJ309/('Impostazioni'!$B$6+AI309))</x:f>
      </x:c>
      <x:c r="AL309" s="22" t="str">
        <x:f>IF(AH309&lt;&gt;1,"",IF(AC309&gt;0,AF309-_xlfn.MAXIFS($AF$8:$AF$507,$AF$8:$AF$507,"&lt;="&amp;AF309,$AC$8:$AC$507,"&lt;=0",$AH$8:$AH$507,1),0))</x:f>
      </x:c>
      <x:c r="AM309" s="22" t="str">
        <x:f>IF(AH309&lt;&gt;1,"",IF(AC309&lt;0,AF309-_xlfn.MAXIFS($AF$8:$AF$507,$AF$8:$AF$507,"&lt;="&amp;AF309,$AC$8:$AC$507,"&gt;=0",$AH$8:$AH$507,1),0))</x:f>
      </x:c>
      <x:c r="AN309" s="20" t="str">
        <x:f>IF(OR(A309="",NOT(ISNUMBER(B309)),NOT(ISNUMBER('Impostazioni'!$B$6))),"",'Impostazioni'!$B$6+SUMIFS($AC$8:$AC$507,$C$8:$C$507,"&lt;"&amp;B309,$AH$8:$AH$507,1)+SUMIFS('Cassa'!$F$8:$F$307,'Cassa'!$A$8:$A$307,"&lt;="&amp;B309,'Cassa'!$G$8:$G$307,"OK"))</x:f>
      </x:c>
      <x:c r="AO309" s="21" t="str">
        <x:f>IF(AND(ISNUMBER(Z309),ISNUMBER(AN309),AN309&gt;0),Z309/AN309,"")</x:f>
      </x:c>
      <x:c r="AP309" s="18" t="str">
        <x:f>IF(NOT(ISNUMBER(AO309)),"",IF(AO309&gt;'Impostazioni'!$B$7,"Oltre soglia personale","Nella soglia personale"))</x:f>
      </x:c>
      <x:c r="AQ309" s="18" t="str">
        <x:f>IF(A309="",IF(COUNTA(B309:V309)=0,"","Inserisci ID"),IF(COUNTIFS($A$8:$A$507,A309)&lt;&gt;1,"ID duplicato",IF(OR(NOT(ISNUMBER(B309)),D309="",E309="",F309="",G309="",H309="",COUNTIFS('Impostazioni'!$J$6:$J$25,F309)&lt;&gt;1),"Completa dati / elenchi",IF(OR(AND(I309&lt;&gt;"Lordo manuale",I309&lt;&gt;"Netto manuale",I309&lt;&gt;"Esecuzioni"),AND(J309&lt;&gt;"Aperto",J309&lt;&gt;"Chiuso",J309&lt;&gt;"Annullato")),"Modalità / stato mancanti",IF(AND(J309&lt;&gt;"Aperto",OR(NOT(ISNUMBER(C309)),C309&lt;B309)),"Correggi data chiusura",IF(OR(AND(Q309&lt;&gt;"",OR(NOT(ISNUMBER(Q309)),Q309&lt;0)),AND(R309&lt;&gt;"",OR(NOT(ISNUMBER(R309)),R309&lt;0,R309&gt;1))),"Commissione non valida",IF(J309="Annullato","OK",IF(OR(NOT(ISNUMBER(Z309)),Z309&lt;0,AND(O309&lt;&gt;"",NOT(ISNUMBER(O309)))),"Inserisci rischio",IF(AND(I309="Esecuzioni",OR(W309=0,COUNTIFS('Esecuzioni'!$A$8:$A$1007,A309,'Esecuzioni'!$Q$8:$Q$1007,"&lt;&gt;OK")&gt;0)),"Correggi esecuzioni",IF(J309="Aperto","OK",IF(AND(I309="Esecuzioni",S309="Coperto",ABS(X309-Y309)&gt;'Impostazioni'!$B$11),"Copertura residua",IF(NOT(ISNUMBER(AC309)),"Completa risultato / esito",IF(AND(Z309=0,AC309&lt;&gt;0),"Rischio nullo con P/L","OK")))))))))))))</x:f>
      </x:c>
      <x:c r="AR309" s="20" t="str">
        <x:f>IF(OR(A309="",J309&lt;&gt;"Aperto",AQ309&lt;&gt;"OK"),"",IF(I309="Esecuzioni",SUMIFS('Esecuzioni'!$P$8:$P$1007,'Esecuzioni'!$A$8:$A$1007,A309,'Esecuzioni'!$B$8:$B$1007,_xlfn.MAXIFS('Esecuzioni'!$B$8:$B$1007,'Esecuzioni'!$A$8:$A$1007,A309)),IF(LEFT(U309,8)="FREEBET:",0,Z309)))</x:f>
      </x:c>
      <x:c r="AS309" s="48" t="str">
        <x:f>IF(OR(A309="",E309=""),"",IF(COUNTIFS($E$8:E309,E309)=1,COUNT($AS$7:AS308)+1,""))</x:f>
      </x:c>
    </x:row>
    <x:row r="310" ht="22" customHeight="1">
      <x:c r="A310" s="7"/>
      <x:c r="B310" s="19"/>
      <x:c r="C310" s="19"/>
      <x:c r="D310" s="7"/>
      <x:c r="E310" s="7"/>
      <x:c r="F310" s="7"/>
      <x:c r="G310" s="7"/>
      <x:c r="H310" s="7"/>
      <x:c r="I310" s="7"/>
      <x:c r="J310" s="7"/>
      <x:c r="K310" s="10"/>
      <x:c r="L310" s="7"/>
      <x:c r="M310" s="10"/>
      <x:c r="N310" s="7"/>
      <x:c r="O310" s="8"/>
      <x:c r="P310" s="8"/>
      <x:c r="Q310" s="8"/>
      <x:c r="R310" s="9"/>
      <x:c r="S310" s="7"/>
      <x:c r="T310" s="7"/>
      <x:c r="U310" s="7"/>
      <x:c r="V310" s="7"/>
      <x:c r="W310" s="22" t="str">
        <x:f>IF(A310="","",COUNTIFS('Esecuzioni'!$A$8:$A$1007,A310,'Esecuzioni'!$Q$8:$Q$1007,"OK"))</x:f>
      </x:c>
      <x:c r="X310" s="20" t="str">
        <x:f>IF(OR(A310="",I310&lt;&gt;"Esecuzioni",W310=0),"",SUMIFS('Esecuzioni'!$L$8:$L$1007,'Esecuzioni'!$A$8:$A$1007,A310))</x:f>
      </x:c>
      <x:c r="Y310" s="20" t="str">
        <x:f>IF(OR(A310="",I310&lt;&gt;"Esecuzioni",W310=0),"",SUMIFS('Esecuzioni'!$M$8:$M$1007,'Esecuzioni'!$A$8:$A$1007,A310))</x:f>
      </x:c>
      <x:c r="Z310" s="20" t="str">
        <x:f>IF(A310="","",IF(J310="Annullato",0,IF(ISNUMBER(O310),O310,IF(AND(I310="Esecuzioni",W310&gt;0),_xlfn.MAXIFS('Esecuzioni'!$P$8:$P$1007,'Esecuzioni'!$A$8:$A$1007,A310),""))))</x:f>
      </x:c>
      <x:c r="AA310" s="20" t="str">
        <x:f>IF(OR(A310="",J310="Aperto"),"",IF(J310="Annullato",0,IF(I310="Lordo manuale",IF(ISNUMBER(P310),P310,""),IF(I310="Netto manuale",IF(AND(ISNUMBER(P310),ISNUMBER(Q310)),P310+Q310,""),IF(OR(W310=0,COUNTIFS('Esecuzioni'!$A$8:$A$1007,A310,'Esecuzioni'!$Q$8:$Q$1007,"&lt;&gt;OK")&gt;0),"",IF(S310="Vince",X310,IF(S310="Perde",Y310,IF(AND(S310="Coperto",ABS(X310-Y310)&lt;='Impostazioni'!$B$11),ROUND((X310+Y310)/2,2),""))))))))</x:f>
      </x:c>
      <x:c r="AB310" s="20" t="str">
        <x:f>IF(NOT(ISNUMBER(AA310)),"",IF(J310="Annullato",0,IF(ISNUMBER(Q310),Q310,ROUND(MAX(0,AA310)*IF(ISNUMBER(R310),R310,'Impostazioni'!$B$8),2))))</x:f>
      </x:c>
      <x:c r="AC310" s="20" t="str">
        <x:f>IF(AND(ISNUMBER(AA310),ISNUMBER(AB310)),ROUND(AA310-AB310,2),"")</x:f>
      </x:c>
      <x:c r="AD310" s="18" t="str">
        <x:f>IF(A310="","",IF(AQ310&lt;&gt;"OK","Incompleto",IF(J310="Aperto","Aperto",IF(J310="Annullato","Annullato",IF(AC310&gt;0,"Green",IF(AC310&lt;0,"Red","Flat"))))))</x:f>
      </x:c>
      <x:c r="AE310" s="21" t="str">
        <x:f>IF(AND(AH310=1,Z310&gt;0),AC310/Z310,"")</x:f>
      </x:c>
      <x:c r="AF310" s="22" t="str">
        <x:f>IF(AH310&lt;&gt;1,"",COUNTIFS($C$8:$C$507,"&lt;"&amp;C310,$AH$8:$AH$507,1)+COUNTIFS($C$8:$C$507,C310,$A$8:$A$507,"&lt;="&amp;A310,$AH$8:$AH$507,1))</x:f>
      </x:c>
      <x:c r="AG310" s="20" t="str">
        <x:f>IF(AH310&lt;&gt;1,"",SUMIFS($AC$8:$AC$507,$C$8:$C$507,"&lt;"&amp;C310,$AH$8:$AH$507,1)+SUMIFS($AC$8:$AC$507,$C$8:$C$507,C310,$A$8:$A$507,"&lt;="&amp;A310,$AH$8:$AH$507,1))</x:f>
      </x:c>
      <x:c r="AH310" s="22" t="str">
        <x:f>IF(A310="","",IF(AND(J310="Chiuso",AQ310="OK",ISNUMBER(AC310)),1,0))</x:f>
      </x:c>
      <x:c r="AI310" s="20" t="str">
        <x:f>IF(AH310&lt;&gt;1,"",MAX(0,_xlfn.MAXIFS($AG$8:$AG$507,$AF$8:$AF$507,"&lt;="&amp;AF310,$AH$8:$AH$507,1)))</x:f>
      </x:c>
      <x:c r="AJ310" s="20" t="str">
        <x:f>IF(AH310&lt;&gt;1,"",MAX(0,AI310-AG310))</x:f>
      </x:c>
      <x:c r="AK310" s="21" t="str">
        <x:f>IF(OR(AH310&lt;&gt;1,NOT(ISNUMBER('Impostazioni'!$B$6)),'Impostazioni'!$B$6+AI310&lt;=0),"",AJ310/('Impostazioni'!$B$6+AI310))</x:f>
      </x:c>
      <x:c r="AL310" s="22" t="str">
        <x:f>IF(AH310&lt;&gt;1,"",IF(AC310&gt;0,AF310-_xlfn.MAXIFS($AF$8:$AF$507,$AF$8:$AF$507,"&lt;="&amp;AF310,$AC$8:$AC$507,"&lt;=0",$AH$8:$AH$507,1),0))</x:f>
      </x:c>
      <x:c r="AM310" s="22" t="str">
        <x:f>IF(AH310&lt;&gt;1,"",IF(AC310&lt;0,AF310-_xlfn.MAXIFS($AF$8:$AF$507,$AF$8:$AF$507,"&lt;="&amp;AF310,$AC$8:$AC$507,"&gt;=0",$AH$8:$AH$507,1),0))</x:f>
      </x:c>
      <x:c r="AN310" s="20" t="str">
        <x:f>IF(OR(A310="",NOT(ISNUMBER(B310)),NOT(ISNUMBER('Impostazioni'!$B$6))),"",'Impostazioni'!$B$6+SUMIFS($AC$8:$AC$507,$C$8:$C$507,"&lt;"&amp;B310,$AH$8:$AH$507,1)+SUMIFS('Cassa'!$F$8:$F$307,'Cassa'!$A$8:$A$307,"&lt;="&amp;B310,'Cassa'!$G$8:$G$307,"OK"))</x:f>
      </x:c>
      <x:c r="AO310" s="21" t="str">
        <x:f>IF(AND(ISNUMBER(Z310),ISNUMBER(AN310),AN310&gt;0),Z310/AN310,"")</x:f>
      </x:c>
      <x:c r="AP310" s="18" t="str">
        <x:f>IF(NOT(ISNUMBER(AO310)),"",IF(AO310&gt;'Impostazioni'!$B$7,"Oltre soglia personale","Nella soglia personale"))</x:f>
      </x:c>
      <x:c r="AQ310" s="18" t="str">
        <x:f>IF(A310="",IF(COUNTA(B310:V310)=0,"","Inserisci ID"),IF(COUNTIFS($A$8:$A$507,A310)&lt;&gt;1,"ID duplicato",IF(OR(NOT(ISNUMBER(B310)),D310="",E310="",F310="",G310="",H310="",COUNTIFS('Impostazioni'!$J$6:$J$25,F310)&lt;&gt;1),"Completa dati / elenchi",IF(OR(AND(I310&lt;&gt;"Lordo manuale",I310&lt;&gt;"Netto manuale",I310&lt;&gt;"Esecuzioni"),AND(J310&lt;&gt;"Aperto",J310&lt;&gt;"Chiuso",J310&lt;&gt;"Annullato")),"Modalità / stato mancanti",IF(AND(J310&lt;&gt;"Aperto",OR(NOT(ISNUMBER(C310)),C310&lt;B310)),"Correggi data chiusura",IF(OR(AND(Q310&lt;&gt;"",OR(NOT(ISNUMBER(Q310)),Q310&lt;0)),AND(R310&lt;&gt;"",OR(NOT(ISNUMBER(R310)),R310&lt;0,R310&gt;1))),"Commissione non valida",IF(J310="Annullato","OK",IF(OR(NOT(ISNUMBER(Z310)),Z310&lt;0,AND(O310&lt;&gt;"",NOT(ISNUMBER(O310)))),"Inserisci rischio",IF(AND(I310="Esecuzioni",OR(W310=0,COUNTIFS('Esecuzioni'!$A$8:$A$1007,A310,'Esecuzioni'!$Q$8:$Q$1007,"&lt;&gt;OK")&gt;0)),"Correggi esecuzioni",IF(J310="Aperto","OK",IF(AND(I310="Esecuzioni",S310="Coperto",ABS(X310-Y310)&gt;'Impostazioni'!$B$11),"Copertura residua",IF(NOT(ISNUMBER(AC310)),"Completa risultato / esito",IF(AND(Z310=0,AC310&lt;&gt;0),"Rischio nullo con P/L","OK")))))))))))))</x:f>
      </x:c>
      <x:c r="AR310" s="20" t="str">
        <x:f>IF(OR(A310="",J310&lt;&gt;"Aperto",AQ310&lt;&gt;"OK"),"",IF(I310="Esecuzioni",SUMIFS('Esecuzioni'!$P$8:$P$1007,'Esecuzioni'!$A$8:$A$1007,A310,'Esecuzioni'!$B$8:$B$1007,_xlfn.MAXIFS('Esecuzioni'!$B$8:$B$1007,'Esecuzioni'!$A$8:$A$1007,A310)),IF(LEFT(U310,8)="FREEBET:",0,Z310)))</x:f>
      </x:c>
      <x:c r="AS310" s="48" t="str">
        <x:f>IF(OR(A310="",E310=""),"",IF(COUNTIFS($E$8:E310,E310)=1,COUNT($AS$7:AS309)+1,""))</x:f>
      </x:c>
    </x:row>
    <x:row r="311" ht="22" customHeight="1">
      <x:c r="A311" s="7"/>
      <x:c r="B311" s="19"/>
      <x:c r="C311" s="19"/>
      <x:c r="D311" s="7"/>
      <x:c r="E311" s="7"/>
      <x:c r="F311" s="7"/>
      <x:c r="G311" s="7"/>
      <x:c r="H311" s="7"/>
      <x:c r="I311" s="7"/>
      <x:c r="J311" s="7"/>
      <x:c r="K311" s="10"/>
      <x:c r="L311" s="7"/>
      <x:c r="M311" s="10"/>
      <x:c r="N311" s="7"/>
      <x:c r="O311" s="8"/>
      <x:c r="P311" s="8"/>
      <x:c r="Q311" s="8"/>
      <x:c r="R311" s="9"/>
      <x:c r="S311" s="7"/>
      <x:c r="T311" s="7"/>
      <x:c r="U311" s="7"/>
      <x:c r="V311" s="7"/>
      <x:c r="W311" s="22" t="str">
        <x:f>IF(A311="","",COUNTIFS('Esecuzioni'!$A$8:$A$1007,A311,'Esecuzioni'!$Q$8:$Q$1007,"OK"))</x:f>
      </x:c>
      <x:c r="X311" s="20" t="str">
        <x:f>IF(OR(A311="",I311&lt;&gt;"Esecuzioni",W311=0),"",SUMIFS('Esecuzioni'!$L$8:$L$1007,'Esecuzioni'!$A$8:$A$1007,A311))</x:f>
      </x:c>
      <x:c r="Y311" s="20" t="str">
        <x:f>IF(OR(A311="",I311&lt;&gt;"Esecuzioni",W311=0),"",SUMIFS('Esecuzioni'!$M$8:$M$1007,'Esecuzioni'!$A$8:$A$1007,A311))</x:f>
      </x:c>
      <x:c r="Z311" s="20" t="str">
        <x:f>IF(A311="","",IF(J311="Annullato",0,IF(ISNUMBER(O311),O311,IF(AND(I311="Esecuzioni",W311&gt;0),_xlfn.MAXIFS('Esecuzioni'!$P$8:$P$1007,'Esecuzioni'!$A$8:$A$1007,A311),""))))</x:f>
      </x:c>
      <x:c r="AA311" s="20" t="str">
        <x:f>IF(OR(A311="",J311="Aperto"),"",IF(J311="Annullato",0,IF(I311="Lordo manuale",IF(ISNUMBER(P311),P311,""),IF(I311="Netto manuale",IF(AND(ISNUMBER(P311),ISNUMBER(Q311)),P311+Q311,""),IF(OR(W311=0,COUNTIFS('Esecuzioni'!$A$8:$A$1007,A311,'Esecuzioni'!$Q$8:$Q$1007,"&lt;&gt;OK")&gt;0),"",IF(S311="Vince",X311,IF(S311="Perde",Y311,IF(AND(S311="Coperto",ABS(X311-Y311)&lt;='Impostazioni'!$B$11),ROUND((X311+Y311)/2,2),""))))))))</x:f>
      </x:c>
      <x:c r="AB311" s="20" t="str">
        <x:f>IF(NOT(ISNUMBER(AA311)),"",IF(J311="Annullato",0,IF(ISNUMBER(Q311),Q311,ROUND(MAX(0,AA311)*IF(ISNUMBER(R311),R311,'Impostazioni'!$B$8),2))))</x:f>
      </x:c>
      <x:c r="AC311" s="20" t="str">
        <x:f>IF(AND(ISNUMBER(AA311),ISNUMBER(AB311)),ROUND(AA311-AB311,2),"")</x:f>
      </x:c>
      <x:c r="AD311" s="18" t="str">
        <x:f>IF(A311="","",IF(AQ311&lt;&gt;"OK","Incompleto",IF(J311="Aperto","Aperto",IF(J311="Annullato","Annullato",IF(AC311&gt;0,"Green",IF(AC311&lt;0,"Red","Flat"))))))</x:f>
      </x:c>
      <x:c r="AE311" s="21" t="str">
        <x:f>IF(AND(AH311=1,Z311&gt;0),AC311/Z311,"")</x:f>
      </x:c>
      <x:c r="AF311" s="22" t="str">
        <x:f>IF(AH311&lt;&gt;1,"",COUNTIFS($C$8:$C$507,"&lt;"&amp;C311,$AH$8:$AH$507,1)+COUNTIFS($C$8:$C$507,C311,$A$8:$A$507,"&lt;="&amp;A311,$AH$8:$AH$507,1))</x:f>
      </x:c>
      <x:c r="AG311" s="20" t="str">
        <x:f>IF(AH311&lt;&gt;1,"",SUMIFS($AC$8:$AC$507,$C$8:$C$507,"&lt;"&amp;C311,$AH$8:$AH$507,1)+SUMIFS($AC$8:$AC$507,$C$8:$C$507,C311,$A$8:$A$507,"&lt;="&amp;A311,$AH$8:$AH$507,1))</x:f>
      </x:c>
      <x:c r="AH311" s="22" t="str">
        <x:f>IF(A311="","",IF(AND(J311="Chiuso",AQ311="OK",ISNUMBER(AC311)),1,0))</x:f>
      </x:c>
      <x:c r="AI311" s="20" t="str">
        <x:f>IF(AH311&lt;&gt;1,"",MAX(0,_xlfn.MAXIFS($AG$8:$AG$507,$AF$8:$AF$507,"&lt;="&amp;AF311,$AH$8:$AH$507,1)))</x:f>
      </x:c>
      <x:c r="AJ311" s="20" t="str">
        <x:f>IF(AH311&lt;&gt;1,"",MAX(0,AI311-AG311))</x:f>
      </x:c>
      <x:c r="AK311" s="21" t="str">
        <x:f>IF(OR(AH311&lt;&gt;1,NOT(ISNUMBER('Impostazioni'!$B$6)),'Impostazioni'!$B$6+AI311&lt;=0),"",AJ311/('Impostazioni'!$B$6+AI311))</x:f>
      </x:c>
      <x:c r="AL311" s="22" t="str">
        <x:f>IF(AH311&lt;&gt;1,"",IF(AC311&gt;0,AF311-_xlfn.MAXIFS($AF$8:$AF$507,$AF$8:$AF$507,"&lt;="&amp;AF311,$AC$8:$AC$507,"&lt;=0",$AH$8:$AH$507,1),0))</x:f>
      </x:c>
      <x:c r="AM311" s="22" t="str">
        <x:f>IF(AH311&lt;&gt;1,"",IF(AC311&lt;0,AF311-_xlfn.MAXIFS($AF$8:$AF$507,$AF$8:$AF$507,"&lt;="&amp;AF311,$AC$8:$AC$507,"&gt;=0",$AH$8:$AH$507,1),0))</x:f>
      </x:c>
      <x:c r="AN311" s="20" t="str">
        <x:f>IF(OR(A311="",NOT(ISNUMBER(B311)),NOT(ISNUMBER('Impostazioni'!$B$6))),"",'Impostazioni'!$B$6+SUMIFS($AC$8:$AC$507,$C$8:$C$507,"&lt;"&amp;B311,$AH$8:$AH$507,1)+SUMIFS('Cassa'!$F$8:$F$307,'Cassa'!$A$8:$A$307,"&lt;="&amp;B311,'Cassa'!$G$8:$G$307,"OK"))</x:f>
      </x:c>
      <x:c r="AO311" s="21" t="str">
        <x:f>IF(AND(ISNUMBER(Z311),ISNUMBER(AN311),AN311&gt;0),Z311/AN311,"")</x:f>
      </x:c>
      <x:c r="AP311" s="18" t="str">
        <x:f>IF(NOT(ISNUMBER(AO311)),"",IF(AO311&gt;'Impostazioni'!$B$7,"Oltre soglia personale","Nella soglia personale"))</x:f>
      </x:c>
      <x:c r="AQ311" s="18" t="str">
        <x:f>IF(A311="",IF(COUNTA(B311:V311)=0,"","Inserisci ID"),IF(COUNTIFS($A$8:$A$507,A311)&lt;&gt;1,"ID duplicato",IF(OR(NOT(ISNUMBER(B311)),D311="",E311="",F311="",G311="",H311="",COUNTIFS('Impostazioni'!$J$6:$J$25,F311)&lt;&gt;1),"Completa dati / elenchi",IF(OR(AND(I311&lt;&gt;"Lordo manuale",I311&lt;&gt;"Netto manuale",I311&lt;&gt;"Esecuzioni"),AND(J311&lt;&gt;"Aperto",J311&lt;&gt;"Chiuso",J311&lt;&gt;"Annullato")),"Modalità / stato mancanti",IF(AND(J311&lt;&gt;"Aperto",OR(NOT(ISNUMBER(C311)),C311&lt;B311)),"Correggi data chiusura",IF(OR(AND(Q311&lt;&gt;"",OR(NOT(ISNUMBER(Q311)),Q311&lt;0)),AND(R311&lt;&gt;"",OR(NOT(ISNUMBER(R311)),R311&lt;0,R311&gt;1))),"Commissione non valida",IF(J311="Annullato","OK",IF(OR(NOT(ISNUMBER(Z311)),Z311&lt;0,AND(O311&lt;&gt;"",NOT(ISNUMBER(O311)))),"Inserisci rischio",IF(AND(I311="Esecuzioni",OR(W311=0,COUNTIFS('Esecuzioni'!$A$8:$A$1007,A311,'Esecuzioni'!$Q$8:$Q$1007,"&lt;&gt;OK")&gt;0)),"Correggi esecuzioni",IF(J311="Aperto","OK",IF(AND(I311="Esecuzioni",S311="Coperto",ABS(X311-Y311)&gt;'Impostazioni'!$B$11),"Copertura residua",IF(NOT(ISNUMBER(AC311)),"Completa risultato / esito",IF(AND(Z311=0,AC311&lt;&gt;0),"Rischio nullo con P/L","OK")))))))))))))</x:f>
      </x:c>
      <x:c r="AR311" s="20" t="str">
        <x:f>IF(OR(A311="",J311&lt;&gt;"Aperto",AQ311&lt;&gt;"OK"),"",IF(I311="Esecuzioni",SUMIFS('Esecuzioni'!$P$8:$P$1007,'Esecuzioni'!$A$8:$A$1007,A311,'Esecuzioni'!$B$8:$B$1007,_xlfn.MAXIFS('Esecuzioni'!$B$8:$B$1007,'Esecuzioni'!$A$8:$A$1007,A311)),IF(LEFT(U311,8)="FREEBET:",0,Z311)))</x:f>
      </x:c>
      <x:c r="AS311" s="48" t="str">
        <x:f>IF(OR(A311="",E311=""),"",IF(COUNTIFS($E$8:E311,E311)=1,COUNT($AS$7:AS310)+1,""))</x:f>
      </x:c>
    </x:row>
    <x:row r="312" ht="22" customHeight="1">
      <x:c r="A312" s="7"/>
      <x:c r="B312" s="19"/>
      <x:c r="C312" s="19"/>
      <x:c r="D312" s="7"/>
      <x:c r="E312" s="7"/>
      <x:c r="F312" s="7"/>
      <x:c r="G312" s="7"/>
      <x:c r="H312" s="7"/>
      <x:c r="I312" s="7"/>
      <x:c r="J312" s="7"/>
      <x:c r="K312" s="10"/>
      <x:c r="L312" s="7"/>
      <x:c r="M312" s="10"/>
      <x:c r="N312" s="7"/>
      <x:c r="O312" s="8"/>
      <x:c r="P312" s="8"/>
      <x:c r="Q312" s="8"/>
      <x:c r="R312" s="9"/>
      <x:c r="S312" s="7"/>
      <x:c r="T312" s="7"/>
      <x:c r="U312" s="7"/>
      <x:c r="V312" s="7"/>
      <x:c r="W312" s="22" t="str">
        <x:f>IF(A312="","",COUNTIFS('Esecuzioni'!$A$8:$A$1007,A312,'Esecuzioni'!$Q$8:$Q$1007,"OK"))</x:f>
      </x:c>
      <x:c r="X312" s="20" t="str">
        <x:f>IF(OR(A312="",I312&lt;&gt;"Esecuzioni",W312=0),"",SUMIFS('Esecuzioni'!$L$8:$L$1007,'Esecuzioni'!$A$8:$A$1007,A312))</x:f>
      </x:c>
      <x:c r="Y312" s="20" t="str">
        <x:f>IF(OR(A312="",I312&lt;&gt;"Esecuzioni",W312=0),"",SUMIFS('Esecuzioni'!$M$8:$M$1007,'Esecuzioni'!$A$8:$A$1007,A312))</x:f>
      </x:c>
      <x:c r="Z312" s="20" t="str">
        <x:f>IF(A312="","",IF(J312="Annullato",0,IF(ISNUMBER(O312),O312,IF(AND(I312="Esecuzioni",W312&gt;0),_xlfn.MAXIFS('Esecuzioni'!$P$8:$P$1007,'Esecuzioni'!$A$8:$A$1007,A312),""))))</x:f>
      </x:c>
      <x:c r="AA312" s="20" t="str">
        <x:f>IF(OR(A312="",J312="Aperto"),"",IF(J312="Annullato",0,IF(I312="Lordo manuale",IF(ISNUMBER(P312),P312,""),IF(I312="Netto manuale",IF(AND(ISNUMBER(P312),ISNUMBER(Q312)),P312+Q312,""),IF(OR(W312=0,COUNTIFS('Esecuzioni'!$A$8:$A$1007,A312,'Esecuzioni'!$Q$8:$Q$1007,"&lt;&gt;OK")&gt;0),"",IF(S312="Vince",X312,IF(S312="Perde",Y312,IF(AND(S312="Coperto",ABS(X312-Y312)&lt;='Impostazioni'!$B$11),ROUND((X312+Y312)/2,2),""))))))))</x:f>
      </x:c>
      <x:c r="AB312" s="20" t="str">
        <x:f>IF(NOT(ISNUMBER(AA312)),"",IF(J312="Annullato",0,IF(ISNUMBER(Q312),Q312,ROUND(MAX(0,AA312)*IF(ISNUMBER(R312),R312,'Impostazioni'!$B$8),2))))</x:f>
      </x:c>
      <x:c r="AC312" s="20" t="str">
        <x:f>IF(AND(ISNUMBER(AA312),ISNUMBER(AB312)),ROUND(AA312-AB312,2),"")</x:f>
      </x:c>
      <x:c r="AD312" s="18" t="str">
        <x:f>IF(A312="","",IF(AQ312&lt;&gt;"OK","Incompleto",IF(J312="Aperto","Aperto",IF(J312="Annullato","Annullato",IF(AC312&gt;0,"Green",IF(AC312&lt;0,"Red","Flat"))))))</x:f>
      </x:c>
      <x:c r="AE312" s="21" t="str">
        <x:f>IF(AND(AH312=1,Z312&gt;0),AC312/Z312,"")</x:f>
      </x:c>
      <x:c r="AF312" s="22" t="str">
        <x:f>IF(AH312&lt;&gt;1,"",COUNTIFS($C$8:$C$507,"&lt;"&amp;C312,$AH$8:$AH$507,1)+COUNTIFS($C$8:$C$507,C312,$A$8:$A$507,"&lt;="&amp;A312,$AH$8:$AH$507,1))</x:f>
      </x:c>
      <x:c r="AG312" s="20" t="str">
        <x:f>IF(AH312&lt;&gt;1,"",SUMIFS($AC$8:$AC$507,$C$8:$C$507,"&lt;"&amp;C312,$AH$8:$AH$507,1)+SUMIFS($AC$8:$AC$507,$C$8:$C$507,C312,$A$8:$A$507,"&lt;="&amp;A312,$AH$8:$AH$507,1))</x:f>
      </x:c>
      <x:c r="AH312" s="22" t="str">
        <x:f>IF(A312="","",IF(AND(J312="Chiuso",AQ312="OK",ISNUMBER(AC312)),1,0))</x:f>
      </x:c>
      <x:c r="AI312" s="20" t="str">
        <x:f>IF(AH312&lt;&gt;1,"",MAX(0,_xlfn.MAXIFS($AG$8:$AG$507,$AF$8:$AF$507,"&lt;="&amp;AF312,$AH$8:$AH$507,1)))</x:f>
      </x:c>
      <x:c r="AJ312" s="20" t="str">
        <x:f>IF(AH312&lt;&gt;1,"",MAX(0,AI312-AG312))</x:f>
      </x:c>
      <x:c r="AK312" s="21" t="str">
        <x:f>IF(OR(AH312&lt;&gt;1,NOT(ISNUMBER('Impostazioni'!$B$6)),'Impostazioni'!$B$6+AI312&lt;=0),"",AJ312/('Impostazioni'!$B$6+AI312))</x:f>
      </x:c>
      <x:c r="AL312" s="22" t="str">
        <x:f>IF(AH312&lt;&gt;1,"",IF(AC312&gt;0,AF312-_xlfn.MAXIFS($AF$8:$AF$507,$AF$8:$AF$507,"&lt;="&amp;AF312,$AC$8:$AC$507,"&lt;=0",$AH$8:$AH$507,1),0))</x:f>
      </x:c>
      <x:c r="AM312" s="22" t="str">
        <x:f>IF(AH312&lt;&gt;1,"",IF(AC312&lt;0,AF312-_xlfn.MAXIFS($AF$8:$AF$507,$AF$8:$AF$507,"&lt;="&amp;AF312,$AC$8:$AC$507,"&gt;=0",$AH$8:$AH$507,1),0))</x:f>
      </x:c>
      <x:c r="AN312" s="20" t="str">
        <x:f>IF(OR(A312="",NOT(ISNUMBER(B312)),NOT(ISNUMBER('Impostazioni'!$B$6))),"",'Impostazioni'!$B$6+SUMIFS($AC$8:$AC$507,$C$8:$C$507,"&lt;"&amp;B312,$AH$8:$AH$507,1)+SUMIFS('Cassa'!$F$8:$F$307,'Cassa'!$A$8:$A$307,"&lt;="&amp;B312,'Cassa'!$G$8:$G$307,"OK"))</x:f>
      </x:c>
      <x:c r="AO312" s="21" t="str">
        <x:f>IF(AND(ISNUMBER(Z312),ISNUMBER(AN312),AN312&gt;0),Z312/AN312,"")</x:f>
      </x:c>
      <x:c r="AP312" s="18" t="str">
        <x:f>IF(NOT(ISNUMBER(AO312)),"",IF(AO312&gt;'Impostazioni'!$B$7,"Oltre soglia personale","Nella soglia personale"))</x:f>
      </x:c>
      <x:c r="AQ312" s="18" t="str">
        <x:f>IF(A312="",IF(COUNTA(B312:V312)=0,"","Inserisci ID"),IF(COUNTIFS($A$8:$A$507,A312)&lt;&gt;1,"ID duplicato",IF(OR(NOT(ISNUMBER(B312)),D312="",E312="",F312="",G312="",H312="",COUNTIFS('Impostazioni'!$J$6:$J$25,F312)&lt;&gt;1),"Completa dati / elenchi",IF(OR(AND(I312&lt;&gt;"Lordo manuale",I312&lt;&gt;"Netto manuale",I312&lt;&gt;"Esecuzioni"),AND(J312&lt;&gt;"Aperto",J312&lt;&gt;"Chiuso",J312&lt;&gt;"Annullato")),"Modalità / stato mancanti",IF(AND(J312&lt;&gt;"Aperto",OR(NOT(ISNUMBER(C312)),C312&lt;B312)),"Correggi data chiusura",IF(OR(AND(Q312&lt;&gt;"",OR(NOT(ISNUMBER(Q312)),Q312&lt;0)),AND(R312&lt;&gt;"",OR(NOT(ISNUMBER(R312)),R312&lt;0,R312&gt;1))),"Commissione non valida",IF(J312="Annullato","OK",IF(OR(NOT(ISNUMBER(Z312)),Z312&lt;0,AND(O312&lt;&gt;"",NOT(ISNUMBER(O312)))),"Inserisci rischio",IF(AND(I312="Esecuzioni",OR(W312=0,COUNTIFS('Esecuzioni'!$A$8:$A$1007,A312,'Esecuzioni'!$Q$8:$Q$1007,"&lt;&gt;OK")&gt;0)),"Correggi esecuzioni",IF(J312="Aperto","OK",IF(AND(I312="Esecuzioni",S312="Coperto",ABS(X312-Y312)&gt;'Impostazioni'!$B$11),"Copertura residua",IF(NOT(ISNUMBER(AC312)),"Completa risultato / esito",IF(AND(Z312=0,AC312&lt;&gt;0),"Rischio nullo con P/L","OK")))))))))))))</x:f>
      </x:c>
      <x:c r="AR312" s="20" t="str">
        <x:f>IF(OR(A312="",J312&lt;&gt;"Aperto",AQ312&lt;&gt;"OK"),"",IF(I312="Esecuzioni",SUMIFS('Esecuzioni'!$P$8:$P$1007,'Esecuzioni'!$A$8:$A$1007,A312,'Esecuzioni'!$B$8:$B$1007,_xlfn.MAXIFS('Esecuzioni'!$B$8:$B$1007,'Esecuzioni'!$A$8:$A$1007,A312)),IF(LEFT(U312,8)="FREEBET:",0,Z312)))</x:f>
      </x:c>
      <x:c r="AS312" s="48" t="str">
        <x:f>IF(OR(A312="",E312=""),"",IF(COUNTIFS($E$8:E312,E312)=1,COUNT($AS$7:AS311)+1,""))</x:f>
      </x:c>
    </x:row>
    <x:row r="313" ht="22" customHeight="1">
      <x:c r="A313" s="7"/>
      <x:c r="B313" s="19"/>
      <x:c r="C313" s="19"/>
      <x:c r="D313" s="7"/>
      <x:c r="E313" s="7"/>
      <x:c r="F313" s="7"/>
      <x:c r="G313" s="7"/>
      <x:c r="H313" s="7"/>
      <x:c r="I313" s="7"/>
      <x:c r="J313" s="7"/>
      <x:c r="K313" s="10"/>
      <x:c r="L313" s="7"/>
      <x:c r="M313" s="10"/>
      <x:c r="N313" s="7"/>
      <x:c r="O313" s="8"/>
      <x:c r="P313" s="8"/>
      <x:c r="Q313" s="8"/>
      <x:c r="R313" s="9"/>
      <x:c r="S313" s="7"/>
      <x:c r="T313" s="7"/>
      <x:c r="U313" s="7"/>
      <x:c r="V313" s="7"/>
      <x:c r="W313" s="22" t="str">
        <x:f>IF(A313="","",COUNTIFS('Esecuzioni'!$A$8:$A$1007,A313,'Esecuzioni'!$Q$8:$Q$1007,"OK"))</x:f>
      </x:c>
      <x:c r="X313" s="20" t="str">
        <x:f>IF(OR(A313="",I313&lt;&gt;"Esecuzioni",W313=0),"",SUMIFS('Esecuzioni'!$L$8:$L$1007,'Esecuzioni'!$A$8:$A$1007,A313))</x:f>
      </x:c>
      <x:c r="Y313" s="20" t="str">
        <x:f>IF(OR(A313="",I313&lt;&gt;"Esecuzioni",W313=0),"",SUMIFS('Esecuzioni'!$M$8:$M$1007,'Esecuzioni'!$A$8:$A$1007,A313))</x:f>
      </x:c>
      <x:c r="Z313" s="20" t="str">
        <x:f>IF(A313="","",IF(J313="Annullato",0,IF(ISNUMBER(O313),O313,IF(AND(I313="Esecuzioni",W313&gt;0),_xlfn.MAXIFS('Esecuzioni'!$P$8:$P$1007,'Esecuzioni'!$A$8:$A$1007,A313),""))))</x:f>
      </x:c>
      <x:c r="AA313" s="20" t="str">
        <x:f>IF(OR(A313="",J313="Aperto"),"",IF(J313="Annullato",0,IF(I313="Lordo manuale",IF(ISNUMBER(P313),P313,""),IF(I313="Netto manuale",IF(AND(ISNUMBER(P313),ISNUMBER(Q313)),P313+Q313,""),IF(OR(W313=0,COUNTIFS('Esecuzioni'!$A$8:$A$1007,A313,'Esecuzioni'!$Q$8:$Q$1007,"&lt;&gt;OK")&gt;0),"",IF(S313="Vince",X313,IF(S313="Perde",Y313,IF(AND(S313="Coperto",ABS(X313-Y313)&lt;='Impostazioni'!$B$11),ROUND((X313+Y313)/2,2),""))))))))</x:f>
      </x:c>
      <x:c r="AB313" s="20" t="str">
        <x:f>IF(NOT(ISNUMBER(AA313)),"",IF(J313="Annullato",0,IF(ISNUMBER(Q313),Q313,ROUND(MAX(0,AA313)*IF(ISNUMBER(R313),R313,'Impostazioni'!$B$8),2))))</x:f>
      </x:c>
      <x:c r="AC313" s="20" t="str">
        <x:f>IF(AND(ISNUMBER(AA313),ISNUMBER(AB313)),ROUND(AA313-AB313,2),"")</x:f>
      </x:c>
      <x:c r="AD313" s="18" t="str">
        <x:f>IF(A313="","",IF(AQ313&lt;&gt;"OK","Incompleto",IF(J313="Aperto","Aperto",IF(J313="Annullato","Annullato",IF(AC313&gt;0,"Green",IF(AC313&lt;0,"Red","Flat"))))))</x:f>
      </x:c>
      <x:c r="AE313" s="21" t="str">
        <x:f>IF(AND(AH313=1,Z313&gt;0),AC313/Z313,"")</x:f>
      </x:c>
      <x:c r="AF313" s="22" t="str">
        <x:f>IF(AH313&lt;&gt;1,"",COUNTIFS($C$8:$C$507,"&lt;"&amp;C313,$AH$8:$AH$507,1)+COUNTIFS($C$8:$C$507,C313,$A$8:$A$507,"&lt;="&amp;A313,$AH$8:$AH$507,1))</x:f>
      </x:c>
      <x:c r="AG313" s="20" t="str">
        <x:f>IF(AH313&lt;&gt;1,"",SUMIFS($AC$8:$AC$507,$C$8:$C$507,"&lt;"&amp;C313,$AH$8:$AH$507,1)+SUMIFS($AC$8:$AC$507,$C$8:$C$507,C313,$A$8:$A$507,"&lt;="&amp;A313,$AH$8:$AH$507,1))</x:f>
      </x:c>
      <x:c r="AH313" s="22" t="str">
        <x:f>IF(A313="","",IF(AND(J313="Chiuso",AQ313="OK",ISNUMBER(AC313)),1,0))</x:f>
      </x:c>
      <x:c r="AI313" s="20" t="str">
        <x:f>IF(AH313&lt;&gt;1,"",MAX(0,_xlfn.MAXIFS($AG$8:$AG$507,$AF$8:$AF$507,"&lt;="&amp;AF313,$AH$8:$AH$507,1)))</x:f>
      </x:c>
      <x:c r="AJ313" s="20" t="str">
        <x:f>IF(AH313&lt;&gt;1,"",MAX(0,AI313-AG313))</x:f>
      </x:c>
      <x:c r="AK313" s="21" t="str">
        <x:f>IF(OR(AH313&lt;&gt;1,NOT(ISNUMBER('Impostazioni'!$B$6)),'Impostazioni'!$B$6+AI313&lt;=0),"",AJ313/('Impostazioni'!$B$6+AI313))</x:f>
      </x:c>
      <x:c r="AL313" s="22" t="str">
        <x:f>IF(AH313&lt;&gt;1,"",IF(AC313&gt;0,AF313-_xlfn.MAXIFS($AF$8:$AF$507,$AF$8:$AF$507,"&lt;="&amp;AF313,$AC$8:$AC$507,"&lt;=0",$AH$8:$AH$507,1),0))</x:f>
      </x:c>
      <x:c r="AM313" s="22" t="str">
        <x:f>IF(AH313&lt;&gt;1,"",IF(AC313&lt;0,AF313-_xlfn.MAXIFS($AF$8:$AF$507,$AF$8:$AF$507,"&lt;="&amp;AF313,$AC$8:$AC$507,"&gt;=0",$AH$8:$AH$507,1),0))</x:f>
      </x:c>
      <x:c r="AN313" s="20" t="str">
        <x:f>IF(OR(A313="",NOT(ISNUMBER(B313)),NOT(ISNUMBER('Impostazioni'!$B$6))),"",'Impostazioni'!$B$6+SUMIFS($AC$8:$AC$507,$C$8:$C$507,"&lt;"&amp;B313,$AH$8:$AH$507,1)+SUMIFS('Cassa'!$F$8:$F$307,'Cassa'!$A$8:$A$307,"&lt;="&amp;B313,'Cassa'!$G$8:$G$307,"OK"))</x:f>
      </x:c>
      <x:c r="AO313" s="21" t="str">
        <x:f>IF(AND(ISNUMBER(Z313),ISNUMBER(AN313),AN313&gt;0),Z313/AN313,"")</x:f>
      </x:c>
      <x:c r="AP313" s="18" t="str">
        <x:f>IF(NOT(ISNUMBER(AO313)),"",IF(AO313&gt;'Impostazioni'!$B$7,"Oltre soglia personale","Nella soglia personale"))</x:f>
      </x:c>
      <x:c r="AQ313" s="18" t="str">
        <x:f>IF(A313="",IF(COUNTA(B313:V313)=0,"","Inserisci ID"),IF(COUNTIFS($A$8:$A$507,A313)&lt;&gt;1,"ID duplicato",IF(OR(NOT(ISNUMBER(B313)),D313="",E313="",F313="",G313="",H313="",COUNTIFS('Impostazioni'!$J$6:$J$25,F313)&lt;&gt;1),"Completa dati / elenchi",IF(OR(AND(I313&lt;&gt;"Lordo manuale",I313&lt;&gt;"Netto manuale",I313&lt;&gt;"Esecuzioni"),AND(J313&lt;&gt;"Aperto",J313&lt;&gt;"Chiuso",J313&lt;&gt;"Annullato")),"Modalità / stato mancanti",IF(AND(J313&lt;&gt;"Aperto",OR(NOT(ISNUMBER(C313)),C313&lt;B313)),"Correggi data chiusura",IF(OR(AND(Q313&lt;&gt;"",OR(NOT(ISNUMBER(Q313)),Q313&lt;0)),AND(R313&lt;&gt;"",OR(NOT(ISNUMBER(R313)),R313&lt;0,R313&gt;1))),"Commissione non valida",IF(J313="Annullato","OK",IF(OR(NOT(ISNUMBER(Z313)),Z313&lt;0,AND(O313&lt;&gt;"",NOT(ISNUMBER(O313)))),"Inserisci rischio",IF(AND(I313="Esecuzioni",OR(W313=0,COUNTIFS('Esecuzioni'!$A$8:$A$1007,A313,'Esecuzioni'!$Q$8:$Q$1007,"&lt;&gt;OK")&gt;0)),"Correggi esecuzioni",IF(J313="Aperto","OK",IF(AND(I313="Esecuzioni",S313="Coperto",ABS(X313-Y313)&gt;'Impostazioni'!$B$11),"Copertura residua",IF(NOT(ISNUMBER(AC313)),"Completa risultato / esito",IF(AND(Z313=0,AC313&lt;&gt;0),"Rischio nullo con P/L","OK")))))))))))))</x:f>
      </x:c>
      <x:c r="AR313" s="20" t="str">
        <x:f>IF(OR(A313="",J313&lt;&gt;"Aperto",AQ313&lt;&gt;"OK"),"",IF(I313="Esecuzioni",SUMIFS('Esecuzioni'!$P$8:$P$1007,'Esecuzioni'!$A$8:$A$1007,A313,'Esecuzioni'!$B$8:$B$1007,_xlfn.MAXIFS('Esecuzioni'!$B$8:$B$1007,'Esecuzioni'!$A$8:$A$1007,A313)),IF(LEFT(U313,8)="FREEBET:",0,Z313)))</x:f>
      </x:c>
      <x:c r="AS313" s="48" t="str">
        <x:f>IF(OR(A313="",E313=""),"",IF(COUNTIFS($E$8:E313,E313)=1,COUNT($AS$7:AS312)+1,""))</x:f>
      </x:c>
    </x:row>
    <x:row r="314" ht="22" customHeight="1">
      <x:c r="A314" s="7"/>
      <x:c r="B314" s="19"/>
      <x:c r="C314" s="19"/>
      <x:c r="D314" s="7"/>
      <x:c r="E314" s="7"/>
      <x:c r="F314" s="7"/>
      <x:c r="G314" s="7"/>
      <x:c r="H314" s="7"/>
      <x:c r="I314" s="7"/>
      <x:c r="J314" s="7"/>
      <x:c r="K314" s="10"/>
      <x:c r="L314" s="7"/>
      <x:c r="M314" s="10"/>
      <x:c r="N314" s="7"/>
      <x:c r="O314" s="8"/>
      <x:c r="P314" s="8"/>
      <x:c r="Q314" s="8"/>
      <x:c r="R314" s="9"/>
      <x:c r="S314" s="7"/>
      <x:c r="T314" s="7"/>
      <x:c r="U314" s="7"/>
      <x:c r="V314" s="7"/>
      <x:c r="W314" s="22" t="str">
        <x:f>IF(A314="","",COUNTIFS('Esecuzioni'!$A$8:$A$1007,A314,'Esecuzioni'!$Q$8:$Q$1007,"OK"))</x:f>
      </x:c>
      <x:c r="X314" s="20" t="str">
        <x:f>IF(OR(A314="",I314&lt;&gt;"Esecuzioni",W314=0),"",SUMIFS('Esecuzioni'!$L$8:$L$1007,'Esecuzioni'!$A$8:$A$1007,A314))</x:f>
      </x:c>
      <x:c r="Y314" s="20" t="str">
        <x:f>IF(OR(A314="",I314&lt;&gt;"Esecuzioni",W314=0),"",SUMIFS('Esecuzioni'!$M$8:$M$1007,'Esecuzioni'!$A$8:$A$1007,A314))</x:f>
      </x:c>
      <x:c r="Z314" s="20" t="str">
        <x:f>IF(A314="","",IF(J314="Annullato",0,IF(ISNUMBER(O314),O314,IF(AND(I314="Esecuzioni",W314&gt;0),_xlfn.MAXIFS('Esecuzioni'!$P$8:$P$1007,'Esecuzioni'!$A$8:$A$1007,A314),""))))</x:f>
      </x:c>
      <x:c r="AA314" s="20" t="str">
        <x:f>IF(OR(A314="",J314="Aperto"),"",IF(J314="Annullato",0,IF(I314="Lordo manuale",IF(ISNUMBER(P314),P314,""),IF(I314="Netto manuale",IF(AND(ISNUMBER(P314),ISNUMBER(Q314)),P314+Q314,""),IF(OR(W314=0,COUNTIFS('Esecuzioni'!$A$8:$A$1007,A314,'Esecuzioni'!$Q$8:$Q$1007,"&lt;&gt;OK")&gt;0),"",IF(S314="Vince",X314,IF(S314="Perde",Y314,IF(AND(S314="Coperto",ABS(X314-Y314)&lt;='Impostazioni'!$B$11),ROUND((X314+Y314)/2,2),""))))))))</x:f>
      </x:c>
      <x:c r="AB314" s="20" t="str">
        <x:f>IF(NOT(ISNUMBER(AA314)),"",IF(J314="Annullato",0,IF(ISNUMBER(Q314),Q314,ROUND(MAX(0,AA314)*IF(ISNUMBER(R314),R314,'Impostazioni'!$B$8),2))))</x:f>
      </x:c>
      <x:c r="AC314" s="20" t="str">
        <x:f>IF(AND(ISNUMBER(AA314),ISNUMBER(AB314)),ROUND(AA314-AB314,2),"")</x:f>
      </x:c>
      <x:c r="AD314" s="18" t="str">
        <x:f>IF(A314="","",IF(AQ314&lt;&gt;"OK","Incompleto",IF(J314="Aperto","Aperto",IF(J314="Annullato","Annullato",IF(AC314&gt;0,"Green",IF(AC314&lt;0,"Red","Flat"))))))</x:f>
      </x:c>
      <x:c r="AE314" s="21" t="str">
        <x:f>IF(AND(AH314=1,Z314&gt;0),AC314/Z314,"")</x:f>
      </x:c>
      <x:c r="AF314" s="22" t="str">
        <x:f>IF(AH314&lt;&gt;1,"",COUNTIFS($C$8:$C$507,"&lt;"&amp;C314,$AH$8:$AH$507,1)+COUNTIFS($C$8:$C$507,C314,$A$8:$A$507,"&lt;="&amp;A314,$AH$8:$AH$507,1))</x:f>
      </x:c>
      <x:c r="AG314" s="20" t="str">
        <x:f>IF(AH314&lt;&gt;1,"",SUMIFS($AC$8:$AC$507,$C$8:$C$507,"&lt;"&amp;C314,$AH$8:$AH$507,1)+SUMIFS($AC$8:$AC$507,$C$8:$C$507,C314,$A$8:$A$507,"&lt;="&amp;A314,$AH$8:$AH$507,1))</x:f>
      </x:c>
      <x:c r="AH314" s="22" t="str">
        <x:f>IF(A314="","",IF(AND(J314="Chiuso",AQ314="OK",ISNUMBER(AC314)),1,0))</x:f>
      </x:c>
      <x:c r="AI314" s="20" t="str">
        <x:f>IF(AH314&lt;&gt;1,"",MAX(0,_xlfn.MAXIFS($AG$8:$AG$507,$AF$8:$AF$507,"&lt;="&amp;AF314,$AH$8:$AH$507,1)))</x:f>
      </x:c>
      <x:c r="AJ314" s="20" t="str">
        <x:f>IF(AH314&lt;&gt;1,"",MAX(0,AI314-AG314))</x:f>
      </x:c>
      <x:c r="AK314" s="21" t="str">
        <x:f>IF(OR(AH314&lt;&gt;1,NOT(ISNUMBER('Impostazioni'!$B$6)),'Impostazioni'!$B$6+AI314&lt;=0),"",AJ314/('Impostazioni'!$B$6+AI314))</x:f>
      </x:c>
      <x:c r="AL314" s="22" t="str">
        <x:f>IF(AH314&lt;&gt;1,"",IF(AC314&gt;0,AF314-_xlfn.MAXIFS($AF$8:$AF$507,$AF$8:$AF$507,"&lt;="&amp;AF314,$AC$8:$AC$507,"&lt;=0",$AH$8:$AH$507,1),0))</x:f>
      </x:c>
      <x:c r="AM314" s="22" t="str">
        <x:f>IF(AH314&lt;&gt;1,"",IF(AC314&lt;0,AF314-_xlfn.MAXIFS($AF$8:$AF$507,$AF$8:$AF$507,"&lt;="&amp;AF314,$AC$8:$AC$507,"&gt;=0",$AH$8:$AH$507,1),0))</x:f>
      </x:c>
      <x:c r="AN314" s="20" t="str">
        <x:f>IF(OR(A314="",NOT(ISNUMBER(B314)),NOT(ISNUMBER('Impostazioni'!$B$6))),"",'Impostazioni'!$B$6+SUMIFS($AC$8:$AC$507,$C$8:$C$507,"&lt;"&amp;B314,$AH$8:$AH$507,1)+SUMIFS('Cassa'!$F$8:$F$307,'Cassa'!$A$8:$A$307,"&lt;="&amp;B314,'Cassa'!$G$8:$G$307,"OK"))</x:f>
      </x:c>
      <x:c r="AO314" s="21" t="str">
        <x:f>IF(AND(ISNUMBER(Z314),ISNUMBER(AN314),AN314&gt;0),Z314/AN314,"")</x:f>
      </x:c>
      <x:c r="AP314" s="18" t="str">
        <x:f>IF(NOT(ISNUMBER(AO314)),"",IF(AO314&gt;'Impostazioni'!$B$7,"Oltre soglia personale","Nella soglia personale"))</x:f>
      </x:c>
      <x:c r="AQ314" s="18" t="str">
        <x:f>IF(A314="",IF(COUNTA(B314:V314)=0,"","Inserisci ID"),IF(COUNTIFS($A$8:$A$507,A314)&lt;&gt;1,"ID duplicato",IF(OR(NOT(ISNUMBER(B314)),D314="",E314="",F314="",G314="",H314="",COUNTIFS('Impostazioni'!$J$6:$J$25,F314)&lt;&gt;1),"Completa dati / elenchi",IF(OR(AND(I314&lt;&gt;"Lordo manuale",I314&lt;&gt;"Netto manuale",I314&lt;&gt;"Esecuzioni"),AND(J314&lt;&gt;"Aperto",J314&lt;&gt;"Chiuso",J314&lt;&gt;"Annullato")),"Modalità / stato mancanti",IF(AND(J314&lt;&gt;"Aperto",OR(NOT(ISNUMBER(C314)),C314&lt;B314)),"Correggi data chiusura",IF(OR(AND(Q314&lt;&gt;"",OR(NOT(ISNUMBER(Q314)),Q314&lt;0)),AND(R314&lt;&gt;"",OR(NOT(ISNUMBER(R314)),R314&lt;0,R314&gt;1))),"Commissione non valida",IF(J314="Annullato","OK",IF(OR(NOT(ISNUMBER(Z314)),Z314&lt;0,AND(O314&lt;&gt;"",NOT(ISNUMBER(O314)))),"Inserisci rischio",IF(AND(I314="Esecuzioni",OR(W314=0,COUNTIFS('Esecuzioni'!$A$8:$A$1007,A314,'Esecuzioni'!$Q$8:$Q$1007,"&lt;&gt;OK")&gt;0)),"Correggi esecuzioni",IF(J314="Aperto","OK",IF(AND(I314="Esecuzioni",S314="Coperto",ABS(X314-Y314)&gt;'Impostazioni'!$B$11),"Copertura residua",IF(NOT(ISNUMBER(AC314)),"Completa risultato / esito",IF(AND(Z314=0,AC314&lt;&gt;0),"Rischio nullo con P/L","OK")))))))))))))</x:f>
      </x:c>
      <x:c r="AR314" s="20" t="str">
        <x:f>IF(OR(A314="",J314&lt;&gt;"Aperto",AQ314&lt;&gt;"OK"),"",IF(I314="Esecuzioni",SUMIFS('Esecuzioni'!$P$8:$P$1007,'Esecuzioni'!$A$8:$A$1007,A314,'Esecuzioni'!$B$8:$B$1007,_xlfn.MAXIFS('Esecuzioni'!$B$8:$B$1007,'Esecuzioni'!$A$8:$A$1007,A314)),IF(LEFT(U314,8)="FREEBET:",0,Z314)))</x:f>
      </x:c>
      <x:c r="AS314" s="48" t="str">
        <x:f>IF(OR(A314="",E314=""),"",IF(COUNTIFS($E$8:E314,E314)=1,COUNT($AS$7:AS313)+1,""))</x:f>
      </x:c>
    </x:row>
    <x:row r="315" ht="22" customHeight="1">
      <x:c r="A315" s="7"/>
      <x:c r="B315" s="19"/>
      <x:c r="C315" s="19"/>
      <x:c r="D315" s="7"/>
      <x:c r="E315" s="7"/>
      <x:c r="F315" s="7"/>
      <x:c r="G315" s="7"/>
      <x:c r="H315" s="7"/>
      <x:c r="I315" s="7"/>
      <x:c r="J315" s="7"/>
      <x:c r="K315" s="10"/>
      <x:c r="L315" s="7"/>
      <x:c r="M315" s="10"/>
      <x:c r="N315" s="7"/>
      <x:c r="O315" s="8"/>
      <x:c r="P315" s="8"/>
      <x:c r="Q315" s="8"/>
      <x:c r="R315" s="9"/>
      <x:c r="S315" s="7"/>
      <x:c r="T315" s="7"/>
      <x:c r="U315" s="7"/>
      <x:c r="V315" s="7"/>
      <x:c r="W315" s="22" t="str">
        <x:f>IF(A315="","",COUNTIFS('Esecuzioni'!$A$8:$A$1007,A315,'Esecuzioni'!$Q$8:$Q$1007,"OK"))</x:f>
      </x:c>
      <x:c r="X315" s="20" t="str">
        <x:f>IF(OR(A315="",I315&lt;&gt;"Esecuzioni",W315=0),"",SUMIFS('Esecuzioni'!$L$8:$L$1007,'Esecuzioni'!$A$8:$A$1007,A315))</x:f>
      </x:c>
      <x:c r="Y315" s="20" t="str">
        <x:f>IF(OR(A315="",I315&lt;&gt;"Esecuzioni",W315=0),"",SUMIFS('Esecuzioni'!$M$8:$M$1007,'Esecuzioni'!$A$8:$A$1007,A315))</x:f>
      </x:c>
      <x:c r="Z315" s="20" t="str">
        <x:f>IF(A315="","",IF(J315="Annullato",0,IF(ISNUMBER(O315),O315,IF(AND(I315="Esecuzioni",W315&gt;0),_xlfn.MAXIFS('Esecuzioni'!$P$8:$P$1007,'Esecuzioni'!$A$8:$A$1007,A315),""))))</x:f>
      </x:c>
      <x:c r="AA315" s="20" t="str">
        <x:f>IF(OR(A315="",J315="Aperto"),"",IF(J315="Annullato",0,IF(I315="Lordo manuale",IF(ISNUMBER(P315),P315,""),IF(I315="Netto manuale",IF(AND(ISNUMBER(P315),ISNUMBER(Q315)),P315+Q315,""),IF(OR(W315=0,COUNTIFS('Esecuzioni'!$A$8:$A$1007,A315,'Esecuzioni'!$Q$8:$Q$1007,"&lt;&gt;OK")&gt;0),"",IF(S315="Vince",X315,IF(S315="Perde",Y315,IF(AND(S315="Coperto",ABS(X315-Y315)&lt;='Impostazioni'!$B$11),ROUND((X315+Y315)/2,2),""))))))))</x:f>
      </x:c>
      <x:c r="AB315" s="20" t="str">
        <x:f>IF(NOT(ISNUMBER(AA315)),"",IF(J315="Annullato",0,IF(ISNUMBER(Q315),Q315,ROUND(MAX(0,AA315)*IF(ISNUMBER(R315),R315,'Impostazioni'!$B$8),2))))</x:f>
      </x:c>
      <x:c r="AC315" s="20" t="str">
        <x:f>IF(AND(ISNUMBER(AA315),ISNUMBER(AB315)),ROUND(AA315-AB315,2),"")</x:f>
      </x:c>
      <x:c r="AD315" s="18" t="str">
        <x:f>IF(A315="","",IF(AQ315&lt;&gt;"OK","Incompleto",IF(J315="Aperto","Aperto",IF(J315="Annullato","Annullato",IF(AC315&gt;0,"Green",IF(AC315&lt;0,"Red","Flat"))))))</x:f>
      </x:c>
      <x:c r="AE315" s="21" t="str">
        <x:f>IF(AND(AH315=1,Z315&gt;0),AC315/Z315,"")</x:f>
      </x:c>
      <x:c r="AF315" s="22" t="str">
        <x:f>IF(AH315&lt;&gt;1,"",COUNTIFS($C$8:$C$507,"&lt;"&amp;C315,$AH$8:$AH$507,1)+COUNTIFS($C$8:$C$507,C315,$A$8:$A$507,"&lt;="&amp;A315,$AH$8:$AH$507,1))</x:f>
      </x:c>
      <x:c r="AG315" s="20" t="str">
        <x:f>IF(AH315&lt;&gt;1,"",SUMIFS($AC$8:$AC$507,$C$8:$C$507,"&lt;"&amp;C315,$AH$8:$AH$507,1)+SUMIFS($AC$8:$AC$507,$C$8:$C$507,C315,$A$8:$A$507,"&lt;="&amp;A315,$AH$8:$AH$507,1))</x:f>
      </x:c>
      <x:c r="AH315" s="22" t="str">
        <x:f>IF(A315="","",IF(AND(J315="Chiuso",AQ315="OK",ISNUMBER(AC315)),1,0))</x:f>
      </x:c>
      <x:c r="AI315" s="20" t="str">
        <x:f>IF(AH315&lt;&gt;1,"",MAX(0,_xlfn.MAXIFS($AG$8:$AG$507,$AF$8:$AF$507,"&lt;="&amp;AF315,$AH$8:$AH$507,1)))</x:f>
      </x:c>
      <x:c r="AJ315" s="20" t="str">
        <x:f>IF(AH315&lt;&gt;1,"",MAX(0,AI315-AG315))</x:f>
      </x:c>
      <x:c r="AK315" s="21" t="str">
        <x:f>IF(OR(AH315&lt;&gt;1,NOT(ISNUMBER('Impostazioni'!$B$6)),'Impostazioni'!$B$6+AI315&lt;=0),"",AJ315/('Impostazioni'!$B$6+AI315))</x:f>
      </x:c>
      <x:c r="AL315" s="22" t="str">
        <x:f>IF(AH315&lt;&gt;1,"",IF(AC315&gt;0,AF315-_xlfn.MAXIFS($AF$8:$AF$507,$AF$8:$AF$507,"&lt;="&amp;AF315,$AC$8:$AC$507,"&lt;=0",$AH$8:$AH$507,1),0))</x:f>
      </x:c>
      <x:c r="AM315" s="22" t="str">
        <x:f>IF(AH315&lt;&gt;1,"",IF(AC315&lt;0,AF315-_xlfn.MAXIFS($AF$8:$AF$507,$AF$8:$AF$507,"&lt;="&amp;AF315,$AC$8:$AC$507,"&gt;=0",$AH$8:$AH$507,1),0))</x:f>
      </x:c>
      <x:c r="AN315" s="20" t="str">
        <x:f>IF(OR(A315="",NOT(ISNUMBER(B315)),NOT(ISNUMBER('Impostazioni'!$B$6))),"",'Impostazioni'!$B$6+SUMIFS($AC$8:$AC$507,$C$8:$C$507,"&lt;"&amp;B315,$AH$8:$AH$507,1)+SUMIFS('Cassa'!$F$8:$F$307,'Cassa'!$A$8:$A$307,"&lt;="&amp;B315,'Cassa'!$G$8:$G$307,"OK"))</x:f>
      </x:c>
      <x:c r="AO315" s="21" t="str">
        <x:f>IF(AND(ISNUMBER(Z315),ISNUMBER(AN315),AN315&gt;0),Z315/AN315,"")</x:f>
      </x:c>
      <x:c r="AP315" s="18" t="str">
        <x:f>IF(NOT(ISNUMBER(AO315)),"",IF(AO315&gt;'Impostazioni'!$B$7,"Oltre soglia personale","Nella soglia personale"))</x:f>
      </x:c>
      <x:c r="AQ315" s="18" t="str">
        <x:f>IF(A315="",IF(COUNTA(B315:V315)=0,"","Inserisci ID"),IF(COUNTIFS($A$8:$A$507,A315)&lt;&gt;1,"ID duplicato",IF(OR(NOT(ISNUMBER(B315)),D315="",E315="",F315="",G315="",H315="",COUNTIFS('Impostazioni'!$J$6:$J$25,F315)&lt;&gt;1),"Completa dati / elenchi",IF(OR(AND(I315&lt;&gt;"Lordo manuale",I315&lt;&gt;"Netto manuale",I315&lt;&gt;"Esecuzioni"),AND(J315&lt;&gt;"Aperto",J315&lt;&gt;"Chiuso",J315&lt;&gt;"Annullato")),"Modalità / stato mancanti",IF(AND(J315&lt;&gt;"Aperto",OR(NOT(ISNUMBER(C315)),C315&lt;B315)),"Correggi data chiusura",IF(OR(AND(Q315&lt;&gt;"",OR(NOT(ISNUMBER(Q315)),Q315&lt;0)),AND(R315&lt;&gt;"",OR(NOT(ISNUMBER(R315)),R315&lt;0,R315&gt;1))),"Commissione non valida",IF(J315="Annullato","OK",IF(OR(NOT(ISNUMBER(Z315)),Z315&lt;0,AND(O315&lt;&gt;"",NOT(ISNUMBER(O315)))),"Inserisci rischio",IF(AND(I315="Esecuzioni",OR(W315=0,COUNTIFS('Esecuzioni'!$A$8:$A$1007,A315,'Esecuzioni'!$Q$8:$Q$1007,"&lt;&gt;OK")&gt;0)),"Correggi esecuzioni",IF(J315="Aperto","OK",IF(AND(I315="Esecuzioni",S315="Coperto",ABS(X315-Y315)&gt;'Impostazioni'!$B$11),"Copertura residua",IF(NOT(ISNUMBER(AC315)),"Completa risultato / esito",IF(AND(Z315=0,AC315&lt;&gt;0),"Rischio nullo con P/L","OK")))))))))))))</x:f>
      </x:c>
      <x:c r="AR315" s="20" t="str">
        <x:f>IF(OR(A315="",J315&lt;&gt;"Aperto",AQ315&lt;&gt;"OK"),"",IF(I315="Esecuzioni",SUMIFS('Esecuzioni'!$P$8:$P$1007,'Esecuzioni'!$A$8:$A$1007,A315,'Esecuzioni'!$B$8:$B$1007,_xlfn.MAXIFS('Esecuzioni'!$B$8:$B$1007,'Esecuzioni'!$A$8:$A$1007,A315)),IF(LEFT(U315,8)="FREEBET:",0,Z315)))</x:f>
      </x:c>
      <x:c r="AS315" s="48" t="str">
        <x:f>IF(OR(A315="",E315=""),"",IF(COUNTIFS($E$8:E315,E315)=1,COUNT($AS$7:AS314)+1,""))</x:f>
      </x:c>
    </x:row>
    <x:row r="316" ht="22" customHeight="1">
      <x:c r="A316" s="7"/>
      <x:c r="B316" s="19"/>
      <x:c r="C316" s="19"/>
      <x:c r="D316" s="7"/>
      <x:c r="E316" s="7"/>
      <x:c r="F316" s="7"/>
      <x:c r="G316" s="7"/>
      <x:c r="H316" s="7"/>
      <x:c r="I316" s="7"/>
      <x:c r="J316" s="7"/>
      <x:c r="K316" s="10"/>
      <x:c r="L316" s="7"/>
      <x:c r="M316" s="10"/>
      <x:c r="N316" s="7"/>
      <x:c r="O316" s="8"/>
      <x:c r="P316" s="8"/>
      <x:c r="Q316" s="8"/>
      <x:c r="R316" s="9"/>
      <x:c r="S316" s="7"/>
      <x:c r="T316" s="7"/>
      <x:c r="U316" s="7"/>
      <x:c r="V316" s="7"/>
      <x:c r="W316" s="22" t="str">
        <x:f>IF(A316="","",COUNTIFS('Esecuzioni'!$A$8:$A$1007,A316,'Esecuzioni'!$Q$8:$Q$1007,"OK"))</x:f>
      </x:c>
      <x:c r="X316" s="20" t="str">
        <x:f>IF(OR(A316="",I316&lt;&gt;"Esecuzioni",W316=0),"",SUMIFS('Esecuzioni'!$L$8:$L$1007,'Esecuzioni'!$A$8:$A$1007,A316))</x:f>
      </x:c>
      <x:c r="Y316" s="20" t="str">
        <x:f>IF(OR(A316="",I316&lt;&gt;"Esecuzioni",W316=0),"",SUMIFS('Esecuzioni'!$M$8:$M$1007,'Esecuzioni'!$A$8:$A$1007,A316))</x:f>
      </x:c>
      <x:c r="Z316" s="20" t="str">
        <x:f>IF(A316="","",IF(J316="Annullato",0,IF(ISNUMBER(O316),O316,IF(AND(I316="Esecuzioni",W316&gt;0),_xlfn.MAXIFS('Esecuzioni'!$P$8:$P$1007,'Esecuzioni'!$A$8:$A$1007,A316),""))))</x:f>
      </x:c>
      <x:c r="AA316" s="20" t="str">
        <x:f>IF(OR(A316="",J316="Aperto"),"",IF(J316="Annullato",0,IF(I316="Lordo manuale",IF(ISNUMBER(P316),P316,""),IF(I316="Netto manuale",IF(AND(ISNUMBER(P316),ISNUMBER(Q316)),P316+Q316,""),IF(OR(W316=0,COUNTIFS('Esecuzioni'!$A$8:$A$1007,A316,'Esecuzioni'!$Q$8:$Q$1007,"&lt;&gt;OK")&gt;0),"",IF(S316="Vince",X316,IF(S316="Perde",Y316,IF(AND(S316="Coperto",ABS(X316-Y316)&lt;='Impostazioni'!$B$11),ROUND((X316+Y316)/2,2),""))))))))</x:f>
      </x:c>
      <x:c r="AB316" s="20" t="str">
        <x:f>IF(NOT(ISNUMBER(AA316)),"",IF(J316="Annullato",0,IF(ISNUMBER(Q316),Q316,ROUND(MAX(0,AA316)*IF(ISNUMBER(R316),R316,'Impostazioni'!$B$8),2))))</x:f>
      </x:c>
      <x:c r="AC316" s="20" t="str">
        <x:f>IF(AND(ISNUMBER(AA316),ISNUMBER(AB316)),ROUND(AA316-AB316,2),"")</x:f>
      </x:c>
      <x:c r="AD316" s="18" t="str">
        <x:f>IF(A316="","",IF(AQ316&lt;&gt;"OK","Incompleto",IF(J316="Aperto","Aperto",IF(J316="Annullato","Annullato",IF(AC316&gt;0,"Green",IF(AC316&lt;0,"Red","Flat"))))))</x:f>
      </x:c>
      <x:c r="AE316" s="21" t="str">
        <x:f>IF(AND(AH316=1,Z316&gt;0),AC316/Z316,"")</x:f>
      </x:c>
      <x:c r="AF316" s="22" t="str">
        <x:f>IF(AH316&lt;&gt;1,"",COUNTIFS($C$8:$C$507,"&lt;"&amp;C316,$AH$8:$AH$507,1)+COUNTIFS($C$8:$C$507,C316,$A$8:$A$507,"&lt;="&amp;A316,$AH$8:$AH$507,1))</x:f>
      </x:c>
      <x:c r="AG316" s="20" t="str">
        <x:f>IF(AH316&lt;&gt;1,"",SUMIFS($AC$8:$AC$507,$C$8:$C$507,"&lt;"&amp;C316,$AH$8:$AH$507,1)+SUMIFS($AC$8:$AC$507,$C$8:$C$507,C316,$A$8:$A$507,"&lt;="&amp;A316,$AH$8:$AH$507,1))</x:f>
      </x:c>
      <x:c r="AH316" s="22" t="str">
        <x:f>IF(A316="","",IF(AND(J316="Chiuso",AQ316="OK",ISNUMBER(AC316)),1,0))</x:f>
      </x:c>
      <x:c r="AI316" s="20" t="str">
        <x:f>IF(AH316&lt;&gt;1,"",MAX(0,_xlfn.MAXIFS($AG$8:$AG$507,$AF$8:$AF$507,"&lt;="&amp;AF316,$AH$8:$AH$507,1)))</x:f>
      </x:c>
      <x:c r="AJ316" s="20" t="str">
        <x:f>IF(AH316&lt;&gt;1,"",MAX(0,AI316-AG316))</x:f>
      </x:c>
      <x:c r="AK316" s="21" t="str">
        <x:f>IF(OR(AH316&lt;&gt;1,NOT(ISNUMBER('Impostazioni'!$B$6)),'Impostazioni'!$B$6+AI316&lt;=0),"",AJ316/('Impostazioni'!$B$6+AI316))</x:f>
      </x:c>
      <x:c r="AL316" s="22" t="str">
        <x:f>IF(AH316&lt;&gt;1,"",IF(AC316&gt;0,AF316-_xlfn.MAXIFS($AF$8:$AF$507,$AF$8:$AF$507,"&lt;="&amp;AF316,$AC$8:$AC$507,"&lt;=0",$AH$8:$AH$507,1),0))</x:f>
      </x:c>
      <x:c r="AM316" s="22" t="str">
        <x:f>IF(AH316&lt;&gt;1,"",IF(AC316&lt;0,AF316-_xlfn.MAXIFS($AF$8:$AF$507,$AF$8:$AF$507,"&lt;="&amp;AF316,$AC$8:$AC$507,"&gt;=0",$AH$8:$AH$507,1),0))</x:f>
      </x:c>
      <x:c r="AN316" s="20" t="str">
        <x:f>IF(OR(A316="",NOT(ISNUMBER(B316)),NOT(ISNUMBER('Impostazioni'!$B$6))),"",'Impostazioni'!$B$6+SUMIFS($AC$8:$AC$507,$C$8:$C$507,"&lt;"&amp;B316,$AH$8:$AH$507,1)+SUMIFS('Cassa'!$F$8:$F$307,'Cassa'!$A$8:$A$307,"&lt;="&amp;B316,'Cassa'!$G$8:$G$307,"OK"))</x:f>
      </x:c>
      <x:c r="AO316" s="21" t="str">
        <x:f>IF(AND(ISNUMBER(Z316),ISNUMBER(AN316),AN316&gt;0),Z316/AN316,"")</x:f>
      </x:c>
      <x:c r="AP316" s="18" t="str">
        <x:f>IF(NOT(ISNUMBER(AO316)),"",IF(AO316&gt;'Impostazioni'!$B$7,"Oltre soglia personale","Nella soglia personale"))</x:f>
      </x:c>
      <x:c r="AQ316" s="18" t="str">
        <x:f>IF(A316="",IF(COUNTA(B316:V316)=0,"","Inserisci ID"),IF(COUNTIFS($A$8:$A$507,A316)&lt;&gt;1,"ID duplicato",IF(OR(NOT(ISNUMBER(B316)),D316="",E316="",F316="",G316="",H316="",COUNTIFS('Impostazioni'!$J$6:$J$25,F316)&lt;&gt;1),"Completa dati / elenchi",IF(OR(AND(I316&lt;&gt;"Lordo manuale",I316&lt;&gt;"Netto manuale",I316&lt;&gt;"Esecuzioni"),AND(J316&lt;&gt;"Aperto",J316&lt;&gt;"Chiuso",J316&lt;&gt;"Annullato")),"Modalità / stato mancanti",IF(AND(J316&lt;&gt;"Aperto",OR(NOT(ISNUMBER(C316)),C316&lt;B316)),"Correggi data chiusura",IF(OR(AND(Q316&lt;&gt;"",OR(NOT(ISNUMBER(Q316)),Q316&lt;0)),AND(R316&lt;&gt;"",OR(NOT(ISNUMBER(R316)),R316&lt;0,R316&gt;1))),"Commissione non valida",IF(J316="Annullato","OK",IF(OR(NOT(ISNUMBER(Z316)),Z316&lt;0,AND(O316&lt;&gt;"",NOT(ISNUMBER(O316)))),"Inserisci rischio",IF(AND(I316="Esecuzioni",OR(W316=0,COUNTIFS('Esecuzioni'!$A$8:$A$1007,A316,'Esecuzioni'!$Q$8:$Q$1007,"&lt;&gt;OK")&gt;0)),"Correggi esecuzioni",IF(J316="Aperto","OK",IF(AND(I316="Esecuzioni",S316="Coperto",ABS(X316-Y316)&gt;'Impostazioni'!$B$11),"Copertura residua",IF(NOT(ISNUMBER(AC316)),"Completa risultato / esito",IF(AND(Z316=0,AC316&lt;&gt;0),"Rischio nullo con P/L","OK")))))))))))))</x:f>
      </x:c>
      <x:c r="AR316" s="20" t="str">
        <x:f>IF(OR(A316="",J316&lt;&gt;"Aperto",AQ316&lt;&gt;"OK"),"",IF(I316="Esecuzioni",SUMIFS('Esecuzioni'!$P$8:$P$1007,'Esecuzioni'!$A$8:$A$1007,A316,'Esecuzioni'!$B$8:$B$1007,_xlfn.MAXIFS('Esecuzioni'!$B$8:$B$1007,'Esecuzioni'!$A$8:$A$1007,A316)),IF(LEFT(U316,8)="FREEBET:",0,Z316)))</x:f>
      </x:c>
      <x:c r="AS316" s="48" t="str">
        <x:f>IF(OR(A316="",E316=""),"",IF(COUNTIFS($E$8:E316,E316)=1,COUNT($AS$7:AS315)+1,""))</x:f>
      </x:c>
    </x:row>
    <x:row r="317" ht="22" customHeight="1">
      <x:c r="A317" s="7"/>
      <x:c r="B317" s="19"/>
      <x:c r="C317" s="19"/>
      <x:c r="D317" s="7"/>
      <x:c r="E317" s="7"/>
      <x:c r="F317" s="7"/>
      <x:c r="G317" s="7"/>
      <x:c r="H317" s="7"/>
      <x:c r="I317" s="7"/>
      <x:c r="J317" s="7"/>
      <x:c r="K317" s="10"/>
      <x:c r="L317" s="7"/>
      <x:c r="M317" s="10"/>
      <x:c r="N317" s="7"/>
      <x:c r="O317" s="8"/>
      <x:c r="P317" s="8"/>
      <x:c r="Q317" s="8"/>
      <x:c r="R317" s="9"/>
      <x:c r="S317" s="7"/>
      <x:c r="T317" s="7"/>
      <x:c r="U317" s="7"/>
      <x:c r="V317" s="7"/>
      <x:c r="W317" s="22" t="str">
        <x:f>IF(A317="","",COUNTIFS('Esecuzioni'!$A$8:$A$1007,A317,'Esecuzioni'!$Q$8:$Q$1007,"OK"))</x:f>
      </x:c>
      <x:c r="X317" s="20" t="str">
        <x:f>IF(OR(A317="",I317&lt;&gt;"Esecuzioni",W317=0),"",SUMIFS('Esecuzioni'!$L$8:$L$1007,'Esecuzioni'!$A$8:$A$1007,A317))</x:f>
      </x:c>
      <x:c r="Y317" s="20" t="str">
        <x:f>IF(OR(A317="",I317&lt;&gt;"Esecuzioni",W317=0),"",SUMIFS('Esecuzioni'!$M$8:$M$1007,'Esecuzioni'!$A$8:$A$1007,A317))</x:f>
      </x:c>
      <x:c r="Z317" s="20" t="str">
        <x:f>IF(A317="","",IF(J317="Annullato",0,IF(ISNUMBER(O317),O317,IF(AND(I317="Esecuzioni",W317&gt;0),_xlfn.MAXIFS('Esecuzioni'!$P$8:$P$1007,'Esecuzioni'!$A$8:$A$1007,A317),""))))</x:f>
      </x:c>
      <x:c r="AA317" s="20" t="str">
        <x:f>IF(OR(A317="",J317="Aperto"),"",IF(J317="Annullato",0,IF(I317="Lordo manuale",IF(ISNUMBER(P317),P317,""),IF(I317="Netto manuale",IF(AND(ISNUMBER(P317),ISNUMBER(Q317)),P317+Q317,""),IF(OR(W317=0,COUNTIFS('Esecuzioni'!$A$8:$A$1007,A317,'Esecuzioni'!$Q$8:$Q$1007,"&lt;&gt;OK")&gt;0),"",IF(S317="Vince",X317,IF(S317="Perde",Y317,IF(AND(S317="Coperto",ABS(X317-Y317)&lt;='Impostazioni'!$B$11),ROUND((X317+Y317)/2,2),""))))))))</x:f>
      </x:c>
      <x:c r="AB317" s="20" t="str">
        <x:f>IF(NOT(ISNUMBER(AA317)),"",IF(J317="Annullato",0,IF(ISNUMBER(Q317),Q317,ROUND(MAX(0,AA317)*IF(ISNUMBER(R317),R317,'Impostazioni'!$B$8),2))))</x:f>
      </x:c>
      <x:c r="AC317" s="20" t="str">
        <x:f>IF(AND(ISNUMBER(AA317),ISNUMBER(AB317)),ROUND(AA317-AB317,2),"")</x:f>
      </x:c>
      <x:c r="AD317" s="18" t="str">
        <x:f>IF(A317="","",IF(AQ317&lt;&gt;"OK","Incompleto",IF(J317="Aperto","Aperto",IF(J317="Annullato","Annullato",IF(AC317&gt;0,"Green",IF(AC317&lt;0,"Red","Flat"))))))</x:f>
      </x:c>
      <x:c r="AE317" s="21" t="str">
        <x:f>IF(AND(AH317=1,Z317&gt;0),AC317/Z317,"")</x:f>
      </x:c>
      <x:c r="AF317" s="22" t="str">
        <x:f>IF(AH317&lt;&gt;1,"",COUNTIFS($C$8:$C$507,"&lt;"&amp;C317,$AH$8:$AH$507,1)+COUNTIFS($C$8:$C$507,C317,$A$8:$A$507,"&lt;="&amp;A317,$AH$8:$AH$507,1))</x:f>
      </x:c>
      <x:c r="AG317" s="20" t="str">
        <x:f>IF(AH317&lt;&gt;1,"",SUMIFS($AC$8:$AC$507,$C$8:$C$507,"&lt;"&amp;C317,$AH$8:$AH$507,1)+SUMIFS($AC$8:$AC$507,$C$8:$C$507,C317,$A$8:$A$507,"&lt;="&amp;A317,$AH$8:$AH$507,1))</x:f>
      </x:c>
      <x:c r="AH317" s="22" t="str">
        <x:f>IF(A317="","",IF(AND(J317="Chiuso",AQ317="OK",ISNUMBER(AC317)),1,0))</x:f>
      </x:c>
      <x:c r="AI317" s="20" t="str">
        <x:f>IF(AH317&lt;&gt;1,"",MAX(0,_xlfn.MAXIFS($AG$8:$AG$507,$AF$8:$AF$507,"&lt;="&amp;AF317,$AH$8:$AH$507,1)))</x:f>
      </x:c>
      <x:c r="AJ317" s="20" t="str">
        <x:f>IF(AH317&lt;&gt;1,"",MAX(0,AI317-AG317))</x:f>
      </x:c>
      <x:c r="AK317" s="21" t="str">
        <x:f>IF(OR(AH317&lt;&gt;1,NOT(ISNUMBER('Impostazioni'!$B$6)),'Impostazioni'!$B$6+AI317&lt;=0),"",AJ317/('Impostazioni'!$B$6+AI317))</x:f>
      </x:c>
      <x:c r="AL317" s="22" t="str">
        <x:f>IF(AH317&lt;&gt;1,"",IF(AC317&gt;0,AF317-_xlfn.MAXIFS($AF$8:$AF$507,$AF$8:$AF$507,"&lt;="&amp;AF317,$AC$8:$AC$507,"&lt;=0",$AH$8:$AH$507,1),0))</x:f>
      </x:c>
      <x:c r="AM317" s="22" t="str">
        <x:f>IF(AH317&lt;&gt;1,"",IF(AC317&lt;0,AF317-_xlfn.MAXIFS($AF$8:$AF$507,$AF$8:$AF$507,"&lt;="&amp;AF317,$AC$8:$AC$507,"&gt;=0",$AH$8:$AH$507,1),0))</x:f>
      </x:c>
      <x:c r="AN317" s="20" t="str">
        <x:f>IF(OR(A317="",NOT(ISNUMBER(B317)),NOT(ISNUMBER('Impostazioni'!$B$6))),"",'Impostazioni'!$B$6+SUMIFS($AC$8:$AC$507,$C$8:$C$507,"&lt;"&amp;B317,$AH$8:$AH$507,1)+SUMIFS('Cassa'!$F$8:$F$307,'Cassa'!$A$8:$A$307,"&lt;="&amp;B317,'Cassa'!$G$8:$G$307,"OK"))</x:f>
      </x:c>
      <x:c r="AO317" s="21" t="str">
        <x:f>IF(AND(ISNUMBER(Z317),ISNUMBER(AN317),AN317&gt;0),Z317/AN317,"")</x:f>
      </x:c>
      <x:c r="AP317" s="18" t="str">
        <x:f>IF(NOT(ISNUMBER(AO317)),"",IF(AO317&gt;'Impostazioni'!$B$7,"Oltre soglia personale","Nella soglia personale"))</x:f>
      </x:c>
      <x:c r="AQ317" s="18" t="str">
        <x:f>IF(A317="",IF(COUNTA(B317:V317)=0,"","Inserisci ID"),IF(COUNTIFS($A$8:$A$507,A317)&lt;&gt;1,"ID duplicato",IF(OR(NOT(ISNUMBER(B317)),D317="",E317="",F317="",G317="",H317="",COUNTIFS('Impostazioni'!$J$6:$J$25,F317)&lt;&gt;1),"Completa dati / elenchi",IF(OR(AND(I317&lt;&gt;"Lordo manuale",I317&lt;&gt;"Netto manuale",I317&lt;&gt;"Esecuzioni"),AND(J317&lt;&gt;"Aperto",J317&lt;&gt;"Chiuso",J317&lt;&gt;"Annullato")),"Modalità / stato mancanti",IF(AND(J317&lt;&gt;"Aperto",OR(NOT(ISNUMBER(C317)),C317&lt;B317)),"Correggi data chiusura",IF(OR(AND(Q317&lt;&gt;"",OR(NOT(ISNUMBER(Q317)),Q317&lt;0)),AND(R317&lt;&gt;"",OR(NOT(ISNUMBER(R317)),R317&lt;0,R317&gt;1))),"Commissione non valida",IF(J317="Annullato","OK",IF(OR(NOT(ISNUMBER(Z317)),Z317&lt;0,AND(O317&lt;&gt;"",NOT(ISNUMBER(O317)))),"Inserisci rischio",IF(AND(I317="Esecuzioni",OR(W317=0,COUNTIFS('Esecuzioni'!$A$8:$A$1007,A317,'Esecuzioni'!$Q$8:$Q$1007,"&lt;&gt;OK")&gt;0)),"Correggi esecuzioni",IF(J317="Aperto","OK",IF(AND(I317="Esecuzioni",S317="Coperto",ABS(X317-Y317)&gt;'Impostazioni'!$B$11),"Copertura residua",IF(NOT(ISNUMBER(AC317)),"Completa risultato / esito",IF(AND(Z317=0,AC317&lt;&gt;0),"Rischio nullo con P/L","OK")))))))))))))</x:f>
      </x:c>
      <x:c r="AR317" s="20" t="str">
        <x:f>IF(OR(A317="",J317&lt;&gt;"Aperto",AQ317&lt;&gt;"OK"),"",IF(I317="Esecuzioni",SUMIFS('Esecuzioni'!$P$8:$P$1007,'Esecuzioni'!$A$8:$A$1007,A317,'Esecuzioni'!$B$8:$B$1007,_xlfn.MAXIFS('Esecuzioni'!$B$8:$B$1007,'Esecuzioni'!$A$8:$A$1007,A317)),IF(LEFT(U317,8)="FREEBET:",0,Z317)))</x:f>
      </x:c>
      <x:c r="AS317" s="48" t="str">
        <x:f>IF(OR(A317="",E317=""),"",IF(COUNTIFS($E$8:E317,E317)=1,COUNT($AS$7:AS316)+1,""))</x:f>
      </x:c>
    </x:row>
    <x:row r="318" ht="22" customHeight="1">
      <x:c r="A318" s="7"/>
      <x:c r="B318" s="19"/>
      <x:c r="C318" s="19"/>
      <x:c r="D318" s="7"/>
      <x:c r="E318" s="7"/>
      <x:c r="F318" s="7"/>
      <x:c r="G318" s="7"/>
      <x:c r="H318" s="7"/>
      <x:c r="I318" s="7"/>
      <x:c r="J318" s="7"/>
      <x:c r="K318" s="10"/>
      <x:c r="L318" s="7"/>
      <x:c r="M318" s="10"/>
      <x:c r="N318" s="7"/>
      <x:c r="O318" s="8"/>
      <x:c r="P318" s="8"/>
      <x:c r="Q318" s="8"/>
      <x:c r="R318" s="9"/>
      <x:c r="S318" s="7"/>
      <x:c r="T318" s="7"/>
      <x:c r="U318" s="7"/>
      <x:c r="V318" s="7"/>
      <x:c r="W318" s="22" t="str">
        <x:f>IF(A318="","",COUNTIFS('Esecuzioni'!$A$8:$A$1007,A318,'Esecuzioni'!$Q$8:$Q$1007,"OK"))</x:f>
      </x:c>
      <x:c r="X318" s="20" t="str">
        <x:f>IF(OR(A318="",I318&lt;&gt;"Esecuzioni",W318=0),"",SUMIFS('Esecuzioni'!$L$8:$L$1007,'Esecuzioni'!$A$8:$A$1007,A318))</x:f>
      </x:c>
      <x:c r="Y318" s="20" t="str">
        <x:f>IF(OR(A318="",I318&lt;&gt;"Esecuzioni",W318=0),"",SUMIFS('Esecuzioni'!$M$8:$M$1007,'Esecuzioni'!$A$8:$A$1007,A318))</x:f>
      </x:c>
      <x:c r="Z318" s="20" t="str">
        <x:f>IF(A318="","",IF(J318="Annullato",0,IF(ISNUMBER(O318),O318,IF(AND(I318="Esecuzioni",W318&gt;0),_xlfn.MAXIFS('Esecuzioni'!$P$8:$P$1007,'Esecuzioni'!$A$8:$A$1007,A318),""))))</x:f>
      </x:c>
      <x:c r="AA318" s="20" t="str">
        <x:f>IF(OR(A318="",J318="Aperto"),"",IF(J318="Annullato",0,IF(I318="Lordo manuale",IF(ISNUMBER(P318),P318,""),IF(I318="Netto manuale",IF(AND(ISNUMBER(P318),ISNUMBER(Q318)),P318+Q318,""),IF(OR(W318=0,COUNTIFS('Esecuzioni'!$A$8:$A$1007,A318,'Esecuzioni'!$Q$8:$Q$1007,"&lt;&gt;OK")&gt;0),"",IF(S318="Vince",X318,IF(S318="Perde",Y318,IF(AND(S318="Coperto",ABS(X318-Y318)&lt;='Impostazioni'!$B$11),ROUND((X318+Y318)/2,2),""))))))))</x:f>
      </x:c>
      <x:c r="AB318" s="20" t="str">
        <x:f>IF(NOT(ISNUMBER(AA318)),"",IF(J318="Annullato",0,IF(ISNUMBER(Q318),Q318,ROUND(MAX(0,AA318)*IF(ISNUMBER(R318),R318,'Impostazioni'!$B$8),2))))</x:f>
      </x:c>
      <x:c r="AC318" s="20" t="str">
        <x:f>IF(AND(ISNUMBER(AA318),ISNUMBER(AB318)),ROUND(AA318-AB318,2),"")</x:f>
      </x:c>
      <x:c r="AD318" s="18" t="str">
        <x:f>IF(A318="","",IF(AQ318&lt;&gt;"OK","Incompleto",IF(J318="Aperto","Aperto",IF(J318="Annullato","Annullato",IF(AC318&gt;0,"Green",IF(AC318&lt;0,"Red","Flat"))))))</x:f>
      </x:c>
      <x:c r="AE318" s="21" t="str">
        <x:f>IF(AND(AH318=1,Z318&gt;0),AC318/Z318,"")</x:f>
      </x:c>
      <x:c r="AF318" s="22" t="str">
        <x:f>IF(AH318&lt;&gt;1,"",COUNTIFS($C$8:$C$507,"&lt;"&amp;C318,$AH$8:$AH$507,1)+COUNTIFS($C$8:$C$507,C318,$A$8:$A$507,"&lt;="&amp;A318,$AH$8:$AH$507,1))</x:f>
      </x:c>
      <x:c r="AG318" s="20" t="str">
        <x:f>IF(AH318&lt;&gt;1,"",SUMIFS($AC$8:$AC$507,$C$8:$C$507,"&lt;"&amp;C318,$AH$8:$AH$507,1)+SUMIFS($AC$8:$AC$507,$C$8:$C$507,C318,$A$8:$A$507,"&lt;="&amp;A318,$AH$8:$AH$507,1))</x:f>
      </x:c>
      <x:c r="AH318" s="22" t="str">
        <x:f>IF(A318="","",IF(AND(J318="Chiuso",AQ318="OK",ISNUMBER(AC318)),1,0))</x:f>
      </x:c>
      <x:c r="AI318" s="20" t="str">
        <x:f>IF(AH318&lt;&gt;1,"",MAX(0,_xlfn.MAXIFS($AG$8:$AG$507,$AF$8:$AF$507,"&lt;="&amp;AF318,$AH$8:$AH$507,1)))</x:f>
      </x:c>
      <x:c r="AJ318" s="20" t="str">
        <x:f>IF(AH318&lt;&gt;1,"",MAX(0,AI318-AG318))</x:f>
      </x:c>
      <x:c r="AK318" s="21" t="str">
        <x:f>IF(OR(AH318&lt;&gt;1,NOT(ISNUMBER('Impostazioni'!$B$6)),'Impostazioni'!$B$6+AI318&lt;=0),"",AJ318/('Impostazioni'!$B$6+AI318))</x:f>
      </x:c>
      <x:c r="AL318" s="22" t="str">
        <x:f>IF(AH318&lt;&gt;1,"",IF(AC318&gt;0,AF318-_xlfn.MAXIFS($AF$8:$AF$507,$AF$8:$AF$507,"&lt;="&amp;AF318,$AC$8:$AC$507,"&lt;=0",$AH$8:$AH$507,1),0))</x:f>
      </x:c>
      <x:c r="AM318" s="22" t="str">
        <x:f>IF(AH318&lt;&gt;1,"",IF(AC318&lt;0,AF318-_xlfn.MAXIFS($AF$8:$AF$507,$AF$8:$AF$507,"&lt;="&amp;AF318,$AC$8:$AC$507,"&gt;=0",$AH$8:$AH$507,1),0))</x:f>
      </x:c>
      <x:c r="AN318" s="20" t="str">
        <x:f>IF(OR(A318="",NOT(ISNUMBER(B318)),NOT(ISNUMBER('Impostazioni'!$B$6))),"",'Impostazioni'!$B$6+SUMIFS($AC$8:$AC$507,$C$8:$C$507,"&lt;"&amp;B318,$AH$8:$AH$507,1)+SUMIFS('Cassa'!$F$8:$F$307,'Cassa'!$A$8:$A$307,"&lt;="&amp;B318,'Cassa'!$G$8:$G$307,"OK"))</x:f>
      </x:c>
      <x:c r="AO318" s="21" t="str">
        <x:f>IF(AND(ISNUMBER(Z318),ISNUMBER(AN318),AN318&gt;0),Z318/AN318,"")</x:f>
      </x:c>
      <x:c r="AP318" s="18" t="str">
        <x:f>IF(NOT(ISNUMBER(AO318)),"",IF(AO318&gt;'Impostazioni'!$B$7,"Oltre soglia personale","Nella soglia personale"))</x:f>
      </x:c>
      <x:c r="AQ318" s="18" t="str">
        <x:f>IF(A318="",IF(COUNTA(B318:V318)=0,"","Inserisci ID"),IF(COUNTIFS($A$8:$A$507,A318)&lt;&gt;1,"ID duplicato",IF(OR(NOT(ISNUMBER(B318)),D318="",E318="",F318="",G318="",H318="",COUNTIFS('Impostazioni'!$J$6:$J$25,F318)&lt;&gt;1),"Completa dati / elenchi",IF(OR(AND(I318&lt;&gt;"Lordo manuale",I318&lt;&gt;"Netto manuale",I318&lt;&gt;"Esecuzioni"),AND(J318&lt;&gt;"Aperto",J318&lt;&gt;"Chiuso",J318&lt;&gt;"Annullato")),"Modalità / stato mancanti",IF(AND(J318&lt;&gt;"Aperto",OR(NOT(ISNUMBER(C318)),C318&lt;B318)),"Correggi data chiusura",IF(OR(AND(Q318&lt;&gt;"",OR(NOT(ISNUMBER(Q318)),Q318&lt;0)),AND(R318&lt;&gt;"",OR(NOT(ISNUMBER(R318)),R318&lt;0,R318&gt;1))),"Commissione non valida",IF(J318="Annullato","OK",IF(OR(NOT(ISNUMBER(Z318)),Z318&lt;0,AND(O318&lt;&gt;"",NOT(ISNUMBER(O318)))),"Inserisci rischio",IF(AND(I318="Esecuzioni",OR(W318=0,COUNTIFS('Esecuzioni'!$A$8:$A$1007,A318,'Esecuzioni'!$Q$8:$Q$1007,"&lt;&gt;OK")&gt;0)),"Correggi esecuzioni",IF(J318="Aperto","OK",IF(AND(I318="Esecuzioni",S318="Coperto",ABS(X318-Y318)&gt;'Impostazioni'!$B$11),"Copertura residua",IF(NOT(ISNUMBER(AC318)),"Completa risultato / esito",IF(AND(Z318=0,AC318&lt;&gt;0),"Rischio nullo con P/L","OK")))))))))))))</x:f>
      </x:c>
      <x:c r="AR318" s="20" t="str">
        <x:f>IF(OR(A318="",J318&lt;&gt;"Aperto",AQ318&lt;&gt;"OK"),"",IF(I318="Esecuzioni",SUMIFS('Esecuzioni'!$P$8:$P$1007,'Esecuzioni'!$A$8:$A$1007,A318,'Esecuzioni'!$B$8:$B$1007,_xlfn.MAXIFS('Esecuzioni'!$B$8:$B$1007,'Esecuzioni'!$A$8:$A$1007,A318)),IF(LEFT(U318,8)="FREEBET:",0,Z318)))</x:f>
      </x:c>
      <x:c r="AS318" s="48" t="str">
        <x:f>IF(OR(A318="",E318=""),"",IF(COUNTIFS($E$8:E318,E318)=1,COUNT($AS$7:AS317)+1,""))</x:f>
      </x:c>
    </x:row>
    <x:row r="319" ht="22" customHeight="1">
      <x:c r="A319" s="7"/>
      <x:c r="B319" s="19"/>
      <x:c r="C319" s="19"/>
      <x:c r="D319" s="7"/>
      <x:c r="E319" s="7"/>
      <x:c r="F319" s="7"/>
      <x:c r="G319" s="7"/>
      <x:c r="H319" s="7"/>
      <x:c r="I319" s="7"/>
      <x:c r="J319" s="7"/>
      <x:c r="K319" s="10"/>
      <x:c r="L319" s="7"/>
      <x:c r="M319" s="10"/>
      <x:c r="N319" s="7"/>
      <x:c r="O319" s="8"/>
      <x:c r="P319" s="8"/>
      <x:c r="Q319" s="8"/>
      <x:c r="R319" s="9"/>
      <x:c r="S319" s="7"/>
      <x:c r="T319" s="7"/>
      <x:c r="U319" s="7"/>
      <x:c r="V319" s="7"/>
      <x:c r="W319" s="22" t="str">
        <x:f>IF(A319="","",COUNTIFS('Esecuzioni'!$A$8:$A$1007,A319,'Esecuzioni'!$Q$8:$Q$1007,"OK"))</x:f>
      </x:c>
      <x:c r="X319" s="20" t="str">
        <x:f>IF(OR(A319="",I319&lt;&gt;"Esecuzioni",W319=0),"",SUMIFS('Esecuzioni'!$L$8:$L$1007,'Esecuzioni'!$A$8:$A$1007,A319))</x:f>
      </x:c>
      <x:c r="Y319" s="20" t="str">
        <x:f>IF(OR(A319="",I319&lt;&gt;"Esecuzioni",W319=0),"",SUMIFS('Esecuzioni'!$M$8:$M$1007,'Esecuzioni'!$A$8:$A$1007,A319))</x:f>
      </x:c>
      <x:c r="Z319" s="20" t="str">
        <x:f>IF(A319="","",IF(J319="Annullato",0,IF(ISNUMBER(O319),O319,IF(AND(I319="Esecuzioni",W319&gt;0),_xlfn.MAXIFS('Esecuzioni'!$P$8:$P$1007,'Esecuzioni'!$A$8:$A$1007,A319),""))))</x:f>
      </x:c>
      <x:c r="AA319" s="20" t="str">
        <x:f>IF(OR(A319="",J319="Aperto"),"",IF(J319="Annullato",0,IF(I319="Lordo manuale",IF(ISNUMBER(P319),P319,""),IF(I319="Netto manuale",IF(AND(ISNUMBER(P319),ISNUMBER(Q319)),P319+Q319,""),IF(OR(W319=0,COUNTIFS('Esecuzioni'!$A$8:$A$1007,A319,'Esecuzioni'!$Q$8:$Q$1007,"&lt;&gt;OK")&gt;0),"",IF(S319="Vince",X319,IF(S319="Perde",Y319,IF(AND(S319="Coperto",ABS(X319-Y319)&lt;='Impostazioni'!$B$11),ROUND((X319+Y319)/2,2),""))))))))</x:f>
      </x:c>
      <x:c r="AB319" s="20" t="str">
        <x:f>IF(NOT(ISNUMBER(AA319)),"",IF(J319="Annullato",0,IF(ISNUMBER(Q319),Q319,ROUND(MAX(0,AA319)*IF(ISNUMBER(R319),R319,'Impostazioni'!$B$8),2))))</x:f>
      </x:c>
      <x:c r="AC319" s="20" t="str">
        <x:f>IF(AND(ISNUMBER(AA319),ISNUMBER(AB319)),ROUND(AA319-AB319,2),"")</x:f>
      </x:c>
      <x:c r="AD319" s="18" t="str">
        <x:f>IF(A319="","",IF(AQ319&lt;&gt;"OK","Incompleto",IF(J319="Aperto","Aperto",IF(J319="Annullato","Annullato",IF(AC319&gt;0,"Green",IF(AC319&lt;0,"Red","Flat"))))))</x:f>
      </x:c>
      <x:c r="AE319" s="21" t="str">
        <x:f>IF(AND(AH319=1,Z319&gt;0),AC319/Z319,"")</x:f>
      </x:c>
      <x:c r="AF319" s="22" t="str">
        <x:f>IF(AH319&lt;&gt;1,"",COUNTIFS($C$8:$C$507,"&lt;"&amp;C319,$AH$8:$AH$507,1)+COUNTIFS($C$8:$C$507,C319,$A$8:$A$507,"&lt;="&amp;A319,$AH$8:$AH$507,1))</x:f>
      </x:c>
      <x:c r="AG319" s="20" t="str">
        <x:f>IF(AH319&lt;&gt;1,"",SUMIFS($AC$8:$AC$507,$C$8:$C$507,"&lt;"&amp;C319,$AH$8:$AH$507,1)+SUMIFS($AC$8:$AC$507,$C$8:$C$507,C319,$A$8:$A$507,"&lt;="&amp;A319,$AH$8:$AH$507,1))</x:f>
      </x:c>
      <x:c r="AH319" s="22" t="str">
        <x:f>IF(A319="","",IF(AND(J319="Chiuso",AQ319="OK",ISNUMBER(AC319)),1,0))</x:f>
      </x:c>
      <x:c r="AI319" s="20" t="str">
        <x:f>IF(AH319&lt;&gt;1,"",MAX(0,_xlfn.MAXIFS($AG$8:$AG$507,$AF$8:$AF$507,"&lt;="&amp;AF319,$AH$8:$AH$507,1)))</x:f>
      </x:c>
      <x:c r="AJ319" s="20" t="str">
        <x:f>IF(AH319&lt;&gt;1,"",MAX(0,AI319-AG319))</x:f>
      </x:c>
      <x:c r="AK319" s="21" t="str">
        <x:f>IF(OR(AH319&lt;&gt;1,NOT(ISNUMBER('Impostazioni'!$B$6)),'Impostazioni'!$B$6+AI319&lt;=0),"",AJ319/('Impostazioni'!$B$6+AI319))</x:f>
      </x:c>
      <x:c r="AL319" s="22" t="str">
        <x:f>IF(AH319&lt;&gt;1,"",IF(AC319&gt;0,AF319-_xlfn.MAXIFS($AF$8:$AF$507,$AF$8:$AF$507,"&lt;="&amp;AF319,$AC$8:$AC$507,"&lt;=0",$AH$8:$AH$507,1),0))</x:f>
      </x:c>
      <x:c r="AM319" s="22" t="str">
        <x:f>IF(AH319&lt;&gt;1,"",IF(AC319&lt;0,AF319-_xlfn.MAXIFS($AF$8:$AF$507,$AF$8:$AF$507,"&lt;="&amp;AF319,$AC$8:$AC$507,"&gt;=0",$AH$8:$AH$507,1),0))</x:f>
      </x:c>
      <x:c r="AN319" s="20" t="str">
        <x:f>IF(OR(A319="",NOT(ISNUMBER(B319)),NOT(ISNUMBER('Impostazioni'!$B$6))),"",'Impostazioni'!$B$6+SUMIFS($AC$8:$AC$507,$C$8:$C$507,"&lt;"&amp;B319,$AH$8:$AH$507,1)+SUMIFS('Cassa'!$F$8:$F$307,'Cassa'!$A$8:$A$307,"&lt;="&amp;B319,'Cassa'!$G$8:$G$307,"OK"))</x:f>
      </x:c>
      <x:c r="AO319" s="21" t="str">
        <x:f>IF(AND(ISNUMBER(Z319),ISNUMBER(AN319),AN319&gt;0),Z319/AN319,"")</x:f>
      </x:c>
      <x:c r="AP319" s="18" t="str">
        <x:f>IF(NOT(ISNUMBER(AO319)),"",IF(AO319&gt;'Impostazioni'!$B$7,"Oltre soglia personale","Nella soglia personale"))</x:f>
      </x:c>
      <x:c r="AQ319" s="18" t="str">
        <x:f>IF(A319="",IF(COUNTA(B319:V319)=0,"","Inserisci ID"),IF(COUNTIFS($A$8:$A$507,A319)&lt;&gt;1,"ID duplicato",IF(OR(NOT(ISNUMBER(B319)),D319="",E319="",F319="",G319="",H319="",COUNTIFS('Impostazioni'!$J$6:$J$25,F319)&lt;&gt;1),"Completa dati / elenchi",IF(OR(AND(I319&lt;&gt;"Lordo manuale",I319&lt;&gt;"Netto manuale",I319&lt;&gt;"Esecuzioni"),AND(J319&lt;&gt;"Aperto",J319&lt;&gt;"Chiuso",J319&lt;&gt;"Annullato")),"Modalità / stato mancanti",IF(AND(J319&lt;&gt;"Aperto",OR(NOT(ISNUMBER(C319)),C319&lt;B319)),"Correggi data chiusura",IF(OR(AND(Q319&lt;&gt;"",OR(NOT(ISNUMBER(Q319)),Q319&lt;0)),AND(R319&lt;&gt;"",OR(NOT(ISNUMBER(R319)),R319&lt;0,R319&gt;1))),"Commissione non valida",IF(J319="Annullato","OK",IF(OR(NOT(ISNUMBER(Z319)),Z319&lt;0,AND(O319&lt;&gt;"",NOT(ISNUMBER(O319)))),"Inserisci rischio",IF(AND(I319="Esecuzioni",OR(W319=0,COUNTIFS('Esecuzioni'!$A$8:$A$1007,A319,'Esecuzioni'!$Q$8:$Q$1007,"&lt;&gt;OK")&gt;0)),"Correggi esecuzioni",IF(J319="Aperto","OK",IF(AND(I319="Esecuzioni",S319="Coperto",ABS(X319-Y319)&gt;'Impostazioni'!$B$11),"Copertura residua",IF(NOT(ISNUMBER(AC319)),"Completa risultato / esito",IF(AND(Z319=0,AC319&lt;&gt;0),"Rischio nullo con P/L","OK")))))))))))))</x:f>
      </x:c>
      <x:c r="AR319" s="20" t="str">
        <x:f>IF(OR(A319="",J319&lt;&gt;"Aperto",AQ319&lt;&gt;"OK"),"",IF(I319="Esecuzioni",SUMIFS('Esecuzioni'!$P$8:$P$1007,'Esecuzioni'!$A$8:$A$1007,A319,'Esecuzioni'!$B$8:$B$1007,_xlfn.MAXIFS('Esecuzioni'!$B$8:$B$1007,'Esecuzioni'!$A$8:$A$1007,A319)),IF(LEFT(U319,8)="FREEBET:",0,Z319)))</x:f>
      </x:c>
      <x:c r="AS319" s="48" t="str">
        <x:f>IF(OR(A319="",E319=""),"",IF(COUNTIFS($E$8:E319,E319)=1,COUNT($AS$7:AS318)+1,""))</x:f>
      </x:c>
    </x:row>
    <x:row r="320" ht="22" customHeight="1">
      <x:c r="A320" s="7"/>
      <x:c r="B320" s="19"/>
      <x:c r="C320" s="19"/>
      <x:c r="D320" s="7"/>
      <x:c r="E320" s="7"/>
      <x:c r="F320" s="7"/>
      <x:c r="G320" s="7"/>
      <x:c r="H320" s="7"/>
      <x:c r="I320" s="7"/>
      <x:c r="J320" s="7"/>
      <x:c r="K320" s="10"/>
      <x:c r="L320" s="7"/>
      <x:c r="M320" s="10"/>
      <x:c r="N320" s="7"/>
      <x:c r="O320" s="8"/>
      <x:c r="P320" s="8"/>
      <x:c r="Q320" s="8"/>
      <x:c r="R320" s="9"/>
      <x:c r="S320" s="7"/>
      <x:c r="T320" s="7"/>
      <x:c r="U320" s="7"/>
      <x:c r="V320" s="7"/>
      <x:c r="W320" s="22" t="str">
        <x:f>IF(A320="","",COUNTIFS('Esecuzioni'!$A$8:$A$1007,A320,'Esecuzioni'!$Q$8:$Q$1007,"OK"))</x:f>
      </x:c>
      <x:c r="X320" s="20" t="str">
        <x:f>IF(OR(A320="",I320&lt;&gt;"Esecuzioni",W320=0),"",SUMIFS('Esecuzioni'!$L$8:$L$1007,'Esecuzioni'!$A$8:$A$1007,A320))</x:f>
      </x:c>
      <x:c r="Y320" s="20" t="str">
        <x:f>IF(OR(A320="",I320&lt;&gt;"Esecuzioni",W320=0),"",SUMIFS('Esecuzioni'!$M$8:$M$1007,'Esecuzioni'!$A$8:$A$1007,A320))</x:f>
      </x:c>
      <x:c r="Z320" s="20" t="str">
        <x:f>IF(A320="","",IF(J320="Annullato",0,IF(ISNUMBER(O320),O320,IF(AND(I320="Esecuzioni",W320&gt;0),_xlfn.MAXIFS('Esecuzioni'!$P$8:$P$1007,'Esecuzioni'!$A$8:$A$1007,A320),""))))</x:f>
      </x:c>
      <x:c r="AA320" s="20" t="str">
        <x:f>IF(OR(A320="",J320="Aperto"),"",IF(J320="Annullato",0,IF(I320="Lordo manuale",IF(ISNUMBER(P320),P320,""),IF(I320="Netto manuale",IF(AND(ISNUMBER(P320),ISNUMBER(Q320)),P320+Q320,""),IF(OR(W320=0,COUNTIFS('Esecuzioni'!$A$8:$A$1007,A320,'Esecuzioni'!$Q$8:$Q$1007,"&lt;&gt;OK")&gt;0),"",IF(S320="Vince",X320,IF(S320="Perde",Y320,IF(AND(S320="Coperto",ABS(X320-Y320)&lt;='Impostazioni'!$B$11),ROUND((X320+Y320)/2,2),""))))))))</x:f>
      </x:c>
      <x:c r="AB320" s="20" t="str">
        <x:f>IF(NOT(ISNUMBER(AA320)),"",IF(J320="Annullato",0,IF(ISNUMBER(Q320),Q320,ROUND(MAX(0,AA320)*IF(ISNUMBER(R320),R320,'Impostazioni'!$B$8),2))))</x:f>
      </x:c>
      <x:c r="AC320" s="20" t="str">
        <x:f>IF(AND(ISNUMBER(AA320),ISNUMBER(AB320)),ROUND(AA320-AB320,2),"")</x:f>
      </x:c>
      <x:c r="AD320" s="18" t="str">
        <x:f>IF(A320="","",IF(AQ320&lt;&gt;"OK","Incompleto",IF(J320="Aperto","Aperto",IF(J320="Annullato","Annullato",IF(AC320&gt;0,"Green",IF(AC320&lt;0,"Red","Flat"))))))</x:f>
      </x:c>
      <x:c r="AE320" s="21" t="str">
        <x:f>IF(AND(AH320=1,Z320&gt;0),AC320/Z320,"")</x:f>
      </x:c>
      <x:c r="AF320" s="22" t="str">
        <x:f>IF(AH320&lt;&gt;1,"",COUNTIFS($C$8:$C$507,"&lt;"&amp;C320,$AH$8:$AH$507,1)+COUNTIFS($C$8:$C$507,C320,$A$8:$A$507,"&lt;="&amp;A320,$AH$8:$AH$507,1))</x:f>
      </x:c>
      <x:c r="AG320" s="20" t="str">
        <x:f>IF(AH320&lt;&gt;1,"",SUMIFS($AC$8:$AC$507,$C$8:$C$507,"&lt;"&amp;C320,$AH$8:$AH$507,1)+SUMIFS($AC$8:$AC$507,$C$8:$C$507,C320,$A$8:$A$507,"&lt;="&amp;A320,$AH$8:$AH$507,1))</x:f>
      </x:c>
      <x:c r="AH320" s="22" t="str">
        <x:f>IF(A320="","",IF(AND(J320="Chiuso",AQ320="OK",ISNUMBER(AC320)),1,0))</x:f>
      </x:c>
      <x:c r="AI320" s="20" t="str">
        <x:f>IF(AH320&lt;&gt;1,"",MAX(0,_xlfn.MAXIFS($AG$8:$AG$507,$AF$8:$AF$507,"&lt;="&amp;AF320,$AH$8:$AH$507,1)))</x:f>
      </x:c>
      <x:c r="AJ320" s="20" t="str">
        <x:f>IF(AH320&lt;&gt;1,"",MAX(0,AI320-AG320))</x:f>
      </x:c>
      <x:c r="AK320" s="21" t="str">
        <x:f>IF(OR(AH320&lt;&gt;1,NOT(ISNUMBER('Impostazioni'!$B$6)),'Impostazioni'!$B$6+AI320&lt;=0),"",AJ320/('Impostazioni'!$B$6+AI320))</x:f>
      </x:c>
      <x:c r="AL320" s="22" t="str">
        <x:f>IF(AH320&lt;&gt;1,"",IF(AC320&gt;0,AF320-_xlfn.MAXIFS($AF$8:$AF$507,$AF$8:$AF$507,"&lt;="&amp;AF320,$AC$8:$AC$507,"&lt;=0",$AH$8:$AH$507,1),0))</x:f>
      </x:c>
      <x:c r="AM320" s="22" t="str">
        <x:f>IF(AH320&lt;&gt;1,"",IF(AC320&lt;0,AF320-_xlfn.MAXIFS($AF$8:$AF$507,$AF$8:$AF$507,"&lt;="&amp;AF320,$AC$8:$AC$507,"&gt;=0",$AH$8:$AH$507,1),0))</x:f>
      </x:c>
      <x:c r="AN320" s="20" t="str">
        <x:f>IF(OR(A320="",NOT(ISNUMBER(B320)),NOT(ISNUMBER('Impostazioni'!$B$6))),"",'Impostazioni'!$B$6+SUMIFS($AC$8:$AC$507,$C$8:$C$507,"&lt;"&amp;B320,$AH$8:$AH$507,1)+SUMIFS('Cassa'!$F$8:$F$307,'Cassa'!$A$8:$A$307,"&lt;="&amp;B320,'Cassa'!$G$8:$G$307,"OK"))</x:f>
      </x:c>
      <x:c r="AO320" s="21" t="str">
        <x:f>IF(AND(ISNUMBER(Z320),ISNUMBER(AN320),AN320&gt;0),Z320/AN320,"")</x:f>
      </x:c>
      <x:c r="AP320" s="18" t="str">
        <x:f>IF(NOT(ISNUMBER(AO320)),"",IF(AO320&gt;'Impostazioni'!$B$7,"Oltre soglia personale","Nella soglia personale"))</x:f>
      </x:c>
      <x:c r="AQ320" s="18" t="str">
        <x:f>IF(A320="",IF(COUNTA(B320:V320)=0,"","Inserisci ID"),IF(COUNTIFS($A$8:$A$507,A320)&lt;&gt;1,"ID duplicato",IF(OR(NOT(ISNUMBER(B320)),D320="",E320="",F320="",G320="",H320="",COUNTIFS('Impostazioni'!$J$6:$J$25,F320)&lt;&gt;1),"Completa dati / elenchi",IF(OR(AND(I320&lt;&gt;"Lordo manuale",I320&lt;&gt;"Netto manuale",I320&lt;&gt;"Esecuzioni"),AND(J320&lt;&gt;"Aperto",J320&lt;&gt;"Chiuso",J320&lt;&gt;"Annullato")),"Modalità / stato mancanti",IF(AND(J320&lt;&gt;"Aperto",OR(NOT(ISNUMBER(C320)),C320&lt;B320)),"Correggi data chiusura",IF(OR(AND(Q320&lt;&gt;"",OR(NOT(ISNUMBER(Q320)),Q320&lt;0)),AND(R320&lt;&gt;"",OR(NOT(ISNUMBER(R320)),R320&lt;0,R320&gt;1))),"Commissione non valida",IF(J320="Annullato","OK",IF(OR(NOT(ISNUMBER(Z320)),Z320&lt;0,AND(O320&lt;&gt;"",NOT(ISNUMBER(O320)))),"Inserisci rischio",IF(AND(I320="Esecuzioni",OR(W320=0,COUNTIFS('Esecuzioni'!$A$8:$A$1007,A320,'Esecuzioni'!$Q$8:$Q$1007,"&lt;&gt;OK")&gt;0)),"Correggi esecuzioni",IF(J320="Aperto","OK",IF(AND(I320="Esecuzioni",S320="Coperto",ABS(X320-Y320)&gt;'Impostazioni'!$B$11),"Copertura residua",IF(NOT(ISNUMBER(AC320)),"Completa risultato / esito",IF(AND(Z320=0,AC320&lt;&gt;0),"Rischio nullo con P/L","OK")))))))))))))</x:f>
      </x:c>
      <x:c r="AR320" s="20" t="str">
        <x:f>IF(OR(A320="",J320&lt;&gt;"Aperto",AQ320&lt;&gt;"OK"),"",IF(I320="Esecuzioni",SUMIFS('Esecuzioni'!$P$8:$P$1007,'Esecuzioni'!$A$8:$A$1007,A320,'Esecuzioni'!$B$8:$B$1007,_xlfn.MAXIFS('Esecuzioni'!$B$8:$B$1007,'Esecuzioni'!$A$8:$A$1007,A320)),IF(LEFT(U320,8)="FREEBET:",0,Z320)))</x:f>
      </x:c>
      <x:c r="AS320" s="48" t="str">
        <x:f>IF(OR(A320="",E320=""),"",IF(COUNTIFS($E$8:E320,E320)=1,COUNT($AS$7:AS319)+1,""))</x:f>
      </x:c>
    </x:row>
    <x:row r="321" ht="22" customHeight="1">
      <x:c r="A321" s="7"/>
      <x:c r="B321" s="19"/>
      <x:c r="C321" s="19"/>
      <x:c r="D321" s="7"/>
      <x:c r="E321" s="7"/>
      <x:c r="F321" s="7"/>
      <x:c r="G321" s="7"/>
      <x:c r="H321" s="7"/>
      <x:c r="I321" s="7"/>
      <x:c r="J321" s="7"/>
      <x:c r="K321" s="10"/>
      <x:c r="L321" s="7"/>
      <x:c r="M321" s="10"/>
      <x:c r="N321" s="7"/>
      <x:c r="O321" s="8"/>
      <x:c r="P321" s="8"/>
      <x:c r="Q321" s="8"/>
      <x:c r="R321" s="9"/>
      <x:c r="S321" s="7"/>
      <x:c r="T321" s="7"/>
      <x:c r="U321" s="7"/>
      <x:c r="V321" s="7"/>
      <x:c r="W321" s="22" t="str">
        <x:f>IF(A321="","",COUNTIFS('Esecuzioni'!$A$8:$A$1007,A321,'Esecuzioni'!$Q$8:$Q$1007,"OK"))</x:f>
      </x:c>
      <x:c r="X321" s="20" t="str">
        <x:f>IF(OR(A321="",I321&lt;&gt;"Esecuzioni",W321=0),"",SUMIFS('Esecuzioni'!$L$8:$L$1007,'Esecuzioni'!$A$8:$A$1007,A321))</x:f>
      </x:c>
      <x:c r="Y321" s="20" t="str">
        <x:f>IF(OR(A321="",I321&lt;&gt;"Esecuzioni",W321=0),"",SUMIFS('Esecuzioni'!$M$8:$M$1007,'Esecuzioni'!$A$8:$A$1007,A321))</x:f>
      </x:c>
      <x:c r="Z321" s="20" t="str">
        <x:f>IF(A321="","",IF(J321="Annullato",0,IF(ISNUMBER(O321),O321,IF(AND(I321="Esecuzioni",W321&gt;0),_xlfn.MAXIFS('Esecuzioni'!$P$8:$P$1007,'Esecuzioni'!$A$8:$A$1007,A321),""))))</x:f>
      </x:c>
      <x:c r="AA321" s="20" t="str">
        <x:f>IF(OR(A321="",J321="Aperto"),"",IF(J321="Annullato",0,IF(I321="Lordo manuale",IF(ISNUMBER(P321),P321,""),IF(I321="Netto manuale",IF(AND(ISNUMBER(P321),ISNUMBER(Q321)),P321+Q321,""),IF(OR(W321=0,COUNTIFS('Esecuzioni'!$A$8:$A$1007,A321,'Esecuzioni'!$Q$8:$Q$1007,"&lt;&gt;OK")&gt;0),"",IF(S321="Vince",X321,IF(S321="Perde",Y321,IF(AND(S321="Coperto",ABS(X321-Y321)&lt;='Impostazioni'!$B$11),ROUND((X321+Y321)/2,2),""))))))))</x:f>
      </x:c>
      <x:c r="AB321" s="20" t="str">
        <x:f>IF(NOT(ISNUMBER(AA321)),"",IF(J321="Annullato",0,IF(ISNUMBER(Q321),Q321,ROUND(MAX(0,AA321)*IF(ISNUMBER(R321),R321,'Impostazioni'!$B$8),2))))</x:f>
      </x:c>
      <x:c r="AC321" s="20" t="str">
        <x:f>IF(AND(ISNUMBER(AA321),ISNUMBER(AB321)),ROUND(AA321-AB321,2),"")</x:f>
      </x:c>
      <x:c r="AD321" s="18" t="str">
        <x:f>IF(A321="","",IF(AQ321&lt;&gt;"OK","Incompleto",IF(J321="Aperto","Aperto",IF(J321="Annullato","Annullato",IF(AC321&gt;0,"Green",IF(AC321&lt;0,"Red","Flat"))))))</x:f>
      </x:c>
      <x:c r="AE321" s="21" t="str">
        <x:f>IF(AND(AH321=1,Z321&gt;0),AC321/Z321,"")</x:f>
      </x:c>
      <x:c r="AF321" s="22" t="str">
        <x:f>IF(AH321&lt;&gt;1,"",COUNTIFS($C$8:$C$507,"&lt;"&amp;C321,$AH$8:$AH$507,1)+COUNTIFS($C$8:$C$507,C321,$A$8:$A$507,"&lt;="&amp;A321,$AH$8:$AH$507,1))</x:f>
      </x:c>
      <x:c r="AG321" s="20" t="str">
        <x:f>IF(AH321&lt;&gt;1,"",SUMIFS($AC$8:$AC$507,$C$8:$C$507,"&lt;"&amp;C321,$AH$8:$AH$507,1)+SUMIFS($AC$8:$AC$507,$C$8:$C$507,C321,$A$8:$A$507,"&lt;="&amp;A321,$AH$8:$AH$507,1))</x:f>
      </x:c>
      <x:c r="AH321" s="22" t="str">
        <x:f>IF(A321="","",IF(AND(J321="Chiuso",AQ321="OK",ISNUMBER(AC321)),1,0))</x:f>
      </x:c>
      <x:c r="AI321" s="20" t="str">
        <x:f>IF(AH321&lt;&gt;1,"",MAX(0,_xlfn.MAXIFS($AG$8:$AG$507,$AF$8:$AF$507,"&lt;="&amp;AF321,$AH$8:$AH$507,1)))</x:f>
      </x:c>
      <x:c r="AJ321" s="20" t="str">
        <x:f>IF(AH321&lt;&gt;1,"",MAX(0,AI321-AG321))</x:f>
      </x:c>
      <x:c r="AK321" s="21" t="str">
        <x:f>IF(OR(AH321&lt;&gt;1,NOT(ISNUMBER('Impostazioni'!$B$6)),'Impostazioni'!$B$6+AI321&lt;=0),"",AJ321/('Impostazioni'!$B$6+AI321))</x:f>
      </x:c>
      <x:c r="AL321" s="22" t="str">
        <x:f>IF(AH321&lt;&gt;1,"",IF(AC321&gt;0,AF321-_xlfn.MAXIFS($AF$8:$AF$507,$AF$8:$AF$507,"&lt;="&amp;AF321,$AC$8:$AC$507,"&lt;=0",$AH$8:$AH$507,1),0))</x:f>
      </x:c>
      <x:c r="AM321" s="22" t="str">
        <x:f>IF(AH321&lt;&gt;1,"",IF(AC321&lt;0,AF321-_xlfn.MAXIFS($AF$8:$AF$507,$AF$8:$AF$507,"&lt;="&amp;AF321,$AC$8:$AC$507,"&gt;=0",$AH$8:$AH$507,1),0))</x:f>
      </x:c>
      <x:c r="AN321" s="20" t="str">
        <x:f>IF(OR(A321="",NOT(ISNUMBER(B321)),NOT(ISNUMBER('Impostazioni'!$B$6))),"",'Impostazioni'!$B$6+SUMIFS($AC$8:$AC$507,$C$8:$C$507,"&lt;"&amp;B321,$AH$8:$AH$507,1)+SUMIFS('Cassa'!$F$8:$F$307,'Cassa'!$A$8:$A$307,"&lt;="&amp;B321,'Cassa'!$G$8:$G$307,"OK"))</x:f>
      </x:c>
      <x:c r="AO321" s="21" t="str">
        <x:f>IF(AND(ISNUMBER(Z321),ISNUMBER(AN321),AN321&gt;0),Z321/AN321,"")</x:f>
      </x:c>
      <x:c r="AP321" s="18" t="str">
        <x:f>IF(NOT(ISNUMBER(AO321)),"",IF(AO321&gt;'Impostazioni'!$B$7,"Oltre soglia personale","Nella soglia personale"))</x:f>
      </x:c>
      <x:c r="AQ321" s="18" t="str">
        <x:f>IF(A321="",IF(COUNTA(B321:V321)=0,"","Inserisci ID"),IF(COUNTIFS($A$8:$A$507,A321)&lt;&gt;1,"ID duplicato",IF(OR(NOT(ISNUMBER(B321)),D321="",E321="",F321="",G321="",H321="",COUNTIFS('Impostazioni'!$J$6:$J$25,F321)&lt;&gt;1),"Completa dati / elenchi",IF(OR(AND(I321&lt;&gt;"Lordo manuale",I321&lt;&gt;"Netto manuale",I321&lt;&gt;"Esecuzioni"),AND(J321&lt;&gt;"Aperto",J321&lt;&gt;"Chiuso",J321&lt;&gt;"Annullato")),"Modalità / stato mancanti",IF(AND(J321&lt;&gt;"Aperto",OR(NOT(ISNUMBER(C321)),C321&lt;B321)),"Correggi data chiusura",IF(OR(AND(Q321&lt;&gt;"",OR(NOT(ISNUMBER(Q321)),Q321&lt;0)),AND(R321&lt;&gt;"",OR(NOT(ISNUMBER(R321)),R321&lt;0,R321&gt;1))),"Commissione non valida",IF(J321="Annullato","OK",IF(OR(NOT(ISNUMBER(Z321)),Z321&lt;0,AND(O321&lt;&gt;"",NOT(ISNUMBER(O321)))),"Inserisci rischio",IF(AND(I321="Esecuzioni",OR(W321=0,COUNTIFS('Esecuzioni'!$A$8:$A$1007,A321,'Esecuzioni'!$Q$8:$Q$1007,"&lt;&gt;OK")&gt;0)),"Correggi esecuzioni",IF(J321="Aperto","OK",IF(AND(I321="Esecuzioni",S321="Coperto",ABS(X321-Y321)&gt;'Impostazioni'!$B$11),"Copertura residua",IF(NOT(ISNUMBER(AC321)),"Completa risultato / esito",IF(AND(Z321=0,AC321&lt;&gt;0),"Rischio nullo con P/L","OK")))))))))))))</x:f>
      </x:c>
      <x:c r="AR321" s="20" t="str">
        <x:f>IF(OR(A321="",J321&lt;&gt;"Aperto",AQ321&lt;&gt;"OK"),"",IF(I321="Esecuzioni",SUMIFS('Esecuzioni'!$P$8:$P$1007,'Esecuzioni'!$A$8:$A$1007,A321,'Esecuzioni'!$B$8:$B$1007,_xlfn.MAXIFS('Esecuzioni'!$B$8:$B$1007,'Esecuzioni'!$A$8:$A$1007,A321)),IF(LEFT(U321,8)="FREEBET:",0,Z321)))</x:f>
      </x:c>
      <x:c r="AS321" s="48" t="str">
        <x:f>IF(OR(A321="",E321=""),"",IF(COUNTIFS($E$8:E321,E321)=1,COUNT($AS$7:AS320)+1,""))</x:f>
      </x:c>
    </x:row>
    <x:row r="322" ht="22" customHeight="1">
      <x:c r="A322" s="7"/>
      <x:c r="B322" s="19"/>
      <x:c r="C322" s="19"/>
      <x:c r="D322" s="7"/>
      <x:c r="E322" s="7"/>
      <x:c r="F322" s="7"/>
      <x:c r="G322" s="7"/>
      <x:c r="H322" s="7"/>
      <x:c r="I322" s="7"/>
      <x:c r="J322" s="7"/>
      <x:c r="K322" s="10"/>
      <x:c r="L322" s="7"/>
      <x:c r="M322" s="10"/>
      <x:c r="N322" s="7"/>
      <x:c r="O322" s="8"/>
      <x:c r="P322" s="8"/>
      <x:c r="Q322" s="8"/>
      <x:c r="R322" s="9"/>
      <x:c r="S322" s="7"/>
      <x:c r="T322" s="7"/>
      <x:c r="U322" s="7"/>
      <x:c r="V322" s="7"/>
      <x:c r="W322" s="22" t="str">
        <x:f>IF(A322="","",COUNTIFS('Esecuzioni'!$A$8:$A$1007,A322,'Esecuzioni'!$Q$8:$Q$1007,"OK"))</x:f>
      </x:c>
      <x:c r="X322" s="20" t="str">
        <x:f>IF(OR(A322="",I322&lt;&gt;"Esecuzioni",W322=0),"",SUMIFS('Esecuzioni'!$L$8:$L$1007,'Esecuzioni'!$A$8:$A$1007,A322))</x:f>
      </x:c>
      <x:c r="Y322" s="20" t="str">
        <x:f>IF(OR(A322="",I322&lt;&gt;"Esecuzioni",W322=0),"",SUMIFS('Esecuzioni'!$M$8:$M$1007,'Esecuzioni'!$A$8:$A$1007,A322))</x:f>
      </x:c>
      <x:c r="Z322" s="20" t="str">
        <x:f>IF(A322="","",IF(J322="Annullato",0,IF(ISNUMBER(O322),O322,IF(AND(I322="Esecuzioni",W322&gt;0),_xlfn.MAXIFS('Esecuzioni'!$P$8:$P$1007,'Esecuzioni'!$A$8:$A$1007,A322),""))))</x:f>
      </x:c>
      <x:c r="AA322" s="20" t="str">
        <x:f>IF(OR(A322="",J322="Aperto"),"",IF(J322="Annullato",0,IF(I322="Lordo manuale",IF(ISNUMBER(P322),P322,""),IF(I322="Netto manuale",IF(AND(ISNUMBER(P322),ISNUMBER(Q322)),P322+Q322,""),IF(OR(W322=0,COUNTIFS('Esecuzioni'!$A$8:$A$1007,A322,'Esecuzioni'!$Q$8:$Q$1007,"&lt;&gt;OK")&gt;0),"",IF(S322="Vince",X322,IF(S322="Perde",Y322,IF(AND(S322="Coperto",ABS(X322-Y322)&lt;='Impostazioni'!$B$11),ROUND((X322+Y322)/2,2),""))))))))</x:f>
      </x:c>
      <x:c r="AB322" s="20" t="str">
        <x:f>IF(NOT(ISNUMBER(AA322)),"",IF(J322="Annullato",0,IF(ISNUMBER(Q322),Q322,ROUND(MAX(0,AA322)*IF(ISNUMBER(R322),R322,'Impostazioni'!$B$8),2))))</x:f>
      </x:c>
      <x:c r="AC322" s="20" t="str">
        <x:f>IF(AND(ISNUMBER(AA322),ISNUMBER(AB322)),ROUND(AA322-AB322,2),"")</x:f>
      </x:c>
      <x:c r="AD322" s="18" t="str">
        <x:f>IF(A322="","",IF(AQ322&lt;&gt;"OK","Incompleto",IF(J322="Aperto","Aperto",IF(J322="Annullato","Annullato",IF(AC322&gt;0,"Green",IF(AC322&lt;0,"Red","Flat"))))))</x:f>
      </x:c>
      <x:c r="AE322" s="21" t="str">
        <x:f>IF(AND(AH322=1,Z322&gt;0),AC322/Z322,"")</x:f>
      </x:c>
      <x:c r="AF322" s="22" t="str">
        <x:f>IF(AH322&lt;&gt;1,"",COUNTIFS($C$8:$C$507,"&lt;"&amp;C322,$AH$8:$AH$507,1)+COUNTIFS($C$8:$C$507,C322,$A$8:$A$507,"&lt;="&amp;A322,$AH$8:$AH$507,1))</x:f>
      </x:c>
      <x:c r="AG322" s="20" t="str">
        <x:f>IF(AH322&lt;&gt;1,"",SUMIFS($AC$8:$AC$507,$C$8:$C$507,"&lt;"&amp;C322,$AH$8:$AH$507,1)+SUMIFS($AC$8:$AC$507,$C$8:$C$507,C322,$A$8:$A$507,"&lt;="&amp;A322,$AH$8:$AH$507,1))</x:f>
      </x:c>
      <x:c r="AH322" s="22" t="str">
        <x:f>IF(A322="","",IF(AND(J322="Chiuso",AQ322="OK",ISNUMBER(AC322)),1,0))</x:f>
      </x:c>
      <x:c r="AI322" s="20" t="str">
        <x:f>IF(AH322&lt;&gt;1,"",MAX(0,_xlfn.MAXIFS($AG$8:$AG$507,$AF$8:$AF$507,"&lt;="&amp;AF322,$AH$8:$AH$507,1)))</x:f>
      </x:c>
      <x:c r="AJ322" s="20" t="str">
        <x:f>IF(AH322&lt;&gt;1,"",MAX(0,AI322-AG322))</x:f>
      </x:c>
      <x:c r="AK322" s="21" t="str">
        <x:f>IF(OR(AH322&lt;&gt;1,NOT(ISNUMBER('Impostazioni'!$B$6)),'Impostazioni'!$B$6+AI322&lt;=0),"",AJ322/('Impostazioni'!$B$6+AI322))</x:f>
      </x:c>
      <x:c r="AL322" s="22" t="str">
        <x:f>IF(AH322&lt;&gt;1,"",IF(AC322&gt;0,AF322-_xlfn.MAXIFS($AF$8:$AF$507,$AF$8:$AF$507,"&lt;="&amp;AF322,$AC$8:$AC$507,"&lt;=0",$AH$8:$AH$507,1),0))</x:f>
      </x:c>
      <x:c r="AM322" s="22" t="str">
        <x:f>IF(AH322&lt;&gt;1,"",IF(AC322&lt;0,AF322-_xlfn.MAXIFS($AF$8:$AF$507,$AF$8:$AF$507,"&lt;="&amp;AF322,$AC$8:$AC$507,"&gt;=0",$AH$8:$AH$507,1),0))</x:f>
      </x:c>
      <x:c r="AN322" s="20" t="str">
        <x:f>IF(OR(A322="",NOT(ISNUMBER(B322)),NOT(ISNUMBER('Impostazioni'!$B$6))),"",'Impostazioni'!$B$6+SUMIFS($AC$8:$AC$507,$C$8:$C$507,"&lt;"&amp;B322,$AH$8:$AH$507,1)+SUMIFS('Cassa'!$F$8:$F$307,'Cassa'!$A$8:$A$307,"&lt;="&amp;B322,'Cassa'!$G$8:$G$307,"OK"))</x:f>
      </x:c>
      <x:c r="AO322" s="21" t="str">
        <x:f>IF(AND(ISNUMBER(Z322),ISNUMBER(AN322),AN322&gt;0),Z322/AN322,"")</x:f>
      </x:c>
      <x:c r="AP322" s="18" t="str">
        <x:f>IF(NOT(ISNUMBER(AO322)),"",IF(AO322&gt;'Impostazioni'!$B$7,"Oltre soglia personale","Nella soglia personale"))</x:f>
      </x:c>
      <x:c r="AQ322" s="18" t="str">
        <x:f>IF(A322="",IF(COUNTA(B322:V322)=0,"","Inserisci ID"),IF(COUNTIFS($A$8:$A$507,A322)&lt;&gt;1,"ID duplicato",IF(OR(NOT(ISNUMBER(B322)),D322="",E322="",F322="",G322="",H322="",COUNTIFS('Impostazioni'!$J$6:$J$25,F322)&lt;&gt;1),"Completa dati / elenchi",IF(OR(AND(I322&lt;&gt;"Lordo manuale",I322&lt;&gt;"Netto manuale",I322&lt;&gt;"Esecuzioni"),AND(J322&lt;&gt;"Aperto",J322&lt;&gt;"Chiuso",J322&lt;&gt;"Annullato")),"Modalità / stato mancanti",IF(AND(J322&lt;&gt;"Aperto",OR(NOT(ISNUMBER(C322)),C322&lt;B322)),"Correggi data chiusura",IF(OR(AND(Q322&lt;&gt;"",OR(NOT(ISNUMBER(Q322)),Q322&lt;0)),AND(R322&lt;&gt;"",OR(NOT(ISNUMBER(R322)),R322&lt;0,R322&gt;1))),"Commissione non valida",IF(J322="Annullato","OK",IF(OR(NOT(ISNUMBER(Z322)),Z322&lt;0,AND(O322&lt;&gt;"",NOT(ISNUMBER(O322)))),"Inserisci rischio",IF(AND(I322="Esecuzioni",OR(W322=0,COUNTIFS('Esecuzioni'!$A$8:$A$1007,A322,'Esecuzioni'!$Q$8:$Q$1007,"&lt;&gt;OK")&gt;0)),"Correggi esecuzioni",IF(J322="Aperto","OK",IF(AND(I322="Esecuzioni",S322="Coperto",ABS(X322-Y322)&gt;'Impostazioni'!$B$11),"Copertura residua",IF(NOT(ISNUMBER(AC322)),"Completa risultato / esito",IF(AND(Z322=0,AC322&lt;&gt;0),"Rischio nullo con P/L","OK")))))))))))))</x:f>
      </x:c>
      <x:c r="AR322" s="20" t="str">
        <x:f>IF(OR(A322="",J322&lt;&gt;"Aperto",AQ322&lt;&gt;"OK"),"",IF(I322="Esecuzioni",SUMIFS('Esecuzioni'!$P$8:$P$1007,'Esecuzioni'!$A$8:$A$1007,A322,'Esecuzioni'!$B$8:$B$1007,_xlfn.MAXIFS('Esecuzioni'!$B$8:$B$1007,'Esecuzioni'!$A$8:$A$1007,A322)),IF(LEFT(U322,8)="FREEBET:",0,Z322)))</x:f>
      </x:c>
      <x:c r="AS322" s="48" t="str">
        <x:f>IF(OR(A322="",E322=""),"",IF(COUNTIFS($E$8:E322,E322)=1,COUNT($AS$7:AS321)+1,""))</x:f>
      </x:c>
    </x:row>
    <x:row r="323" ht="22" customHeight="1">
      <x:c r="A323" s="7"/>
      <x:c r="B323" s="19"/>
      <x:c r="C323" s="19"/>
      <x:c r="D323" s="7"/>
      <x:c r="E323" s="7"/>
      <x:c r="F323" s="7"/>
      <x:c r="G323" s="7"/>
      <x:c r="H323" s="7"/>
      <x:c r="I323" s="7"/>
      <x:c r="J323" s="7"/>
      <x:c r="K323" s="10"/>
      <x:c r="L323" s="7"/>
      <x:c r="M323" s="10"/>
      <x:c r="N323" s="7"/>
      <x:c r="O323" s="8"/>
      <x:c r="P323" s="8"/>
      <x:c r="Q323" s="8"/>
      <x:c r="R323" s="9"/>
      <x:c r="S323" s="7"/>
      <x:c r="T323" s="7"/>
      <x:c r="U323" s="7"/>
      <x:c r="V323" s="7"/>
      <x:c r="W323" s="22" t="str">
        <x:f>IF(A323="","",COUNTIFS('Esecuzioni'!$A$8:$A$1007,A323,'Esecuzioni'!$Q$8:$Q$1007,"OK"))</x:f>
      </x:c>
      <x:c r="X323" s="20" t="str">
        <x:f>IF(OR(A323="",I323&lt;&gt;"Esecuzioni",W323=0),"",SUMIFS('Esecuzioni'!$L$8:$L$1007,'Esecuzioni'!$A$8:$A$1007,A323))</x:f>
      </x:c>
      <x:c r="Y323" s="20" t="str">
        <x:f>IF(OR(A323="",I323&lt;&gt;"Esecuzioni",W323=0),"",SUMIFS('Esecuzioni'!$M$8:$M$1007,'Esecuzioni'!$A$8:$A$1007,A323))</x:f>
      </x:c>
      <x:c r="Z323" s="20" t="str">
        <x:f>IF(A323="","",IF(J323="Annullato",0,IF(ISNUMBER(O323),O323,IF(AND(I323="Esecuzioni",W323&gt;0),_xlfn.MAXIFS('Esecuzioni'!$P$8:$P$1007,'Esecuzioni'!$A$8:$A$1007,A323),""))))</x:f>
      </x:c>
      <x:c r="AA323" s="20" t="str">
        <x:f>IF(OR(A323="",J323="Aperto"),"",IF(J323="Annullato",0,IF(I323="Lordo manuale",IF(ISNUMBER(P323),P323,""),IF(I323="Netto manuale",IF(AND(ISNUMBER(P323),ISNUMBER(Q323)),P323+Q323,""),IF(OR(W323=0,COUNTIFS('Esecuzioni'!$A$8:$A$1007,A323,'Esecuzioni'!$Q$8:$Q$1007,"&lt;&gt;OK")&gt;0),"",IF(S323="Vince",X323,IF(S323="Perde",Y323,IF(AND(S323="Coperto",ABS(X323-Y323)&lt;='Impostazioni'!$B$11),ROUND((X323+Y323)/2,2),""))))))))</x:f>
      </x:c>
      <x:c r="AB323" s="20" t="str">
        <x:f>IF(NOT(ISNUMBER(AA323)),"",IF(J323="Annullato",0,IF(ISNUMBER(Q323),Q323,ROUND(MAX(0,AA323)*IF(ISNUMBER(R323),R323,'Impostazioni'!$B$8),2))))</x:f>
      </x:c>
      <x:c r="AC323" s="20" t="str">
        <x:f>IF(AND(ISNUMBER(AA323),ISNUMBER(AB323)),ROUND(AA323-AB323,2),"")</x:f>
      </x:c>
      <x:c r="AD323" s="18" t="str">
        <x:f>IF(A323="","",IF(AQ323&lt;&gt;"OK","Incompleto",IF(J323="Aperto","Aperto",IF(J323="Annullato","Annullato",IF(AC323&gt;0,"Green",IF(AC323&lt;0,"Red","Flat"))))))</x:f>
      </x:c>
      <x:c r="AE323" s="21" t="str">
        <x:f>IF(AND(AH323=1,Z323&gt;0),AC323/Z323,"")</x:f>
      </x:c>
      <x:c r="AF323" s="22" t="str">
        <x:f>IF(AH323&lt;&gt;1,"",COUNTIFS($C$8:$C$507,"&lt;"&amp;C323,$AH$8:$AH$507,1)+COUNTIFS($C$8:$C$507,C323,$A$8:$A$507,"&lt;="&amp;A323,$AH$8:$AH$507,1))</x:f>
      </x:c>
      <x:c r="AG323" s="20" t="str">
        <x:f>IF(AH323&lt;&gt;1,"",SUMIFS($AC$8:$AC$507,$C$8:$C$507,"&lt;"&amp;C323,$AH$8:$AH$507,1)+SUMIFS($AC$8:$AC$507,$C$8:$C$507,C323,$A$8:$A$507,"&lt;="&amp;A323,$AH$8:$AH$507,1))</x:f>
      </x:c>
      <x:c r="AH323" s="22" t="str">
        <x:f>IF(A323="","",IF(AND(J323="Chiuso",AQ323="OK",ISNUMBER(AC323)),1,0))</x:f>
      </x:c>
      <x:c r="AI323" s="20" t="str">
        <x:f>IF(AH323&lt;&gt;1,"",MAX(0,_xlfn.MAXIFS($AG$8:$AG$507,$AF$8:$AF$507,"&lt;="&amp;AF323,$AH$8:$AH$507,1)))</x:f>
      </x:c>
      <x:c r="AJ323" s="20" t="str">
        <x:f>IF(AH323&lt;&gt;1,"",MAX(0,AI323-AG323))</x:f>
      </x:c>
      <x:c r="AK323" s="21" t="str">
        <x:f>IF(OR(AH323&lt;&gt;1,NOT(ISNUMBER('Impostazioni'!$B$6)),'Impostazioni'!$B$6+AI323&lt;=0),"",AJ323/('Impostazioni'!$B$6+AI323))</x:f>
      </x:c>
      <x:c r="AL323" s="22" t="str">
        <x:f>IF(AH323&lt;&gt;1,"",IF(AC323&gt;0,AF323-_xlfn.MAXIFS($AF$8:$AF$507,$AF$8:$AF$507,"&lt;="&amp;AF323,$AC$8:$AC$507,"&lt;=0",$AH$8:$AH$507,1),0))</x:f>
      </x:c>
      <x:c r="AM323" s="22" t="str">
        <x:f>IF(AH323&lt;&gt;1,"",IF(AC323&lt;0,AF323-_xlfn.MAXIFS($AF$8:$AF$507,$AF$8:$AF$507,"&lt;="&amp;AF323,$AC$8:$AC$507,"&gt;=0",$AH$8:$AH$507,1),0))</x:f>
      </x:c>
      <x:c r="AN323" s="20" t="str">
        <x:f>IF(OR(A323="",NOT(ISNUMBER(B323)),NOT(ISNUMBER('Impostazioni'!$B$6))),"",'Impostazioni'!$B$6+SUMIFS($AC$8:$AC$507,$C$8:$C$507,"&lt;"&amp;B323,$AH$8:$AH$507,1)+SUMIFS('Cassa'!$F$8:$F$307,'Cassa'!$A$8:$A$307,"&lt;="&amp;B323,'Cassa'!$G$8:$G$307,"OK"))</x:f>
      </x:c>
      <x:c r="AO323" s="21" t="str">
        <x:f>IF(AND(ISNUMBER(Z323),ISNUMBER(AN323),AN323&gt;0),Z323/AN323,"")</x:f>
      </x:c>
      <x:c r="AP323" s="18" t="str">
        <x:f>IF(NOT(ISNUMBER(AO323)),"",IF(AO323&gt;'Impostazioni'!$B$7,"Oltre soglia personale","Nella soglia personale"))</x:f>
      </x:c>
      <x:c r="AQ323" s="18" t="str">
        <x:f>IF(A323="",IF(COUNTA(B323:V323)=0,"","Inserisci ID"),IF(COUNTIFS($A$8:$A$507,A323)&lt;&gt;1,"ID duplicato",IF(OR(NOT(ISNUMBER(B323)),D323="",E323="",F323="",G323="",H323="",COUNTIFS('Impostazioni'!$J$6:$J$25,F323)&lt;&gt;1),"Completa dati / elenchi",IF(OR(AND(I323&lt;&gt;"Lordo manuale",I323&lt;&gt;"Netto manuale",I323&lt;&gt;"Esecuzioni"),AND(J323&lt;&gt;"Aperto",J323&lt;&gt;"Chiuso",J323&lt;&gt;"Annullato")),"Modalità / stato mancanti",IF(AND(J323&lt;&gt;"Aperto",OR(NOT(ISNUMBER(C323)),C323&lt;B323)),"Correggi data chiusura",IF(OR(AND(Q323&lt;&gt;"",OR(NOT(ISNUMBER(Q323)),Q323&lt;0)),AND(R323&lt;&gt;"",OR(NOT(ISNUMBER(R323)),R323&lt;0,R323&gt;1))),"Commissione non valida",IF(J323="Annullato","OK",IF(OR(NOT(ISNUMBER(Z323)),Z323&lt;0,AND(O323&lt;&gt;"",NOT(ISNUMBER(O323)))),"Inserisci rischio",IF(AND(I323="Esecuzioni",OR(W323=0,COUNTIFS('Esecuzioni'!$A$8:$A$1007,A323,'Esecuzioni'!$Q$8:$Q$1007,"&lt;&gt;OK")&gt;0)),"Correggi esecuzioni",IF(J323="Aperto","OK",IF(AND(I323="Esecuzioni",S323="Coperto",ABS(X323-Y323)&gt;'Impostazioni'!$B$11),"Copertura residua",IF(NOT(ISNUMBER(AC323)),"Completa risultato / esito",IF(AND(Z323=0,AC323&lt;&gt;0),"Rischio nullo con P/L","OK")))))))))))))</x:f>
      </x:c>
      <x:c r="AR323" s="20" t="str">
        <x:f>IF(OR(A323="",J323&lt;&gt;"Aperto",AQ323&lt;&gt;"OK"),"",IF(I323="Esecuzioni",SUMIFS('Esecuzioni'!$P$8:$P$1007,'Esecuzioni'!$A$8:$A$1007,A323,'Esecuzioni'!$B$8:$B$1007,_xlfn.MAXIFS('Esecuzioni'!$B$8:$B$1007,'Esecuzioni'!$A$8:$A$1007,A323)),IF(LEFT(U323,8)="FREEBET:",0,Z323)))</x:f>
      </x:c>
      <x:c r="AS323" s="48" t="str">
        <x:f>IF(OR(A323="",E323=""),"",IF(COUNTIFS($E$8:E323,E323)=1,COUNT($AS$7:AS322)+1,""))</x:f>
      </x:c>
    </x:row>
    <x:row r="324" ht="22" customHeight="1">
      <x:c r="A324" s="7"/>
      <x:c r="B324" s="19"/>
      <x:c r="C324" s="19"/>
      <x:c r="D324" s="7"/>
      <x:c r="E324" s="7"/>
      <x:c r="F324" s="7"/>
      <x:c r="G324" s="7"/>
      <x:c r="H324" s="7"/>
      <x:c r="I324" s="7"/>
      <x:c r="J324" s="7"/>
      <x:c r="K324" s="10"/>
      <x:c r="L324" s="7"/>
      <x:c r="M324" s="10"/>
      <x:c r="N324" s="7"/>
      <x:c r="O324" s="8"/>
      <x:c r="P324" s="8"/>
      <x:c r="Q324" s="8"/>
      <x:c r="R324" s="9"/>
      <x:c r="S324" s="7"/>
      <x:c r="T324" s="7"/>
      <x:c r="U324" s="7"/>
      <x:c r="V324" s="7"/>
      <x:c r="W324" s="22" t="str">
        <x:f>IF(A324="","",COUNTIFS('Esecuzioni'!$A$8:$A$1007,A324,'Esecuzioni'!$Q$8:$Q$1007,"OK"))</x:f>
      </x:c>
      <x:c r="X324" s="20" t="str">
        <x:f>IF(OR(A324="",I324&lt;&gt;"Esecuzioni",W324=0),"",SUMIFS('Esecuzioni'!$L$8:$L$1007,'Esecuzioni'!$A$8:$A$1007,A324))</x:f>
      </x:c>
      <x:c r="Y324" s="20" t="str">
        <x:f>IF(OR(A324="",I324&lt;&gt;"Esecuzioni",W324=0),"",SUMIFS('Esecuzioni'!$M$8:$M$1007,'Esecuzioni'!$A$8:$A$1007,A324))</x:f>
      </x:c>
      <x:c r="Z324" s="20" t="str">
        <x:f>IF(A324="","",IF(J324="Annullato",0,IF(ISNUMBER(O324),O324,IF(AND(I324="Esecuzioni",W324&gt;0),_xlfn.MAXIFS('Esecuzioni'!$P$8:$P$1007,'Esecuzioni'!$A$8:$A$1007,A324),""))))</x:f>
      </x:c>
      <x:c r="AA324" s="20" t="str">
        <x:f>IF(OR(A324="",J324="Aperto"),"",IF(J324="Annullato",0,IF(I324="Lordo manuale",IF(ISNUMBER(P324),P324,""),IF(I324="Netto manuale",IF(AND(ISNUMBER(P324),ISNUMBER(Q324)),P324+Q324,""),IF(OR(W324=0,COUNTIFS('Esecuzioni'!$A$8:$A$1007,A324,'Esecuzioni'!$Q$8:$Q$1007,"&lt;&gt;OK")&gt;0),"",IF(S324="Vince",X324,IF(S324="Perde",Y324,IF(AND(S324="Coperto",ABS(X324-Y324)&lt;='Impostazioni'!$B$11),ROUND((X324+Y324)/2,2),""))))))))</x:f>
      </x:c>
      <x:c r="AB324" s="20" t="str">
        <x:f>IF(NOT(ISNUMBER(AA324)),"",IF(J324="Annullato",0,IF(ISNUMBER(Q324),Q324,ROUND(MAX(0,AA324)*IF(ISNUMBER(R324),R324,'Impostazioni'!$B$8),2))))</x:f>
      </x:c>
      <x:c r="AC324" s="20" t="str">
        <x:f>IF(AND(ISNUMBER(AA324),ISNUMBER(AB324)),ROUND(AA324-AB324,2),"")</x:f>
      </x:c>
      <x:c r="AD324" s="18" t="str">
        <x:f>IF(A324="","",IF(AQ324&lt;&gt;"OK","Incompleto",IF(J324="Aperto","Aperto",IF(J324="Annullato","Annullato",IF(AC324&gt;0,"Green",IF(AC324&lt;0,"Red","Flat"))))))</x:f>
      </x:c>
      <x:c r="AE324" s="21" t="str">
        <x:f>IF(AND(AH324=1,Z324&gt;0),AC324/Z324,"")</x:f>
      </x:c>
      <x:c r="AF324" s="22" t="str">
        <x:f>IF(AH324&lt;&gt;1,"",COUNTIFS($C$8:$C$507,"&lt;"&amp;C324,$AH$8:$AH$507,1)+COUNTIFS($C$8:$C$507,C324,$A$8:$A$507,"&lt;="&amp;A324,$AH$8:$AH$507,1))</x:f>
      </x:c>
      <x:c r="AG324" s="20" t="str">
        <x:f>IF(AH324&lt;&gt;1,"",SUMIFS($AC$8:$AC$507,$C$8:$C$507,"&lt;"&amp;C324,$AH$8:$AH$507,1)+SUMIFS($AC$8:$AC$507,$C$8:$C$507,C324,$A$8:$A$507,"&lt;="&amp;A324,$AH$8:$AH$507,1))</x:f>
      </x:c>
      <x:c r="AH324" s="22" t="str">
        <x:f>IF(A324="","",IF(AND(J324="Chiuso",AQ324="OK",ISNUMBER(AC324)),1,0))</x:f>
      </x:c>
      <x:c r="AI324" s="20" t="str">
        <x:f>IF(AH324&lt;&gt;1,"",MAX(0,_xlfn.MAXIFS($AG$8:$AG$507,$AF$8:$AF$507,"&lt;="&amp;AF324,$AH$8:$AH$507,1)))</x:f>
      </x:c>
      <x:c r="AJ324" s="20" t="str">
        <x:f>IF(AH324&lt;&gt;1,"",MAX(0,AI324-AG324))</x:f>
      </x:c>
      <x:c r="AK324" s="21" t="str">
        <x:f>IF(OR(AH324&lt;&gt;1,NOT(ISNUMBER('Impostazioni'!$B$6)),'Impostazioni'!$B$6+AI324&lt;=0),"",AJ324/('Impostazioni'!$B$6+AI324))</x:f>
      </x:c>
      <x:c r="AL324" s="22" t="str">
        <x:f>IF(AH324&lt;&gt;1,"",IF(AC324&gt;0,AF324-_xlfn.MAXIFS($AF$8:$AF$507,$AF$8:$AF$507,"&lt;="&amp;AF324,$AC$8:$AC$507,"&lt;=0",$AH$8:$AH$507,1),0))</x:f>
      </x:c>
      <x:c r="AM324" s="22" t="str">
        <x:f>IF(AH324&lt;&gt;1,"",IF(AC324&lt;0,AF324-_xlfn.MAXIFS($AF$8:$AF$507,$AF$8:$AF$507,"&lt;="&amp;AF324,$AC$8:$AC$507,"&gt;=0",$AH$8:$AH$507,1),0))</x:f>
      </x:c>
      <x:c r="AN324" s="20" t="str">
        <x:f>IF(OR(A324="",NOT(ISNUMBER(B324)),NOT(ISNUMBER('Impostazioni'!$B$6))),"",'Impostazioni'!$B$6+SUMIFS($AC$8:$AC$507,$C$8:$C$507,"&lt;"&amp;B324,$AH$8:$AH$507,1)+SUMIFS('Cassa'!$F$8:$F$307,'Cassa'!$A$8:$A$307,"&lt;="&amp;B324,'Cassa'!$G$8:$G$307,"OK"))</x:f>
      </x:c>
      <x:c r="AO324" s="21" t="str">
        <x:f>IF(AND(ISNUMBER(Z324),ISNUMBER(AN324),AN324&gt;0),Z324/AN324,"")</x:f>
      </x:c>
      <x:c r="AP324" s="18" t="str">
        <x:f>IF(NOT(ISNUMBER(AO324)),"",IF(AO324&gt;'Impostazioni'!$B$7,"Oltre soglia personale","Nella soglia personale"))</x:f>
      </x:c>
      <x:c r="AQ324" s="18" t="str">
        <x:f>IF(A324="",IF(COUNTA(B324:V324)=0,"","Inserisci ID"),IF(COUNTIFS($A$8:$A$507,A324)&lt;&gt;1,"ID duplicato",IF(OR(NOT(ISNUMBER(B324)),D324="",E324="",F324="",G324="",H324="",COUNTIFS('Impostazioni'!$J$6:$J$25,F324)&lt;&gt;1),"Completa dati / elenchi",IF(OR(AND(I324&lt;&gt;"Lordo manuale",I324&lt;&gt;"Netto manuale",I324&lt;&gt;"Esecuzioni"),AND(J324&lt;&gt;"Aperto",J324&lt;&gt;"Chiuso",J324&lt;&gt;"Annullato")),"Modalità / stato mancanti",IF(AND(J324&lt;&gt;"Aperto",OR(NOT(ISNUMBER(C324)),C324&lt;B324)),"Correggi data chiusura",IF(OR(AND(Q324&lt;&gt;"",OR(NOT(ISNUMBER(Q324)),Q324&lt;0)),AND(R324&lt;&gt;"",OR(NOT(ISNUMBER(R324)),R324&lt;0,R324&gt;1))),"Commissione non valida",IF(J324="Annullato","OK",IF(OR(NOT(ISNUMBER(Z324)),Z324&lt;0,AND(O324&lt;&gt;"",NOT(ISNUMBER(O324)))),"Inserisci rischio",IF(AND(I324="Esecuzioni",OR(W324=0,COUNTIFS('Esecuzioni'!$A$8:$A$1007,A324,'Esecuzioni'!$Q$8:$Q$1007,"&lt;&gt;OK")&gt;0)),"Correggi esecuzioni",IF(J324="Aperto","OK",IF(AND(I324="Esecuzioni",S324="Coperto",ABS(X324-Y324)&gt;'Impostazioni'!$B$11),"Copertura residua",IF(NOT(ISNUMBER(AC324)),"Completa risultato / esito",IF(AND(Z324=0,AC324&lt;&gt;0),"Rischio nullo con P/L","OK")))))))))))))</x:f>
      </x:c>
      <x:c r="AR324" s="20" t="str">
        <x:f>IF(OR(A324="",J324&lt;&gt;"Aperto",AQ324&lt;&gt;"OK"),"",IF(I324="Esecuzioni",SUMIFS('Esecuzioni'!$P$8:$P$1007,'Esecuzioni'!$A$8:$A$1007,A324,'Esecuzioni'!$B$8:$B$1007,_xlfn.MAXIFS('Esecuzioni'!$B$8:$B$1007,'Esecuzioni'!$A$8:$A$1007,A324)),IF(LEFT(U324,8)="FREEBET:",0,Z324)))</x:f>
      </x:c>
      <x:c r="AS324" s="48" t="str">
        <x:f>IF(OR(A324="",E324=""),"",IF(COUNTIFS($E$8:E324,E324)=1,COUNT($AS$7:AS323)+1,""))</x:f>
      </x:c>
    </x:row>
    <x:row r="325" ht="22" customHeight="1">
      <x:c r="A325" s="7"/>
      <x:c r="B325" s="19"/>
      <x:c r="C325" s="19"/>
      <x:c r="D325" s="7"/>
      <x:c r="E325" s="7"/>
      <x:c r="F325" s="7"/>
      <x:c r="G325" s="7"/>
      <x:c r="H325" s="7"/>
      <x:c r="I325" s="7"/>
      <x:c r="J325" s="7"/>
      <x:c r="K325" s="10"/>
      <x:c r="L325" s="7"/>
      <x:c r="M325" s="10"/>
      <x:c r="N325" s="7"/>
      <x:c r="O325" s="8"/>
      <x:c r="P325" s="8"/>
      <x:c r="Q325" s="8"/>
      <x:c r="R325" s="9"/>
      <x:c r="S325" s="7"/>
      <x:c r="T325" s="7"/>
      <x:c r="U325" s="7"/>
      <x:c r="V325" s="7"/>
      <x:c r="W325" s="22" t="str">
        <x:f>IF(A325="","",COUNTIFS('Esecuzioni'!$A$8:$A$1007,A325,'Esecuzioni'!$Q$8:$Q$1007,"OK"))</x:f>
      </x:c>
      <x:c r="X325" s="20" t="str">
        <x:f>IF(OR(A325="",I325&lt;&gt;"Esecuzioni",W325=0),"",SUMIFS('Esecuzioni'!$L$8:$L$1007,'Esecuzioni'!$A$8:$A$1007,A325))</x:f>
      </x:c>
      <x:c r="Y325" s="20" t="str">
        <x:f>IF(OR(A325="",I325&lt;&gt;"Esecuzioni",W325=0),"",SUMIFS('Esecuzioni'!$M$8:$M$1007,'Esecuzioni'!$A$8:$A$1007,A325))</x:f>
      </x:c>
      <x:c r="Z325" s="20" t="str">
        <x:f>IF(A325="","",IF(J325="Annullato",0,IF(ISNUMBER(O325),O325,IF(AND(I325="Esecuzioni",W325&gt;0),_xlfn.MAXIFS('Esecuzioni'!$P$8:$P$1007,'Esecuzioni'!$A$8:$A$1007,A325),""))))</x:f>
      </x:c>
      <x:c r="AA325" s="20" t="str">
        <x:f>IF(OR(A325="",J325="Aperto"),"",IF(J325="Annullato",0,IF(I325="Lordo manuale",IF(ISNUMBER(P325),P325,""),IF(I325="Netto manuale",IF(AND(ISNUMBER(P325),ISNUMBER(Q325)),P325+Q325,""),IF(OR(W325=0,COUNTIFS('Esecuzioni'!$A$8:$A$1007,A325,'Esecuzioni'!$Q$8:$Q$1007,"&lt;&gt;OK")&gt;0),"",IF(S325="Vince",X325,IF(S325="Perde",Y325,IF(AND(S325="Coperto",ABS(X325-Y325)&lt;='Impostazioni'!$B$11),ROUND((X325+Y325)/2,2),""))))))))</x:f>
      </x:c>
      <x:c r="AB325" s="20" t="str">
        <x:f>IF(NOT(ISNUMBER(AA325)),"",IF(J325="Annullato",0,IF(ISNUMBER(Q325),Q325,ROUND(MAX(0,AA325)*IF(ISNUMBER(R325),R325,'Impostazioni'!$B$8),2))))</x:f>
      </x:c>
      <x:c r="AC325" s="20" t="str">
        <x:f>IF(AND(ISNUMBER(AA325),ISNUMBER(AB325)),ROUND(AA325-AB325,2),"")</x:f>
      </x:c>
      <x:c r="AD325" s="18" t="str">
        <x:f>IF(A325="","",IF(AQ325&lt;&gt;"OK","Incompleto",IF(J325="Aperto","Aperto",IF(J325="Annullato","Annullato",IF(AC325&gt;0,"Green",IF(AC325&lt;0,"Red","Flat"))))))</x:f>
      </x:c>
      <x:c r="AE325" s="21" t="str">
        <x:f>IF(AND(AH325=1,Z325&gt;0),AC325/Z325,"")</x:f>
      </x:c>
      <x:c r="AF325" s="22" t="str">
        <x:f>IF(AH325&lt;&gt;1,"",COUNTIFS($C$8:$C$507,"&lt;"&amp;C325,$AH$8:$AH$507,1)+COUNTIFS($C$8:$C$507,C325,$A$8:$A$507,"&lt;="&amp;A325,$AH$8:$AH$507,1))</x:f>
      </x:c>
      <x:c r="AG325" s="20" t="str">
        <x:f>IF(AH325&lt;&gt;1,"",SUMIFS($AC$8:$AC$507,$C$8:$C$507,"&lt;"&amp;C325,$AH$8:$AH$507,1)+SUMIFS($AC$8:$AC$507,$C$8:$C$507,C325,$A$8:$A$507,"&lt;="&amp;A325,$AH$8:$AH$507,1))</x:f>
      </x:c>
      <x:c r="AH325" s="22" t="str">
        <x:f>IF(A325="","",IF(AND(J325="Chiuso",AQ325="OK",ISNUMBER(AC325)),1,0))</x:f>
      </x:c>
      <x:c r="AI325" s="20" t="str">
        <x:f>IF(AH325&lt;&gt;1,"",MAX(0,_xlfn.MAXIFS($AG$8:$AG$507,$AF$8:$AF$507,"&lt;="&amp;AF325,$AH$8:$AH$507,1)))</x:f>
      </x:c>
      <x:c r="AJ325" s="20" t="str">
        <x:f>IF(AH325&lt;&gt;1,"",MAX(0,AI325-AG325))</x:f>
      </x:c>
      <x:c r="AK325" s="21" t="str">
        <x:f>IF(OR(AH325&lt;&gt;1,NOT(ISNUMBER('Impostazioni'!$B$6)),'Impostazioni'!$B$6+AI325&lt;=0),"",AJ325/('Impostazioni'!$B$6+AI325))</x:f>
      </x:c>
      <x:c r="AL325" s="22" t="str">
        <x:f>IF(AH325&lt;&gt;1,"",IF(AC325&gt;0,AF325-_xlfn.MAXIFS($AF$8:$AF$507,$AF$8:$AF$507,"&lt;="&amp;AF325,$AC$8:$AC$507,"&lt;=0",$AH$8:$AH$507,1),0))</x:f>
      </x:c>
      <x:c r="AM325" s="22" t="str">
        <x:f>IF(AH325&lt;&gt;1,"",IF(AC325&lt;0,AF325-_xlfn.MAXIFS($AF$8:$AF$507,$AF$8:$AF$507,"&lt;="&amp;AF325,$AC$8:$AC$507,"&gt;=0",$AH$8:$AH$507,1),0))</x:f>
      </x:c>
      <x:c r="AN325" s="20" t="str">
        <x:f>IF(OR(A325="",NOT(ISNUMBER(B325)),NOT(ISNUMBER('Impostazioni'!$B$6))),"",'Impostazioni'!$B$6+SUMIFS($AC$8:$AC$507,$C$8:$C$507,"&lt;"&amp;B325,$AH$8:$AH$507,1)+SUMIFS('Cassa'!$F$8:$F$307,'Cassa'!$A$8:$A$307,"&lt;="&amp;B325,'Cassa'!$G$8:$G$307,"OK"))</x:f>
      </x:c>
      <x:c r="AO325" s="21" t="str">
        <x:f>IF(AND(ISNUMBER(Z325),ISNUMBER(AN325),AN325&gt;0),Z325/AN325,"")</x:f>
      </x:c>
      <x:c r="AP325" s="18" t="str">
        <x:f>IF(NOT(ISNUMBER(AO325)),"",IF(AO325&gt;'Impostazioni'!$B$7,"Oltre soglia personale","Nella soglia personale"))</x:f>
      </x:c>
      <x:c r="AQ325" s="18" t="str">
        <x:f>IF(A325="",IF(COUNTA(B325:V325)=0,"","Inserisci ID"),IF(COUNTIFS($A$8:$A$507,A325)&lt;&gt;1,"ID duplicato",IF(OR(NOT(ISNUMBER(B325)),D325="",E325="",F325="",G325="",H325="",COUNTIFS('Impostazioni'!$J$6:$J$25,F325)&lt;&gt;1),"Completa dati / elenchi",IF(OR(AND(I325&lt;&gt;"Lordo manuale",I325&lt;&gt;"Netto manuale",I325&lt;&gt;"Esecuzioni"),AND(J325&lt;&gt;"Aperto",J325&lt;&gt;"Chiuso",J325&lt;&gt;"Annullato")),"Modalità / stato mancanti",IF(AND(J325&lt;&gt;"Aperto",OR(NOT(ISNUMBER(C325)),C325&lt;B325)),"Correggi data chiusura",IF(OR(AND(Q325&lt;&gt;"",OR(NOT(ISNUMBER(Q325)),Q325&lt;0)),AND(R325&lt;&gt;"",OR(NOT(ISNUMBER(R325)),R325&lt;0,R325&gt;1))),"Commissione non valida",IF(J325="Annullato","OK",IF(OR(NOT(ISNUMBER(Z325)),Z325&lt;0,AND(O325&lt;&gt;"",NOT(ISNUMBER(O325)))),"Inserisci rischio",IF(AND(I325="Esecuzioni",OR(W325=0,COUNTIFS('Esecuzioni'!$A$8:$A$1007,A325,'Esecuzioni'!$Q$8:$Q$1007,"&lt;&gt;OK")&gt;0)),"Correggi esecuzioni",IF(J325="Aperto","OK",IF(AND(I325="Esecuzioni",S325="Coperto",ABS(X325-Y325)&gt;'Impostazioni'!$B$11),"Copertura residua",IF(NOT(ISNUMBER(AC325)),"Completa risultato / esito",IF(AND(Z325=0,AC325&lt;&gt;0),"Rischio nullo con P/L","OK")))))))))))))</x:f>
      </x:c>
      <x:c r="AR325" s="20" t="str">
        <x:f>IF(OR(A325="",J325&lt;&gt;"Aperto",AQ325&lt;&gt;"OK"),"",IF(I325="Esecuzioni",SUMIFS('Esecuzioni'!$P$8:$P$1007,'Esecuzioni'!$A$8:$A$1007,A325,'Esecuzioni'!$B$8:$B$1007,_xlfn.MAXIFS('Esecuzioni'!$B$8:$B$1007,'Esecuzioni'!$A$8:$A$1007,A325)),IF(LEFT(U325,8)="FREEBET:",0,Z325)))</x:f>
      </x:c>
      <x:c r="AS325" s="48" t="str">
        <x:f>IF(OR(A325="",E325=""),"",IF(COUNTIFS($E$8:E325,E325)=1,COUNT($AS$7:AS324)+1,""))</x:f>
      </x:c>
    </x:row>
    <x:row r="326" ht="22" customHeight="1">
      <x:c r="A326" s="7"/>
      <x:c r="B326" s="19"/>
      <x:c r="C326" s="19"/>
      <x:c r="D326" s="7"/>
      <x:c r="E326" s="7"/>
      <x:c r="F326" s="7"/>
      <x:c r="G326" s="7"/>
      <x:c r="H326" s="7"/>
      <x:c r="I326" s="7"/>
      <x:c r="J326" s="7"/>
      <x:c r="K326" s="10"/>
      <x:c r="L326" s="7"/>
      <x:c r="M326" s="10"/>
      <x:c r="N326" s="7"/>
      <x:c r="O326" s="8"/>
      <x:c r="P326" s="8"/>
      <x:c r="Q326" s="8"/>
      <x:c r="R326" s="9"/>
      <x:c r="S326" s="7"/>
      <x:c r="T326" s="7"/>
      <x:c r="U326" s="7"/>
      <x:c r="V326" s="7"/>
      <x:c r="W326" s="22" t="str">
        <x:f>IF(A326="","",COUNTIFS('Esecuzioni'!$A$8:$A$1007,A326,'Esecuzioni'!$Q$8:$Q$1007,"OK"))</x:f>
      </x:c>
      <x:c r="X326" s="20" t="str">
        <x:f>IF(OR(A326="",I326&lt;&gt;"Esecuzioni",W326=0),"",SUMIFS('Esecuzioni'!$L$8:$L$1007,'Esecuzioni'!$A$8:$A$1007,A326))</x:f>
      </x:c>
      <x:c r="Y326" s="20" t="str">
        <x:f>IF(OR(A326="",I326&lt;&gt;"Esecuzioni",W326=0),"",SUMIFS('Esecuzioni'!$M$8:$M$1007,'Esecuzioni'!$A$8:$A$1007,A326))</x:f>
      </x:c>
      <x:c r="Z326" s="20" t="str">
        <x:f>IF(A326="","",IF(J326="Annullato",0,IF(ISNUMBER(O326),O326,IF(AND(I326="Esecuzioni",W326&gt;0),_xlfn.MAXIFS('Esecuzioni'!$P$8:$P$1007,'Esecuzioni'!$A$8:$A$1007,A326),""))))</x:f>
      </x:c>
      <x:c r="AA326" s="20" t="str">
        <x:f>IF(OR(A326="",J326="Aperto"),"",IF(J326="Annullato",0,IF(I326="Lordo manuale",IF(ISNUMBER(P326),P326,""),IF(I326="Netto manuale",IF(AND(ISNUMBER(P326),ISNUMBER(Q326)),P326+Q326,""),IF(OR(W326=0,COUNTIFS('Esecuzioni'!$A$8:$A$1007,A326,'Esecuzioni'!$Q$8:$Q$1007,"&lt;&gt;OK")&gt;0),"",IF(S326="Vince",X326,IF(S326="Perde",Y326,IF(AND(S326="Coperto",ABS(X326-Y326)&lt;='Impostazioni'!$B$11),ROUND((X326+Y326)/2,2),""))))))))</x:f>
      </x:c>
      <x:c r="AB326" s="20" t="str">
        <x:f>IF(NOT(ISNUMBER(AA326)),"",IF(J326="Annullato",0,IF(ISNUMBER(Q326),Q326,ROUND(MAX(0,AA326)*IF(ISNUMBER(R326),R326,'Impostazioni'!$B$8),2))))</x:f>
      </x:c>
      <x:c r="AC326" s="20" t="str">
        <x:f>IF(AND(ISNUMBER(AA326),ISNUMBER(AB326)),ROUND(AA326-AB326,2),"")</x:f>
      </x:c>
      <x:c r="AD326" s="18" t="str">
        <x:f>IF(A326="","",IF(AQ326&lt;&gt;"OK","Incompleto",IF(J326="Aperto","Aperto",IF(J326="Annullato","Annullato",IF(AC326&gt;0,"Green",IF(AC326&lt;0,"Red","Flat"))))))</x:f>
      </x:c>
      <x:c r="AE326" s="21" t="str">
        <x:f>IF(AND(AH326=1,Z326&gt;0),AC326/Z326,"")</x:f>
      </x:c>
      <x:c r="AF326" s="22" t="str">
        <x:f>IF(AH326&lt;&gt;1,"",COUNTIFS($C$8:$C$507,"&lt;"&amp;C326,$AH$8:$AH$507,1)+COUNTIFS($C$8:$C$507,C326,$A$8:$A$507,"&lt;="&amp;A326,$AH$8:$AH$507,1))</x:f>
      </x:c>
      <x:c r="AG326" s="20" t="str">
        <x:f>IF(AH326&lt;&gt;1,"",SUMIFS($AC$8:$AC$507,$C$8:$C$507,"&lt;"&amp;C326,$AH$8:$AH$507,1)+SUMIFS($AC$8:$AC$507,$C$8:$C$507,C326,$A$8:$A$507,"&lt;="&amp;A326,$AH$8:$AH$507,1))</x:f>
      </x:c>
      <x:c r="AH326" s="22" t="str">
        <x:f>IF(A326="","",IF(AND(J326="Chiuso",AQ326="OK",ISNUMBER(AC326)),1,0))</x:f>
      </x:c>
      <x:c r="AI326" s="20" t="str">
        <x:f>IF(AH326&lt;&gt;1,"",MAX(0,_xlfn.MAXIFS($AG$8:$AG$507,$AF$8:$AF$507,"&lt;="&amp;AF326,$AH$8:$AH$507,1)))</x:f>
      </x:c>
      <x:c r="AJ326" s="20" t="str">
        <x:f>IF(AH326&lt;&gt;1,"",MAX(0,AI326-AG326))</x:f>
      </x:c>
      <x:c r="AK326" s="21" t="str">
        <x:f>IF(OR(AH326&lt;&gt;1,NOT(ISNUMBER('Impostazioni'!$B$6)),'Impostazioni'!$B$6+AI326&lt;=0),"",AJ326/('Impostazioni'!$B$6+AI326))</x:f>
      </x:c>
      <x:c r="AL326" s="22" t="str">
        <x:f>IF(AH326&lt;&gt;1,"",IF(AC326&gt;0,AF326-_xlfn.MAXIFS($AF$8:$AF$507,$AF$8:$AF$507,"&lt;="&amp;AF326,$AC$8:$AC$507,"&lt;=0",$AH$8:$AH$507,1),0))</x:f>
      </x:c>
      <x:c r="AM326" s="22" t="str">
        <x:f>IF(AH326&lt;&gt;1,"",IF(AC326&lt;0,AF326-_xlfn.MAXIFS($AF$8:$AF$507,$AF$8:$AF$507,"&lt;="&amp;AF326,$AC$8:$AC$507,"&gt;=0",$AH$8:$AH$507,1),0))</x:f>
      </x:c>
      <x:c r="AN326" s="20" t="str">
        <x:f>IF(OR(A326="",NOT(ISNUMBER(B326)),NOT(ISNUMBER('Impostazioni'!$B$6))),"",'Impostazioni'!$B$6+SUMIFS($AC$8:$AC$507,$C$8:$C$507,"&lt;"&amp;B326,$AH$8:$AH$507,1)+SUMIFS('Cassa'!$F$8:$F$307,'Cassa'!$A$8:$A$307,"&lt;="&amp;B326,'Cassa'!$G$8:$G$307,"OK"))</x:f>
      </x:c>
      <x:c r="AO326" s="21" t="str">
        <x:f>IF(AND(ISNUMBER(Z326),ISNUMBER(AN326),AN326&gt;0),Z326/AN326,"")</x:f>
      </x:c>
      <x:c r="AP326" s="18" t="str">
        <x:f>IF(NOT(ISNUMBER(AO326)),"",IF(AO326&gt;'Impostazioni'!$B$7,"Oltre soglia personale","Nella soglia personale"))</x:f>
      </x:c>
      <x:c r="AQ326" s="18" t="str">
        <x:f>IF(A326="",IF(COUNTA(B326:V326)=0,"","Inserisci ID"),IF(COUNTIFS($A$8:$A$507,A326)&lt;&gt;1,"ID duplicato",IF(OR(NOT(ISNUMBER(B326)),D326="",E326="",F326="",G326="",H326="",COUNTIFS('Impostazioni'!$J$6:$J$25,F326)&lt;&gt;1),"Completa dati / elenchi",IF(OR(AND(I326&lt;&gt;"Lordo manuale",I326&lt;&gt;"Netto manuale",I326&lt;&gt;"Esecuzioni"),AND(J326&lt;&gt;"Aperto",J326&lt;&gt;"Chiuso",J326&lt;&gt;"Annullato")),"Modalità / stato mancanti",IF(AND(J326&lt;&gt;"Aperto",OR(NOT(ISNUMBER(C326)),C326&lt;B326)),"Correggi data chiusura",IF(OR(AND(Q326&lt;&gt;"",OR(NOT(ISNUMBER(Q326)),Q326&lt;0)),AND(R326&lt;&gt;"",OR(NOT(ISNUMBER(R326)),R326&lt;0,R326&gt;1))),"Commissione non valida",IF(J326="Annullato","OK",IF(OR(NOT(ISNUMBER(Z326)),Z326&lt;0,AND(O326&lt;&gt;"",NOT(ISNUMBER(O326)))),"Inserisci rischio",IF(AND(I326="Esecuzioni",OR(W326=0,COUNTIFS('Esecuzioni'!$A$8:$A$1007,A326,'Esecuzioni'!$Q$8:$Q$1007,"&lt;&gt;OK")&gt;0)),"Correggi esecuzioni",IF(J326="Aperto","OK",IF(AND(I326="Esecuzioni",S326="Coperto",ABS(X326-Y326)&gt;'Impostazioni'!$B$11),"Copertura residua",IF(NOT(ISNUMBER(AC326)),"Completa risultato / esito",IF(AND(Z326=0,AC326&lt;&gt;0),"Rischio nullo con P/L","OK")))))))))))))</x:f>
      </x:c>
      <x:c r="AR326" s="20" t="str">
        <x:f>IF(OR(A326="",J326&lt;&gt;"Aperto",AQ326&lt;&gt;"OK"),"",IF(I326="Esecuzioni",SUMIFS('Esecuzioni'!$P$8:$P$1007,'Esecuzioni'!$A$8:$A$1007,A326,'Esecuzioni'!$B$8:$B$1007,_xlfn.MAXIFS('Esecuzioni'!$B$8:$B$1007,'Esecuzioni'!$A$8:$A$1007,A326)),IF(LEFT(U326,8)="FREEBET:",0,Z326)))</x:f>
      </x:c>
      <x:c r="AS326" s="48" t="str">
        <x:f>IF(OR(A326="",E326=""),"",IF(COUNTIFS($E$8:E326,E326)=1,COUNT($AS$7:AS325)+1,""))</x:f>
      </x:c>
    </x:row>
    <x:row r="327" ht="22" customHeight="1">
      <x:c r="A327" s="7"/>
      <x:c r="B327" s="19"/>
      <x:c r="C327" s="19"/>
      <x:c r="D327" s="7"/>
      <x:c r="E327" s="7"/>
      <x:c r="F327" s="7"/>
      <x:c r="G327" s="7"/>
      <x:c r="H327" s="7"/>
      <x:c r="I327" s="7"/>
      <x:c r="J327" s="7"/>
      <x:c r="K327" s="10"/>
      <x:c r="L327" s="7"/>
      <x:c r="M327" s="10"/>
      <x:c r="N327" s="7"/>
      <x:c r="O327" s="8"/>
      <x:c r="P327" s="8"/>
      <x:c r="Q327" s="8"/>
      <x:c r="R327" s="9"/>
      <x:c r="S327" s="7"/>
      <x:c r="T327" s="7"/>
      <x:c r="U327" s="7"/>
      <x:c r="V327" s="7"/>
      <x:c r="W327" s="22" t="str">
        <x:f>IF(A327="","",COUNTIFS('Esecuzioni'!$A$8:$A$1007,A327,'Esecuzioni'!$Q$8:$Q$1007,"OK"))</x:f>
      </x:c>
      <x:c r="X327" s="20" t="str">
        <x:f>IF(OR(A327="",I327&lt;&gt;"Esecuzioni",W327=0),"",SUMIFS('Esecuzioni'!$L$8:$L$1007,'Esecuzioni'!$A$8:$A$1007,A327))</x:f>
      </x:c>
      <x:c r="Y327" s="20" t="str">
        <x:f>IF(OR(A327="",I327&lt;&gt;"Esecuzioni",W327=0),"",SUMIFS('Esecuzioni'!$M$8:$M$1007,'Esecuzioni'!$A$8:$A$1007,A327))</x:f>
      </x:c>
      <x:c r="Z327" s="20" t="str">
        <x:f>IF(A327="","",IF(J327="Annullato",0,IF(ISNUMBER(O327),O327,IF(AND(I327="Esecuzioni",W327&gt;0),_xlfn.MAXIFS('Esecuzioni'!$P$8:$P$1007,'Esecuzioni'!$A$8:$A$1007,A327),""))))</x:f>
      </x:c>
      <x:c r="AA327" s="20" t="str">
        <x:f>IF(OR(A327="",J327="Aperto"),"",IF(J327="Annullato",0,IF(I327="Lordo manuale",IF(ISNUMBER(P327),P327,""),IF(I327="Netto manuale",IF(AND(ISNUMBER(P327),ISNUMBER(Q327)),P327+Q327,""),IF(OR(W327=0,COUNTIFS('Esecuzioni'!$A$8:$A$1007,A327,'Esecuzioni'!$Q$8:$Q$1007,"&lt;&gt;OK")&gt;0),"",IF(S327="Vince",X327,IF(S327="Perde",Y327,IF(AND(S327="Coperto",ABS(X327-Y327)&lt;='Impostazioni'!$B$11),ROUND((X327+Y327)/2,2),""))))))))</x:f>
      </x:c>
      <x:c r="AB327" s="20" t="str">
        <x:f>IF(NOT(ISNUMBER(AA327)),"",IF(J327="Annullato",0,IF(ISNUMBER(Q327),Q327,ROUND(MAX(0,AA327)*IF(ISNUMBER(R327),R327,'Impostazioni'!$B$8),2))))</x:f>
      </x:c>
      <x:c r="AC327" s="20" t="str">
        <x:f>IF(AND(ISNUMBER(AA327),ISNUMBER(AB327)),ROUND(AA327-AB327,2),"")</x:f>
      </x:c>
      <x:c r="AD327" s="18" t="str">
        <x:f>IF(A327="","",IF(AQ327&lt;&gt;"OK","Incompleto",IF(J327="Aperto","Aperto",IF(J327="Annullato","Annullato",IF(AC327&gt;0,"Green",IF(AC327&lt;0,"Red","Flat"))))))</x:f>
      </x:c>
      <x:c r="AE327" s="21" t="str">
        <x:f>IF(AND(AH327=1,Z327&gt;0),AC327/Z327,"")</x:f>
      </x:c>
      <x:c r="AF327" s="22" t="str">
        <x:f>IF(AH327&lt;&gt;1,"",COUNTIFS($C$8:$C$507,"&lt;"&amp;C327,$AH$8:$AH$507,1)+COUNTIFS($C$8:$C$507,C327,$A$8:$A$507,"&lt;="&amp;A327,$AH$8:$AH$507,1))</x:f>
      </x:c>
      <x:c r="AG327" s="20" t="str">
        <x:f>IF(AH327&lt;&gt;1,"",SUMIFS($AC$8:$AC$507,$C$8:$C$507,"&lt;"&amp;C327,$AH$8:$AH$507,1)+SUMIFS($AC$8:$AC$507,$C$8:$C$507,C327,$A$8:$A$507,"&lt;="&amp;A327,$AH$8:$AH$507,1))</x:f>
      </x:c>
      <x:c r="AH327" s="22" t="str">
        <x:f>IF(A327="","",IF(AND(J327="Chiuso",AQ327="OK",ISNUMBER(AC327)),1,0))</x:f>
      </x:c>
      <x:c r="AI327" s="20" t="str">
        <x:f>IF(AH327&lt;&gt;1,"",MAX(0,_xlfn.MAXIFS($AG$8:$AG$507,$AF$8:$AF$507,"&lt;="&amp;AF327,$AH$8:$AH$507,1)))</x:f>
      </x:c>
      <x:c r="AJ327" s="20" t="str">
        <x:f>IF(AH327&lt;&gt;1,"",MAX(0,AI327-AG327))</x:f>
      </x:c>
      <x:c r="AK327" s="21" t="str">
        <x:f>IF(OR(AH327&lt;&gt;1,NOT(ISNUMBER('Impostazioni'!$B$6)),'Impostazioni'!$B$6+AI327&lt;=0),"",AJ327/('Impostazioni'!$B$6+AI327))</x:f>
      </x:c>
      <x:c r="AL327" s="22" t="str">
        <x:f>IF(AH327&lt;&gt;1,"",IF(AC327&gt;0,AF327-_xlfn.MAXIFS($AF$8:$AF$507,$AF$8:$AF$507,"&lt;="&amp;AF327,$AC$8:$AC$507,"&lt;=0",$AH$8:$AH$507,1),0))</x:f>
      </x:c>
      <x:c r="AM327" s="22" t="str">
        <x:f>IF(AH327&lt;&gt;1,"",IF(AC327&lt;0,AF327-_xlfn.MAXIFS($AF$8:$AF$507,$AF$8:$AF$507,"&lt;="&amp;AF327,$AC$8:$AC$507,"&gt;=0",$AH$8:$AH$507,1),0))</x:f>
      </x:c>
      <x:c r="AN327" s="20" t="str">
        <x:f>IF(OR(A327="",NOT(ISNUMBER(B327)),NOT(ISNUMBER('Impostazioni'!$B$6))),"",'Impostazioni'!$B$6+SUMIFS($AC$8:$AC$507,$C$8:$C$507,"&lt;"&amp;B327,$AH$8:$AH$507,1)+SUMIFS('Cassa'!$F$8:$F$307,'Cassa'!$A$8:$A$307,"&lt;="&amp;B327,'Cassa'!$G$8:$G$307,"OK"))</x:f>
      </x:c>
      <x:c r="AO327" s="21" t="str">
        <x:f>IF(AND(ISNUMBER(Z327),ISNUMBER(AN327),AN327&gt;0),Z327/AN327,"")</x:f>
      </x:c>
      <x:c r="AP327" s="18" t="str">
        <x:f>IF(NOT(ISNUMBER(AO327)),"",IF(AO327&gt;'Impostazioni'!$B$7,"Oltre soglia personale","Nella soglia personale"))</x:f>
      </x:c>
      <x:c r="AQ327" s="18" t="str">
        <x:f>IF(A327="",IF(COUNTA(B327:V327)=0,"","Inserisci ID"),IF(COUNTIFS($A$8:$A$507,A327)&lt;&gt;1,"ID duplicato",IF(OR(NOT(ISNUMBER(B327)),D327="",E327="",F327="",G327="",H327="",COUNTIFS('Impostazioni'!$J$6:$J$25,F327)&lt;&gt;1),"Completa dati / elenchi",IF(OR(AND(I327&lt;&gt;"Lordo manuale",I327&lt;&gt;"Netto manuale",I327&lt;&gt;"Esecuzioni"),AND(J327&lt;&gt;"Aperto",J327&lt;&gt;"Chiuso",J327&lt;&gt;"Annullato")),"Modalità / stato mancanti",IF(AND(J327&lt;&gt;"Aperto",OR(NOT(ISNUMBER(C327)),C327&lt;B327)),"Correggi data chiusura",IF(OR(AND(Q327&lt;&gt;"",OR(NOT(ISNUMBER(Q327)),Q327&lt;0)),AND(R327&lt;&gt;"",OR(NOT(ISNUMBER(R327)),R327&lt;0,R327&gt;1))),"Commissione non valida",IF(J327="Annullato","OK",IF(OR(NOT(ISNUMBER(Z327)),Z327&lt;0,AND(O327&lt;&gt;"",NOT(ISNUMBER(O327)))),"Inserisci rischio",IF(AND(I327="Esecuzioni",OR(W327=0,COUNTIFS('Esecuzioni'!$A$8:$A$1007,A327,'Esecuzioni'!$Q$8:$Q$1007,"&lt;&gt;OK")&gt;0)),"Correggi esecuzioni",IF(J327="Aperto","OK",IF(AND(I327="Esecuzioni",S327="Coperto",ABS(X327-Y327)&gt;'Impostazioni'!$B$11),"Copertura residua",IF(NOT(ISNUMBER(AC327)),"Completa risultato / esito",IF(AND(Z327=0,AC327&lt;&gt;0),"Rischio nullo con P/L","OK")))))))))))))</x:f>
      </x:c>
      <x:c r="AR327" s="20" t="str">
        <x:f>IF(OR(A327="",J327&lt;&gt;"Aperto",AQ327&lt;&gt;"OK"),"",IF(I327="Esecuzioni",SUMIFS('Esecuzioni'!$P$8:$P$1007,'Esecuzioni'!$A$8:$A$1007,A327,'Esecuzioni'!$B$8:$B$1007,_xlfn.MAXIFS('Esecuzioni'!$B$8:$B$1007,'Esecuzioni'!$A$8:$A$1007,A327)),IF(LEFT(U327,8)="FREEBET:",0,Z327)))</x:f>
      </x:c>
      <x:c r="AS327" s="48" t="str">
        <x:f>IF(OR(A327="",E327=""),"",IF(COUNTIFS($E$8:E327,E327)=1,COUNT($AS$7:AS326)+1,""))</x:f>
      </x:c>
    </x:row>
    <x:row r="328" ht="22" customHeight="1">
      <x:c r="A328" s="7"/>
      <x:c r="B328" s="19"/>
      <x:c r="C328" s="19"/>
      <x:c r="D328" s="7"/>
      <x:c r="E328" s="7"/>
      <x:c r="F328" s="7"/>
      <x:c r="G328" s="7"/>
      <x:c r="H328" s="7"/>
      <x:c r="I328" s="7"/>
      <x:c r="J328" s="7"/>
      <x:c r="K328" s="10"/>
      <x:c r="L328" s="7"/>
      <x:c r="M328" s="10"/>
      <x:c r="N328" s="7"/>
      <x:c r="O328" s="8"/>
      <x:c r="P328" s="8"/>
      <x:c r="Q328" s="8"/>
      <x:c r="R328" s="9"/>
      <x:c r="S328" s="7"/>
      <x:c r="T328" s="7"/>
      <x:c r="U328" s="7"/>
      <x:c r="V328" s="7"/>
      <x:c r="W328" s="22" t="str">
        <x:f>IF(A328="","",COUNTIFS('Esecuzioni'!$A$8:$A$1007,A328,'Esecuzioni'!$Q$8:$Q$1007,"OK"))</x:f>
      </x:c>
      <x:c r="X328" s="20" t="str">
        <x:f>IF(OR(A328="",I328&lt;&gt;"Esecuzioni",W328=0),"",SUMIFS('Esecuzioni'!$L$8:$L$1007,'Esecuzioni'!$A$8:$A$1007,A328))</x:f>
      </x:c>
      <x:c r="Y328" s="20" t="str">
        <x:f>IF(OR(A328="",I328&lt;&gt;"Esecuzioni",W328=0),"",SUMIFS('Esecuzioni'!$M$8:$M$1007,'Esecuzioni'!$A$8:$A$1007,A328))</x:f>
      </x:c>
      <x:c r="Z328" s="20" t="str">
        <x:f>IF(A328="","",IF(J328="Annullato",0,IF(ISNUMBER(O328),O328,IF(AND(I328="Esecuzioni",W328&gt;0),_xlfn.MAXIFS('Esecuzioni'!$P$8:$P$1007,'Esecuzioni'!$A$8:$A$1007,A328),""))))</x:f>
      </x:c>
      <x:c r="AA328" s="20" t="str">
        <x:f>IF(OR(A328="",J328="Aperto"),"",IF(J328="Annullato",0,IF(I328="Lordo manuale",IF(ISNUMBER(P328),P328,""),IF(I328="Netto manuale",IF(AND(ISNUMBER(P328),ISNUMBER(Q328)),P328+Q328,""),IF(OR(W328=0,COUNTIFS('Esecuzioni'!$A$8:$A$1007,A328,'Esecuzioni'!$Q$8:$Q$1007,"&lt;&gt;OK")&gt;0),"",IF(S328="Vince",X328,IF(S328="Perde",Y328,IF(AND(S328="Coperto",ABS(X328-Y328)&lt;='Impostazioni'!$B$11),ROUND((X328+Y328)/2,2),""))))))))</x:f>
      </x:c>
      <x:c r="AB328" s="20" t="str">
        <x:f>IF(NOT(ISNUMBER(AA328)),"",IF(J328="Annullato",0,IF(ISNUMBER(Q328),Q328,ROUND(MAX(0,AA328)*IF(ISNUMBER(R328),R328,'Impostazioni'!$B$8),2))))</x:f>
      </x:c>
      <x:c r="AC328" s="20" t="str">
        <x:f>IF(AND(ISNUMBER(AA328),ISNUMBER(AB328)),ROUND(AA328-AB328,2),"")</x:f>
      </x:c>
      <x:c r="AD328" s="18" t="str">
        <x:f>IF(A328="","",IF(AQ328&lt;&gt;"OK","Incompleto",IF(J328="Aperto","Aperto",IF(J328="Annullato","Annullato",IF(AC328&gt;0,"Green",IF(AC328&lt;0,"Red","Flat"))))))</x:f>
      </x:c>
      <x:c r="AE328" s="21" t="str">
        <x:f>IF(AND(AH328=1,Z328&gt;0),AC328/Z328,"")</x:f>
      </x:c>
      <x:c r="AF328" s="22" t="str">
        <x:f>IF(AH328&lt;&gt;1,"",COUNTIFS($C$8:$C$507,"&lt;"&amp;C328,$AH$8:$AH$507,1)+COUNTIFS($C$8:$C$507,C328,$A$8:$A$507,"&lt;="&amp;A328,$AH$8:$AH$507,1))</x:f>
      </x:c>
      <x:c r="AG328" s="20" t="str">
        <x:f>IF(AH328&lt;&gt;1,"",SUMIFS($AC$8:$AC$507,$C$8:$C$507,"&lt;"&amp;C328,$AH$8:$AH$507,1)+SUMIFS($AC$8:$AC$507,$C$8:$C$507,C328,$A$8:$A$507,"&lt;="&amp;A328,$AH$8:$AH$507,1))</x:f>
      </x:c>
      <x:c r="AH328" s="22" t="str">
        <x:f>IF(A328="","",IF(AND(J328="Chiuso",AQ328="OK",ISNUMBER(AC328)),1,0))</x:f>
      </x:c>
      <x:c r="AI328" s="20" t="str">
        <x:f>IF(AH328&lt;&gt;1,"",MAX(0,_xlfn.MAXIFS($AG$8:$AG$507,$AF$8:$AF$507,"&lt;="&amp;AF328,$AH$8:$AH$507,1)))</x:f>
      </x:c>
      <x:c r="AJ328" s="20" t="str">
        <x:f>IF(AH328&lt;&gt;1,"",MAX(0,AI328-AG328))</x:f>
      </x:c>
      <x:c r="AK328" s="21" t="str">
        <x:f>IF(OR(AH328&lt;&gt;1,NOT(ISNUMBER('Impostazioni'!$B$6)),'Impostazioni'!$B$6+AI328&lt;=0),"",AJ328/('Impostazioni'!$B$6+AI328))</x:f>
      </x:c>
      <x:c r="AL328" s="22" t="str">
        <x:f>IF(AH328&lt;&gt;1,"",IF(AC328&gt;0,AF328-_xlfn.MAXIFS($AF$8:$AF$507,$AF$8:$AF$507,"&lt;="&amp;AF328,$AC$8:$AC$507,"&lt;=0",$AH$8:$AH$507,1),0))</x:f>
      </x:c>
      <x:c r="AM328" s="22" t="str">
        <x:f>IF(AH328&lt;&gt;1,"",IF(AC328&lt;0,AF328-_xlfn.MAXIFS($AF$8:$AF$507,$AF$8:$AF$507,"&lt;="&amp;AF328,$AC$8:$AC$507,"&gt;=0",$AH$8:$AH$507,1),0))</x:f>
      </x:c>
      <x:c r="AN328" s="20" t="str">
        <x:f>IF(OR(A328="",NOT(ISNUMBER(B328)),NOT(ISNUMBER('Impostazioni'!$B$6))),"",'Impostazioni'!$B$6+SUMIFS($AC$8:$AC$507,$C$8:$C$507,"&lt;"&amp;B328,$AH$8:$AH$507,1)+SUMIFS('Cassa'!$F$8:$F$307,'Cassa'!$A$8:$A$307,"&lt;="&amp;B328,'Cassa'!$G$8:$G$307,"OK"))</x:f>
      </x:c>
      <x:c r="AO328" s="21" t="str">
        <x:f>IF(AND(ISNUMBER(Z328),ISNUMBER(AN328),AN328&gt;0),Z328/AN328,"")</x:f>
      </x:c>
      <x:c r="AP328" s="18" t="str">
        <x:f>IF(NOT(ISNUMBER(AO328)),"",IF(AO328&gt;'Impostazioni'!$B$7,"Oltre soglia personale","Nella soglia personale"))</x:f>
      </x:c>
      <x:c r="AQ328" s="18" t="str">
        <x:f>IF(A328="",IF(COUNTA(B328:V328)=0,"","Inserisci ID"),IF(COUNTIFS($A$8:$A$507,A328)&lt;&gt;1,"ID duplicato",IF(OR(NOT(ISNUMBER(B328)),D328="",E328="",F328="",G328="",H328="",COUNTIFS('Impostazioni'!$J$6:$J$25,F328)&lt;&gt;1),"Completa dati / elenchi",IF(OR(AND(I328&lt;&gt;"Lordo manuale",I328&lt;&gt;"Netto manuale",I328&lt;&gt;"Esecuzioni"),AND(J328&lt;&gt;"Aperto",J328&lt;&gt;"Chiuso",J328&lt;&gt;"Annullato")),"Modalità / stato mancanti",IF(AND(J328&lt;&gt;"Aperto",OR(NOT(ISNUMBER(C328)),C328&lt;B328)),"Correggi data chiusura",IF(OR(AND(Q328&lt;&gt;"",OR(NOT(ISNUMBER(Q328)),Q328&lt;0)),AND(R328&lt;&gt;"",OR(NOT(ISNUMBER(R328)),R328&lt;0,R328&gt;1))),"Commissione non valida",IF(J328="Annullato","OK",IF(OR(NOT(ISNUMBER(Z328)),Z328&lt;0,AND(O328&lt;&gt;"",NOT(ISNUMBER(O328)))),"Inserisci rischio",IF(AND(I328="Esecuzioni",OR(W328=0,COUNTIFS('Esecuzioni'!$A$8:$A$1007,A328,'Esecuzioni'!$Q$8:$Q$1007,"&lt;&gt;OK")&gt;0)),"Correggi esecuzioni",IF(J328="Aperto","OK",IF(AND(I328="Esecuzioni",S328="Coperto",ABS(X328-Y328)&gt;'Impostazioni'!$B$11),"Copertura residua",IF(NOT(ISNUMBER(AC328)),"Completa risultato / esito",IF(AND(Z328=0,AC328&lt;&gt;0),"Rischio nullo con P/L","OK")))))))))))))</x:f>
      </x:c>
      <x:c r="AR328" s="20" t="str">
        <x:f>IF(OR(A328="",J328&lt;&gt;"Aperto",AQ328&lt;&gt;"OK"),"",IF(I328="Esecuzioni",SUMIFS('Esecuzioni'!$P$8:$P$1007,'Esecuzioni'!$A$8:$A$1007,A328,'Esecuzioni'!$B$8:$B$1007,_xlfn.MAXIFS('Esecuzioni'!$B$8:$B$1007,'Esecuzioni'!$A$8:$A$1007,A328)),IF(LEFT(U328,8)="FREEBET:",0,Z328)))</x:f>
      </x:c>
      <x:c r="AS328" s="48" t="str">
        <x:f>IF(OR(A328="",E328=""),"",IF(COUNTIFS($E$8:E328,E328)=1,COUNT($AS$7:AS327)+1,""))</x:f>
      </x:c>
    </x:row>
    <x:row r="329" ht="22" customHeight="1">
      <x:c r="A329" s="7"/>
      <x:c r="B329" s="19"/>
      <x:c r="C329" s="19"/>
      <x:c r="D329" s="7"/>
      <x:c r="E329" s="7"/>
      <x:c r="F329" s="7"/>
      <x:c r="G329" s="7"/>
      <x:c r="H329" s="7"/>
      <x:c r="I329" s="7"/>
      <x:c r="J329" s="7"/>
      <x:c r="K329" s="10"/>
      <x:c r="L329" s="7"/>
      <x:c r="M329" s="10"/>
      <x:c r="N329" s="7"/>
      <x:c r="O329" s="8"/>
      <x:c r="P329" s="8"/>
      <x:c r="Q329" s="8"/>
      <x:c r="R329" s="9"/>
      <x:c r="S329" s="7"/>
      <x:c r="T329" s="7"/>
      <x:c r="U329" s="7"/>
      <x:c r="V329" s="7"/>
      <x:c r="W329" s="22" t="str">
        <x:f>IF(A329="","",COUNTIFS('Esecuzioni'!$A$8:$A$1007,A329,'Esecuzioni'!$Q$8:$Q$1007,"OK"))</x:f>
      </x:c>
      <x:c r="X329" s="20" t="str">
        <x:f>IF(OR(A329="",I329&lt;&gt;"Esecuzioni",W329=0),"",SUMIFS('Esecuzioni'!$L$8:$L$1007,'Esecuzioni'!$A$8:$A$1007,A329))</x:f>
      </x:c>
      <x:c r="Y329" s="20" t="str">
        <x:f>IF(OR(A329="",I329&lt;&gt;"Esecuzioni",W329=0),"",SUMIFS('Esecuzioni'!$M$8:$M$1007,'Esecuzioni'!$A$8:$A$1007,A329))</x:f>
      </x:c>
      <x:c r="Z329" s="20" t="str">
        <x:f>IF(A329="","",IF(J329="Annullato",0,IF(ISNUMBER(O329),O329,IF(AND(I329="Esecuzioni",W329&gt;0),_xlfn.MAXIFS('Esecuzioni'!$P$8:$P$1007,'Esecuzioni'!$A$8:$A$1007,A329),""))))</x:f>
      </x:c>
      <x:c r="AA329" s="20" t="str">
        <x:f>IF(OR(A329="",J329="Aperto"),"",IF(J329="Annullato",0,IF(I329="Lordo manuale",IF(ISNUMBER(P329),P329,""),IF(I329="Netto manuale",IF(AND(ISNUMBER(P329),ISNUMBER(Q329)),P329+Q329,""),IF(OR(W329=0,COUNTIFS('Esecuzioni'!$A$8:$A$1007,A329,'Esecuzioni'!$Q$8:$Q$1007,"&lt;&gt;OK")&gt;0),"",IF(S329="Vince",X329,IF(S329="Perde",Y329,IF(AND(S329="Coperto",ABS(X329-Y329)&lt;='Impostazioni'!$B$11),ROUND((X329+Y329)/2,2),""))))))))</x:f>
      </x:c>
      <x:c r="AB329" s="20" t="str">
        <x:f>IF(NOT(ISNUMBER(AA329)),"",IF(J329="Annullato",0,IF(ISNUMBER(Q329),Q329,ROUND(MAX(0,AA329)*IF(ISNUMBER(R329),R329,'Impostazioni'!$B$8),2))))</x:f>
      </x:c>
      <x:c r="AC329" s="20" t="str">
        <x:f>IF(AND(ISNUMBER(AA329),ISNUMBER(AB329)),ROUND(AA329-AB329,2),"")</x:f>
      </x:c>
      <x:c r="AD329" s="18" t="str">
        <x:f>IF(A329="","",IF(AQ329&lt;&gt;"OK","Incompleto",IF(J329="Aperto","Aperto",IF(J329="Annullato","Annullato",IF(AC329&gt;0,"Green",IF(AC329&lt;0,"Red","Flat"))))))</x:f>
      </x:c>
      <x:c r="AE329" s="21" t="str">
        <x:f>IF(AND(AH329=1,Z329&gt;0),AC329/Z329,"")</x:f>
      </x:c>
      <x:c r="AF329" s="22" t="str">
        <x:f>IF(AH329&lt;&gt;1,"",COUNTIFS($C$8:$C$507,"&lt;"&amp;C329,$AH$8:$AH$507,1)+COUNTIFS($C$8:$C$507,C329,$A$8:$A$507,"&lt;="&amp;A329,$AH$8:$AH$507,1))</x:f>
      </x:c>
      <x:c r="AG329" s="20" t="str">
        <x:f>IF(AH329&lt;&gt;1,"",SUMIFS($AC$8:$AC$507,$C$8:$C$507,"&lt;"&amp;C329,$AH$8:$AH$507,1)+SUMIFS($AC$8:$AC$507,$C$8:$C$507,C329,$A$8:$A$507,"&lt;="&amp;A329,$AH$8:$AH$507,1))</x:f>
      </x:c>
      <x:c r="AH329" s="22" t="str">
        <x:f>IF(A329="","",IF(AND(J329="Chiuso",AQ329="OK",ISNUMBER(AC329)),1,0))</x:f>
      </x:c>
      <x:c r="AI329" s="20" t="str">
        <x:f>IF(AH329&lt;&gt;1,"",MAX(0,_xlfn.MAXIFS($AG$8:$AG$507,$AF$8:$AF$507,"&lt;="&amp;AF329,$AH$8:$AH$507,1)))</x:f>
      </x:c>
      <x:c r="AJ329" s="20" t="str">
        <x:f>IF(AH329&lt;&gt;1,"",MAX(0,AI329-AG329))</x:f>
      </x:c>
      <x:c r="AK329" s="21" t="str">
        <x:f>IF(OR(AH329&lt;&gt;1,NOT(ISNUMBER('Impostazioni'!$B$6)),'Impostazioni'!$B$6+AI329&lt;=0),"",AJ329/('Impostazioni'!$B$6+AI329))</x:f>
      </x:c>
      <x:c r="AL329" s="22" t="str">
        <x:f>IF(AH329&lt;&gt;1,"",IF(AC329&gt;0,AF329-_xlfn.MAXIFS($AF$8:$AF$507,$AF$8:$AF$507,"&lt;="&amp;AF329,$AC$8:$AC$507,"&lt;=0",$AH$8:$AH$507,1),0))</x:f>
      </x:c>
      <x:c r="AM329" s="22" t="str">
        <x:f>IF(AH329&lt;&gt;1,"",IF(AC329&lt;0,AF329-_xlfn.MAXIFS($AF$8:$AF$507,$AF$8:$AF$507,"&lt;="&amp;AF329,$AC$8:$AC$507,"&gt;=0",$AH$8:$AH$507,1),0))</x:f>
      </x:c>
      <x:c r="AN329" s="20" t="str">
        <x:f>IF(OR(A329="",NOT(ISNUMBER(B329)),NOT(ISNUMBER('Impostazioni'!$B$6))),"",'Impostazioni'!$B$6+SUMIFS($AC$8:$AC$507,$C$8:$C$507,"&lt;"&amp;B329,$AH$8:$AH$507,1)+SUMIFS('Cassa'!$F$8:$F$307,'Cassa'!$A$8:$A$307,"&lt;="&amp;B329,'Cassa'!$G$8:$G$307,"OK"))</x:f>
      </x:c>
      <x:c r="AO329" s="21" t="str">
        <x:f>IF(AND(ISNUMBER(Z329),ISNUMBER(AN329),AN329&gt;0),Z329/AN329,"")</x:f>
      </x:c>
      <x:c r="AP329" s="18" t="str">
        <x:f>IF(NOT(ISNUMBER(AO329)),"",IF(AO329&gt;'Impostazioni'!$B$7,"Oltre soglia personale","Nella soglia personale"))</x:f>
      </x:c>
      <x:c r="AQ329" s="18" t="str">
        <x:f>IF(A329="",IF(COUNTA(B329:V329)=0,"","Inserisci ID"),IF(COUNTIFS($A$8:$A$507,A329)&lt;&gt;1,"ID duplicato",IF(OR(NOT(ISNUMBER(B329)),D329="",E329="",F329="",G329="",H329="",COUNTIFS('Impostazioni'!$J$6:$J$25,F329)&lt;&gt;1),"Completa dati / elenchi",IF(OR(AND(I329&lt;&gt;"Lordo manuale",I329&lt;&gt;"Netto manuale",I329&lt;&gt;"Esecuzioni"),AND(J329&lt;&gt;"Aperto",J329&lt;&gt;"Chiuso",J329&lt;&gt;"Annullato")),"Modalità / stato mancanti",IF(AND(J329&lt;&gt;"Aperto",OR(NOT(ISNUMBER(C329)),C329&lt;B329)),"Correggi data chiusura",IF(OR(AND(Q329&lt;&gt;"",OR(NOT(ISNUMBER(Q329)),Q329&lt;0)),AND(R329&lt;&gt;"",OR(NOT(ISNUMBER(R329)),R329&lt;0,R329&gt;1))),"Commissione non valida",IF(J329="Annullato","OK",IF(OR(NOT(ISNUMBER(Z329)),Z329&lt;0,AND(O329&lt;&gt;"",NOT(ISNUMBER(O329)))),"Inserisci rischio",IF(AND(I329="Esecuzioni",OR(W329=0,COUNTIFS('Esecuzioni'!$A$8:$A$1007,A329,'Esecuzioni'!$Q$8:$Q$1007,"&lt;&gt;OK")&gt;0)),"Correggi esecuzioni",IF(J329="Aperto","OK",IF(AND(I329="Esecuzioni",S329="Coperto",ABS(X329-Y329)&gt;'Impostazioni'!$B$11),"Copertura residua",IF(NOT(ISNUMBER(AC329)),"Completa risultato / esito",IF(AND(Z329=0,AC329&lt;&gt;0),"Rischio nullo con P/L","OK")))))))))))))</x:f>
      </x:c>
      <x:c r="AR329" s="20" t="str">
        <x:f>IF(OR(A329="",J329&lt;&gt;"Aperto",AQ329&lt;&gt;"OK"),"",IF(I329="Esecuzioni",SUMIFS('Esecuzioni'!$P$8:$P$1007,'Esecuzioni'!$A$8:$A$1007,A329,'Esecuzioni'!$B$8:$B$1007,_xlfn.MAXIFS('Esecuzioni'!$B$8:$B$1007,'Esecuzioni'!$A$8:$A$1007,A329)),IF(LEFT(U329,8)="FREEBET:",0,Z329)))</x:f>
      </x:c>
      <x:c r="AS329" s="48" t="str">
        <x:f>IF(OR(A329="",E329=""),"",IF(COUNTIFS($E$8:E329,E329)=1,COUNT($AS$7:AS328)+1,""))</x:f>
      </x:c>
    </x:row>
    <x:row r="330" ht="22" customHeight="1">
      <x:c r="A330" s="7"/>
      <x:c r="B330" s="19"/>
      <x:c r="C330" s="19"/>
      <x:c r="D330" s="7"/>
      <x:c r="E330" s="7"/>
      <x:c r="F330" s="7"/>
      <x:c r="G330" s="7"/>
      <x:c r="H330" s="7"/>
      <x:c r="I330" s="7"/>
      <x:c r="J330" s="7"/>
      <x:c r="K330" s="10"/>
      <x:c r="L330" s="7"/>
      <x:c r="M330" s="10"/>
      <x:c r="N330" s="7"/>
      <x:c r="O330" s="8"/>
      <x:c r="P330" s="8"/>
      <x:c r="Q330" s="8"/>
      <x:c r="R330" s="9"/>
      <x:c r="S330" s="7"/>
      <x:c r="T330" s="7"/>
      <x:c r="U330" s="7"/>
      <x:c r="V330" s="7"/>
      <x:c r="W330" s="22" t="str">
        <x:f>IF(A330="","",COUNTIFS('Esecuzioni'!$A$8:$A$1007,A330,'Esecuzioni'!$Q$8:$Q$1007,"OK"))</x:f>
      </x:c>
      <x:c r="X330" s="20" t="str">
        <x:f>IF(OR(A330="",I330&lt;&gt;"Esecuzioni",W330=0),"",SUMIFS('Esecuzioni'!$L$8:$L$1007,'Esecuzioni'!$A$8:$A$1007,A330))</x:f>
      </x:c>
      <x:c r="Y330" s="20" t="str">
        <x:f>IF(OR(A330="",I330&lt;&gt;"Esecuzioni",W330=0),"",SUMIFS('Esecuzioni'!$M$8:$M$1007,'Esecuzioni'!$A$8:$A$1007,A330))</x:f>
      </x:c>
      <x:c r="Z330" s="20" t="str">
        <x:f>IF(A330="","",IF(J330="Annullato",0,IF(ISNUMBER(O330),O330,IF(AND(I330="Esecuzioni",W330&gt;0),_xlfn.MAXIFS('Esecuzioni'!$P$8:$P$1007,'Esecuzioni'!$A$8:$A$1007,A330),""))))</x:f>
      </x:c>
      <x:c r="AA330" s="20" t="str">
        <x:f>IF(OR(A330="",J330="Aperto"),"",IF(J330="Annullato",0,IF(I330="Lordo manuale",IF(ISNUMBER(P330),P330,""),IF(I330="Netto manuale",IF(AND(ISNUMBER(P330),ISNUMBER(Q330)),P330+Q330,""),IF(OR(W330=0,COUNTIFS('Esecuzioni'!$A$8:$A$1007,A330,'Esecuzioni'!$Q$8:$Q$1007,"&lt;&gt;OK")&gt;0),"",IF(S330="Vince",X330,IF(S330="Perde",Y330,IF(AND(S330="Coperto",ABS(X330-Y330)&lt;='Impostazioni'!$B$11),ROUND((X330+Y330)/2,2),""))))))))</x:f>
      </x:c>
      <x:c r="AB330" s="20" t="str">
        <x:f>IF(NOT(ISNUMBER(AA330)),"",IF(J330="Annullato",0,IF(ISNUMBER(Q330),Q330,ROUND(MAX(0,AA330)*IF(ISNUMBER(R330),R330,'Impostazioni'!$B$8),2))))</x:f>
      </x:c>
      <x:c r="AC330" s="20" t="str">
        <x:f>IF(AND(ISNUMBER(AA330),ISNUMBER(AB330)),ROUND(AA330-AB330,2),"")</x:f>
      </x:c>
      <x:c r="AD330" s="18" t="str">
        <x:f>IF(A330="","",IF(AQ330&lt;&gt;"OK","Incompleto",IF(J330="Aperto","Aperto",IF(J330="Annullato","Annullato",IF(AC330&gt;0,"Green",IF(AC330&lt;0,"Red","Flat"))))))</x:f>
      </x:c>
      <x:c r="AE330" s="21" t="str">
        <x:f>IF(AND(AH330=1,Z330&gt;0),AC330/Z330,"")</x:f>
      </x:c>
      <x:c r="AF330" s="22" t="str">
        <x:f>IF(AH330&lt;&gt;1,"",COUNTIFS($C$8:$C$507,"&lt;"&amp;C330,$AH$8:$AH$507,1)+COUNTIFS($C$8:$C$507,C330,$A$8:$A$507,"&lt;="&amp;A330,$AH$8:$AH$507,1))</x:f>
      </x:c>
      <x:c r="AG330" s="20" t="str">
        <x:f>IF(AH330&lt;&gt;1,"",SUMIFS($AC$8:$AC$507,$C$8:$C$507,"&lt;"&amp;C330,$AH$8:$AH$507,1)+SUMIFS($AC$8:$AC$507,$C$8:$C$507,C330,$A$8:$A$507,"&lt;="&amp;A330,$AH$8:$AH$507,1))</x:f>
      </x:c>
      <x:c r="AH330" s="22" t="str">
        <x:f>IF(A330="","",IF(AND(J330="Chiuso",AQ330="OK",ISNUMBER(AC330)),1,0))</x:f>
      </x:c>
      <x:c r="AI330" s="20" t="str">
        <x:f>IF(AH330&lt;&gt;1,"",MAX(0,_xlfn.MAXIFS($AG$8:$AG$507,$AF$8:$AF$507,"&lt;="&amp;AF330,$AH$8:$AH$507,1)))</x:f>
      </x:c>
      <x:c r="AJ330" s="20" t="str">
        <x:f>IF(AH330&lt;&gt;1,"",MAX(0,AI330-AG330))</x:f>
      </x:c>
      <x:c r="AK330" s="21" t="str">
        <x:f>IF(OR(AH330&lt;&gt;1,NOT(ISNUMBER('Impostazioni'!$B$6)),'Impostazioni'!$B$6+AI330&lt;=0),"",AJ330/('Impostazioni'!$B$6+AI330))</x:f>
      </x:c>
      <x:c r="AL330" s="22" t="str">
        <x:f>IF(AH330&lt;&gt;1,"",IF(AC330&gt;0,AF330-_xlfn.MAXIFS($AF$8:$AF$507,$AF$8:$AF$507,"&lt;="&amp;AF330,$AC$8:$AC$507,"&lt;=0",$AH$8:$AH$507,1),0))</x:f>
      </x:c>
      <x:c r="AM330" s="22" t="str">
        <x:f>IF(AH330&lt;&gt;1,"",IF(AC330&lt;0,AF330-_xlfn.MAXIFS($AF$8:$AF$507,$AF$8:$AF$507,"&lt;="&amp;AF330,$AC$8:$AC$507,"&gt;=0",$AH$8:$AH$507,1),0))</x:f>
      </x:c>
      <x:c r="AN330" s="20" t="str">
        <x:f>IF(OR(A330="",NOT(ISNUMBER(B330)),NOT(ISNUMBER('Impostazioni'!$B$6))),"",'Impostazioni'!$B$6+SUMIFS($AC$8:$AC$507,$C$8:$C$507,"&lt;"&amp;B330,$AH$8:$AH$507,1)+SUMIFS('Cassa'!$F$8:$F$307,'Cassa'!$A$8:$A$307,"&lt;="&amp;B330,'Cassa'!$G$8:$G$307,"OK"))</x:f>
      </x:c>
      <x:c r="AO330" s="21" t="str">
        <x:f>IF(AND(ISNUMBER(Z330),ISNUMBER(AN330),AN330&gt;0),Z330/AN330,"")</x:f>
      </x:c>
      <x:c r="AP330" s="18" t="str">
        <x:f>IF(NOT(ISNUMBER(AO330)),"",IF(AO330&gt;'Impostazioni'!$B$7,"Oltre soglia personale","Nella soglia personale"))</x:f>
      </x:c>
      <x:c r="AQ330" s="18" t="str">
        <x:f>IF(A330="",IF(COUNTA(B330:V330)=0,"","Inserisci ID"),IF(COUNTIFS($A$8:$A$507,A330)&lt;&gt;1,"ID duplicato",IF(OR(NOT(ISNUMBER(B330)),D330="",E330="",F330="",G330="",H330="",COUNTIFS('Impostazioni'!$J$6:$J$25,F330)&lt;&gt;1),"Completa dati / elenchi",IF(OR(AND(I330&lt;&gt;"Lordo manuale",I330&lt;&gt;"Netto manuale",I330&lt;&gt;"Esecuzioni"),AND(J330&lt;&gt;"Aperto",J330&lt;&gt;"Chiuso",J330&lt;&gt;"Annullato")),"Modalità / stato mancanti",IF(AND(J330&lt;&gt;"Aperto",OR(NOT(ISNUMBER(C330)),C330&lt;B330)),"Correggi data chiusura",IF(OR(AND(Q330&lt;&gt;"",OR(NOT(ISNUMBER(Q330)),Q330&lt;0)),AND(R330&lt;&gt;"",OR(NOT(ISNUMBER(R330)),R330&lt;0,R330&gt;1))),"Commissione non valida",IF(J330="Annullato","OK",IF(OR(NOT(ISNUMBER(Z330)),Z330&lt;0,AND(O330&lt;&gt;"",NOT(ISNUMBER(O330)))),"Inserisci rischio",IF(AND(I330="Esecuzioni",OR(W330=0,COUNTIFS('Esecuzioni'!$A$8:$A$1007,A330,'Esecuzioni'!$Q$8:$Q$1007,"&lt;&gt;OK")&gt;0)),"Correggi esecuzioni",IF(J330="Aperto","OK",IF(AND(I330="Esecuzioni",S330="Coperto",ABS(X330-Y330)&gt;'Impostazioni'!$B$11),"Copertura residua",IF(NOT(ISNUMBER(AC330)),"Completa risultato / esito",IF(AND(Z330=0,AC330&lt;&gt;0),"Rischio nullo con P/L","OK")))))))))))))</x:f>
      </x:c>
      <x:c r="AR330" s="20" t="str">
        <x:f>IF(OR(A330="",J330&lt;&gt;"Aperto",AQ330&lt;&gt;"OK"),"",IF(I330="Esecuzioni",SUMIFS('Esecuzioni'!$P$8:$P$1007,'Esecuzioni'!$A$8:$A$1007,A330,'Esecuzioni'!$B$8:$B$1007,_xlfn.MAXIFS('Esecuzioni'!$B$8:$B$1007,'Esecuzioni'!$A$8:$A$1007,A330)),IF(LEFT(U330,8)="FREEBET:",0,Z330)))</x:f>
      </x:c>
      <x:c r="AS330" s="48" t="str">
        <x:f>IF(OR(A330="",E330=""),"",IF(COUNTIFS($E$8:E330,E330)=1,COUNT($AS$7:AS329)+1,""))</x:f>
      </x:c>
    </x:row>
    <x:row r="331" ht="22" customHeight="1">
      <x:c r="A331" s="7"/>
      <x:c r="B331" s="19"/>
      <x:c r="C331" s="19"/>
      <x:c r="D331" s="7"/>
      <x:c r="E331" s="7"/>
      <x:c r="F331" s="7"/>
      <x:c r="G331" s="7"/>
      <x:c r="H331" s="7"/>
      <x:c r="I331" s="7"/>
      <x:c r="J331" s="7"/>
      <x:c r="K331" s="10"/>
      <x:c r="L331" s="7"/>
      <x:c r="M331" s="10"/>
      <x:c r="N331" s="7"/>
      <x:c r="O331" s="8"/>
      <x:c r="P331" s="8"/>
      <x:c r="Q331" s="8"/>
      <x:c r="R331" s="9"/>
      <x:c r="S331" s="7"/>
      <x:c r="T331" s="7"/>
      <x:c r="U331" s="7"/>
      <x:c r="V331" s="7"/>
      <x:c r="W331" s="22" t="str">
        <x:f>IF(A331="","",COUNTIFS('Esecuzioni'!$A$8:$A$1007,A331,'Esecuzioni'!$Q$8:$Q$1007,"OK"))</x:f>
      </x:c>
      <x:c r="X331" s="20" t="str">
        <x:f>IF(OR(A331="",I331&lt;&gt;"Esecuzioni",W331=0),"",SUMIFS('Esecuzioni'!$L$8:$L$1007,'Esecuzioni'!$A$8:$A$1007,A331))</x:f>
      </x:c>
      <x:c r="Y331" s="20" t="str">
        <x:f>IF(OR(A331="",I331&lt;&gt;"Esecuzioni",W331=0),"",SUMIFS('Esecuzioni'!$M$8:$M$1007,'Esecuzioni'!$A$8:$A$1007,A331))</x:f>
      </x:c>
      <x:c r="Z331" s="20" t="str">
        <x:f>IF(A331="","",IF(J331="Annullato",0,IF(ISNUMBER(O331),O331,IF(AND(I331="Esecuzioni",W331&gt;0),_xlfn.MAXIFS('Esecuzioni'!$P$8:$P$1007,'Esecuzioni'!$A$8:$A$1007,A331),""))))</x:f>
      </x:c>
      <x:c r="AA331" s="20" t="str">
        <x:f>IF(OR(A331="",J331="Aperto"),"",IF(J331="Annullato",0,IF(I331="Lordo manuale",IF(ISNUMBER(P331),P331,""),IF(I331="Netto manuale",IF(AND(ISNUMBER(P331),ISNUMBER(Q331)),P331+Q331,""),IF(OR(W331=0,COUNTIFS('Esecuzioni'!$A$8:$A$1007,A331,'Esecuzioni'!$Q$8:$Q$1007,"&lt;&gt;OK")&gt;0),"",IF(S331="Vince",X331,IF(S331="Perde",Y331,IF(AND(S331="Coperto",ABS(X331-Y331)&lt;='Impostazioni'!$B$11),ROUND((X331+Y331)/2,2),""))))))))</x:f>
      </x:c>
      <x:c r="AB331" s="20" t="str">
        <x:f>IF(NOT(ISNUMBER(AA331)),"",IF(J331="Annullato",0,IF(ISNUMBER(Q331),Q331,ROUND(MAX(0,AA331)*IF(ISNUMBER(R331),R331,'Impostazioni'!$B$8),2))))</x:f>
      </x:c>
      <x:c r="AC331" s="20" t="str">
        <x:f>IF(AND(ISNUMBER(AA331),ISNUMBER(AB331)),ROUND(AA331-AB331,2),"")</x:f>
      </x:c>
      <x:c r="AD331" s="18" t="str">
        <x:f>IF(A331="","",IF(AQ331&lt;&gt;"OK","Incompleto",IF(J331="Aperto","Aperto",IF(J331="Annullato","Annullato",IF(AC331&gt;0,"Green",IF(AC331&lt;0,"Red","Flat"))))))</x:f>
      </x:c>
      <x:c r="AE331" s="21" t="str">
        <x:f>IF(AND(AH331=1,Z331&gt;0),AC331/Z331,"")</x:f>
      </x:c>
      <x:c r="AF331" s="22" t="str">
        <x:f>IF(AH331&lt;&gt;1,"",COUNTIFS($C$8:$C$507,"&lt;"&amp;C331,$AH$8:$AH$507,1)+COUNTIFS($C$8:$C$507,C331,$A$8:$A$507,"&lt;="&amp;A331,$AH$8:$AH$507,1))</x:f>
      </x:c>
      <x:c r="AG331" s="20" t="str">
        <x:f>IF(AH331&lt;&gt;1,"",SUMIFS($AC$8:$AC$507,$C$8:$C$507,"&lt;"&amp;C331,$AH$8:$AH$507,1)+SUMIFS($AC$8:$AC$507,$C$8:$C$507,C331,$A$8:$A$507,"&lt;="&amp;A331,$AH$8:$AH$507,1))</x:f>
      </x:c>
      <x:c r="AH331" s="22" t="str">
        <x:f>IF(A331="","",IF(AND(J331="Chiuso",AQ331="OK",ISNUMBER(AC331)),1,0))</x:f>
      </x:c>
      <x:c r="AI331" s="20" t="str">
        <x:f>IF(AH331&lt;&gt;1,"",MAX(0,_xlfn.MAXIFS($AG$8:$AG$507,$AF$8:$AF$507,"&lt;="&amp;AF331,$AH$8:$AH$507,1)))</x:f>
      </x:c>
      <x:c r="AJ331" s="20" t="str">
        <x:f>IF(AH331&lt;&gt;1,"",MAX(0,AI331-AG331))</x:f>
      </x:c>
      <x:c r="AK331" s="21" t="str">
        <x:f>IF(OR(AH331&lt;&gt;1,NOT(ISNUMBER('Impostazioni'!$B$6)),'Impostazioni'!$B$6+AI331&lt;=0),"",AJ331/('Impostazioni'!$B$6+AI331))</x:f>
      </x:c>
      <x:c r="AL331" s="22" t="str">
        <x:f>IF(AH331&lt;&gt;1,"",IF(AC331&gt;0,AF331-_xlfn.MAXIFS($AF$8:$AF$507,$AF$8:$AF$507,"&lt;="&amp;AF331,$AC$8:$AC$507,"&lt;=0",$AH$8:$AH$507,1),0))</x:f>
      </x:c>
      <x:c r="AM331" s="22" t="str">
        <x:f>IF(AH331&lt;&gt;1,"",IF(AC331&lt;0,AF331-_xlfn.MAXIFS($AF$8:$AF$507,$AF$8:$AF$507,"&lt;="&amp;AF331,$AC$8:$AC$507,"&gt;=0",$AH$8:$AH$507,1),0))</x:f>
      </x:c>
      <x:c r="AN331" s="20" t="str">
        <x:f>IF(OR(A331="",NOT(ISNUMBER(B331)),NOT(ISNUMBER('Impostazioni'!$B$6))),"",'Impostazioni'!$B$6+SUMIFS($AC$8:$AC$507,$C$8:$C$507,"&lt;"&amp;B331,$AH$8:$AH$507,1)+SUMIFS('Cassa'!$F$8:$F$307,'Cassa'!$A$8:$A$307,"&lt;="&amp;B331,'Cassa'!$G$8:$G$307,"OK"))</x:f>
      </x:c>
      <x:c r="AO331" s="21" t="str">
        <x:f>IF(AND(ISNUMBER(Z331),ISNUMBER(AN331),AN331&gt;0),Z331/AN331,"")</x:f>
      </x:c>
      <x:c r="AP331" s="18" t="str">
        <x:f>IF(NOT(ISNUMBER(AO331)),"",IF(AO331&gt;'Impostazioni'!$B$7,"Oltre soglia personale","Nella soglia personale"))</x:f>
      </x:c>
      <x:c r="AQ331" s="18" t="str">
        <x:f>IF(A331="",IF(COUNTA(B331:V331)=0,"","Inserisci ID"),IF(COUNTIFS($A$8:$A$507,A331)&lt;&gt;1,"ID duplicato",IF(OR(NOT(ISNUMBER(B331)),D331="",E331="",F331="",G331="",H331="",COUNTIFS('Impostazioni'!$J$6:$J$25,F331)&lt;&gt;1),"Completa dati / elenchi",IF(OR(AND(I331&lt;&gt;"Lordo manuale",I331&lt;&gt;"Netto manuale",I331&lt;&gt;"Esecuzioni"),AND(J331&lt;&gt;"Aperto",J331&lt;&gt;"Chiuso",J331&lt;&gt;"Annullato")),"Modalità / stato mancanti",IF(AND(J331&lt;&gt;"Aperto",OR(NOT(ISNUMBER(C331)),C331&lt;B331)),"Correggi data chiusura",IF(OR(AND(Q331&lt;&gt;"",OR(NOT(ISNUMBER(Q331)),Q331&lt;0)),AND(R331&lt;&gt;"",OR(NOT(ISNUMBER(R331)),R331&lt;0,R331&gt;1))),"Commissione non valida",IF(J331="Annullato","OK",IF(OR(NOT(ISNUMBER(Z331)),Z331&lt;0,AND(O331&lt;&gt;"",NOT(ISNUMBER(O331)))),"Inserisci rischio",IF(AND(I331="Esecuzioni",OR(W331=0,COUNTIFS('Esecuzioni'!$A$8:$A$1007,A331,'Esecuzioni'!$Q$8:$Q$1007,"&lt;&gt;OK")&gt;0)),"Correggi esecuzioni",IF(J331="Aperto","OK",IF(AND(I331="Esecuzioni",S331="Coperto",ABS(X331-Y331)&gt;'Impostazioni'!$B$11),"Copertura residua",IF(NOT(ISNUMBER(AC331)),"Completa risultato / esito",IF(AND(Z331=0,AC331&lt;&gt;0),"Rischio nullo con P/L","OK")))))))))))))</x:f>
      </x:c>
      <x:c r="AR331" s="20" t="str">
        <x:f>IF(OR(A331="",J331&lt;&gt;"Aperto",AQ331&lt;&gt;"OK"),"",IF(I331="Esecuzioni",SUMIFS('Esecuzioni'!$P$8:$P$1007,'Esecuzioni'!$A$8:$A$1007,A331,'Esecuzioni'!$B$8:$B$1007,_xlfn.MAXIFS('Esecuzioni'!$B$8:$B$1007,'Esecuzioni'!$A$8:$A$1007,A331)),IF(LEFT(U331,8)="FREEBET:",0,Z331)))</x:f>
      </x:c>
      <x:c r="AS331" s="48" t="str">
        <x:f>IF(OR(A331="",E331=""),"",IF(COUNTIFS($E$8:E331,E331)=1,COUNT($AS$7:AS330)+1,""))</x:f>
      </x:c>
    </x:row>
    <x:row r="332" ht="22" customHeight="1">
      <x:c r="A332" s="7"/>
      <x:c r="B332" s="19"/>
      <x:c r="C332" s="19"/>
      <x:c r="D332" s="7"/>
      <x:c r="E332" s="7"/>
      <x:c r="F332" s="7"/>
      <x:c r="G332" s="7"/>
      <x:c r="H332" s="7"/>
      <x:c r="I332" s="7"/>
      <x:c r="J332" s="7"/>
      <x:c r="K332" s="10"/>
      <x:c r="L332" s="7"/>
      <x:c r="M332" s="10"/>
      <x:c r="N332" s="7"/>
      <x:c r="O332" s="8"/>
      <x:c r="P332" s="8"/>
      <x:c r="Q332" s="8"/>
      <x:c r="R332" s="9"/>
      <x:c r="S332" s="7"/>
      <x:c r="T332" s="7"/>
      <x:c r="U332" s="7"/>
      <x:c r="V332" s="7"/>
      <x:c r="W332" s="22" t="str">
        <x:f>IF(A332="","",COUNTIFS('Esecuzioni'!$A$8:$A$1007,A332,'Esecuzioni'!$Q$8:$Q$1007,"OK"))</x:f>
      </x:c>
      <x:c r="X332" s="20" t="str">
        <x:f>IF(OR(A332="",I332&lt;&gt;"Esecuzioni",W332=0),"",SUMIFS('Esecuzioni'!$L$8:$L$1007,'Esecuzioni'!$A$8:$A$1007,A332))</x:f>
      </x:c>
      <x:c r="Y332" s="20" t="str">
        <x:f>IF(OR(A332="",I332&lt;&gt;"Esecuzioni",W332=0),"",SUMIFS('Esecuzioni'!$M$8:$M$1007,'Esecuzioni'!$A$8:$A$1007,A332))</x:f>
      </x:c>
      <x:c r="Z332" s="20" t="str">
        <x:f>IF(A332="","",IF(J332="Annullato",0,IF(ISNUMBER(O332),O332,IF(AND(I332="Esecuzioni",W332&gt;0),_xlfn.MAXIFS('Esecuzioni'!$P$8:$P$1007,'Esecuzioni'!$A$8:$A$1007,A332),""))))</x:f>
      </x:c>
      <x:c r="AA332" s="20" t="str">
        <x:f>IF(OR(A332="",J332="Aperto"),"",IF(J332="Annullato",0,IF(I332="Lordo manuale",IF(ISNUMBER(P332),P332,""),IF(I332="Netto manuale",IF(AND(ISNUMBER(P332),ISNUMBER(Q332)),P332+Q332,""),IF(OR(W332=0,COUNTIFS('Esecuzioni'!$A$8:$A$1007,A332,'Esecuzioni'!$Q$8:$Q$1007,"&lt;&gt;OK")&gt;0),"",IF(S332="Vince",X332,IF(S332="Perde",Y332,IF(AND(S332="Coperto",ABS(X332-Y332)&lt;='Impostazioni'!$B$11),ROUND((X332+Y332)/2,2),""))))))))</x:f>
      </x:c>
      <x:c r="AB332" s="20" t="str">
        <x:f>IF(NOT(ISNUMBER(AA332)),"",IF(J332="Annullato",0,IF(ISNUMBER(Q332),Q332,ROUND(MAX(0,AA332)*IF(ISNUMBER(R332),R332,'Impostazioni'!$B$8),2))))</x:f>
      </x:c>
      <x:c r="AC332" s="20" t="str">
        <x:f>IF(AND(ISNUMBER(AA332),ISNUMBER(AB332)),ROUND(AA332-AB332,2),"")</x:f>
      </x:c>
      <x:c r="AD332" s="18" t="str">
        <x:f>IF(A332="","",IF(AQ332&lt;&gt;"OK","Incompleto",IF(J332="Aperto","Aperto",IF(J332="Annullato","Annullato",IF(AC332&gt;0,"Green",IF(AC332&lt;0,"Red","Flat"))))))</x:f>
      </x:c>
      <x:c r="AE332" s="21" t="str">
        <x:f>IF(AND(AH332=1,Z332&gt;0),AC332/Z332,"")</x:f>
      </x:c>
      <x:c r="AF332" s="22" t="str">
        <x:f>IF(AH332&lt;&gt;1,"",COUNTIFS($C$8:$C$507,"&lt;"&amp;C332,$AH$8:$AH$507,1)+COUNTIFS($C$8:$C$507,C332,$A$8:$A$507,"&lt;="&amp;A332,$AH$8:$AH$507,1))</x:f>
      </x:c>
      <x:c r="AG332" s="20" t="str">
        <x:f>IF(AH332&lt;&gt;1,"",SUMIFS($AC$8:$AC$507,$C$8:$C$507,"&lt;"&amp;C332,$AH$8:$AH$507,1)+SUMIFS($AC$8:$AC$507,$C$8:$C$507,C332,$A$8:$A$507,"&lt;="&amp;A332,$AH$8:$AH$507,1))</x:f>
      </x:c>
      <x:c r="AH332" s="22" t="str">
        <x:f>IF(A332="","",IF(AND(J332="Chiuso",AQ332="OK",ISNUMBER(AC332)),1,0))</x:f>
      </x:c>
      <x:c r="AI332" s="20" t="str">
        <x:f>IF(AH332&lt;&gt;1,"",MAX(0,_xlfn.MAXIFS($AG$8:$AG$507,$AF$8:$AF$507,"&lt;="&amp;AF332,$AH$8:$AH$507,1)))</x:f>
      </x:c>
      <x:c r="AJ332" s="20" t="str">
        <x:f>IF(AH332&lt;&gt;1,"",MAX(0,AI332-AG332))</x:f>
      </x:c>
      <x:c r="AK332" s="21" t="str">
        <x:f>IF(OR(AH332&lt;&gt;1,NOT(ISNUMBER('Impostazioni'!$B$6)),'Impostazioni'!$B$6+AI332&lt;=0),"",AJ332/('Impostazioni'!$B$6+AI332))</x:f>
      </x:c>
      <x:c r="AL332" s="22" t="str">
        <x:f>IF(AH332&lt;&gt;1,"",IF(AC332&gt;0,AF332-_xlfn.MAXIFS($AF$8:$AF$507,$AF$8:$AF$507,"&lt;="&amp;AF332,$AC$8:$AC$507,"&lt;=0",$AH$8:$AH$507,1),0))</x:f>
      </x:c>
      <x:c r="AM332" s="22" t="str">
        <x:f>IF(AH332&lt;&gt;1,"",IF(AC332&lt;0,AF332-_xlfn.MAXIFS($AF$8:$AF$507,$AF$8:$AF$507,"&lt;="&amp;AF332,$AC$8:$AC$507,"&gt;=0",$AH$8:$AH$507,1),0))</x:f>
      </x:c>
      <x:c r="AN332" s="20" t="str">
        <x:f>IF(OR(A332="",NOT(ISNUMBER(B332)),NOT(ISNUMBER('Impostazioni'!$B$6))),"",'Impostazioni'!$B$6+SUMIFS($AC$8:$AC$507,$C$8:$C$507,"&lt;"&amp;B332,$AH$8:$AH$507,1)+SUMIFS('Cassa'!$F$8:$F$307,'Cassa'!$A$8:$A$307,"&lt;="&amp;B332,'Cassa'!$G$8:$G$307,"OK"))</x:f>
      </x:c>
      <x:c r="AO332" s="21" t="str">
        <x:f>IF(AND(ISNUMBER(Z332),ISNUMBER(AN332),AN332&gt;0),Z332/AN332,"")</x:f>
      </x:c>
      <x:c r="AP332" s="18" t="str">
        <x:f>IF(NOT(ISNUMBER(AO332)),"",IF(AO332&gt;'Impostazioni'!$B$7,"Oltre soglia personale","Nella soglia personale"))</x:f>
      </x:c>
      <x:c r="AQ332" s="18" t="str">
        <x:f>IF(A332="",IF(COUNTA(B332:V332)=0,"","Inserisci ID"),IF(COUNTIFS($A$8:$A$507,A332)&lt;&gt;1,"ID duplicato",IF(OR(NOT(ISNUMBER(B332)),D332="",E332="",F332="",G332="",H332="",COUNTIFS('Impostazioni'!$J$6:$J$25,F332)&lt;&gt;1),"Completa dati / elenchi",IF(OR(AND(I332&lt;&gt;"Lordo manuale",I332&lt;&gt;"Netto manuale",I332&lt;&gt;"Esecuzioni"),AND(J332&lt;&gt;"Aperto",J332&lt;&gt;"Chiuso",J332&lt;&gt;"Annullato")),"Modalità / stato mancanti",IF(AND(J332&lt;&gt;"Aperto",OR(NOT(ISNUMBER(C332)),C332&lt;B332)),"Correggi data chiusura",IF(OR(AND(Q332&lt;&gt;"",OR(NOT(ISNUMBER(Q332)),Q332&lt;0)),AND(R332&lt;&gt;"",OR(NOT(ISNUMBER(R332)),R332&lt;0,R332&gt;1))),"Commissione non valida",IF(J332="Annullato","OK",IF(OR(NOT(ISNUMBER(Z332)),Z332&lt;0,AND(O332&lt;&gt;"",NOT(ISNUMBER(O332)))),"Inserisci rischio",IF(AND(I332="Esecuzioni",OR(W332=0,COUNTIFS('Esecuzioni'!$A$8:$A$1007,A332,'Esecuzioni'!$Q$8:$Q$1007,"&lt;&gt;OK")&gt;0)),"Correggi esecuzioni",IF(J332="Aperto","OK",IF(AND(I332="Esecuzioni",S332="Coperto",ABS(X332-Y332)&gt;'Impostazioni'!$B$11),"Copertura residua",IF(NOT(ISNUMBER(AC332)),"Completa risultato / esito",IF(AND(Z332=0,AC332&lt;&gt;0),"Rischio nullo con P/L","OK")))))))))))))</x:f>
      </x:c>
      <x:c r="AR332" s="20" t="str">
        <x:f>IF(OR(A332="",J332&lt;&gt;"Aperto",AQ332&lt;&gt;"OK"),"",IF(I332="Esecuzioni",SUMIFS('Esecuzioni'!$P$8:$P$1007,'Esecuzioni'!$A$8:$A$1007,A332,'Esecuzioni'!$B$8:$B$1007,_xlfn.MAXIFS('Esecuzioni'!$B$8:$B$1007,'Esecuzioni'!$A$8:$A$1007,A332)),IF(LEFT(U332,8)="FREEBET:",0,Z332)))</x:f>
      </x:c>
      <x:c r="AS332" s="48" t="str">
        <x:f>IF(OR(A332="",E332=""),"",IF(COUNTIFS($E$8:E332,E332)=1,COUNT($AS$7:AS331)+1,""))</x:f>
      </x:c>
    </x:row>
    <x:row r="333" ht="22" customHeight="1">
      <x:c r="A333" s="7"/>
      <x:c r="B333" s="19"/>
      <x:c r="C333" s="19"/>
      <x:c r="D333" s="7"/>
      <x:c r="E333" s="7"/>
      <x:c r="F333" s="7"/>
      <x:c r="G333" s="7"/>
      <x:c r="H333" s="7"/>
      <x:c r="I333" s="7"/>
      <x:c r="J333" s="7"/>
      <x:c r="K333" s="10"/>
      <x:c r="L333" s="7"/>
      <x:c r="M333" s="10"/>
      <x:c r="N333" s="7"/>
      <x:c r="O333" s="8"/>
      <x:c r="P333" s="8"/>
      <x:c r="Q333" s="8"/>
      <x:c r="R333" s="9"/>
      <x:c r="S333" s="7"/>
      <x:c r="T333" s="7"/>
      <x:c r="U333" s="7"/>
      <x:c r="V333" s="7"/>
      <x:c r="W333" s="22" t="str">
        <x:f>IF(A333="","",COUNTIFS('Esecuzioni'!$A$8:$A$1007,A333,'Esecuzioni'!$Q$8:$Q$1007,"OK"))</x:f>
      </x:c>
      <x:c r="X333" s="20" t="str">
        <x:f>IF(OR(A333="",I333&lt;&gt;"Esecuzioni",W333=0),"",SUMIFS('Esecuzioni'!$L$8:$L$1007,'Esecuzioni'!$A$8:$A$1007,A333))</x:f>
      </x:c>
      <x:c r="Y333" s="20" t="str">
        <x:f>IF(OR(A333="",I333&lt;&gt;"Esecuzioni",W333=0),"",SUMIFS('Esecuzioni'!$M$8:$M$1007,'Esecuzioni'!$A$8:$A$1007,A333))</x:f>
      </x:c>
      <x:c r="Z333" s="20" t="str">
        <x:f>IF(A333="","",IF(J333="Annullato",0,IF(ISNUMBER(O333),O333,IF(AND(I333="Esecuzioni",W333&gt;0),_xlfn.MAXIFS('Esecuzioni'!$P$8:$P$1007,'Esecuzioni'!$A$8:$A$1007,A333),""))))</x:f>
      </x:c>
      <x:c r="AA333" s="20" t="str">
        <x:f>IF(OR(A333="",J333="Aperto"),"",IF(J333="Annullato",0,IF(I333="Lordo manuale",IF(ISNUMBER(P333),P333,""),IF(I333="Netto manuale",IF(AND(ISNUMBER(P333),ISNUMBER(Q333)),P333+Q333,""),IF(OR(W333=0,COUNTIFS('Esecuzioni'!$A$8:$A$1007,A333,'Esecuzioni'!$Q$8:$Q$1007,"&lt;&gt;OK")&gt;0),"",IF(S333="Vince",X333,IF(S333="Perde",Y333,IF(AND(S333="Coperto",ABS(X333-Y333)&lt;='Impostazioni'!$B$11),ROUND((X333+Y333)/2,2),""))))))))</x:f>
      </x:c>
      <x:c r="AB333" s="20" t="str">
        <x:f>IF(NOT(ISNUMBER(AA333)),"",IF(J333="Annullato",0,IF(ISNUMBER(Q333),Q333,ROUND(MAX(0,AA333)*IF(ISNUMBER(R333),R333,'Impostazioni'!$B$8),2))))</x:f>
      </x:c>
      <x:c r="AC333" s="20" t="str">
        <x:f>IF(AND(ISNUMBER(AA333),ISNUMBER(AB333)),ROUND(AA333-AB333,2),"")</x:f>
      </x:c>
      <x:c r="AD333" s="18" t="str">
        <x:f>IF(A333="","",IF(AQ333&lt;&gt;"OK","Incompleto",IF(J333="Aperto","Aperto",IF(J333="Annullato","Annullato",IF(AC333&gt;0,"Green",IF(AC333&lt;0,"Red","Flat"))))))</x:f>
      </x:c>
      <x:c r="AE333" s="21" t="str">
        <x:f>IF(AND(AH333=1,Z333&gt;0),AC333/Z333,"")</x:f>
      </x:c>
      <x:c r="AF333" s="22" t="str">
        <x:f>IF(AH333&lt;&gt;1,"",COUNTIFS($C$8:$C$507,"&lt;"&amp;C333,$AH$8:$AH$507,1)+COUNTIFS($C$8:$C$507,C333,$A$8:$A$507,"&lt;="&amp;A333,$AH$8:$AH$507,1))</x:f>
      </x:c>
      <x:c r="AG333" s="20" t="str">
        <x:f>IF(AH333&lt;&gt;1,"",SUMIFS($AC$8:$AC$507,$C$8:$C$507,"&lt;"&amp;C333,$AH$8:$AH$507,1)+SUMIFS($AC$8:$AC$507,$C$8:$C$507,C333,$A$8:$A$507,"&lt;="&amp;A333,$AH$8:$AH$507,1))</x:f>
      </x:c>
      <x:c r="AH333" s="22" t="str">
        <x:f>IF(A333="","",IF(AND(J333="Chiuso",AQ333="OK",ISNUMBER(AC333)),1,0))</x:f>
      </x:c>
      <x:c r="AI333" s="20" t="str">
        <x:f>IF(AH333&lt;&gt;1,"",MAX(0,_xlfn.MAXIFS($AG$8:$AG$507,$AF$8:$AF$507,"&lt;="&amp;AF333,$AH$8:$AH$507,1)))</x:f>
      </x:c>
      <x:c r="AJ333" s="20" t="str">
        <x:f>IF(AH333&lt;&gt;1,"",MAX(0,AI333-AG333))</x:f>
      </x:c>
      <x:c r="AK333" s="21" t="str">
        <x:f>IF(OR(AH333&lt;&gt;1,NOT(ISNUMBER('Impostazioni'!$B$6)),'Impostazioni'!$B$6+AI333&lt;=0),"",AJ333/('Impostazioni'!$B$6+AI333))</x:f>
      </x:c>
      <x:c r="AL333" s="22" t="str">
        <x:f>IF(AH333&lt;&gt;1,"",IF(AC333&gt;0,AF333-_xlfn.MAXIFS($AF$8:$AF$507,$AF$8:$AF$507,"&lt;="&amp;AF333,$AC$8:$AC$507,"&lt;=0",$AH$8:$AH$507,1),0))</x:f>
      </x:c>
      <x:c r="AM333" s="22" t="str">
        <x:f>IF(AH333&lt;&gt;1,"",IF(AC333&lt;0,AF333-_xlfn.MAXIFS($AF$8:$AF$507,$AF$8:$AF$507,"&lt;="&amp;AF333,$AC$8:$AC$507,"&gt;=0",$AH$8:$AH$507,1),0))</x:f>
      </x:c>
      <x:c r="AN333" s="20" t="str">
        <x:f>IF(OR(A333="",NOT(ISNUMBER(B333)),NOT(ISNUMBER('Impostazioni'!$B$6))),"",'Impostazioni'!$B$6+SUMIFS($AC$8:$AC$507,$C$8:$C$507,"&lt;"&amp;B333,$AH$8:$AH$507,1)+SUMIFS('Cassa'!$F$8:$F$307,'Cassa'!$A$8:$A$307,"&lt;="&amp;B333,'Cassa'!$G$8:$G$307,"OK"))</x:f>
      </x:c>
      <x:c r="AO333" s="21" t="str">
        <x:f>IF(AND(ISNUMBER(Z333),ISNUMBER(AN333),AN333&gt;0),Z333/AN333,"")</x:f>
      </x:c>
      <x:c r="AP333" s="18" t="str">
        <x:f>IF(NOT(ISNUMBER(AO333)),"",IF(AO333&gt;'Impostazioni'!$B$7,"Oltre soglia personale","Nella soglia personale"))</x:f>
      </x:c>
      <x:c r="AQ333" s="18" t="str">
        <x:f>IF(A333="",IF(COUNTA(B333:V333)=0,"","Inserisci ID"),IF(COUNTIFS($A$8:$A$507,A333)&lt;&gt;1,"ID duplicato",IF(OR(NOT(ISNUMBER(B333)),D333="",E333="",F333="",G333="",H333="",COUNTIFS('Impostazioni'!$J$6:$J$25,F333)&lt;&gt;1),"Completa dati / elenchi",IF(OR(AND(I333&lt;&gt;"Lordo manuale",I333&lt;&gt;"Netto manuale",I333&lt;&gt;"Esecuzioni"),AND(J333&lt;&gt;"Aperto",J333&lt;&gt;"Chiuso",J333&lt;&gt;"Annullato")),"Modalità / stato mancanti",IF(AND(J333&lt;&gt;"Aperto",OR(NOT(ISNUMBER(C333)),C333&lt;B333)),"Correggi data chiusura",IF(OR(AND(Q333&lt;&gt;"",OR(NOT(ISNUMBER(Q333)),Q333&lt;0)),AND(R333&lt;&gt;"",OR(NOT(ISNUMBER(R333)),R333&lt;0,R333&gt;1))),"Commissione non valida",IF(J333="Annullato","OK",IF(OR(NOT(ISNUMBER(Z333)),Z333&lt;0,AND(O333&lt;&gt;"",NOT(ISNUMBER(O333)))),"Inserisci rischio",IF(AND(I333="Esecuzioni",OR(W333=0,COUNTIFS('Esecuzioni'!$A$8:$A$1007,A333,'Esecuzioni'!$Q$8:$Q$1007,"&lt;&gt;OK")&gt;0)),"Correggi esecuzioni",IF(J333="Aperto","OK",IF(AND(I333="Esecuzioni",S333="Coperto",ABS(X333-Y333)&gt;'Impostazioni'!$B$11),"Copertura residua",IF(NOT(ISNUMBER(AC333)),"Completa risultato / esito",IF(AND(Z333=0,AC333&lt;&gt;0),"Rischio nullo con P/L","OK")))))))))))))</x:f>
      </x:c>
      <x:c r="AR333" s="20" t="str">
        <x:f>IF(OR(A333="",J333&lt;&gt;"Aperto",AQ333&lt;&gt;"OK"),"",IF(I333="Esecuzioni",SUMIFS('Esecuzioni'!$P$8:$P$1007,'Esecuzioni'!$A$8:$A$1007,A333,'Esecuzioni'!$B$8:$B$1007,_xlfn.MAXIFS('Esecuzioni'!$B$8:$B$1007,'Esecuzioni'!$A$8:$A$1007,A333)),IF(LEFT(U333,8)="FREEBET:",0,Z333)))</x:f>
      </x:c>
      <x:c r="AS333" s="48" t="str">
        <x:f>IF(OR(A333="",E333=""),"",IF(COUNTIFS($E$8:E333,E333)=1,COUNT($AS$7:AS332)+1,""))</x:f>
      </x:c>
    </x:row>
    <x:row r="334" ht="22" customHeight="1">
      <x:c r="A334" s="7"/>
      <x:c r="B334" s="19"/>
      <x:c r="C334" s="19"/>
      <x:c r="D334" s="7"/>
      <x:c r="E334" s="7"/>
      <x:c r="F334" s="7"/>
      <x:c r="G334" s="7"/>
      <x:c r="H334" s="7"/>
      <x:c r="I334" s="7"/>
      <x:c r="J334" s="7"/>
      <x:c r="K334" s="10"/>
      <x:c r="L334" s="7"/>
      <x:c r="M334" s="10"/>
      <x:c r="N334" s="7"/>
      <x:c r="O334" s="8"/>
      <x:c r="P334" s="8"/>
      <x:c r="Q334" s="8"/>
      <x:c r="R334" s="9"/>
      <x:c r="S334" s="7"/>
      <x:c r="T334" s="7"/>
      <x:c r="U334" s="7"/>
      <x:c r="V334" s="7"/>
      <x:c r="W334" s="22" t="str">
        <x:f>IF(A334="","",COUNTIFS('Esecuzioni'!$A$8:$A$1007,A334,'Esecuzioni'!$Q$8:$Q$1007,"OK"))</x:f>
      </x:c>
      <x:c r="X334" s="20" t="str">
        <x:f>IF(OR(A334="",I334&lt;&gt;"Esecuzioni",W334=0),"",SUMIFS('Esecuzioni'!$L$8:$L$1007,'Esecuzioni'!$A$8:$A$1007,A334))</x:f>
      </x:c>
      <x:c r="Y334" s="20" t="str">
        <x:f>IF(OR(A334="",I334&lt;&gt;"Esecuzioni",W334=0),"",SUMIFS('Esecuzioni'!$M$8:$M$1007,'Esecuzioni'!$A$8:$A$1007,A334))</x:f>
      </x:c>
      <x:c r="Z334" s="20" t="str">
        <x:f>IF(A334="","",IF(J334="Annullato",0,IF(ISNUMBER(O334),O334,IF(AND(I334="Esecuzioni",W334&gt;0),_xlfn.MAXIFS('Esecuzioni'!$P$8:$P$1007,'Esecuzioni'!$A$8:$A$1007,A334),""))))</x:f>
      </x:c>
      <x:c r="AA334" s="20" t="str">
        <x:f>IF(OR(A334="",J334="Aperto"),"",IF(J334="Annullato",0,IF(I334="Lordo manuale",IF(ISNUMBER(P334),P334,""),IF(I334="Netto manuale",IF(AND(ISNUMBER(P334),ISNUMBER(Q334)),P334+Q334,""),IF(OR(W334=0,COUNTIFS('Esecuzioni'!$A$8:$A$1007,A334,'Esecuzioni'!$Q$8:$Q$1007,"&lt;&gt;OK")&gt;0),"",IF(S334="Vince",X334,IF(S334="Perde",Y334,IF(AND(S334="Coperto",ABS(X334-Y334)&lt;='Impostazioni'!$B$11),ROUND((X334+Y334)/2,2),""))))))))</x:f>
      </x:c>
      <x:c r="AB334" s="20" t="str">
        <x:f>IF(NOT(ISNUMBER(AA334)),"",IF(J334="Annullato",0,IF(ISNUMBER(Q334),Q334,ROUND(MAX(0,AA334)*IF(ISNUMBER(R334),R334,'Impostazioni'!$B$8),2))))</x:f>
      </x:c>
      <x:c r="AC334" s="20" t="str">
        <x:f>IF(AND(ISNUMBER(AA334),ISNUMBER(AB334)),ROUND(AA334-AB334,2),"")</x:f>
      </x:c>
      <x:c r="AD334" s="18" t="str">
        <x:f>IF(A334="","",IF(AQ334&lt;&gt;"OK","Incompleto",IF(J334="Aperto","Aperto",IF(J334="Annullato","Annullato",IF(AC334&gt;0,"Green",IF(AC334&lt;0,"Red","Flat"))))))</x:f>
      </x:c>
      <x:c r="AE334" s="21" t="str">
        <x:f>IF(AND(AH334=1,Z334&gt;0),AC334/Z334,"")</x:f>
      </x:c>
      <x:c r="AF334" s="22" t="str">
        <x:f>IF(AH334&lt;&gt;1,"",COUNTIFS($C$8:$C$507,"&lt;"&amp;C334,$AH$8:$AH$507,1)+COUNTIFS($C$8:$C$507,C334,$A$8:$A$507,"&lt;="&amp;A334,$AH$8:$AH$507,1))</x:f>
      </x:c>
      <x:c r="AG334" s="20" t="str">
        <x:f>IF(AH334&lt;&gt;1,"",SUMIFS($AC$8:$AC$507,$C$8:$C$507,"&lt;"&amp;C334,$AH$8:$AH$507,1)+SUMIFS($AC$8:$AC$507,$C$8:$C$507,C334,$A$8:$A$507,"&lt;="&amp;A334,$AH$8:$AH$507,1))</x:f>
      </x:c>
      <x:c r="AH334" s="22" t="str">
        <x:f>IF(A334="","",IF(AND(J334="Chiuso",AQ334="OK",ISNUMBER(AC334)),1,0))</x:f>
      </x:c>
      <x:c r="AI334" s="20" t="str">
        <x:f>IF(AH334&lt;&gt;1,"",MAX(0,_xlfn.MAXIFS($AG$8:$AG$507,$AF$8:$AF$507,"&lt;="&amp;AF334,$AH$8:$AH$507,1)))</x:f>
      </x:c>
      <x:c r="AJ334" s="20" t="str">
        <x:f>IF(AH334&lt;&gt;1,"",MAX(0,AI334-AG334))</x:f>
      </x:c>
      <x:c r="AK334" s="21" t="str">
        <x:f>IF(OR(AH334&lt;&gt;1,NOT(ISNUMBER('Impostazioni'!$B$6)),'Impostazioni'!$B$6+AI334&lt;=0),"",AJ334/('Impostazioni'!$B$6+AI334))</x:f>
      </x:c>
      <x:c r="AL334" s="22" t="str">
        <x:f>IF(AH334&lt;&gt;1,"",IF(AC334&gt;0,AF334-_xlfn.MAXIFS($AF$8:$AF$507,$AF$8:$AF$507,"&lt;="&amp;AF334,$AC$8:$AC$507,"&lt;=0",$AH$8:$AH$507,1),0))</x:f>
      </x:c>
      <x:c r="AM334" s="22" t="str">
        <x:f>IF(AH334&lt;&gt;1,"",IF(AC334&lt;0,AF334-_xlfn.MAXIFS($AF$8:$AF$507,$AF$8:$AF$507,"&lt;="&amp;AF334,$AC$8:$AC$507,"&gt;=0",$AH$8:$AH$507,1),0))</x:f>
      </x:c>
      <x:c r="AN334" s="20" t="str">
        <x:f>IF(OR(A334="",NOT(ISNUMBER(B334)),NOT(ISNUMBER('Impostazioni'!$B$6))),"",'Impostazioni'!$B$6+SUMIFS($AC$8:$AC$507,$C$8:$C$507,"&lt;"&amp;B334,$AH$8:$AH$507,1)+SUMIFS('Cassa'!$F$8:$F$307,'Cassa'!$A$8:$A$307,"&lt;="&amp;B334,'Cassa'!$G$8:$G$307,"OK"))</x:f>
      </x:c>
      <x:c r="AO334" s="21" t="str">
        <x:f>IF(AND(ISNUMBER(Z334),ISNUMBER(AN334),AN334&gt;0),Z334/AN334,"")</x:f>
      </x:c>
      <x:c r="AP334" s="18" t="str">
        <x:f>IF(NOT(ISNUMBER(AO334)),"",IF(AO334&gt;'Impostazioni'!$B$7,"Oltre soglia personale","Nella soglia personale"))</x:f>
      </x:c>
      <x:c r="AQ334" s="18" t="str">
        <x:f>IF(A334="",IF(COUNTA(B334:V334)=0,"","Inserisci ID"),IF(COUNTIFS($A$8:$A$507,A334)&lt;&gt;1,"ID duplicato",IF(OR(NOT(ISNUMBER(B334)),D334="",E334="",F334="",G334="",H334="",COUNTIFS('Impostazioni'!$J$6:$J$25,F334)&lt;&gt;1),"Completa dati / elenchi",IF(OR(AND(I334&lt;&gt;"Lordo manuale",I334&lt;&gt;"Netto manuale",I334&lt;&gt;"Esecuzioni"),AND(J334&lt;&gt;"Aperto",J334&lt;&gt;"Chiuso",J334&lt;&gt;"Annullato")),"Modalità / stato mancanti",IF(AND(J334&lt;&gt;"Aperto",OR(NOT(ISNUMBER(C334)),C334&lt;B334)),"Correggi data chiusura",IF(OR(AND(Q334&lt;&gt;"",OR(NOT(ISNUMBER(Q334)),Q334&lt;0)),AND(R334&lt;&gt;"",OR(NOT(ISNUMBER(R334)),R334&lt;0,R334&gt;1))),"Commissione non valida",IF(J334="Annullato","OK",IF(OR(NOT(ISNUMBER(Z334)),Z334&lt;0,AND(O334&lt;&gt;"",NOT(ISNUMBER(O334)))),"Inserisci rischio",IF(AND(I334="Esecuzioni",OR(W334=0,COUNTIFS('Esecuzioni'!$A$8:$A$1007,A334,'Esecuzioni'!$Q$8:$Q$1007,"&lt;&gt;OK")&gt;0)),"Correggi esecuzioni",IF(J334="Aperto","OK",IF(AND(I334="Esecuzioni",S334="Coperto",ABS(X334-Y334)&gt;'Impostazioni'!$B$11),"Copertura residua",IF(NOT(ISNUMBER(AC334)),"Completa risultato / esito",IF(AND(Z334=0,AC334&lt;&gt;0),"Rischio nullo con P/L","OK")))))))))))))</x:f>
      </x:c>
      <x:c r="AR334" s="20" t="str">
        <x:f>IF(OR(A334="",J334&lt;&gt;"Aperto",AQ334&lt;&gt;"OK"),"",IF(I334="Esecuzioni",SUMIFS('Esecuzioni'!$P$8:$P$1007,'Esecuzioni'!$A$8:$A$1007,A334,'Esecuzioni'!$B$8:$B$1007,_xlfn.MAXIFS('Esecuzioni'!$B$8:$B$1007,'Esecuzioni'!$A$8:$A$1007,A334)),IF(LEFT(U334,8)="FREEBET:",0,Z334)))</x:f>
      </x:c>
      <x:c r="AS334" s="48" t="str">
        <x:f>IF(OR(A334="",E334=""),"",IF(COUNTIFS($E$8:E334,E334)=1,COUNT($AS$7:AS333)+1,""))</x:f>
      </x:c>
    </x:row>
    <x:row r="335" ht="22" customHeight="1">
      <x:c r="A335" s="7"/>
      <x:c r="B335" s="19"/>
      <x:c r="C335" s="19"/>
      <x:c r="D335" s="7"/>
      <x:c r="E335" s="7"/>
      <x:c r="F335" s="7"/>
      <x:c r="G335" s="7"/>
      <x:c r="H335" s="7"/>
      <x:c r="I335" s="7"/>
      <x:c r="J335" s="7"/>
      <x:c r="K335" s="10"/>
      <x:c r="L335" s="7"/>
      <x:c r="M335" s="10"/>
      <x:c r="N335" s="7"/>
      <x:c r="O335" s="8"/>
      <x:c r="P335" s="8"/>
      <x:c r="Q335" s="8"/>
      <x:c r="R335" s="9"/>
      <x:c r="S335" s="7"/>
      <x:c r="T335" s="7"/>
      <x:c r="U335" s="7"/>
      <x:c r="V335" s="7"/>
      <x:c r="W335" s="22" t="str">
        <x:f>IF(A335="","",COUNTIFS('Esecuzioni'!$A$8:$A$1007,A335,'Esecuzioni'!$Q$8:$Q$1007,"OK"))</x:f>
      </x:c>
      <x:c r="X335" s="20" t="str">
        <x:f>IF(OR(A335="",I335&lt;&gt;"Esecuzioni",W335=0),"",SUMIFS('Esecuzioni'!$L$8:$L$1007,'Esecuzioni'!$A$8:$A$1007,A335))</x:f>
      </x:c>
      <x:c r="Y335" s="20" t="str">
        <x:f>IF(OR(A335="",I335&lt;&gt;"Esecuzioni",W335=0),"",SUMIFS('Esecuzioni'!$M$8:$M$1007,'Esecuzioni'!$A$8:$A$1007,A335))</x:f>
      </x:c>
      <x:c r="Z335" s="20" t="str">
        <x:f>IF(A335="","",IF(J335="Annullato",0,IF(ISNUMBER(O335),O335,IF(AND(I335="Esecuzioni",W335&gt;0),_xlfn.MAXIFS('Esecuzioni'!$P$8:$P$1007,'Esecuzioni'!$A$8:$A$1007,A335),""))))</x:f>
      </x:c>
      <x:c r="AA335" s="20" t="str">
        <x:f>IF(OR(A335="",J335="Aperto"),"",IF(J335="Annullato",0,IF(I335="Lordo manuale",IF(ISNUMBER(P335),P335,""),IF(I335="Netto manuale",IF(AND(ISNUMBER(P335),ISNUMBER(Q335)),P335+Q335,""),IF(OR(W335=0,COUNTIFS('Esecuzioni'!$A$8:$A$1007,A335,'Esecuzioni'!$Q$8:$Q$1007,"&lt;&gt;OK")&gt;0),"",IF(S335="Vince",X335,IF(S335="Perde",Y335,IF(AND(S335="Coperto",ABS(X335-Y335)&lt;='Impostazioni'!$B$11),ROUND((X335+Y335)/2,2),""))))))))</x:f>
      </x:c>
      <x:c r="AB335" s="20" t="str">
        <x:f>IF(NOT(ISNUMBER(AA335)),"",IF(J335="Annullato",0,IF(ISNUMBER(Q335),Q335,ROUND(MAX(0,AA335)*IF(ISNUMBER(R335),R335,'Impostazioni'!$B$8),2))))</x:f>
      </x:c>
      <x:c r="AC335" s="20" t="str">
        <x:f>IF(AND(ISNUMBER(AA335),ISNUMBER(AB335)),ROUND(AA335-AB335,2),"")</x:f>
      </x:c>
      <x:c r="AD335" s="18" t="str">
        <x:f>IF(A335="","",IF(AQ335&lt;&gt;"OK","Incompleto",IF(J335="Aperto","Aperto",IF(J335="Annullato","Annullato",IF(AC335&gt;0,"Green",IF(AC335&lt;0,"Red","Flat"))))))</x:f>
      </x:c>
      <x:c r="AE335" s="21" t="str">
        <x:f>IF(AND(AH335=1,Z335&gt;0),AC335/Z335,"")</x:f>
      </x:c>
      <x:c r="AF335" s="22" t="str">
        <x:f>IF(AH335&lt;&gt;1,"",COUNTIFS($C$8:$C$507,"&lt;"&amp;C335,$AH$8:$AH$507,1)+COUNTIFS($C$8:$C$507,C335,$A$8:$A$507,"&lt;="&amp;A335,$AH$8:$AH$507,1))</x:f>
      </x:c>
      <x:c r="AG335" s="20" t="str">
        <x:f>IF(AH335&lt;&gt;1,"",SUMIFS($AC$8:$AC$507,$C$8:$C$507,"&lt;"&amp;C335,$AH$8:$AH$507,1)+SUMIFS($AC$8:$AC$507,$C$8:$C$507,C335,$A$8:$A$507,"&lt;="&amp;A335,$AH$8:$AH$507,1))</x:f>
      </x:c>
      <x:c r="AH335" s="22" t="str">
        <x:f>IF(A335="","",IF(AND(J335="Chiuso",AQ335="OK",ISNUMBER(AC335)),1,0))</x:f>
      </x:c>
      <x:c r="AI335" s="20" t="str">
        <x:f>IF(AH335&lt;&gt;1,"",MAX(0,_xlfn.MAXIFS($AG$8:$AG$507,$AF$8:$AF$507,"&lt;="&amp;AF335,$AH$8:$AH$507,1)))</x:f>
      </x:c>
      <x:c r="AJ335" s="20" t="str">
        <x:f>IF(AH335&lt;&gt;1,"",MAX(0,AI335-AG335))</x:f>
      </x:c>
      <x:c r="AK335" s="21" t="str">
        <x:f>IF(OR(AH335&lt;&gt;1,NOT(ISNUMBER('Impostazioni'!$B$6)),'Impostazioni'!$B$6+AI335&lt;=0),"",AJ335/('Impostazioni'!$B$6+AI335))</x:f>
      </x:c>
      <x:c r="AL335" s="22" t="str">
        <x:f>IF(AH335&lt;&gt;1,"",IF(AC335&gt;0,AF335-_xlfn.MAXIFS($AF$8:$AF$507,$AF$8:$AF$507,"&lt;="&amp;AF335,$AC$8:$AC$507,"&lt;=0",$AH$8:$AH$507,1),0))</x:f>
      </x:c>
      <x:c r="AM335" s="22" t="str">
        <x:f>IF(AH335&lt;&gt;1,"",IF(AC335&lt;0,AF335-_xlfn.MAXIFS($AF$8:$AF$507,$AF$8:$AF$507,"&lt;="&amp;AF335,$AC$8:$AC$507,"&gt;=0",$AH$8:$AH$507,1),0))</x:f>
      </x:c>
      <x:c r="AN335" s="20" t="str">
        <x:f>IF(OR(A335="",NOT(ISNUMBER(B335)),NOT(ISNUMBER('Impostazioni'!$B$6))),"",'Impostazioni'!$B$6+SUMIFS($AC$8:$AC$507,$C$8:$C$507,"&lt;"&amp;B335,$AH$8:$AH$507,1)+SUMIFS('Cassa'!$F$8:$F$307,'Cassa'!$A$8:$A$307,"&lt;="&amp;B335,'Cassa'!$G$8:$G$307,"OK"))</x:f>
      </x:c>
      <x:c r="AO335" s="21" t="str">
        <x:f>IF(AND(ISNUMBER(Z335),ISNUMBER(AN335),AN335&gt;0),Z335/AN335,"")</x:f>
      </x:c>
      <x:c r="AP335" s="18" t="str">
        <x:f>IF(NOT(ISNUMBER(AO335)),"",IF(AO335&gt;'Impostazioni'!$B$7,"Oltre soglia personale","Nella soglia personale"))</x:f>
      </x:c>
      <x:c r="AQ335" s="18" t="str">
        <x:f>IF(A335="",IF(COUNTA(B335:V335)=0,"","Inserisci ID"),IF(COUNTIFS($A$8:$A$507,A335)&lt;&gt;1,"ID duplicato",IF(OR(NOT(ISNUMBER(B335)),D335="",E335="",F335="",G335="",H335="",COUNTIFS('Impostazioni'!$J$6:$J$25,F335)&lt;&gt;1),"Completa dati / elenchi",IF(OR(AND(I335&lt;&gt;"Lordo manuale",I335&lt;&gt;"Netto manuale",I335&lt;&gt;"Esecuzioni"),AND(J335&lt;&gt;"Aperto",J335&lt;&gt;"Chiuso",J335&lt;&gt;"Annullato")),"Modalità / stato mancanti",IF(AND(J335&lt;&gt;"Aperto",OR(NOT(ISNUMBER(C335)),C335&lt;B335)),"Correggi data chiusura",IF(OR(AND(Q335&lt;&gt;"",OR(NOT(ISNUMBER(Q335)),Q335&lt;0)),AND(R335&lt;&gt;"",OR(NOT(ISNUMBER(R335)),R335&lt;0,R335&gt;1))),"Commissione non valida",IF(J335="Annullato","OK",IF(OR(NOT(ISNUMBER(Z335)),Z335&lt;0,AND(O335&lt;&gt;"",NOT(ISNUMBER(O335)))),"Inserisci rischio",IF(AND(I335="Esecuzioni",OR(W335=0,COUNTIFS('Esecuzioni'!$A$8:$A$1007,A335,'Esecuzioni'!$Q$8:$Q$1007,"&lt;&gt;OK")&gt;0)),"Correggi esecuzioni",IF(J335="Aperto","OK",IF(AND(I335="Esecuzioni",S335="Coperto",ABS(X335-Y335)&gt;'Impostazioni'!$B$11),"Copertura residua",IF(NOT(ISNUMBER(AC335)),"Completa risultato / esito",IF(AND(Z335=0,AC335&lt;&gt;0),"Rischio nullo con P/L","OK")))))))))))))</x:f>
      </x:c>
      <x:c r="AR335" s="20" t="str">
        <x:f>IF(OR(A335="",J335&lt;&gt;"Aperto",AQ335&lt;&gt;"OK"),"",IF(I335="Esecuzioni",SUMIFS('Esecuzioni'!$P$8:$P$1007,'Esecuzioni'!$A$8:$A$1007,A335,'Esecuzioni'!$B$8:$B$1007,_xlfn.MAXIFS('Esecuzioni'!$B$8:$B$1007,'Esecuzioni'!$A$8:$A$1007,A335)),IF(LEFT(U335,8)="FREEBET:",0,Z335)))</x:f>
      </x:c>
      <x:c r="AS335" s="48" t="str">
        <x:f>IF(OR(A335="",E335=""),"",IF(COUNTIFS($E$8:E335,E335)=1,COUNT($AS$7:AS334)+1,""))</x:f>
      </x:c>
    </x:row>
    <x:row r="336" ht="22" customHeight="1">
      <x:c r="A336" s="7"/>
      <x:c r="B336" s="19"/>
      <x:c r="C336" s="19"/>
      <x:c r="D336" s="7"/>
      <x:c r="E336" s="7"/>
      <x:c r="F336" s="7"/>
      <x:c r="G336" s="7"/>
      <x:c r="H336" s="7"/>
      <x:c r="I336" s="7"/>
      <x:c r="J336" s="7"/>
      <x:c r="K336" s="10"/>
      <x:c r="L336" s="7"/>
      <x:c r="M336" s="10"/>
      <x:c r="N336" s="7"/>
      <x:c r="O336" s="8"/>
      <x:c r="P336" s="8"/>
      <x:c r="Q336" s="8"/>
      <x:c r="R336" s="9"/>
      <x:c r="S336" s="7"/>
      <x:c r="T336" s="7"/>
      <x:c r="U336" s="7"/>
      <x:c r="V336" s="7"/>
      <x:c r="W336" s="22" t="str">
        <x:f>IF(A336="","",COUNTIFS('Esecuzioni'!$A$8:$A$1007,A336,'Esecuzioni'!$Q$8:$Q$1007,"OK"))</x:f>
      </x:c>
      <x:c r="X336" s="20" t="str">
        <x:f>IF(OR(A336="",I336&lt;&gt;"Esecuzioni",W336=0),"",SUMIFS('Esecuzioni'!$L$8:$L$1007,'Esecuzioni'!$A$8:$A$1007,A336))</x:f>
      </x:c>
      <x:c r="Y336" s="20" t="str">
        <x:f>IF(OR(A336="",I336&lt;&gt;"Esecuzioni",W336=0),"",SUMIFS('Esecuzioni'!$M$8:$M$1007,'Esecuzioni'!$A$8:$A$1007,A336))</x:f>
      </x:c>
      <x:c r="Z336" s="20" t="str">
        <x:f>IF(A336="","",IF(J336="Annullato",0,IF(ISNUMBER(O336),O336,IF(AND(I336="Esecuzioni",W336&gt;0),_xlfn.MAXIFS('Esecuzioni'!$P$8:$P$1007,'Esecuzioni'!$A$8:$A$1007,A336),""))))</x:f>
      </x:c>
      <x:c r="AA336" s="20" t="str">
        <x:f>IF(OR(A336="",J336="Aperto"),"",IF(J336="Annullato",0,IF(I336="Lordo manuale",IF(ISNUMBER(P336),P336,""),IF(I336="Netto manuale",IF(AND(ISNUMBER(P336),ISNUMBER(Q336)),P336+Q336,""),IF(OR(W336=0,COUNTIFS('Esecuzioni'!$A$8:$A$1007,A336,'Esecuzioni'!$Q$8:$Q$1007,"&lt;&gt;OK")&gt;0),"",IF(S336="Vince",X336,IF(S336="Perde",Y336,IF(AND(S336="Coperto",ABS(X336-Y336)&lt;='Impostazioni'!$B$11),ROUND((X336+Y336)/2,2),""))))))))</x:f>
      </x:c>
      <x:c r="AB336" s="20" t="str">
        <x:f>IF(NOT(ISNUMBER(AA336)),"",IF(J336="Annullato",0,IF(ISNUMBER(Q336),Q336,ROUND(MAX(0,AA336)*IF(ISNUMBER(R336),R336,'Impostazioni'!$B$8),2))))</x:f>
      </x:c>
      <x:c r="AC336" s="20" t="str">
        <x:f>IF(AND(ISNUMBER(AA336),ISNUMBER(AB336)),ROUND(AA336-AB336,2),"")</x:f>
      </x:c>
      <x:c r="AD336" s="18" t="str">
        <x:f>IF(A336="","",IF(AQ336&lt;&gt;"OK","Incompleto",IF(J336="Aperto","Aperto",IF(J336="Annullato","Annullato",IF(AC336&gt;0,"Green",IF(AC336&lt;0,"Red","Flat"))))))</x:f>
      </x:c>
      <x:c r="AE336" s="21" t="str">
        <x:f>IF(AND(AH336=1,Z336&gt;0),AC336/Z336,"")</x:f>
      </x:c>
      <x:c r="AF336" s="22" t="str">
        <x:f>IF(AH336&lt;&gt;1,"",COUNTIFS($C$8:$C$507,"&lt;"&amp;C336,$AH$8:$AH$507,1)+COUNTIFS($C$8:$C$507,C336,$A$8:$A$507,"&lt;="&amp;A336,$AH$8:$AH$507,1))</x:f>
      </x:c>
      <x:c r="AG336" s="20" t="str">
        <x:f>IF(AH336&lt;&gt;1,"",SUMIFS($AC$8:$AC$507,$C$8:$C$507,"&lt;"&amp;C336,$AH$8:$AH$507,1)+SUMIFS($AC$8:$AC$507,$C$8:$C$507,C336,$A$8:$A$507,"&lt;="&amp;A336,$AH$8:$AH$507,1))</x:f>
      </x:c>
      <x:c r="AH336" s="22" t="str">
        <x:f>IF(A336="","",IF(AND(J336="Chiuso",AQ336="OK",ISNUMBER(AC336)),1,0))</x:f>
      </x:c>
      <x:c r="AI336" s="20" t="str">
        <x:f>IF(AH336&lt;&gt;1,"",MAX(0,_xlfn.MAXIFS($AG$8:$AG$507,$AF$8:$AF$507,"&lt;="&amp;AF336,$AH$8:$AH$507,1)))</x:f>
      </x:c>
      <x:c r="AJ336" s="20" t="str">
        <x:f>IF(AH336&lt;&gt;1,"",MAX(0,AI336-AG336))</x:f>
      </x:c>
      <x:c r="AK336" s="21" t="str">
        <x:f>IF(OR(AH336&lt;&gt;1,NOT(ISNUMBER('Impostazioni'!$B$6)),'Impostazioni'!$B$6+AI336&lt;=0),"",AJ336/('Impostazioni'!$B$6+AI336))</x:f>
      </x:c>
      <x:c r="AL336" s="22" t="str">
        <x:f>IF(AH336&lt;&gt;1,"",IF(AC336&gt;0,AF336-_xlfn.MAXIFS($AF$8:$AF$507,$AF$8:$AF$507,"&lt;="&amp;AF336,$AC$8:$AC$507,"&lt;=0",$AH$8:$AH$507,1),0))</x:f>
      </x:c>
      <x:c r="AM336" s="22" t="str">
        <x:f>IF(AH336&lt;&gt;1,"",IF(AC336&lt;0,AF336-_xlfn.MAXIFS($AF$8:$AF$507,$AF$8:$AF$507,"&lt;="&amp;AF336,$AC$8:$AC$507,"&gt;=0",$AH$8:$AH$507,1),0))</x:f>
      </x:c>
      <x:c r="AN336" s="20" t="str">
        <x:f>IF(OR(A336="",NOT(ISNUMBER(B336)),NOT(ISNUMBER('Impostazioni'!$B$6))),"",'Impostazioni'!$B$6+SUMIFS($AC$8:$AC$507,$C$8:$C$507,"&lt;"&amp;B336,$AH$8:$AH$507,1)+SUMIFS('Cassa'!$F$8:$F$307,'Cassa'!$A$8:$A$307,"&lt;="&amp;B336,'Cassa'!$G$8:$G$307,"OK"))</x:f>
      </x:c>
      <x:c r="AO336" s="21" t="str">
        <x:f>IF(AND(ISNUMBER(Z336),ISNUMBER(AN336),AN336&gt;0),Z336/AN336,"")</x:f>
      </x:c>
      <x:c r="AP336" s="18" t="str">
        <x:f>IF(NOT(ISNUMBER(AO336)),"",IF(AO336&gt;'Impostazioni'!$B$7,"Oltre soglia personale","Nella soglia personale"))</x:f>
      </x:c>
      <x:c r="AQ336" s="18" t="str">
        <x:f>IF(A336="",IF(COUNTA(B336:V336)=0,"","Inserisci ID"),IF(COUNTIFS($A$8:$A$507,A336)&lt;&gt;1,"ID duplicato",IF(OR(NOT(ISNUMBER(B336)),D336="",E336="",F336="",G336="",H336="",COUNTIFS('Impostazioni'!$J$6:$J$25,F336)&lt;&gt;1),"Completa dati / elenchi",IF(OR(AND(I336&lt;&gt;"Lordo manuale",I336&lt;&gt;"Netto manuale",I336&lt;&gt;"Esecuzioni"),AND(J336&lt;&gt;"Aperto",J336&lt;&gt;"Chiuso",J336&lt;&gt;"Annullato")),"Modalità / stato mancanti",IF(AND(J336&lt;&gt;"Aperto",OR(NOT(ISNUMBER(C336)),C336&lt;B336)),"Correggi data chiusura",IF(OR(AND(Q336&lt;&gt;"",OR(NOT(ISNUMBER(Q336)),Q336&lt;0)),AND(R336&lt;&gt;"",OR(NOT(ISNUMBER(R336)),R336&lt;0,R336&gt;1))),"Commissione non valida",IF(J336="Annullato","OK",IF(OR(NOT(ISNUMBER(Z336)),Z336&lt;0,AND(O336&lt;&gt;"",NOT(ISNUMBER(O336)))),"Inserisci rischio",IF(AND(I336="Esecuzioni",OR(W336=0,COUNTIFS('Esecuzioni'!$A$8:$A$1007,A336,'Esecuzioni'!$Q$8:$Q$1007,"&lt;&gt;OK")&gt;0)),"Correggi esecuzioni",IF(J336="Aperto","OK",IF(AND(I336="Esecuzioni",S336="Coperto",ABS(X336-Y336)&gt;'Impostazioni'!$B$11),"Copertura residua",IF(NOT(ISNUMBER(AC336)),"Completa risultato / esito",IF(AND(Z336=0,AC336&lt;&gt;0),"Rischio nullo con P/L","OK")))))))))))))</x:f>
      </x:c>
      <x:c r="AR336" s="20" t="str">
        <x:f>IF(OR(A336="",J336&lt;&gt;"Aperto",AQ336&lt;&gt;"OK"),"",IF(I336="Esecuzioni",SUMIFS('Esecuzioni'!$P$8:$P$1007,'Esecuzioni'!$A$8:$A$1007,A336,'Esecuzioni'!$B$8:$B$1007,_xlfn.MAXIFS('Esecuzioni'!$B$8:$B$1007,'Esecuzioni'!$A$8:$A$1007,A336)),IF(LEFT(U336,8)="FREEBET:",0,Z336)))</x:f>
      </x:c>
      <x:c r="AS336" s="48" t="str">
        <x:f>IF(OR(A336="",E336=""),"",IF(COUNTIFS($E$8:E336,E336)=1,COUNT($AS$7:AS335)+1,""))</x:f>
      </x:c>
    </x:row>
    <x:row r="337" ht="22" customHeight="1">
      <x:c r="A337" s="7"/>
      <x:c r="B337" s="19"/>
      <x:c r="C337" s="19"/>
      <x:c r="D337" s="7"/>
      <x:c r="E337" s="7"/>
      <x:c r="F337" s="7"/>
      <x:c r="G337" s="7"/>
      <x:c r="H337" s="7"/>
      <x:c r="I337" s="7"/>
      <x:c r="J337" s="7"/>
      <x:c r="K337" s="10"/>
      <x:c r="L337" s="7"/>
      <x:c r="M337" s="10"/>
      <x:c r="N337" s="7"/>
      <x:c r="O337" s="8"/>
      <x:c r="P337" s="8"/>
      <x:c r="Q337" s="8"/>
      <x:c r="R337" s="9"/>
      <x:c r="S337" s="7"/>
      <x:c r="T337" s="7"/>
      <x:c r="U337" s="7"/>
      <x:c r="V337" s="7"/>
      <x:c r="W337" s="22" t="str">
        <x:f>IF(A337="","",COUNTIFS('Esecuzioni'!$A$8:$A$1007,A337,'Esecuzioni'!$Q$8:$Q$1007,"OK"))</x:f>
      </x:c>
      <x:c r="X337" s="20" t="str">
        <x:f>IF(OR(A337="",I337&lt;&gt;"Esecuzioni",W337=0),"",SUMIFS('Esecuzioni'!$L$8:$L$1007,'Esecuzioni'!$A$8:$A$1007,A337))</x:f>
      </x:c>
      <x:c r="Y337" s="20" t="str">
        <x:f>IF(OR(A337="",I337&lt;&gt;"Esecuzioni",W337=0),"",SUMIFS('Esecuzioni'!$M$8:$M$1007,'Esecuzioni'!$A$8:$A$1007,A337))</x:f>
      </x:c>
      <x:c r="Z337" s="20" t="str">
        <x:f>IF(A337="","",IF(J337="Annullato",0,IF(ISNUMBER(O337),O337,IF(AND(I337="Esecuzioni",W337&gt;0),_xlfn.MAXIFS('Esecuzioni'!$P$8:$P$1007,'Esecuzioni'!$A$8:$A$1007,A337),""))))</x:f>
      </x:c>
      <x:c r="AA337" s="20" t="str">
        <x:f>IF(OR(A337="",J337="Aperto"),"",IF(J337="Annullato",0,IF(I337="Lordo manuale",IF(ISNUMBER(P337),P337,""),IF(I337="Netto manuale",IF(AND(ISNUMBER(P337),ISNUMBER(Q337)),P337+Q337,""),IF(OR(W337=0,COUNTIFS('Esecuzioni'!$A$8:$A$1007,A337,'Esecuzioni'!$Q$8:$Q$1007,"&lt;&gt;OK")&gt;0),"",IF(S337="Vince",X337,IF(S337="Perde",Y337,IF(AND(S337="Coperto",ABS(X337-Y337)&lt;='Impostazioni'!$B$11),ROUND((X337+Y337)/2,2),""))))))))</x:f>
      </x:c>
      <x:c r="AB337" s="20" t="str">
        <x:f>IF(NOT(ISNUMBER(AA337)),"",IF(J337="Annullato",0,IF(ISNUMBER(Q337),Q337,ROUND(MAX(0,AA337)*IF(ISNUMBER(R337),R337,'Impostazioni'!$B$8),2))))</x:f>
      </x:c>
      <x:c r="AC337" s="20" t="str">
        <x:f>IF(AND(ISNUMBER(AA337),ISNUMBER(AB337)),ROUND(AA337-AB337,2),"")</x:f>
      </x:c>
      <x:c r="AD337" s="18" t="str">
        <x:f>IF(A337="","",IF(AQ337&lt;&gt;"OK","Incompleto",IF(J337="Aperto","Aperto",IF(J337="Annullato","Annullato",IF(AC337&gt;0,"Green",IF(AC337&lt;0,"Red","Flat"))))))</x:f>
      </x:c>
      <x:c r="AE337" s="21" t="str">
        <x:f>IF(AND(AH337=1,Z337&gt;0),AC337/Z337,"")</x:f>
      </x:c>
      <x:c r="AF337" s="22" t="str">
        <x:f>IF(AH337&lt;&gt;1,"",COUNTIFS($C$8:$C$507,"&lt;"&amp;C337,$AH$8:$AH$507,1)+COUNTIFS($C$8:$C$507,C337,$A$8:$A$507,"&lt;="&amp;A337,$AH$8:$AH$507,1))</x:f>
      </x:c>
      <x:c r="AG337" s="20" t="str">
        <x:f>IF(AH337&lt;&gt;1,"",SUMIFS($AC$8:$AC$507,$C$8:$C$507,"&lt;"&amp;C337,$AH$8:$AH$507,1)+SUMIFS($AC$8:$AC$507,$C$8:$C$507,C337,$A$8:$A$507,"&lt;="&amp;A337,$AH$8:$AH$507,1))</x:f>
      </x:c>
      <x:c r="AH337" s="22" t="str">
        <x:f>IF(A337="","",IF(AND(J337="Chiuso",AQ337="OK",ISNUMBER(AC337)),1,0))</x:f>
      </x:c>
      <x:c r="AI337" s="20" t="str">
        <x:f>IF(AH337&lt;&gt;1,"",MAX(0,_xlfn.MAXIFS($AG$8:$AG$507,$AF$8:$AF$507,"&lt;="&amp;AF337,$AH$8:$AH$507,1)))</x:f>
      </x:c>
      <x:c r="AJ337" s="20" t="str">
        <x:f>IF(AH337&lt;&gt;1,"",MAX(0,AI337-AG337))</x:f>
      </x:c>
      <x:c r="AK337" s="21" t="str">
        <x:f>IF(OR(AH337&lt;&gt;1,NOT(ISNUMBER('Impostazioni'!$B$6)),'Impostazioni'!$B$6+AI337&lt;=0),"",AJ337/('Impostazioni'!$B$6+AI337))</x:f>
      </x:c>
      <x:c r="AL337" s="22" t="str">
        <x:f>IF(AH337&lt;&gt;1,"",IF(AC337&gt;0,AF337-_xlfn.MAXIFS($AF$8:$AF$507,$AF$8:$AF$507,"&lt;="&amp;AF337,$AC$8:$AC$507,"&lt;=0",$AH$8:$AH$507,1),0))</x:f>
      </x:c>
      <x:c r="AM337" s="22" t="str">
        <x:f>IF(AH337&lt;&gt;1,"",IF(AC337&lt;0,AF337-_xlfn.MAXIFS($AF$8:$AF$507,$AF$8:$AF$507,"&lt;="&amp;AF337,$AC$8:$AC$507,"&gt;=0",$AH$8:$AH$507,1),0))</x:f>
      </x:c>
      <x:c r="AN337" s="20" t="str">
        <x:f>IF(OR(A337="",NOT(ISNUMBER(B337)),NOT(ISNUMBER('Impostazioni'!$B$6))),"",'Impostazioni'!$B$6+SUMIFS($AC$8:$AC$507,$C$8:$C$507,"&lt;"&amp;B337,$AH$8:$AH$507,1)+SUMIFS('Cassa'!$F$8:$F$307,'Cassa'!$A$8:$A$307,"&lt;="&amp;B337,'Cassa'!$G$8:$G$307,"OK"))</x:f>
      </x:c>
      <x:c r="AO337" s="21" t="str">
        <x:f>IF(AND(ISNUMBER(Z337),ISNUMBER(AN337),AN337&gt;0),Z337/AN337,"")</x:f>
      </x:c>
      <x:c r="AP337" s="18" t="str">
        <x:f>IF(NOT(ISNUMBER(AO337)),"",IF(AO337&gt;'Impostazioni'!$B$7,"Oltre soglia personale","Nella soglia personale"))</x:f>
      </x:c>
      <x:c r="AQ337" s="18" t="str">
        <x:f>IF(A337="",IF(COUNTA(B337:V337)=0,"","Inserisci ID"),IF(COUNTIFS($A$8:$A$507,A337)&lt;&gt;1,"ID duplicato",IF(OR(NOT(ISNUMBER(B337)),D337="",E337="",F337="",G337="",H337="",COUNTIFS('Impostazioni'!$J$6:$J$25,F337)&lt;&gt;1),"Completa dati / elenchi",IF(OR(AND(I337&lt;&gt;"Lordo manuale",I337&lt;&gt;"Netto manuale",I337&lt;&gt;"Esecuzioni"),AND(J337&lt;&gt;"Aperto",J337&lt;&gt;"Chiuso",J337&lt;&gt;"Annullato")),"Modalità / stato mancanti",IF(AND(J337&lt;&gt;"Aperto",OR(NOT(ISNUMBER(C337)),C337&lt;B337)),"Correggi data chiusura",IF(OR(AND(Q337&lt;&gt;"",OR(NOT(ISNUMBER(Q337)),Q337&lt;0)),AND(R337&lt;&gt;"",OR(NOT(ISNUMBER(R337)),R337&lt;0,R337&gt;1))),"Commissione non valida",IF(J337="Annullato","OK",IF(OR(NOT(ISNUMBER(Z337)),Z337&lt;0,AND(O337&lt;&gt;"",NOT(ISNUMBER(O337)))),"Inserisci rischio",IF(AND(I337="Esecuzioni",OR(W337=0,COUNTIFS('Esecuzioni'!$A$8:$A$1007,A337,'Esecuzioni'!$Q$8:$Q$1007,"&lt;&gt;OK")&gt;0)),"Correggi esecuzioni",IF(J337="Aperto","OK",IF(AND(I337="Esecuzioni",S337="Coperto",ABS(X337-Y337)&gt;'Impostazioni'!$B$11),"Copertura residua",IF(NOT(ISNUMBER(AC337)),"Completa risultato / esito",IF(AND(Z337=0,AC337&lt;&gt;0),"Rischio nullo con P/L","OK")))))))))))))</x:f>
      </x:c>
      <x:c r="AR337" s="20" t="str">
        <x:f>IF(OR(A337="",J337&lt;&gt;"Aperto",AQ337&lt;&gt;"OK"),"",IF(I337="Esecuzioni",SUMIFS('Esecuzioni'!$P$8:$P$1007,'Esecuzioni'!$A$8:$A$1007,A337,'Esecuzioni'!$B$8:$B$1007,_xlfn.MAXIFS('Esecuzioni'!$B$8:$B$1007,'Esecuzioni'!$A$8:$A$1007,A337)),IF(LEFT(U337,8)="FREEBET:",0,Z337)))</x:f>
      </x:c>
      <x:c r="AS337" s="48" t="str">
        <x:f>IF(OR(A337="",E337=""),"",IF(COUNTIFS($E$8:E337,E337)=1,COUNT($AS$7:AS336)+1,""))</x:f>
      </x:c>
    </x:row>
    <x:row r="338" ht="22" customHeight="1">
      <x:c r="A338" s="7"/>
      <x:c r="B338" s="19"/>
      <x:c r="C338" s="19"/>
      <x:c r="D338" s="7"/>
      <x:c r="E338" s="7"/>
      <x:c r="F338" s="7"/>
      <x:c r="G338" s="7"/>
      <x:c r="H338" s="7"/>
      <x:c r="I338" s="7"/>
      <x:c r="J338" s="7"/>
      <x:c r="K338" s="10"/>
      <x:c r="L338" s="7"/>
      <x:c r="M338" s="10"/>
      <x:c r="N338" s="7"/>
      <x:c r="O338" s="8"/>
      <x:c r="P338" s="8"/>
      <x:c r="Q338" s="8"/>
      <x:c r="R338" s="9"/>
      <x:c r="S338" s="7"/>
      <x:c r="T338" s="7"/>
      <x:c r="U338" s="7"/>
      <x:c r="V338" s="7"/>
      <x:c r="W338" s="22" t="str">
        <x:f>IF(A338="","",COUNTIFS('Esecuzioni'!$A$8:$A$1007,A338,'Esecuzioni'!$Q$8:$Q$1007,"OK"))</x:f>
      </x:c>
      <x:c r="X338" s="20" t="str">
        <x:f>IF(OR(A338="",I338&lt;&gt;"Esecuzioni",W338=0),"",SUMIFS('Esecuzioni'!$L$8:$L$1007,'Esecuzioni'!$A$8:$A$1007,A338))</x:f>
      </x:c>
      <x:c r="Y338" s="20" t="str">
        <x:f>IF(OR(A338="",I338&lt;&gt;"Esecuzioni",W338=0),"",SUMIFS('Esecuzioni'!$M$8:$M$1007,'Esecuzioni'!$A$8:$A$1007,A338))</x:f>
      </x:c>
      <x:c r="Z338" s="20" t="str">
        <x:f>IF(A338="","",IF(J338="Annullato",0,IF(ISNUMBER(O338),O338,IF(AND(I338="Esecuzioni",W338&gt;0),_xlfn.MAXIFS('Esecuzioni'!$P$8:$P$1007,'Esecuzioni'!$A$8:$A$1007,A338),""))))</x:f>
      </x:c>
      <x:c r="AA338" s="20" t="str">
        <x:f>IF(OR(A338="",J338="Aperto"),"",IF(J338="Annullato",0,IF(I338="Lordo manuale",IF(ISNUMBER(P338),P338,""),IF(I338="Netto manuale",IF(AND(ISNUMBER(P338),ISNUMBER(Q338)),P338+Q338,""),IF(OR(W338=0,COUNTIFS('Esecuzioni'!$A$8:$A$1007,A338,'Esecuzioni'!$Q$8:$Q$1007,"&lt;&gt;OK")&gt;0),"",IF(S338="Vince",X338,IF(S338="Perde",Y338,IF(AND(S338="Coperto",ABS(X338-Y338)&lt;='Impostazioni'!$B$11),ROUND((X338+Y338)/2,2),""))))))))</x:f>
      </x:c>
      <x:c r="AB338" s="20" t="str">
        <x:f>IF(NOT(ISNUMBER(AA338)),"",IF(J338="Annullato",0,IF(ISNUMBER(Q338),Q338,ROUND(MAX(0,AA338)*IF(ISNUMBER(R338),R338,'Impostazioni'!$B$8),2))))</x:f>
      </x:c>
      <x:c r="AC338" s="20" t="str">
        <x:f>IF(AND(ISNUMBER(AA338),ISNUMBER(AB338)),ROUND(AA338-AB338,2),"")</x:f>
      </x:c>
      <x:c r="AD338" s="18" t="str">
        <x:f>IF(A338="","",IF(AQ338&lt;&gt;"OK","Incompleto",IF(J338="Aperto","Aperto",IF(J338="Annullato","Annullato",IF(AC338&gt;0,"Green",IF(AC338&lt;0,"Red","Flat"))))))</x:f>
      </x:c>
      <x:c r="AE338" s="21" t="str">
        <x:f>IF(AND(AH338=1,Z338&gt;0),AC338/Z338,"")</x:f>
      </x:c>
      <x:c r="AF338" s="22" t="str">
        <x:f>IF(AH338&lt;&gt;1,"",COUNTIFS($C$8:$C$507,"&lt;"&amp;C338,$AH$8:$AH$507,1)+COUNTIFS($C$8:$C$507,C338,$A$8:$A$507,"&lt;="&amp;A338,$AH$8:$AH$507,1))</x:f>
      </x:c>
      <x:c r="AG338" s="20" t="str">
        <x:f>IF(AH338&lt;&gt;1,"",SUMIFS($AC$8:$AC$507,$C$8:$C$507,"&lt;"&amp;C338,$AH$8:$AH$507,1)+SUMIFS($AC$8:$AC$507,$C$8:$C$507,C338,$A$8:$A$507,"&lt;="&amp;A338,$AH$8:$AH$507,1))</x:f>
      </x:c>
      <x:c r="AH338" s="22" t="str">
        <x:f>IF(A338="","",IF(AND(J338="Chiuso",AQ338="OK",ISNUMBER(AC338)),1,0))</x:f>
      </x:c>
      <x:c r="AI338" s="20" t="str">
        <x:f>IF(AH338&lt;&gt;1,"",MAX(0,_xlfn.MAXIFS($AG$8:$AG$507,$AF$8:$AF$507,"&lt;="&amp;AF338,$AH$8:$AH$507,1)))</x:f>
      </x:c>
      <x:c r="AJ338" s="20" t="str">
        <x:f>IF(AH338&lt;&gt;1,"",MAX(0,AI338-AG338))</x:f>
      </x:c>
      <x:c r="AK338" s="21" t="str">
        <x:f>IF(OR(AH338&lt;&gt;1,NOT(ISNUMBER('Impostazioni'!$B$6)),'Impostazioni'!$B$6+AI338&lt;=0),"",AJ338/('Impostazioni'!$B$6+AI338))</x:f>
      </x:c>
      <x:c r="AL338" s="22" t="str">
        <x:f>IF(AH338&lt;&gt;1,"",IF(AC338&gt;0,AF338-_xlfn.MAXIFS($AF$8:$AF$507,$AF$8:$AF$507,"&lt;="&amp;AF338,$AC$8:$AC$507,"&lt;=0",$AH$8:$AH$507,1),0))</x:f>
      </x:c>
      <x:c r="AM338" s="22" t="str">
        <x:f>IF(AH338&lt;&gt;1,"",IF(AC338&lt;0,AF338-_xlfn.MAXIFS($AF$8:$AF$507,$AF$8:$AF$507,"&lt;="&amp;AF338,$AC$8:$AC$507,"&gt;=0",$AH$8:$AH$507,1),0))</x:f>
      </x:c>
      <x:c r="AN338" s="20" t="str">
        <x:f>IF(OR(A338="",NOT(ISNUMBER(B338)),NOT(ISNUMBER('Impostazioni'!$B$6))),"",'Impostazioni'!$B$6+SUMIFS($AC$8:$AC$507,$C$8:$C$507,"&lt;"&amp;B338,$AH$8:$AH$507,1)+SUMIFS('Cassa'!$F$8:$F$307,'Cassa'!$A$8:$A$307,"&lt;="&amp;B338,'Cassa'!$G$8:$G$307,"OK"))</x:f>
      </x:c>
      <x:c r="AO338" s="21" t="str">
        <x:f>IF(AND(ISNUMBER(Z338),ISNUMBER(AN338),AN338&gt;0),Z338/AN338,"")</x:f>
      </x:c>
      <x:c r="AP338" s="18" t="str">
        <x:f>IF(NOT(ISNUMBER(AO338)),"",IF(AO338&gt;'Impostazioni'!$B$7,"Oltre soglia personale","Nella soglia personale"))</x:f>
      </x:c>
      <x:c r="AQ338" s="18" t="str">
        <x:f>IF(A338="",IF(COUNTA(B338:V338)=0,"","Inserisci ID"),IF(COUNTIFS($A$8:$A$507,A338)&lt;&gt;1,"ID duplicato",IF(OR(NOT(ISNUMBER(B338)),D338="",E338="",F338="",G338="",H338="",COUNTIFS('Impostazioni'!$J$6:$J$25,F338)&lt;&gt;1),"Completa dati / elenchi",IF(OR(AND(I338&lt;&gt;"Lordo manuale",I338&lt;&gt;"Netto manuale",I338&lt;&gt;"Esecuzioni"),AND(J338&lt;&gt;"Aperto",J338&lt;&gt;"Chiuso",J338&lt;&gt;"Annullato")),"Modalità / stato mancanti",IF(AND(J338&lt;&gt;"Aperto",OR(NOT(ISNUMBER(C338)),C338&lt;B338)),"Correggi data chiusura",IF(OR(AND(Q338&lt;&gt;"",OR(NOT(ISNUMBER(Q338)),Q338&lt;0)),AND(R338&lt;&gt;"",OR(NOT(ISNUMBER(R338)),R338&lt;0,R338&gt;1))),"Commissione non valida",IF(J338="Annullato","OK",IF(OR(NOT(ISNUMBER(Z338)),Z338&lt;0,AND(O338&lt;&gt;"",NOT(ISNUMBER(O338)))),"Inserisci rischio",IF(AND(I338="Esecuzioni",OR(W338=0,COUNTIFS('Esecuzioni'!$A$8:$A$1007,A338,'Esecuzioni'!$Q$8:$Q$1007,"&lt;&gt;OK")&gt;0)),"Correggi esecuzioni",IF(J338="Aperto","OK",IF(AND(I338="Esecuzioni",S338="Coperto",ABS(X338-Y338)&gt;'Impostazioni'!$B$11),"Copertura residua",IF(NOT(ISNUMBER(AC338)),"Completa risultato / esito",IF(AND(Z338=0,AC338&lt;&gt;0),"Rischio nullo con P/L","OK")))))))))))))</x:f>
      </x:c>
      <x:c r="AR338" s="20" t="str">
        <x:f>IF(OR(A338="",J338&lt;&gt;"Aperto",AQ338&lt;&gt;"OK"),"",IF(I338="Esecuzioni",SUMIFS('Esecuzioni'!$P$8:$P$1007,'Esecuzioni'!$A$8:$A$1007,A338,'Esecuzioni'!$B$8:$B$1007,_xlfn.MAXIFS('Esecuzioni'!$B$8:$B$1007,'Esecuzioni'!$A$8:$A$1007,A338)),IF(LEFT(U338,8)="FREEBET:",0,Z338)))</x:f>
      </x:c>
      <x:c r="AS338" s="48" t="str">
        <x:f>IF(OR(A338="",E338=""),"",IF(COUNTIFS($E$8:E338,E338)=1,COUNT($AS$7:AS337)+1,""))</x:f>
      </x:c>
    </x:row>
    <x:row r="339" ht="22" customHeight="1">
      <x:c r="A339" s="7"/>
      <x:c r="B339" s="19"/>
      <x:c r="C339" s="19"/>
      <x:c r="D339" s="7"/>
      <x:c r="E339" s="7"/>
      <x:c r="F339" s="7"/>
      <x:c r="G339" s="7"/>
      <x:c r="H339" s="7"/>
      <x:c r="I339" s="7"/>
      <x:c r="J339" s="7"/>
      <x:c r="K339" s="10"/>
      <x:c r="L339" s="7"/>
      <x:c r="M339" s="10"/>
      <x:c r="N339" s="7"/>
      <x:c r="O339" s="8"/>
      <x:c r="P339" s="8"/>
      <x:c r="Q339" s="8"/>
      <x:c r="R339" s="9"/>
      <x:c r="S339" s="7"/>
      <x:c r="T339" s="7"/>
      <x:c r="U339" s="7"/>
      <x:c r="V339" s="7"/>
      <x:c r="W339" s="22" t="str">
        <x:f>IF(A339="","",COUNTIFS('Esecuzioni'!$A$8:$A$1007,A339,'Esecuzioni'!$Q$8:$Q$1007,"OK"))</x:f>
      </x:c>
      <x:c r="X339" s="20" t="str">
        <x:f>IF(OR(A339="",I339&lt;&gt;"Esecuzioni",W339=0),"",SUMIFS('Esecuzioni'!$L$8:$L$1007,'Esecuzioni'!$A$8:$A$1007,A339))</x:f>
      </x:c>
      <x:c r="Y339" s="20" t="str">
        <x:f>IF(OR(A339="",I339&lt;&gt;"Esecuzioni",W339=0),"",SUMIFS('Esecuzioni'!$M$8:$M$1007,'Esecuzioni'!$A$8:$A$1007,A339))</x:f>
      </x:c>
      <x:c r="Z339" s="20" t="str">
        <x:f>IF(A339="","",IF(J339="Annullato",0,IF(ISNUMBER(O339),O339,IF(AND(I339="Esecuzioni",W339&gt;0),_xlfn.MAXIFS('Esecuzioni'!$P$8:$P$1007,'Esecuzioni'!$A$8:$A$1007,A339),""))))</x:f>
      </x:c>
      <x:c r="AA339" s="20" t="str">
        <x:f>IF(OR(A339="",J339="Aperto"),"",IF(J339="Annullato",0,IF(I339="Lordo manuale",IF(ISNUMBER(P339),P339,""),IF(I339="Netto manuale",IF(AND(ISNUMBER(P339),ISNUMBER(Q339)),P339+Q339,""),IF(OR(W339=0,COUNTIFS('Esecuzioni'!$A$8:$A$1007,A339,'Esecuzioni'!$Q$8:$Q$1007,"&lt;&gt;OK")&gt;0),"",IF(S339="Vince",X339,IF(S339="Perde",Y339,IF(AND(S339="Coperto",ABS(X339-Y339)&lt;='Impostazioni'!$B$11),ROUND((X339+Y339)/2,2),""))))))))</x:f>
      </x:c>
      <x:c r="AB339" s="20" t="str">
        <x:f>IF(NOT(ISNUMBER(AA339)),"",IF(J339="Annullato",0,IF(ISNUMBER(Q339),Q339,ROUND(MAX(0,AA339)*IF(ISNUMBER(R339),R339,'Impostazioni'!$B$8),2))))</x:f>
      </x:c>
      <x:c r="AC339" s="20" t="str">
        <x:f>IF(AND(ISNUMBER(AA339),ISNUMBER(AB339)),ROUND(AA339-AB339,2),"")</x:f>
      </x:c>
      <x:c r="AD339" s="18" t="str">
        <x:f>IF(A339="","",IF(AQ339&lt;&gt;"OK","Incompleto",IF(J339="Aperto","Aperto",IF(J339="Annullato","Annullato",IF(AC339&gt;0,"Green",IF(AC339&lt;0,"Red","Flat"))))))</x:f>
      </x:c>
      <x:c r="AE339" s="21" t="str">
        <x:f>IF(AND(AH339=1,Z339&gt;0),AC339/Z339,"")</x:f>
      </x:c>
      <x:c r="AF339" s="22" t="str">
        <x:f>IF(AH339&lt;&gt;1,"",COUNTIFS($C$8:$C$507,"&lt;"&amp;C339,$AH$8:$AH$507,1)+COUNTIFS($C$8:$C$507,C339,$A$8:$A$507,"&lt;="&amp;A339,$AH$8:$AH$507,1))</x:f>
      </x:c>
      <x:c r="AG339" s="20" t="str">
        <x:f>IF(AH339&lt;&gt;1,"",SUMIFS($AC$8:$AC$507,$C$8:$C$507,"&lt;"&amp;C339,$AH$8:$AH$507,1)+SUMIFS($AC$8:$AC$507,$C$8:$C$507,C339,$A$8:$A$507,"&lt;="&amp;A339,$AH$8:$AH$507,1))</x:f>
      </x:c>
      <x:c r="AH339" s="22" t="str">
        <x:f>IF(A339="","",IF(AND(J339="Chiuso",AQ339="OK",ISNUMBER(AC339)),1,0))</x:f>
      </x:c>
      <x:c r="AI339" s="20" t="str">
        <x:f>IF(AH339&lt;&gt;1,"",MAX(0,_xlfn.MAXIFS($AG$8:$AG$507,$AF$8:$AF$507,"&lt;="&amp;AF339,$AH$8:$AH$507,1)))</x:f>
      </x:c>
      <x:c r="AJ339" s="20" t="str">
        <x:f>IF(AH339&lt;&gt;1,"",MAX(0,AI339-AG339))</x:f>
      </x:c>
      <x:c r="AK339" s="21" t="str">
        <x:f>IF(OR(AH339&lt;&gt;1,NOT(ISNUMBER('Impostazioni'!$B$6)),'Impostazioni'!$B$6+AI339&lt;=0),"",AJ339/('Impostazioni'!$B$6+AI339))</x:f>
      </x:c>
      <x:c r="AL339" s="22" t="str">
        <x:f>IF(AH339&lt;&gt;1,"",IF(AC339&gt;0,AF339-_xlfn.MAXIFS($AF$8:$AF$507,$AF$8:$AF$507,"&lt;="&amp;AF339,$AC$8:$AC$507,"&lt;=0",$AH$8:$AH$507,1),0))</x:f>
      </x:c>
      <x:c r="AM339" s="22" t="str">
        <x:f>IF(AH339&lt;&gt;1,"",IF(AC339&lt;0,AF339-_xlfn.MAXIFS($AF$8:$AF$507,$AF$8:$AF$507,"&lt;="&amp;AF339,$AC$8:$AC$507,"&gt;=0",$AH$8:$AH$507,1),0))</x:f>
      </x:c>
      <x:c r="AN339" s="20" t="str">
        <x:f>IF(OR(A339="",NOT(ISNUMBER(B339)),NOT(ISNUMBER('Impostazioni'!$B$6))),"",'Impostazioni'!$B$6+SUMIFS($AC$8:$AC$507,$C$8:$C$507,"&lt;"&amp;B339,$AH$8:$AH$507,1)+SUMIFS('Cassa'!$F$8:$F$307,'Cassa'!$A$8:$A$307,"&lt;="&amp;B339,'Cassa'!$G$8:$G$307,"OK"))</x:f>
      </x:c>
      <x:c r="AO339" s="21" t="str">
        <x:f>IF(AND(ISNUMBER(Z339),ISNUMBER(AN339),AN339&gt;0),Z339/AN339,"")</x:f>
      </x:c>
      <x:c r="AP339" s="18" t="str">
        <x:f>IF(NOT(ISNUMBER(AO339)),"",IF(AO339&gt;'Impostazioni'!$B$7,"Oltre soglia personale","Nella soglia personale"))</x:f>
      </x:c>
      <x:c r="AQ339" s="18" t="str">
        <x:f>IF(A339="",IF(COUNTA(B339:V339)=0,"","Inserisci ID"),IF(COUNTIFS($A$8:$A$507,A339)&lt;&gt;1,"ID duplicato",IF(OR(NOT(ISNUMBER(B339)),D339="",E339="",F339="",G339="",H339="",COUNTIFS('Impostazioni'!$J$6:$J$25,F339)&lt;&gt;1),"Completa dati / elenchi",IF(OR(AND(I339&lt;&gt;"Lordo manuale",I339&lt;&gt;"Netto manuale",I339&lt;&gt;"Esecuzioni"),AND(J339&lt;&gt;"Aperto",J339&lt;&gt;"Chiuso",J339&lt;&gt;"Annullato")),"Modalità / stato mancanti",IF(AND(J339&lt;&gt;"Aperto",OR(NOT(ISNUMBER(C339)),C339&lt;B339)),"Correggi data chiusura",IF(OR(AND(Q339&lt;&gt;"",OR(NOT(ISNUMBER(Q339)),Q339&lt;0)),AND(R339&lt;&gt;"",OR(NOT(ISNUMBER(R339)),R339&lt;0,R339&gt;1))),"Commissione non valida",IF(J339="Annullato","OK",IF(OR(NOT(ISNUMBER(Z339)),Z339&lt;0,AND(O339&lt;&gt;"",NOT(ISNUMBER(O339)))),"Inserisci rischio",IF(AND(I339="Esecuzioni",OR(W339=0,COUNTIFS('Esecuzioni'!$A$8:$A$1007,A339,'Esecuzioni'!$Q$8:$Q$1007,"&lt;&gt;OK")&gt;0)),"Correggi esecuzioni",IF(J339="Aperto","OK",IF(AND(I339="Esecuzioni",S339="Coperto",ABS(X339-Y339)&gt;'Impostazioni'!$B$11),"Copertura residua",IF(NOT(ISNUMBER(AC339)),"Completa risultato / esito",IF(AND(Z339=0,AC339&lt;&gt;0),"Rischio nullo con P/L","OK")))))))))))))</x:f>
      </x:c>
      <x:c r="AR339" s="20" t="str">
        <x:f>IF(OR(A339="",J339&lt;&gt;"Aperto",AQ339&lt;&gt;"OK"),"",IF(I339="Esecuzioni",SUMIFS('Esecuzioni'!$P$8:$P$1007,'Esecuzioni'!$A$8:$A$1007,A339,'Esecuzioni'!$B$8:$B$1007,_xlfn.MAXIFS('Esecuzioni'!$B$8:$B$1007,'Esecuzioni'!$A$8:$A$1007,A339)),IF(LEFT(U339,8)="FREEBET:",0,Z339)))</x:f>
      </x:c>
      <x:c r="AS339" s="48" t="str">
        <x:f>IF(OR(A339="",E339=""),"",IF(COUNTIFS($E$8:E339,E339)=1,COUNT($AS$7:AS338)+1,""))</x:f>
      </x:c>
    </x:row>
    <x:row r="340" ht="22" customHeight="1">
      <x:c r="A340" s="7"/>
      <x:c r="B340" s="19"/>
      <x:c r="C340" s="19"/>
      <x:c r="D340" s="7"/>
      <x:c r="E340" s="7"/>
      <x:c r="F340" s="7"/>
      <x:c r="G340" s="7"/>
      <x:c r="H340" s="7"/>
      <x:c r="I340" s="7"/>
      <x:c r="J340" s="7"/>
      <x:c r="K340" s="10"/>
      <x:c r="L340" s="7"/>
      <x:c r="M340" s="10"/>
      <x:c r="N340" s="7"/>
      <x:c r="O340" s="8"/>
      <x:c r="P340" s="8"/>
      <x:c r="Q340" s="8"/>
      <x:c r="R340" s="9"/>
      <x:c r="S340" s="7"/>
      <x:c r="T340" s="7"/>
      <x:c r="U340" s="7"/>
      <x:c r="V340" s="7"/>
      <x:c r="W340" s="22" t="str">
        <x:f>IF(A340="","",COUNTIFS('Esecuzioni'!$A$8:$A$1007,A340,'Esecuzioni'!$Q$8:$Q$1007,"OK"))</x:f>
      </x:c>
      <x:c r="X340" s="20" t="str">
        <x:f>IF(OR(A340="",I340&lt;&gt;"Esecuzioni",W340=0),"",SUMIFS('Esecuzioni'!$L$8:$L$1007,'Esecuzioni'!$A$8:$A$1007,A340))</x:f>
      </x:c>
      <x:c r="Y340" s="20" t="str">
        <x:f>IF(OR(A340="",I340&lt;&gt;"Esecuzioni",W340=0),"",SUMIFS('Esecuzioni'!$M$8:$M$1007,'Esecuzioni'!$A$8:$A$1007,A340))</x:f>
      </x:c>
      <x:c r="Z340" s="20" t="str">
        <x:f>IF(A340="","",IF(J340="Annullato",0,IF(ISNUMBER(O340),O340,IF(AND(I340="Esecuzioni",W340&gt;0),_xlfn.MAXIFS('Esecuzioni'!$P$8:$P$1007,'Esecuzioni'!$A$8:$A$1007,A340),""))))</x:f>
      </x:c>
      <x:c r="AA340" s="20" t="str">
        <x:f>IF(OR(A340="",J340="Aperto"),"",IF(J340="Annullato",0,IF(I340="Lordo manuale",IF(ISNUMBER(P340),P340,""),IF(I340="Netto manuale",IF(AND(ISNUMBER(P340),ISNUMBER(Q340)),P340+Q340,""),IF(OR(W340=0,COUNTIFS('Esecuzioni'!$A$8:$A$1007,A340,'Esecuzioni'!$Q$8:$Q$1007,"&lt;&gt;OK")&gt;0),"",IF(S340="Vince",X340,IF(S340="Perde",Y340,IF(AND(S340="Coperto",ABS(X340-Y340)&lt;='Impostazioni'!$B$11),ROUND((X340+Y340)/2,2),""))))))))</x:f>
      </x:c>
      <x:c r="AB340" s="20" t="str">
        <x:f>IF(NOT(ISNUMBER(AA340)),"",IF(J340="Annullato",0,IF(ISNUMBER(Q340),Q340,ROUND(MAX(0,AA340)*IF(ISNUMBER(R340),R340,'Impostazioni'!$B$8),2))))</x:f>
      </x:c>
      <x:c r="AC340" s="20" t="str">
        <x:f>IF(AND(ISNUMBER(AA340),ISNUMBER(AB340)),ROUND(AA340-AB340,2),"")</x:f>
      </x:c>
      <x:c r="AD340" s="18" t="str">
        <x:f>IF(A340="","",IF(AQ340&lt;&gt;"OK","Incompleto",IF(J340="Aperto","Aperto",IF(J340="Annullato","Annullato",IF(AC340&gt;0,"Green",IF(AC340&lt;0,"Red","Flat"))))))</x:f>
      </x:c>
      <x:c r="AE340" s="21" t="str">
        <x:f>IF(AND(AH340=1,Z340&gt;0),AC340/Z340,"")</x:f>
      </x:c>
      <x:c r="AF340" s="22" t="str">
        <x:f>IF(AH340&lt;&gt;1,"",COUNTIFS($C$8:$C$507,"&lt;"&amp;C340,$AH$8:$AH$507,1)+COUNTIFS($C$8:$C$507,C340,$A$8:$A$507,"&lt;="&amp;A340,$AH$8:$AH$507,1))</x:f>
      </x:c>
      <x:c r="AG340" s="20" t="str">
        <x:f>IF(AH340&lt;&gt;1,"",SUMIFS($AC$8:$AC$507,$C$8:$C$507,"&lt;"&amp;C340,$AH$8:$AH$507,1)+SUMIFS($AC$8:$AC$507,$C$8:$C$507,C340,$A$8:$A$507,"&lt;="&amp;A340,$AH$8:$AH$507,1))</x:f>
      </x:c>
      <x:c r="AH340" s="22" t="str">
        <x:f>IF(A340="","",IF(AND(J340="Chiuso",AQ340="OK",ISNUMBER(AC340)),1,0))</x:f>
      </x:c>
      <x:c r="AI340" s="20" t="str">
        <x:f>IF(AH340&lt;&gt;1,"",MAX(0,_xlfn.MAXIFS($AG$8:$AG$507,$AF$8:$AF$507,"&lt;="&amp;AF340,$AH$8:$AH$507,1)))</x:f>
      </x:c>
      <x:c r="AJ340" s="20" t="str">
        <x:f>IF(AH340&lt;&gt;1,"",MAX(0,AI340-AG340))</x:f>
      </x:c>
      <x:c r="AK340" s="21" t="str">
        <x:f>IF(OR(AH340&lt;&gt;1,NOT(ISNUMBER('Impostazioni'!$B$6)),'Impostazioni'!$B$6+AI340&lt;=0),"",AJ340/('Impostazioni'!$B$6+AI340))</x:f>
      </x:c>
      <x:c r="AL340" s="22" t="str">
        <x:f>IF(AH340&lt;&gt;1,"",IF(AC340&gt;0,AF340-_xlfn.MAXIFS($AF$8:$AF$507,$AF$8:$AF$507,"&lt;="&amp;AF340,$AC$8:$AC$507,"&lt;=0",$AH$8:$AH$507,1),0))</x:f>
      </x:c>
      <x:c r="AM340" s="22" t="str">
        <x:f>IF(AH340&lt;&gt;1,"",IF(AC340&lt;0,AF340-_xlfn.MAXIFS($AF$8:$AF$507,$AF$8:$AF$507,"&lt;="&amp;AF340,$AC$8:$AC$507,"&gt;=0",$AH$8:$AH$507,1),0))</x:f>
      </x:c>
      <x:c r="AN340" s="20" t="str">
        <x:f>IF(OR(A340="",NOT(ISNUMBER(B340)),NOT(ISNUMBER('Impostazioni'!$B$6))),"",'Impostazioni'!$B$6+SUMIFS($AC$8:$AC$507,$C$8:$C$507,"&lt;"&amp;B340,$AH$8:$AH$507,1)+SUMIFS('Cassa'!$F$8:$F$307,'Cassa'!$A$8:$A$307,"&lt;="&amp;B340,'Cassa'!$G$8:$G$307,"OK"))</x:f>
      </x:c>
      <x:c r="AO340" s="21" t="str">
        <x:f>IF(AND(ISNUMBER(Z340),ISNUMBER(AN340),AN340&gt;0),Z340/AN340,"")</x:f>
      </x:c>
      <x:c r="AP340" s="18" t="str">
        <x:f>IF(NOT(ISNUMBER(AO340)),"",IF(AO340&gt;'Impostazioni'!$B$7,"Oltre soglia personale","Nella soglia personale"))</x:f>
      </x:c>
      <x:c r="AQ340" s="18" t="str">
        <x:f>IF(A340="",IF(COUNTA(B340:V340)=0,"","Inserisci ID"),IF(COUNTIFS($A$8:$A$507,A340)&lt;&gt;1,"ID duplicato",IF(OR(NOT(ISNUMBER(B340)),D340="",E340="",F340="",G340="",H340="",COUNTIFS('Impostazioni'!$J$6:$J$25,F340)&lt;&gt;1),"Completa dati / elenchi",IF(OR(AND(I340&lt;&gt;"Lordo manuale",I340&lt;&gt;"Netto manuale",I340&lt;&gt;"Esecuzioni"),AND(J340&lt;&gt;"Aperto",J340&lt;&gt;"Chiuso",J340&lt;&gt;"Annullato")),"Modalità / stato mancanti",IF(AND(J340&lt;&gt;"Aperto",OR(NOT(ISNUMBER(C340)),C340&lt;B340)),"Correggi data chiusura",IF(OR(AND(Q340&lt;&gt;"",OR(NOT(ISNUMBER(Q340)),Q340&lt;0)),AND(R340&lt;&gt;"",OR(NOT(ISNUMBER(R340)),R340&lt;0,R340&gt;1))),"Commissione non valida",IF(J340="Annullato","OK",IF(OR(NOT(ISNUMBER(Z340)),Z340&lt;0,AND(O340&lt;&gt;"",NOT(ISNUMBER(O340)))),"Inserisci rischio",IF(AND(I340="Esecuzioni",OR(W340=0,COUNTIFS('Esecuzioni'!$A$8:$A$1007,A340,'Esecuzioni'!$Q$8:$Q$1007,"&lt;&gt;OK")&gt;0)),"Correggi esecuzioni",IF(J340="Aperto","OK",IF(AND(I340="Esecuzioni",S340="Coperto",ABS(X340-Y340)&gt;'Impostazioni'!$B$11),"Copertura residua",IF(NOT(ISNUMBER(AC340)),"Completa risultato / esito",IF(AND(Z340=0,AC340&lt;&gt;0),"Rischio nullo con P/L","OK")))))))))))))</x:f>
      </x:c>
      <x:c r="AR340" s="20" t="str">
        <x:f>IF(OR(A340="",J340&lt;&gt;"Aperto",AQ340&lt;&gt;"OK"),"",IF(I340="Esecuzioni",SUMIFS('Esecuzioni'!$P$8:$P$1007,'Esecuzioni'!$A$8:$A$1007,A340,'Esecuzioni'!$B$8:$B$1007,_xlfn.MAXIFS('Esecuzioni'!$B$8:$B$1007,'Esecuzioni'!$A$8:$A$1007,A340)),IF(LEFT(U340,8)="FREEBET:",0,Z340)))</x:f>
      </x:c>
      <x:c r="AS340" s="48" t="str">
        <x:f>IF(OR(A340="",E340=""),"",IF(COUNTIFS($E$8:E340,E340)=1,COUNT($AS$7:AS339)+1,""))</x:f>
      </x:c>
    </x:row>
    <x:row r="341" ht="22" customHeight="1">
      <x:c r="A341" s="7"/>
      <x:c r="B341" s="19"/>
      <x:c r="C341" s="19"/>
      <x:c r="D341" s="7"/>
      <x:c r="E341" s="7"/>
      <x:c r="F341" s="7"/>
      <x:c r="G341" s="7"/>
      <x:c r="H341" s="7"/>
      <x:c r="I341" s="7"/>
      <x:c r="J341" s="7"/>
      <x:c r="K341" s="10"/>
      <x:c r="L341" s="7"/>
      <x:c r="M341" s="10"/>
      <x:c r="N341" s="7"/>
      <x:c r="O341" s="8"/>
      <x:c r="P341" s="8"/>
      <x:c r="Q341" s="8"/>
      <x:c r="R341" s="9"/>
      <x:c r="S341" s="7"/>
      <x:c r="T341" s="7"/>
      <x:c r="U341" s="7"/>
      <x:c r="V341" s="7"/>
      <x:c r="W341" s="22" t="str">
        <x:f>IF(A341="","",COUNTIFS('Esecuzioni'!$A$8:$A$1007,A341,'Esecuzioni'!$Q$8:$Q$1007,"OK"))</x:f>
      </x:c>
      <x:c r="X341" s="20" t="str">
        <x:f>IF(OR(A341="",I341&lt;&gt;"Esecuzioni",W341=0),"",SUMIFS('Esecuzioni'!$L$8:$L$1007,'Esecuzioni'!$A$8:$A$1007,A341))</x:f>
      </x:c>
      <x:c r="Y341" s="20" t="str">
        <x:f>IF(OR(A341="",I341&lt;&gt;"Esecuzioni",W341=0),"",SUMIFS('Esecuzioni'!$M$8:$M$1007,'Esecuzioni'!$A$8:$A$1007,A341))</x:f>
      </x:c>
      <x:c r="Z341" s="20" t="str">
        <x:f>IF(A341="","",IF(J341="Annullato",0,IF(ISNUMBER(O341),O341,IF(AND(I341="Esecuzioni",W341&gt;0),_xlfn.MAXIFS('Esecuzioni'!$P$8:$P$1007,'Esecuzioni'!$A$8:$A$1007,A341),""))))</x:f>
      </x:c>
      <x:c r="AA341" s="20" t="str">
        <x:f>IF(OR(A341="",J341="Aperto"),"",IF(J341="Annullato",0,IF(I341="Lordo manuale",IF(ISNUMBER(P341),P341,""),IF(I341="Netto manuale",IF(AND(ISNUMBER(P341),ISNUMBER(Q341)),P341+Q341,""),IF(OR(W341=0,COUNTIFS('Esecuzioni'!$A$8:$A$1007,A341,'Esecuzioni'!$Q$8:$Q$1007,"&lt;&gt;OK")&gt;0),"",IF(S341="Vince",X341,IF(S341="Perde",Y341,IF(AND(S341="Coperto",ABS(X341-Y341)&lt;='Impostazioni'!$B$11),ROUND((X341+Y341)/2,2),""))))))))</x:f>
      </x:c>
      <x:c r="AB341" s="20" t="str">
        <x:f>IF(NOT(ISNUMBER(AA341)),"",IF(J341="Annullato",0,IF(ISNUMBER(Q341),Q341,ROUND(MAX(0,AA341)*IF(ISNUMBER(R341),R341,'Impostazioni'!$B$8),2))))</x:f>
      </x:c>
      <x:c r="AC341" s="20" t="str">
        <x:f>IF(AND(ISNUMBER(AA341),ISNUMBER(AB341)),ROUND(AA341-AB341,2),"")</x:f>
      </x:c>
      <x:c r="AD341" s="18" t="str">
        <x:f>IF(A341="","",IF(AQ341&lt;&gt;"OK","Incompleto",IF(J341="Aperto","Aperto",IF(J341="Annullato","Annullato",IF(AC341&gt;0,"Green",IF(AC341&lt;0,"Red","Flat"))))))</x:f>
      </x:c>
      <x:c r="AE341" s="21" t="str">
        <x:f>IF(AND(AH341=1,Z341&gt;0),AC341/Z341,"")</x:f>
      </x:c>
      <x:c r="AF341" s="22" t="str">
        <x:f>IF(AH341&lt;&gt;1,"",COUNTIFS($C$8:$C$507,"&lt;"&amp;C341,$AH$8:$AH$507,1)+COUNTIFS($C$8:$C$507,C341,$A$8:$A$507,"&lt;="&amp;A341,$AH$8:$AH$507,1))</x:f>
      </x:c>
      <x:c r="AG341" s="20" t="str">
        <x:f>IF(AH341&lt;&gt;1,"",SUMIFS($AC$8:$AC$507,$C$8:$C$507,"&lt;"&amp;C341,$AH$8:$AH$507,1)+SUMIFS($AC$8:$AC$507,$C$8:$C$507,C341,$A$8:$A$507,"&lt;="&amp;A341,$AH$8:$AH$507,1))</x:f>
      </x:c>
      <x:c r="AH341" s="22" t="str">
        <x:f>IF(A341="","",IF(AND(J341="Chiuso",AQ341="OK",ISNUMBER(AC341)),1,0))</x:f>
      </x:c>
      <x:c r="AI341" s="20" t="str">
        <x:f>IF(AH341&lt;&gt;1,"",MAX(0,_xlfn.MAXIFS($AG$8:$AG$507,$AF$8:$AF$507,"&lt;="&amp;AF341,$AH$8:$AH$507,1)))</x:f>
      </x:c>
      <x:c r="AJ341" s="20" t="str">
        <x:f>IF(AH341&lt;&gt;1,"",MAX(0,AI341-AG341))</x:f>
      </x:c>
      <x:c r="AK341" s="21" t="str">
        <x:f>IF(OR(AH341&lt;&gt;1,NOT(ISNUMBER('Impostazioni'!$B$6)),'Impostazioni'!$B$6+AI341&lt;=0),"",AJ341/('Impostazioni'!$B$6+AI341))</x:f>
      </x:c>
      <x:c r="AL341" s="22" t="str">
        <x:f>IF(AH341&lt;&gt;1,"",IF(AC341&gt;0,AF341-_xlfn.MAXIFS($AF$8:$AF$507,$AF$8:$AF$507,"&lt;="&amp;AF341,$AC$8:$AC$507,"&lt;=0",$AH$8:$AH$507,1),0))</x:f>
      </x:c>
      <x:c r="AM341" s="22" t="str">
        <x:f>IF(AH341&lt;&gt;1,"",IF(AC341&lt;0,AF341-_xlfn.MAXIFS($AF$8:$AF$507,$AF$8:$AF$507,"&lt;="&amp;AF341,$AC$8:$AC$507,"&gt;=0",$AH$8:$AH$507,1),0))</x:f>
      </x:c>
      <x:c r="AN341" s="20" t="str">
        <x:f>IF(OR(A341="",NOT(ISNUMBER(B341)),NOT(ISNUMBER('Impostazioni'!$B$6))),"",'Impostazioni'!$B$6+SUMIFS($AC$8:$AC$507,$C$8:$C$507,"&lt;"&amp;B341,$AH$8:$AH$507,1)+SUMIFS('Cassa'!$F$8:$F$307,'Cassa'!$A$8:$A$307,"&lt;="&amp;B341,'Cassa'!$G$8:$G$307,"OK"))</x:f>
      </x:c>
      <x:c r="AO341" s="21" t="str">
        <x:f>IF(AND(ISNUMBER(Z341),ISNUMBER(AN341),AN341&gt;0),Z341/AN341,"")</x:f>
      </x:c>
      <x:c r="AP341" s="18" t="str">
        <x:f>IF(NOT(ISNUMBER(AO341)),"",IF(AO341&gt;'Impostazioni'!$B$7,"Oltre soglia personale","Nella soglia personale"))</x:f>
      </x:c>
      <x:c r="AQ341" s="18" t="str">
        <x:f>IF(A341="",IF(COUNTA(B341:V341)=0,"","Inserisci ID"),IF(COUNTIFS($A$8:$A$507,A341)&lt;&gt;1,"ID duplicato",IF(OR(NOT(ISNUMBER(B341)),D341="",E341="",F341="",G341="",H341="",COUNTIFS('Impostazioni'!$J$6:$J$25,F341)&lt;&gt;1),"Completa dati / elenchi",IF(OR(AND(I341&lt;&gt;"Lordo manuale",I341&lt;&gt;"Netto manuale",I341&lt;&gt;"Esecuzioni"),AND(J341&lt;&gt;"Aperto",J341&lt;&gt;"Chiuso",J341&lt;&gt;"Annullato")),"Modalità / stato mancanti",IF(AND(J341&lt;&gt;"Aperto",OR(NOT(ISNUMBER(C341)),C341&lt;B341)),"Correggi data chiusura",IF(OR(AND(Q341&lt;&gt;"",OR(NOT(ISNUMBER(Q341)),Q341&lt;0)),AND(R341&lt;&gt;"",OR(NOT(ISNUMBER(R341)),R341&lt;0,R341&gt;1))),"Commissione non valida",IF(J341="Annullato","OK",IF(OR(NOT(ISNUMBER(Z341)),Z341&lt;0,AND(O341&lt;&gt;"",NOT(ISNUMBER(O341)))),"Inserisci rischio",IF(AND(I341="Esecuzioni",OR(W341=0,COUNTIFS('Esecuzioni'!$A$8:$A$1007,A341,'Esecuzioni'!$Q$8:$Q$1007,"&lt;&gt;OK")&gt;0)),"Correggi esecuzioni",IF(J341="Aperto","OK",IF(AND(I341="Esecuzioni",S341="Coperto",ABS(X341-Y341)&gt;'Impostazioni'!$B$11),"Copertura residua",IF(NOT(ISNUMBER(AC341)),"Completa risultato / esito",IF(AND(Z341=0,AC341&lt;&gt;0),"Rischio nullo con P/L","OK")))))))))))))</x:f>
      </x:c>
      <x:c r="AR341" s="20" t="str">
        <x:f>IF(OR(A341="",J341&lt;&gt;"Aperto",AQ341&lt;&gt;"OK"),"",IF(I341="Esecuzioni",SUMIFS('Esecuzioni'!$P$8:$P$1007,'Esecuzioni'!$A$8:$A$1007,A341,'Esecuzioni'!$B$8:$B$1007,_xlfn.MAXIFS('Esecuzioni'!$B$8:$B$1007,'Esecuzioni'!$A$8:$A$1007,A341)),IF(LEFT(U341,8)="FREEBET:",0,Z341)))</x:f>
      </x:c>
      <x:c r="AS341" s="48" t="str">
        <x:f>IF(OR(A341="",E341=""),"",IF(COUNTIFS($E$8:E341,E341)=1,COUNT($AS$7:AS340)+1,""))</x:f>
      </x:c>
    </x:row>
    <x:row r="342" ht="22" customHeight="1">
      <x:c r="A342" s="7"/>
      <x:c r="B342" s="19"/>
      <x:c r="C342" s="19"/>
      <x:c r="D342" s="7"/>
      <x:c r="E342" s="7"/>
      <x:c r="F342" s="7"/>
      <x:c r="G342" s="7"/>
      <x:c r="H342" s="7"/>
      <x:c r="I342" s="7"/>
      <x:c r="J342" s="7"/>
      <x:c r="K342" s="10"/>
      <x:c r="L342" s="7"/>
      <x:c r="M342" s="10"/>
      <x:c r="N342" s="7"/>
      <x:c r="O342" s="8"/>
      <x:c r="P342" s="8"/>
      <x:c r="Q342" s="8"/>
      <x:c r="R342" s="9"/>
      <x:c r="S342" s="7"/>
      <x:c r="T342" s="7"/>
      <x:c r="U342" s="7"/>
      <x:c r="V342" s="7"/>
      <x:c r="W342" s="22" t="str">
        <x:f>IF(A342="","",COUNTIFS('Esecuzioni'!$A$8:$A$1007,A342,'Esecuzioni'!$Q$8:$Q$1007,"OK"))</x:f>
      </x:c>
      <x:c r="X342" s="20" t="str">
        <x:f>IF(OR(A342="",I342&lt;&gt;"Esecuzioni",W342=0),"",SUMIFS('Esecuzioni'!$L$8:$L$1007,'Esecuzioni'!$A$8:$A$1007,A342))</x:f>
      </x:c>
      <x:c r="Y342" s="20" t="str">
        <x:f>IF(OR(A342="",I342&lt;&gt;"Esecuzioni",W342=0),"",SUMIFS('Esecuzioni'!$M$8:$M$1007,'Esecuzioni'!$A$8:$A$1007,A342))</x:f>
      </x:c>
      <x:c r="Z342" s="20" t="str">
        <x:f>IF(A342="","",IF(J342="Annullato",0,IF(ISNUMBER(O342),O342,IF(AND(I342="Esecuzioni",W342&gt;0),_xlfn.MAXIFS('Esecuzioni'!$P$8:$P$1007,'Esecuzioni'!$A$8:$A$1007,A342),""))))</x:f>
      </x:c>
      <x:c r="AA342" s="20" t="str">
        <x:f>IF(OR(A342="",J342="Aperto"),"",IF(J342="Annullato",0,IF(I342="Lordo manuale",IF(ISNUMBER(P342),P342,""),IF(I342="Netto manuale",IF(AND(ISNUMBER(P342),ISNUMBER(Q342)),P342+Q342,""),IF(OR(W342=0,COUNTIFS('Esecuzioni'!$A$8:$A$1007,A342,'Esecuzioni'!$Q$8:$Q$1007,"&lt;&gt;OK")&gt;0),"",IF(S342="Vince",X342,IF(S342="Perde",Y342,IF(AND(S342="Coperto",ABS(X342-Y342)&lt;='Impostazioni'!$B$11),ROUND((X342+Y342)/2,2),""))))))))</x:f>
      </x:c>
      <x:c r="AB342" s="20" t="str">
        <x:f>IF(NOT(ISNUMBER(AA342)),"",IF(J342="Annullato",0,IF(ISNUMBER(Q342),Q342,ROUND(MAX(0,AA342)*IF(ISNUMBER(R342),R342,'Impostazioni'!$B$8),2))))</x:f>
      </x:c>
      <x:c r="AC342" s="20" t="str">
        <x:f>IF(AND(ISNUMBER(AA342),ISNUMBER(AB342)),ROUND(AA342-AB342,2),"")</x:f>
      </x:c>
      <x:c r="AD342" s="18" t="str">
        <x:f>IF(A342="","",IF(AQ342&lt;&gt;"OK","Incompleto",IF(J342="Aperto","Aperto",IF(J342="Annullato","Annullato",IF(AC342&gt;0,"Green",IF(AC342&lt;0,"Red","Flat"))))))</x:f>
      </x:c>
      <x:c r="AE342" s="21" t="str">
        <x:f>IF(AND(AH342=1,Z342&gt;0),AC342/Z342,"")</x:f>
      </x:c>
      <x:c r="AF342" s="22" t="str">
        <x:f>IF(AH342&lt;&gt;1,"",COUNTIFS($C$8:$C$507,"&lt;"&amp;C342,$AH$8:$AH$507,1)+COUNTIFS($C$8:$C$507,C342,$A$8:$A$507,"&lt;="&amp;A342,$AH$8:$AH$507,1))</x:f>
      </x:c>
      <x:c r="AG342" s="20" t="str">
        <x:f>IF(AH342&lt;&gt;1,"",SUMIFS($AC$8:$AC$507,$C$8:$C$507,"&lt;"&amp;C342,$AH$8:$AH$507,1)+SUMIFS($AC$8:$AC$507,$C$8:$C$507,C342,$A$8:$A$507,"&lt;="&amp;A342,$AH$8:$AH$507,1))</x:f>
      </x:c>
      <x:c r="AH342" s="22" t="str">
        <x:f>IF(A342="","",IF(AND(J342="Chiuso",AQ342="OK",ISNUMBER(AC342)),1,0))</x:f>
      </x:c>
      <x:c r="AI342" s="20" t="str">
        <x:f>IF(AH342&lt;&gt;1,"",MAX(0,_xlfn.MAXIFS($AG$8:$AG$507,$AF$8:$AF$507,"&lt;="&amp;AF342,$AH$8:$AH$507,1)))</x:f>
      </x:c>
      <x:c r="AJ342" s="20" t="str">
        <x:f>IF(AH342&lt;&gt;1,"",MAX(0,AI342-AG342))</x:f>
      </x:c>
      <x:c r="AK342" s="21" t="str">
        <x:f>IF(OR(AH342&lt;&gt;1,NOT(ISNUMBER('Impostazioni'!$B$6)),'Impostazioni'!$B$6+AI342&lt;=0),"",AJ342/('Impostazioni'!$B$6+AI342))</x:f>
      </x:c>
      <x:c r="AL342" s="22" t="str">
        <x:f>IF(AH342&lt;&gt;1,"",IF(AC342&gt;0,AF342-_xlfn.MAXIFS($AF$8:$AF$507,$AF$8:$AF$507,"&lt;="&amp;AF342,$AC$8:$AC$507,"&lt;=0",$AH$8:$AH$507,1),0))</x:f>
      </x:c>
      <x:c r="AM342" s="22" t="str">
        <x:f>IF(AH342&lt;&gt;1,"",IF(AC342&lt;0,AF342-_xlfn.MAXIFS($AF$8:$AF$507,$AF$8:$AF$507,"&lt;="&amp;AF342,$AC$8:$AC$507,"&gt;=0",$AH$8:$AH$507,1),0))</x:f>
      </x:c>
      <x:c r="AN342" s="20" t="str">
        <x:f>IF(OR(A342="",NOT(ISNUMBER(B342)),NOT(ISNUMBER('Impostazioni'!$B$6))),"",'Impostazioni'!$B$6+SUMIFS($AC$8:$AC$507,$C$8:$C$507,"&lt;"&amp;B342,$AH$8:$AH$507,1)+SUMIFS('Cassa'!$F$8:$F$307,'Cassa'!$A$8:$A$307,"&lt;="&amp;B342,'Cassa'!$G$8:$G$307,"OK"))</x:f>
      </x:c>
      <x:c r="AO342" s="21" t="str">
        <x:f>IF(AND(ISNUMBER(Z342),ISNUMBER(AN342),AN342&gt;0),Z342/AN342,"")</x:f>
      </x:c>
      <x:c r="AP342" s="18" t="str">
        <x:f>IF(NOT(ISNUMBER(AO342)),"",IF(AO342&gt;'Impostazioni'!$B$7,"Oltre soglia personale","Nella soglia personale"))</x:f>
      </x:c>
      <x:c r="AQ342" s="18" t="str">
        <x:f>IF(A342="",IF(COUNTA(B342:V342)=0,"","Inserisci ID"),IF(COUNTIFS($A$8:$A$507,A342)&lt;&gt;1,"ID duplicato",IF(OR(NOT(ISNUMBER(B342)),D342="",E342="",F342="",G342="",H342="",COUNTIFS('Impostazioni'!$J$6:$J$25,F342)&lt;&gt;1),"Completa dati / elenchi",IF(OR(AND(I342&lt;&gt;"Lordo manuale",I342&lt;&gt;"Netto manuale",I342&lt;&gt;"Esecuzioni"),AND(J342&lt;&gt;"Aperto",J342&lt;&gt;"Chiuso",J342&lt;&gt;"Annullato")),"Modalità / stato mancanti",IF(AND(J342&lt;&gt;"Aperto",OR(NOT(ISNUMBER(C342)),C342&lt;B342)),"Correggi data chiusura",IF(OR(AND(Q342&lt;&gt;"",OR(NOT(ISNUMBER(Q342)),Q342&lt;0)),AND(R342&lt;&gt;"",OR(NOT(ISNUMBER(R342)),R342&lt;0,R342&gt;1))),"Commissione non valida",IF(J342="Annullato","OK",IF(OR(NOT(ISNUMBER(Z342)),Z342&lt;0,AND(O342&lt;&gt;"",NOT(ISNUMBER(O342)))),"Inserisci rischio",IF(AND(I342="Esecuzioni",OR(W342=0,COUNTIFS('Esecuzioni'!$A$8:$A$1007,A342,'Esecuzioni'!$Q$8:$Q$1007,"&lt;&gt;OK")&gt;0)),"Correggi esecuzioni",IF(J342="Aperto","OK",IF(AND(I342="Esecuzioni",S342="Coperto",ABS(X342-Y342)&gt;'Impostazioni'!$B$11),"Copertura residua",IF(NOT(ISNUMBER(AC342)),"Completa risultato / esito",IF(AND(Z342=0,AC342&lt;&gt;0),"Rischio nullo con P/L","OK")))))))))))))</x:f>
      </x:c>
      <x:c r="AR342" s="20" t="str">
        <x:f>IF(OR(A342="",J342&lt;&gt;"Aperto",AQ342&lt;&gt;"OK"),"",IF(I342="Esecuzioni",SUMIFS('Esecuzioni'!$P$8:$P$1007,'Esecuzioni'!$A$8:$A$1007,A342,'Esecuzioni'!$B$8:$B$1007,_xlfn.MAXIFS('Esecuzioni'!$B$8:$B$1007,'Esecuzioni'!$A$8:$A$1007,A342)),IF(LEFT(U342,8)="FREEBET:",0,Z342)))</x:f>
      </x:c>
      <x:c r="AS342" s="48" t="str">
        <x:f>IF(OR(A342="",E342=""),"",IF(COUNTIFS($E$8:E342,E342)=1,COUNT($AS$7:AS341)+1,""))</x:f>
      </x:c>
    </x:row>
    <x:row r="343" ht="22" customHeight="1">
      <x:c r="A343" s="7"/>
      <x:c r="B343" s="19"/>
      <x:c r="C343" s="19"/>
      <x:c r="D343" s="7"/>
      <x:c r="E343" s="7"/>
      <x:c r="F343" s="7"/>
      <x:c r="G343" s="7"/>
      <x:c r="H343" s="7"/>
      <x:c r="I343" s="7"/>
      <x:c r="J343" s="7"/>
      <x:c r="K343" s="10"/>
      <x:c r="L343" s="7"/>
      <x:c r="M343" s="10"/>
      <x:c r="N343" s="7"/>
      <x:c r="O343" s="8"/>
      <x:c r="P343" s="8"/>
      <x:c r="Q343" s="8"/>
      <x:c r="R343" s="9"/>
      <x:c r="S343" s="7"/>
      <x:c r="T343" s="7"/>
      <x:c r="U343" s="7"/>
      <x:c r="V343" s="7"/>
      <x:c r="W343" s="22" t="str">
        <x:f>IF(A343="","",COUNTIFS('Esecuzioni'!$A$8:$A$1007,A343,'Esecuzioni'!$Q$8:$Q$1007,"OK"))</x:f>
      </x:c>
      <x:c r="X343" s="20" t="str">
        <x:f>IF(OR(A343="",I343&lt;&gt;"Esecuzioni",W343=0),"",SUMIFS('Esecuzioni'!$L$8:$L$1007,'Esecuzioni'!$A$8:$A$1007,A343))</x:f>
      </x:c>
      <x:c r="Y343" s="20" t="str">
        <x:f>IF(OR(A343="",I343&lt;&gt;"Esecuzioni",W343=0),"",SUMIFS('Esecuzioni'!$M$8:$M$1007,'Esecuzioni'!$A$8:$A$1007,A343))</x:f>
      </x:c>
      <x:c r="Z343" s="20" t="str">
        <x:f>IF(A343="","",IF(J343="Annullato",0,IF(ISNUMBER(O343),O343,IF(AND(I343="Esecuzioni",W343&gt;0),_xlfn.MAXIFS('Esecuzioni'!$P$8:$P$1007,'Esecuzioni'!$A$8:$A$1007,A343),""))))</x:f>
      </x:c>
      <x:c r="AA343" s="20" t="str">
        <x:f>IF(OR(A343="",J343="Aperto"),"",IF(J343="Annullato",0,IF(I343="Lordo manuale",IF(ISNUMBER(P343),P343,""),IF(I343="Netto manuale",IF(AND(ISNUMBER(P343),ISNUMBER(Q343)),P343+Q343,""),IF(OR(W343=0,COUNTIFS('Esecuzioni'!$A$8:$A$1007,A343,'Esecuzioni'!$Q$8:$Q$1007,"&lt;&gt;OK")&gt;0),"",IF(S343="Vince",X343,IF(S343="Perde",Y343,IF(AND(S343="Coperto",ABS(X343-Y343)&lt;='Impostazioni'!$B$11),ROUND((X343+Y343)/2,2),""))))))))</x:f>
      </x:c>
      <x:c r="AB343" s="20" t="str">
        <x:f>IF(NOT(ISNUMBER(AA343)),"",IF(J343="Annullato",0,IF(ISNUMBER(Q343),Q343,ROUND(MAX(0,AA343)*IF(ISNUMBER(R343),R343,'Impostazioni'!$B$8),2))))</x:f>
      </x:c>
      <x:c r="AC343" s="20" t="str">
        <x:f>IF(AND(ISNUMBER(AA343),ISNUMBER(AB343)),ROUND(AA343-AB343,2),"")</x:f>
      </x:c>
      <x:c r="AD343" s="18" t="str">
        <x:f>IF(A343="","",IF(AQ343&lt;&gt;"OK","Incompleto",IF(J343="Aperto","Aperto",IF(J343="Annullato","Annullato",IF(AC343&gt;0,"Green",IF(AC343&lt;0,"Red","Flat"))))))</x:f>
      </x:c>
      <x:c r="AE343" s="21" t="str">
        <x:f>IF(AND(AH343=1,Z343&gt;0),AC343/Z343,"")</x:f>
      </x:c>
      <x:c r="AF343" s="22" t="str">
        <x:f>IF(AH343&lt;&gt;1,"",COUNTIFS($C$8:$C$507,"&lt;"&amp;C343,$AH$8:$AH$507,1)+COUNTIFS($C$8:$C$507,C343,$A$8:$A$507,"&lt;="&amp;A343,$AH$8:$AH$507,1))</x:f>
      </x:c>
      <x:c r="AG343" s="20" t="str">
        <x:f>IF(AH343&lt;&gt;1,"",SUMIFS($AC$8:$AC$507,$C$8:$C$507,"&lt;"&amp;C343,$AH$8:$AH$507,1)+SUMIFS($AC$8:$AC$507,$C$8:$C$507,C343,$A$8:$A$507,"&lt;="&amp;A343,$AH$8:$AH$507,1))</x:f>
      </x:c>
      <x:c r="AH343" s="22" t="str">
        <x:f>IF(A343="","",IF(AND(J343="Chiuso",AQ343="OK",ISNUMBER(AC343)),1,0))</x:f>
      </x:c>
      <x:c r="AI343" s="20" t="str">
        <x:f>IF(AH343&lt;&gt;1,"",MAX(0,_xlfn.MAXIFS($AG$8:$AG$507,$AF$8:$AF$507,"&lt;="&amp;AF343,$AH$8:$AH$507,1)))</x:f>
      </x:c>
      <x:c r="AJ343" s="20" t="str">
        <x:f>IF(AH343&lt;&gt;1,"",MAX(0,AI343-AG343))</x:f>
      </x:c>
      <x:c r="AK343" s="21" t="str">
        <x:f>IF(OR(AH343&lt;&gt;1,NOT(ISNUMBER('Impostazioni'!$B$6)),'Impostazioni'!$B$6+AI343&lt;=0),"",AJ343/('Impostazioni'!$B$6+AI343))</x:f>
      </x:c>
      <x:c r="AL343" s="22" t="str">
        <x:f>IF(AH343&lt;&gt;1,"",IF(AC343&gt;0,AF343-_xlfn.MAXIFS($AF$8:$AF$507,$AF$8:$AF$507,"&lt;="&amp;AF343,$AC$8:$AC$507,"&lt;=0",$AH$8:$AH$507,1),0))</x:f>
      </x:c>
      <x:c r="AM343" s="22" t="str">
        <x:f>IF(AH343&lt;&gt;1,"",IF(AC343&lt;0,AF343-_xlfn.MAXIFS($AF$8:$AF$507,$AF$8:$AF$507,"&lt;="&amp;AF343,$AC$8:$AC$507,"&gt;=0",$AH$8:$AH$507,1),0))</x:f>
      </x:c>
      <x:c r="AN343" s="20" t="str">
        <x:f>IF(OR(A343="",NOT(ISNUMBER(B343)),NOT(ISNUMBER('Impostazioni'!$B$6))),"",'Impostazioni'!$B$6+SUMIFS($AC$8:$AC$507,$C$8:$C$507,"&lt;"&amp;B343,$AH$8:$AH$507,1)+SUMIFS('Cassa'!$F$8:$F$307,'Cassa'!$A$8:$A$307,"&lt;="&amp;B343,'Cassa'!$G$8:$G$307,"OK"))</x:f>
      </x:c>
      <x:c r="AO343" s="21" t="str">
        <x:f>IF(AND(ISNUMBER(Z343),ISNUMBER(AN343),AN343&gt;0),Z343/AN343,"")</x:f>
      </x:c>
      <x:c r="AP343" s="18" t="str">
        <x:f>IF(NOT(ISNUMBER(AO343)),"",IF(AO343&gt;'Impostazioni'!$B$7,"Oltre soglia personale","Nella soglia personale"))</x:f>
      </x:c>
      <x:c r="AQ343" s="18" t="str">
        <x:f>IF(A343="",IF(COUNTA(B343:V343)=0,"","Inserisci ID"),IF(COUNTIFS($A$8:$A$507,A343)&lt;&gt;1,"ID duplicato",IF(OR(NOT(ISNUMBER(B343)),D343="",E343="",F343="",G343="",H343="",COUNTIFS('Impostazioni'!$J$6:$J$25,F343)&lt;&gt;1),"Completa dati / elenchi",IF(OR(AND(I343&lt;&gt;"Lordo manuale",I343&lt;&gt;"Netto manuale",I343&lt;&gt;"Esecuzioni"),AND(J343&lt;&gt;"Aperto",J343&lt;&gt;"Chiuso",J343&lt;&gt;"Annullato")),"Modalità / stato mancanti",IF(AND(J343&lt;&gt;"Aperto",OR(NOT(ISNUMBER(C343)),C343&lt;B343)),"Correggi data chiusura",IF(OR(AND(Q343&lt;&gt;"",OR(NOT(ISNUMBER(Q343)),Q343&lt;0)),AND(R343&lt;&gt;"",OR(NOT(ISNUMBER(R343)),R343&lt;0,R343&gt;1))),"Commissione non valida",IF(J343="Annullato","OK",IF(OR(NOT(ISNUMBER(Z343)),Z343&lt;0,AND(O343&lt;&gt;"",NOT(ISNUMBER(O343)))),"Inserisci rischio",IF(AND(I343="Esecuzioni",OR(W343=0,COUNTIFS('Esecuzioni'!$A$8:$A$1007,A343,'Esecuzioni'!$Q$8:$Q$1007,"&lt;&gt;OK")&gt;0)),"Correggi esecuzioni",IF(J343="Aperto","OK",IF(AND(I343="Esecuzioni",S343="Coperto",ABS(X343-Y343)&gt;'Impostazioni'!$B$11),"Copertura residua",IF(NOT(ISNUMBER(AC343)),"Completa risultato / esito",IF(AND(Z343=0,AC343&lt;&gt;0),"Rischio nullo con P/L","OK")))))))))))))</x:f>
      </x:c>
      <x:c r="AR343" s="20" t="str">
        <x:f>IF(OR(A343="",J343&lt;&gt;"Aperto",AQ343&lt;&gt;"OK"),"",IF(I343="Esecuzioni",SUMIFS('Esecuzioni'!$P$8:$P$1007,'Esecuzioni'!$A$8:$A$1007,A343,'Esecuzioni'!$B$8:$B$1007,_xlfn.MAXIFS('Esecuzioni'!$B$8:$B$1007,'Esecuzioni'!$A$8:$A$1007,A343)),IF(LEFT(U343,8)="FREEBET:",0,Z343)))</x:f>
      </x:c>
      <x:c r="AS343" s="48" t="str">
        <x:f>IF(OR(A343="",E343=""),"",IF(COUNTIFS($E$8:E343,E343)=1,COUNT($AS$7:AS342)+1,""))</x:f>
      </x:c>
    </x:row>
    <x:row r="344" ht="22" customHeight="1">
      <x:c r="A344" s="7"/>
      <x:c r="B344" s="19"/>
      <x:c r="C344" s="19"/>
      <x:c r="D344" s="7"/>
      <x:c r="E344" s="7"/>
      <x:c r="F344" s="7"/>
      <x:c r="G344" s="7"/>
      <x:c r="H344" s="7"/>
      <x:c r="I344" s="7"/>
      <x:c r="J344" s="7"/>
      <x:c r="K344" s="10"/>
      <x:c r="L344" s="7"/>
      <x:c r="M344" s="10"/>
      <x:c r="N344" s="7"/>
      <x:c r="O344" s="8"/>
      <x:c r="P344" s="8"/>
      <x:c r="Q344" s="8"/>
      <x:c r="R344" s="9"/>
      <x:c r="S344" s="7"/>
      <x:c r="T344" s="7"/>
      <x:c r="U344" s="7"/>
      <x:c r="V344" s="7"/>
      <x:c r="W344" s="22" t="str">
        <x:f>IF(A344="","",COUNTIFS('Esecuzioni'!$A$8:$A$1007,A344,'Esecuzioni'!$Q$8:$Q$1007,"OK"))</x:f>
      </x:c>
      <x:c r="X344" s="20" t="str">
        <x:f>IF(OR(A344="",I344&lt;&gt;"Esecuzioni",W344=0),"",SUMIFS('Esecuzioni'!$L$8:$L$1007,'Esecuzioni'!$A$8:$A$1007,A344))</x:f>
      </x:c>
      <x:c r="Y344" s="20" t="str">
        <x:f>IF(OR(A344="",I344&lt;&gt;"Esecuzioni",W344=0),"",SUMIFS('Esecuzioni'!$M$8:$M$1007,'Esecuzioni'!$A$8:$A$1007,A344))</x:f>
      </x:c>
      <x:c r="Z344" s="20" t="str">
        <x:f>IF(A344="","",IF(J344="Annullato",0,IF(ISNUMBER(O344),O344,IF(AND(I344="Esecuzioni",W344&gt;0),_xlfn.MAXIFS('Esecuzioni'!$P$8:$P$1007,'Esecuzioni'!$A$8:$A$1007,A344),""))))</x:f>
      </x:c>
      <x:c r="AA344" s="20" t="str">
        <x:f>IF(OR(A344="",J344="Aperto"),"",IF(J344="Annullato",0,IF(I344="Lordo manuale",IF(ISNUMBER(P344),P344,""),IF(I344="Netto manuale",IF(AND(ISNUMBER(P344),ISNUMBER(Q344)),P344+Q344,""),IF(OR(W344=0,COUNTIFS('Esecuzioni'!$A$8:$A$1007,A344,'Esecuzioni'!$Q$8:$Q$1007,"&lt;&gt;OK")&gt;0),"",IF(S344="Vince",X344,IF(S344="Perde",Y344,IF(AND(S344="Coperto",ABS(X344-Y344)&lt;='Impostazioni'!$B$11),ROUND((X344+Y344)/2,2),""))))))))</x:f>
      </x:c>
      <x:c r="AB344" s="20" t="str">
        <x:f>IF(NOT(ISNUMBER(AA344)),"",IF(J344="Annullato",0,IF(ISNUMBER(Q344),Q344,ROUND(MAX(0,AA344)*IF(ISNUMBER(R344),R344,'Impostazioni'!$B$8),2))))</x:f>
      </x:c>
      <x:c r="AC344" s="20" t="str">
        <x:f>IF(AND(ISNUMBER(AA344),ISNUMBER(AB344)),ROUND(AA344-AB344,2),"")</x:f>
      </x:c>
      <x:c r="AD344" s="18" t="str">
        <x:f>IF(A344="","",IF(AQ344&lt;&gt;"OK","Incompleto",IF(J344="Aperto","Aperto",IF(J344="Annullato","Annullato",IF(AC344&gt;0,"Green",IF(AC344&lt;0,"Red","Flat"))))))</x:f>
      </x:c>
      <x:c r="AE344" s="21" t="str">
        <x:f>IF(AND(AH344=1,Z344&gt;0),AC344/Z344,"")</x:f>
      </x:c>
      <x:c r="AF344" s="22" t="str">
        <x:f>IF(AH344&lt;&gt;1,"",COUNTIFS($C$8:$C$507,"&lt;"&amp;C344,$AH$8:$AH$507,1)+COUNTIFS($C$8:$C$507,C344,$A$8:$A$507,"&lt;="&amp;A344,$AH$8:$AH$507,1))</x:f>
      </x:c>
      <x:c r="AG344" s="20" t="str">
        <x:f>IF(AH344&lt;&gt;1,"",SUMIFS($AC$8:$AC$507,$C$8:$C$507,"&lt;"&amp;C344,$AH$8:$AH$507,1)+SUMIFS($AC$8:$AC$507,$C$8:$C$507,C344,$A$8:$A$507,"&lt;="&amp;A344,$AH$8:$AH$507,1))</x:f>
      </x:c>
      <x:c r="AH344" s="22" t="str">
        <x:f>IF(A344="","",IF(AND(J344="Chiuso",AQ344="OK",ISNUMBER(AC344)),1,0))</x:f>
      </x:c>
      <x:c r="AI344" s="20" t="str">
        <x:f>IF(AH344&lt;&gt;1,"",MAX(0,_xlfn.MAXIFS($AG$8:$AG$507,$AF$8:$AF$507,"&lt;="&amp;AF344,$AH$8:$AH$507,1)))</x:f>
      </x:c>
      <x:c r="AJ344" s="20" t="str">
        <x:f>IF(AH344&lt;&gt;1,"",MAX(0,AI344-AG344))</x:f>
      </x:c>
      <x:c r="AK344" s="21" t="str">
        <x:f>IF(OR(AH344&lt;&gt;1,NOT(ISNUMBER('Impostazioni'!$B$6)),'Impostazioni'!$B$6+AI344&lt;=0),"",AJ344/('Impostazioni'!$B$6+AI344))</x:f>
      </x:c>
      <x:c r="AL344" s="22" t="str">
        <x:f>IF(AH344&lt;&gt;1,"",IF(AC344&gt;0,AF344-_xlfn.MAXIFS($AF$8:$AF$507,$AF$8:$AF$507,"&lt;="&amp;AF344,$AC$8:$AC$507,"&lt;=0",$AH$8:$AH$507,1),0))</x:f>
      </x:c>
      <x:c r="AM344" s="22" t="str">
        <x:f>IF(AH344&lt;&gt;1,"",IF(AC344&lt;0,AF344-_xlfn.MAXIFS($AF$8:$AF$507,$AF$8:$AF$507,"&lt;="&amp;AF344,$AC$8:$AC$507,"&gt;=0",$AH$8:$AH$507,1),0))</x:f>
      </x:c>
      <x:c r="AN344" s="20" t="str">
        <x:f>IF(OR(A344="",NOT(ISNUMBER(B344)),NOT(ISNUMBER('Impostazioni'!$B$6))),"",'Impostazioni'!$B$6+SUMIFS($AC$8:$AC$507,$C$8:$C$507,"&lt;"&amp;B344,$AH$8:$AH$507,1)+SUMIFS('Cassa'!$F$8:$F$307,'Cassa'!$A$8:$A$307,"&lt;="&amp;B344,'Cassa'!$G$8:$G$307,"OK"))</x:f>
      </x:c>
      <x:c r="AO344" s="21" t="str">
        <x:f>IF(AND(ISNUMBER(Z344),ISNUMBER(AN344),AN344&gt;0),Z344/AN344,"")</x:f>
      </x:c>
      <x:c r="AP344" s="18" t="str">
        <x:f>IF(NOT(ISNUMBER(AO344)),"",IF(AO344&gt;'Impostazioni'!$B$7,"Oltre soglia personale","Nella soglia personale"))</x:f>
      </x:c>
      <x:c r="AQ344" s="18" t="str">
        <x:f>IF(A344="",IF(COUNTA(B344:V344)=0,"","Inserisci ID"),IF(COUNTIFS($A$8:$A$507,A344)&lt;&gt;1,"ID duplicato",IF(OR(NOT(ISNUMBER(B344)),D344="",E344="",F344="",G344="",H344="",COUNTIFS('Impostazioni'!$J$6:$J$25,F344)&lt;&gt;1),"Completa dati / elenchi",IF(OR(AND(I344&lt;&gt;"Lordo manuale",I344&lt;&gt;"Netto manuale",I344&lt;&gt;"Esecuzioni"),AND(J344&lt;&gt;"Aperto",J344&lt;&gt;"Chiuso",J344&lt;&gt;"Annullato")),"Modalità / stato mancanti",IF(AND(J344&lt;&gt;"Aperto",OR(NOT(ISNUMBER(C344)),C344&lt;B344)),"Correggi data chiusura",IF(OR(AND(Q344&lt;&gt;"",OR(NOT(ISNUMBER(Q344)),Q344&lt;0)),AND(R344&lt;&gt;"",OR(NOT(ISNUMBER(R344)),R344&lt;0,R344&gt;1))),"Commissione non valida",IF(J344="Annullato","OK",IF(OR(NOT(ISNUMBER(Z344)),Z344&lt;0,AND(O344&lt;&gt;"",NOT(ISNUMBER(O344)))),"Inserisci rischio",IF(AND(I344="Esecuzioni",OR(W344=0,COUNTIFS('Esecuzioni'!$A$8:$A$1007,A344,'Esecuzioni'!$Q$8:$Q$1007,"&lt;&gt;OK")&gt;0)),"Correggi esecuzioni",IF(J344="Aperto","OK",IF(AND(I344="Esecuzioni",S344="Coperto",ABS(X344-Y344)&gt;'Impostazioni'!$B$11),"Copertura residua",IF(NOT(ISNUMBER(AC344)),"Completa risultato / esito",IF(AND(Z344=0,AC344&lt;&gt;0),"Rischio nullo con P/L","OK")))))))))))))</x:f>
      </x:c>
      <x:c r="AR344" s="20" t="str">
        <x:f>IF(OR(A344="",J344&lt;&gt;"Aperto",AQ344&lt;&gt;"OK"),"",IF(I344="Esecuzioni",SUMIFS('Esecuzioni'!$P$8:$P$1007,'Esecuzioni'!$A$8:$A$1007,A344,'Esecuzioni'!$B$8:$B$1007,_xlfn.MAXIFS('Esecuzioni'!$B$8:$B$1007,'Esecuzioni'!$A$8:$A$1007,A344)),IF(LEFT(U344,8)="FREEBET:",0,Z344)))</x:f>
      </x:c>
      <x:c r="AS344" s="48" t="str">
        <x:f>IF(OR(A344="",E344=""),"",IF(COUNTIFS($E$8:E344,E344)=1,COUNT($AS$7:AS343)+1,""))</x:f>
      </x:c>
    </x:row>
    <x:row r="345" ht="22" customHeight="1">
      <x:c r="A345" s="7"/>
      <x:c r="B345" s="19"/>
      <x:c r="C345" s="19"/>
      <x:c r="D345" s="7"/>
      <x:c r="E345" s="7"/>
      <x:c r="F345" s="7"/>
      <x:c r="G345" s="7"/>
      <x:c r="H345" s="7"/>
      <x:c r="I345" s="7"/>
      <x:c r="J345" s="7"/>
      <x:c r="K345" s="10"/>
      <x:c r="L345" s="7"/>
      <x:c r="M345" s="10"/>
      <x:c r="N345" s="7"/>
      <x:c r="O345" s="8"/>
      <x:c r="P345" s="8"/>
      <x:c r="Q345" s="8"/>
      <x:c r="R345" s="9"/>
      <x:c r="S345" s="7"/>
      <x:c r="T345" s="7"/>
      <x:c r="U345" s="7"/>
      <x:c r="V345" s="7"/>
      <x:c r="W345" s="22" t="str">
        <x:f>IF(A345="","",COUNTIFS('Esecuzioni'!$A$8:$A$1007,A345,'Esecuzioni'!$Q$8:$Q$1007,"OK"))</x:f>
      </x:c>
      <x:c r="X345" s="20" t="str">
        <x:f>IF(OR(A345="",I345&lt;&gt;"Esecuzioni",W345=0),"",SUMIFS('Esecuzioni'!$L$8:$L$1007,'Esecuzioni'!$A$8:$A$1007,A345))</x:f>
      </x:c>
      <x:c r="Y345" s="20" t="str">
        <x:f>IF(OR(A345="",I345&lt;&gt;"Esecuzioni",W345=0),"",SUMIFS('Esecuzioni'!$M$8:$M$1007,'Esecuzioni'!$A$8:$A$1007,A345))</x:f>
      </x:c>
      <x:c r="Z345" s="20" t="str">
        <x:f>IF(A345="","",IF(J345="Annullato",0,IF(ISNUMBER(O345),O345,IF(AND(I345="Esecuzioni",W345&gt;0),_xlfn.MAXIFS('Esecuzioni'!$P$8:$P$1007,'Esecuzioni'!$A$8:$A$1007,A345),""))))</x:f>
      </x:c>
      <x:c r="AA345" s="20" t="str">
        <x:f>IF(OR(A345="",J345="Aperto"),"",IF(J345="Annullato",0,IF(I345="Lordo manuale",IF(ISNUMBER(P345),P345,""),IF(I345="Netto manuale",IF(AND(ISNUMBER(P345),ISNUMBER(Q345)),P345+Q345,""),IF(OR(W345=0,COUNTIFS('Esecuzioni'!$A$8:$A$1007,A345,'Esecuzioni'!$Q$8:$Q$1007,"&lt;&gt;OK")&gt;0),"",IF(S345="Vince",X345,IF(S345="Perde",Y345,IF(AND(S345="Coperto",ABS(X345-Y345)&lt;='Impostazioni'!$B$11),ROUND((X345+Y345)/2,2),""))))))))</x:f>
      </x:c>
      <x:c r="AB345" s="20" t="str">
        <x:f>IF(NOT(ISNUMBER(AA345)),"",IF(J345="Annullato",0,IF(ISNUMBER(Q345),Q345,ROUND(MAX(0,AA345)*IF(ISNUMBER(R345),R345,'Impostazioni'!$B$8),2))))</x:f>
      </x:c>
      <x:c r="AC345" s="20" t="str">
        <x:f>IF(AND(ISNUMBER(AA345),ISNUMBER(AB345)),ROUND(AA345-AB345,2),"")</x:f>
      </x:c>
      <x:c r="AD345" s="18" t="str">
        <x:f>IF(A345="","",IF(AQ345&lt;&gt;"OK","Incompleto",IF(J345="Aperto","Aperto",IF(J345="Annullato","Annullato",IF(AC345&gt;0,"Green",IF(AC345&lt;0,"Red","Flat"))))))</x:f>
      </x:c>
      <x:c r="AE345" s="21" t="str">
        <x:f>IF(AND(AH345=1,Z345&gt;0),AC345/Z345,"")</x:f>
      </x:c>
      <x:c r="AF345" s="22" t="str">
        <x:f>IF(AH345&lt;&gt;1,"",COUNTIFS($C$8:$C$507,"&lt;"&amp;C345,$AH$8:$AH$507,1)+COUNTIFS($C$8:$C$507,C345,$A$8:$A$507,"&lt;="&amp;A345,$AH$8:$AH$507,1))</x:f>
      </x:c>
      <x:c r="AG345" s="20" t="str">
        <x:f>IF(AH345&lt;&gt;1,"",SUMIFS($AC$8:$AC$507,$C$8:$C$507,"&lt;"&amp;C345,$AH$8:$AH$507,1)+SUMIFS($AC$8:$AC$507,$C$8:$C$507,C345,$A$8:$A$507,"&lt;="&amp;A345,$AH$8:$AH$507,1))</x:f>
      </x:c>
      <x:c r="AH345" s="22" t="str">
        <x:f>IF(A345="","",IF(AND(J345="Chiuso",AQ345="OK",ISNUMBER(AC345)),1,0))</x:f>
      </x:c>
      <x:c r="AI345" s="20" t="str">
        <x:f>IF(AH345&lt;&gt;1,"",MAX(0,_xlfn.MAXIFS($AG$8:$AG$507,$AF$8:$AF$507,"&lt;="&amp;AF345,$AH$8:$AH$507,1)))</x:f>
      </x:c>
      <x:c r="AJ345" s="20" t="str">
        <x:f>IF(AH345&lt;&gt;1,"",MAX(0,AI345-AG345))</x:f>
      </x:c>
      <x:c r="AK345" s="21" t="str">
        <x:f>IF(OR(AH345&lt;&gt;1,NOT(ISNUMBER('Impostazioni'!$B$6)),'Impostazioni'!$B$6+AI345&lt;=0),"",AJ345/('Impostazioni'!$B$6+AI345))</x:f>
      </x:c>
      <x:c r="AL345" s="22" t="str">
        <x:f>IF(AH345&lt;&gt;1,"",IF(AC345&gt;0,AF345-_xlfn.MAXIFS($AF$8:$AF$507,$AF$8:$AF$507,"&lt;="&amp;AF345,$AC$8:$AC$507,"&lt;=0",$AH$8:$AH$507,1),0))</x:f>
      </x:c>
      <x:c r="AM345" s="22" t="str">
        <x:f>IF(AH345&lt;&gt;1,"",IF(AC345&lt;0,AF345-_xlfn.MAXIFS($AF$8:$AF$507,$AF$8:$AF$507,"&lt;="&amp;AF345,$AC$8:$AC$507,"&gt;=0",$AH$8:$AH$507,1),0))</x:f>
      </x:c>
      <x:c r="AN345" s="20" t="str">
        <x:f>IF(OR(A345="",NOT(ISNUMBER(B345)),NOT(ISNUMBER('Impostazioni'!$B$6))),"",'Impostazioni'!$B$6+SUMIFS($AC$8:$AC$507,$C$8:$C$507,"&lt;"&amp;B345,$AH$8:$AH$507,1)+SUMIFS('Cassa'!$F$8:$F$307,'Cassa'!$A$8:$A$307,"&lt;="&amp;B345,'Cassa'!$G$8:$G$307,"OK"))</x:f>
      </x:c>
      <x:c r="AO345" s="21" t="str">
        <x:f>IF(AND(ISNUMBER(Z345),ISNUMBER(AN345),AN345&gt;0),Z345/AN345,"")</x:f>
      </x:c>
      <x:c r="AP345" s="18" t="str">
        <x:f>IF(NOT(ISNUMBER(AO345)),"",IF(AO345&gt;'Impostazioni'!$B$7,"Oltre soglia personale","Nella soglia personale"))</x:f>
      </x:c>
      <x:c r="AQ345" s="18" t="str">
        <x:f>IF(A345="",IF(COUNTA(B345:V345)=0,"","Inserisci ID"),IF(COUNTIFS($A$8:$A$507,A345)&lt;&gt;1,"ID duplicato",IF(OR(NOT(ISNUMBER(B345)),D345="",E345="",F345="",G345="",H345="",COUNTIFS('Impostazioni'!$J$6:$J$25,F345)&lt;&gt;1),"Completa dati / elenchi",IF(OR(AND(I345&lt;&gt;"Lordo manuale",I345&lt;&gt;"Netto manuale",I345&lt;&gt;"Esecuzioni"),AND(J345&lt;&gt;"Aperto",J345&lt;&gt;"Chiuso",J345&lt;&gt;"Annullato")),"Modalità / stato mancanti",IF(AND(J345&lt;&gt;"Aperto",OR(NOT(ISNUMBER(C345)),C345&lt;B345)),"Correggi data chiusura",IF(OR(AND(Q345&lt;&gt;"",OR(NOT(ISNUMBER(Q345)),Q345&lt;0)),AND(R345&lt;&gt;"",OR(NOT(ISNUMBER(R345)),R345&lt;0,R345&gt;1))),"Commissione non valida",IF(J345="Annullato","OK",IF(OR(NOT(ISNUMBER(Z345)),Z345&lt;0,AND(O345&lt;&gt;"",NOT(ISNUMBER(O345)))),"Inserisci rischio",IF(AND(I345="Esecuzioni",OR(W345=0,COUNTIFS('Esecuzioni'!$A$8:$A$1007,A345,'Esecuzioni'!$Q$8:$Q$1007,"&lt;&gt;OK")&gt;0)),"Correggi esecuzioni",IF(J345="Aperto","OK",IF(AND(I345="Esecuzioni",S345="Coperto",ABS(X345-Y345)&gt;'Impostazioni'!$B$11),"Copertura residua",IF(NOT(ISNUMBER(AC345)),"Completa risultato / esito",IF(AND(Z345=0,AC345&lt;&gt;0),"Rischio nullo con P/L","OK")))))))))))))</x:f>
      </x:c>
      <x:c r="AR345" s="20" t="str">
        <x:f>IF(OR(A345="",J345&lt;&gt;"Aperto",AQ345&lt;&gt;"OK"),"",IF(I345="Esecuzioni",SUMIFS('Esecuzioni'!$P$8:$P$1007,'Esecuzioni'!$A$8:$A$1007,A345,'Esecuzioni'!$B$8:$B$1007,_xlfn.MAXIFS('Esecuzioni'!$B$8:$B$1007,'Esecuzioni'!$A$8:$A$1007,A345)),IF(LEFT(U345,8)="FREEBET:",0,Z345)))</x:f>
      </x:c>
      <x:c r="AS345" s="48" t="str">
        <x:f>IF(OR(A345="",E345=""),"",IF(COUNTIFS($E$8:E345,E345)=1,COUNT($AS$7:AS344)+1,""))</x:f>
      </x:c>
    </x:row>
    <x:row r="346" ht="22" customHeight="1">
      <x:c r="A346" s="7"/>
      <x:c r="B346" s="19"/>
      <x:c r="C346" s="19"/>
      <x:c r="D346" s="7"/>
      <x:c r="E346" s="7"/>
      <x:c r="F346" s="7"/>
      <x:c r="G346" s="7"/>
      <x:c r="H346" s="7"/>
      <x:c r="I346" s="7"/>
      <x:c r="J346" s="7"/>
      <x:c r="K346" s="10"/>
      <x:c r="L346" s="7"/>
      <x:c r="M346" s="10"/>
      <x:c r="N346" s="7"/>
      <x:c r="O346" s="8"/>
      <x:c r="P346" s="8"/>
      <x:c r="Q346" s="8"/>
      <x:c r="R346" s="9"/>
      <x:c r="S346" s="7"/>
      <x:c r="T346" s="7"/>
      <x:c r="U346" s="7"/>
      <x:c r="V346" s="7"/>
      <x:c r="W346" s="22" t="str">
        <x:f>IF(A346="","",COUNTIFS('Esecuzioni'!$A$8:$A$1007,A346,'Esecuzioni'!$Q$8:$Q$1007,"OK"))</x:f>
      </x:c>
      <x:c r="X346" s="20" t="str">
        <x:f>IF(OR(A346="",I346&lt;&gt;"Esecuzioni",W346=0),"",SUMIFS('Esecuzioni'!$L$8:$L$1007,'Esecuzioni'!$A$8:$A$1007,A346))</x:f>
      </x:c>
      <x:c r="Y346" s="20" t="str">
        <x:f>IF(OR(A346="",I346&lt;&gt;"Esecuzioni",W346=0),"",SUMIFS('Esecuzioni'!$M$8:$M$1007,'Esecuzioni'!$A$8:$A$1007,A346))</x:f>
      </x:c>
      <x:c r="Z346" s="20" t="str">
        <x:f>IF(A346="","",IF(J346="Annullato",0,IF(ISNUMBER(O346),O346,IF(AND(I346="Esecuzioni",W346&gt;0),_xlfn.MAXIFS('Esecuzioni'!$P$8:$P$1007,'Esecuzioni'!$A$8:$A$1007,A346),""))))</x:f>
      </x:c>
      <x:c r="AA346" s="20" t="str">
        <x:f>IF(OR(A346="",J346="Aperto"),"",IF(J346="Annullato",0,IF(I346="Lordo manuale",IF(ISNUMBER(P346),P346,""),IF(I346="Netto manuale",IF(AND(ISNUMBER(P346),ISNUMBER(Q346)),P346+Q346,""),IF(OR(W346=0,COUNTIFS('Esecuzioni'!$A$8:$A$1007,A346,'Esecuzioni'!$Q$8:$Q$1007,"&lt;&gt;OK")&gt;0),"",IF(S346="Vince",X346,IF(S346="Perde",Y346,IF(AND(S346="Coperto",ABS(X346-Y346)&lt;='Impostazioni'!$B$11),ROUND((X346+Y346)/2,2),""))))))))</x:f>
      </x:c>
      <x:c r="AB346" s="20" t="str">
        <x:f>IF(NOT(ISNUMBER(AA346)),"",IF(J346="Annullato",0,IF(ISNUMBER(Q346),Q346,ROUND(MAX(0,AA346)*IF(ISNUMBER(R346),R346,'Impostazioni'!$B$8),2))))</x:f>
      </x:c>
      <x:c r="AC346" s="20" t="str">
        <x:f>IF(AND(ISNUMBER(AA346),ISNUMBER(AB346)),ROUND(AA346-AB346,2),"")</x:f>
      </x:c>
      <x:c r="AD346" s="18" t="str">
        <x:f>IF(A346="","",IF(AQ346&lt;&gt;"OK","Incompleto",IF(J346="Aperto","Aperto",IF(J346="Annullato","Annullato",IF(AC346&gt;0,"Green",IF(AC346&lt;0,"Red","Flat"))))))</x:f>
      </x:c>
      <x:c r="AE346" s="21" t="str">
        <x:f>IF(AND(AH346=1,Z346&gt;0),AC346/Z346,"")</x:f>
      </x:c>
      <x:c r="AF346" s="22" t="str">
        <x:f>IF(AH346&lt;&gt;1,"",COUNTIFS($C$8:$C$507,"&lt;"&amp;C346,$AH$8:$AH$507,1)+COUNTIFS($C$8:$C$507,C346,$A$8:$A$507,"&lt;="&amp;A346,$AH$8:$AH$507,1))</x:f>
      </x:c>
      <x:c r="AG346" s="20" t="str">
        <x:f>IF(AH346&lt;&gt;1,"",SUMIFS($AC$8:$AC$507,$C$8:$C$507,"&lt;"&amp;C346,$AH$8:$AH$507,1)+SUMIFS($AC$8:$AC$507,$C$8:$C$507,C346,$A$8:$A$507,"&lt;="&amp;A346,$AH$8:$AH$507,1))</x:f>
      </x:c>
      <x:c r="AH346" s="22" t="str">
        <x:f>IF(A346="","",IF(AND(J346="Chiuso",AQ346="OK",ISNUMBER(AC346)),1,0))</x:f>
      </x:c>
      <x:c r="AI346" s="20" t="str">
        <x:f>IF(AH346&lt;&gt;1,"",MAX(0,_xlfn.MAXIFS($AG$8:$AG$507,$AF$8:$AF$507,"&lt;="&amp;AF346,$AH$8:$AH$507,1)))</x:f>
      </x:c>
      <x:c r="AJ346" s="20" t="str">
        <x:f>IF(AH346&lt;&gt;1,"",MAX(0,AI346-AG346))</x:f>
      </x:c>
      <x:c r="AK346" s="21" t="str">
        <x:f>IF(OR(AH346&lt;&gt;1,NOT(ISNUMBER('Impostazioni'!$B$6)),'Impostazioni'!$B$6+AI346&lt;=0),"",AJ346/('Impostazioni'!$B$6+AI346))</x:f>
      </x:c>
      <x:c r="AL346" s="22" t="str">
        <x:f>IF(AH346&lt;&gt;1,"",IF(AC346&gt;0,AF346-_xlfn.MAXIFS($AF$8:$AF$507,$AF$8:$AF$507,"&lt;="&amp;AF346,$AC$8:$AC$507,"&lt;=0",$AH$8:$AH$507,1),0))</x:f>
      </x:c>
      <x:c r="AM346" s="22" t="str">
        <x:f>IF(AH346&lt;&gt;1,"",IF(AC346&lt;0,AF346-_xlfn.MAXIFS($AF$8:$AF$507,$AF$8:$AF$507,"&lt;="&amp;AF346,$AC$8:$AC$507,"&gt;=0",$AH$8:$AH$507,1),0))</x:f>
      </x:c>
      <x:c r="AN346" s="20" t="str">
        <x:f>IF(OR(A346="",NOT(ISNUMBER(B346)),NOT(ISNUMBER('Impostazioni'!$B$6))),"",'Impostazioni'!$B$6+SUMIFS($AC$8:$AC$507,$C$8:$C$507,"&lt;"&amp;B346,$AH$8:$AH$507,1)+SUMIFS('Cassa'!$F$8:$F$307,'Cassa'!$A$8:$A$307,"&lt;="&amp;B346,'Cassa'!$G$8:$G$307,"OK"))</x:f>
      </x:c>
      <x:c r="AO346" s="21" t="str">
        <x:f>IF(AND(ISNUMBER(Z346),ISNUMBER(AN346),AN346&gt;0),Z346/AN346,"")</x:f>
      </x:c>
      <x:c r="AP346" s="18" t="str">
        <x:f>IF(NOT(ISNUMBER(AO346)),"",IF(AO346&gt;'Impostazioni'!$B$7,"Oltre soglia personale","Nella soglia personale"))</x:f>
      </x:c>
      <x:c r="AQ346" s="18" t="str">
        <x:f>IF(A346="",IF(COUNTA(B346:V346)=0,"","Inserisci ID"),IF(COUNTIFS($A$8:$A$507,A346)&lt;&gt;1,"ID duplicato",IF(OR(NOT(ISNUMBER(B346)),D346="",E346="",F346="",G346="",H346="",COUNTIFS('Impostazioni'!$J$6:$J$25,F346)&lt;&gt;1),"Completa dati / elenchi",IF(OR(AND(I346&lt;&gt;"Lordo manuale",I346&lt;&gt;"Netto manuale",I346&lt;&gt;"Esecuzioni"),AND(J346&lt;&gt;"Aperto",J346&lt;&gt;"Chiuso",J346&lt;&gt;"Annullato")),"Modalità / stato mancanti",IF(AND(J346&lt;&gt;"Aperto",OR(NOT(ISNUMBER(C346)),C346&lt;B346)),"Correggi data chiusura",IF(OR(AND(Q346&lt;&gt;"",OR(NOT(ISNUMBER(Q346)),Q346&lt;0)),AND(R346&lt;&gt;"",OR(NOT(ISNUMBER(R346)),R346&lt;0,R346&gt;1))),"Commissione non valida",IF(J346="Annullato","OK",IF(OR(NOT(ISNUMBER(Z346)),Z346&lt;0,AND(O346&lt;&gt;"",NOT(ISNUMBER(O346)))),"Inserisci rischio",IF(AND(I346="Esecuzioni",OR(W346=0,COUNTIFS('Esecuzioni'!$A$8:$A$1007,A346,'Esecuzioni'!$Q$8:$Q$1007,"&lt;&gt;OK")&gt;0)),"Correggi esecuzioni",IF(J346="Aperto","OK",IF(AND(I346="Esecuzioni",S346="Coperto",ABS(X346-Y346)&gt;'Impostazioni'!$B$11),"Copertura residua",IF(NOT(ISNUMBER(AC346)),"Completa risultato / esito",IF(AND(Z346=0,AC346&lt;&gt;0),"Rischio nullo con P/L","OK")))))))))))))</x:f>
      </x:c>
      <x:c r="AR346" s="20" t="str">
        <x:f>IF(OR(A346="",J346&lt;&gt;"Aperto",AQ346&lt;&gt;"OK"),"",IF(I346="Esecuzioni",SUMIFS('Esecuzioni'!$P$8:$P$1007,'Esecuzioni'!$A$8:$A$1007,A346,'Esecuzioni'!$B$8:$B$1007,_xlfn.MAXIFS('Esecuzioni'!$B$8:$B$1007,'Esecuzioni'!$A$8:$A$1007,A346)),IF(LEFT(U346,8)="FREEBET:",0,Z346)))</x:f>
      </x:c>
      <x:c r="AS346" s="48" t="str">
        <x:f>IF(OR(A346="",E346=""),"",IF(COUNTIFS($E$8:E346,E346)=1,COUNT($AS$7:AS345)+1,""))</x:f>
      </x:c>
    </x:row>
    <x:row r="347" ht="22" customHeight="1">
      <x:c r="A347" s="7"/>
      <x:c r="B347" s="19"/>
      <x:c r="C347" s="19"/>
      <x:c r="D347" s="7"/>
      <x:c r="E347" s="7"/>
      <x:c r="F347" s="7"/>
      <x:c r="G347" s="7"/>
      <x:c r="H347" s="7"/>
      <x:c r="I347" s="7"/>
      <x:c r="J347" s="7"/>
      <x:c r="K347" s="10"/>
      <x:c r="L347" s="7"/>
      <x:c r="M347" s="10"/>
      <x:c r="N347" s="7"/>
      <x:c r="O347" s="8"/>
      <x:c r="P347" s="8"/>
      <x:c r="Q347" s="8"/>
      <x:c r="R347" s="9"/>
      <x:c r="S347" s="7"/>
      <x:c r="T347" s="7"/>
      <x:c r="U347" s="7"/>
      <x:c r="V347" s="7"/>
      <x:c r="W347" s="22" t="str">
        <x:f>IF(A347="","",COUNTIFS('Esecuzioni'!$A$8:$A$1007,A347,'Esecuzioni'!$Q$8:$Q$1007,"OK"))</x:f>
      </x:c>
      <x:c r="X347" s="20" t="str">
        <x:f>IF(OR(A347="",I347&lt;&gt;"Esecuzioni",W347=0),"",SUMIFS('Esecuzioni'!$L$8:$L$1007,'Esecuzioni'!$A$8:$A$1007,A347))</x:f>
      </x:c>
      <x:c r="Y347" s="20" t="str">
        <x:f>IF(OR(A347="",I347&lt;&gt;"Esecuzioni",W347=0),"",SUMIFS('Esecuzioni'!$M$8:$M$1007,'Esecuzioni'!$A$8:$A$1007,A347))</x:f>
      </x:c>
      <x:c r="Z347" s="20" t="str">
        <x:f>IF(A347="","",IF(J347="Annullato",0,IF(ISNUMBER(O347),O347,IF(AND(I347="Esecuzioni",W347&gt;0),_xlfn.MAXIFS('Esecuzioni'!$P$8:$P$1007,'Esecuzioni'!$A$8:$A$1007,A347),""))))</x:f>
      </x:c>
      <x:c r="AA347" s="20" t="str">
        <x:f>IF(OR(A347="",J347="Aperto"),"",IF(J347="Annullato",0,IF(I347="Lordo manuale",IF(ISNUMBER(P347),P347,""),IF(I347="Netto manuale",IF(AND(ISNUMBER(P347),ISNUMBER(Q347)),P347+Q347,""),IF(OR(W347=0,COUNTIFS('Esecuzioni'!$A$8:$A$1007,A347,'Esecuzioni'!$Q$8:$Q$1007,"&lt;&gt;OK")&gt;0),"",IF(S347="Vince",X347,IF(S347="Perde",Y347,IF(AND(S347="Coperto",ABS(X347-Y347)&lt;='Impostazioni'!$B$11),ROUND((X347+Y347)/2,2),""))))))))</x:f>
      </x:c>
      <x:c r="AB347" s="20" t="str">
        <x:f>IF(NOT(ISNUMBER(AA347)),"",IF(J347="Annullato",0,IF(ISNUMBER(Q347),Q347,ROUND(MAX(0,AA347)*IF(ISNUMBER(R347),R347,'Impostazioni'!$B$8),2))))</x:f>
      </x:c>
      <x:c r="AC347" s="20" t="str">
        <x:f>IF(AND(ISNUMBER(AA347),ISNUMBER(AB347)),ROUND(AA347-AB347,2),"")</x:f>
      </x:c>
      <x:c r="AD347" s="18" t="str">
        <x:f>IF(A347="","",IF(AQ347&lt;&gt;"OK","Incompleto",IF(J347="Aperto","Aperto",IF(J347="Annullato","Annullato",IF(AC347&gt;0,"Green",IF(AC347&lt;0,"Red","Flat"))))))</x:f>
      </x:c>
      <x:c r="AE347" s="21" t="str">
        <x:f>IF(AND(AH347=1,Z347&gt;0),AC347/Z347,"")</x:f>
      </x:c>
      <x:c r="AF347" s="22" t="str">
        <x:f>IF(AH347&lt;&gt;1,"",COUNTIFS($C$8:$C$507,"&lt;"&amp;C347,$AH$8:$AH$507,1)+COUNTIFS($C$8:$C$507,C347,$A$8:$A$507,"&lt;="&amp;A347,$AH$8:$AH$507,1))</x:f>
      </x:c>
      <x:c r="AG347" s="20" t="str">
        <x:f>IF(AH347&lt;&gt;1,"",SUMIFS($AC$8:$AC$507,$C$8:$C$507,"&lt;"&amp;C347,$AH$8:$AH$507,1)+SUMIFS($AC$8:$AC$507,$C$8:$C$507,C347,$A$8:$A$507,"&lt;="&amp;A347,$AH$8:$AH$507,1))</x:f>
      </x:c>
      <x:c r="AH347" s="22" t="str">
        <x:f>IF(A347="","",IF(AND(J347="Chiuso",AQ347="OK",ISNUMBER(AC347)),1,0))</x:f>
      </x:c>
      <x:c r="AI347" s="20" t="str">
        <x:f>IF(AH347&lt;&gt;1,"",MAX(0,_xlfn.MAXIFS($AG$8:$AG$507,$AF$8:$AF$507,"&lt;="&amp;AF347,$AH$8:$AH$507,1)))</x:f>
      </x:c>
      <x:c r="AJ347" s="20" t="str">
        <x:f>IF(AH347&lt;&gt;1,"",MAX(0,AI347-AG347))</x:f>
      </x:c>
      <x:c r="AK347" s="21" t="str">
        <x:f>IF(OR(AH347&lt;&gt;1,NOT(ISNUMBER('Impostazioni'!$B$6)),'Impostazioni'!$B$6+AI347&lt;=0),"",AJ347/('Impostazioni'!$B$6+AI347))</x:f>
      </x:c>
      <x:c r="AL347" s="22" t="str">
        <x:f>IF(AH347&lt;&gt;1,"",IF(AC347&gt;0,AF347-_xlfn.MAXIFS($AF$8:$AF$507,$AF$8:$AF$507,"&lt;="&amp;AF347,$AC$8:$AC$507,"&lt;=0",$AH$8:$AH$507,1),0))</x:f>
      </x:c>
      <x:c r="AM347" s="22" t="str">
        <x:f>IF(AH347&lt;&gt;1,"",IF(AC347&lt;0,AF347-_xlfn.MAXIFS($AF$8:$AF$507,$AF$8:$AF$507,"&lt;="&amp;AF347,$AC$8:$AC$507,"&gt;=0",$AH$8:$AH$507,1),0))</x:f>
      </x:c>
      <x:c r="AN347" s="20" t="str">
        <x:f>IF(OR(A347="",NOT(ISNUMBER(B347)),NOT(ISNUMBER('Impostazioni'!$B$6))),"",'Impostazioni'!$B$6+SUMIFS($AC$8:$AC$507,$C$8:$C$507,"&lt;"&amp;B347,$AH$8:$AH$507,1)+SUMIFS('Cassa'!$F$8:$F$307,'Cassa'!$A$8:$A$307,"&lt;="&amp;B347,'Cassa'!$G$8:$G$307,"OK"))</x:f>
      </x:c>
      <x:c r="AO347" s="21" t="str">
        <x:f>IF(AND(ISNUMBER(Z347),ISNUMBER(AN347),AN347&gt;0),Z347/AN347,"")</x:f>
      </x:c>
      <x:c r="AP347" s="18" t="str">
        <x:f>IF(NOT(ISNUMBER(AO347)),"",IF(AO347&gt;'Impostazioni'!$B$7,"Oltre soglia personale","Nella soglia personale"))</x:f>
      </x:c>
      <x:c r="AQ347" s="18" t="str">
        <x:f>IF(A347="",IF(COUNTA(B347:V347)=0,"","Inserisci ID"),IF(COUNTIFS($A$8:$A$507,A347)&lt;&gt;1,"ID duplicato",IF(OR(NOT(ISNUMBER(B347)),D347="",E347="",F347="",G347="",H347="",COUNTIFS('Impostazioni'!$J$6:$J$25,F347)&lt;&gt;1),"Completa dati / elenchi",IF(OR(AND(I347&lt;&gt;"Lordo manuale",I347&lt;&gt;"Netto manuale",I347&lt;&gt;"Esecuzioni"),AND(J347&lt;&gt;"Aperto",J347&lt;&gt;"Chiuso",J347&lt;&gt;"Annullato")),"Modalità / stato mancanti",IF(AND(J347&lt;&gt;"Aperto",OR(NOT(ISNUMBER(C347)),C347&lt;B347)),"Correggi data chiusura",IF(OR(AND(Q347&lt;&gt;"",OR(NOT(ISNUMBER(Q347)),Q347&lt;0)),AND(R347&lt;&gt;"",OR(NOT(ISNUMBER(R347)),R347&lt;0,R347&gt;1))),"Commissione non valida",IF(J347="Annullato","OK",IF(OR(NOT(ISNUMBER(Z347)),Z347&lt;0,AND(O347&lt;&gt;"",NOT(ISNUMBER(O347)))),"Inserisci rischio",IF(AND(I347="Esecuzioni",OR(W347=0,COUNTIFS('Esecuzioni'!$A$8:$A$1007,A347,'Esecuzioni'!$Q$8:$Q$1007,"&lt;&gt;OK")&gt;0)),"Correggi esecuzioni",IF(J347="Aperto","OK",IF(AND(I347="Esecuzioni",S347="Coperto",ABS(X347-Y347)&gt;'Impostazioni'!$B$11),"Copertura residua",IF(NOT(ISNUMBER(AC347)),"Completa risultato / esito",IF(AND(Z347=0,AC347&lt;&gt;0),"Rischio nullo con P/L","OK")))))))))))))</x:f>
      </x:c>
      <x:c r="AR347" s="20" t="str">
        <x:f>IF(OR(A347="",J347&lt;&gt;"Aperto",AQ347&lt;&gt;"OK"),"",IF(I347="Esecuzioni",SUMIFS('Esecuzioni'!$P$8:$P$1007,'Esecuzioni'!$A$8:$A$1007,A347,'Esecuzioni'!$B$8:$B$1007,_xlfn.MAXIFS('Esecuzioni'!$B$8:$B$1007,'Esecuzioni'!$A$8:$A$1007,A347)),IF(LEFT(U347,8)="FREEBET:",0,Z347)))</x:f>
      </x:c>
      <x:c r="AS347" s="48" t="str">
        <x:f>IF(OR(A347="",E347=""),"",IF(COUNTIFS($E$8:E347,E347)=1,COUNT($AS$7:AS346)+1,""))</x:f>
      </x:c>
    </x:row>
    <x:row r="348" ht="22" customHeight="1">
      <x:c r="A348" s="7"/>
      <x:c r="B348" s="19"/>
      <x:c r="C348" s="19"/>
      <x:c r="D348" s="7"/>
      <x:c r="E348" s="7"/>
      <x:c r="F348" s="7"/>
      <x:c r="G348" s="7"/>
      <x:c r="H348" s="7"/>
      <x:c r="I348" s="7"/>
      <x:c r="J348" s="7"/>
      <x:c r="K348" s="10"/>
      <x:c r="L348" s="7"/>
      <x:c r="M348" s="10"/>
      <x:c r="N348" s="7"/>
      <x:c r="O348" s="8"/>
      <x:c r="P348" s="8"/>
      <x:c r="Q348" s="8"/>
      <x:c r="R348" s="9"/>
      <x:c r="S348" s="7"/>
      <x:c r="T348" s="7"/>
      <x:c r="U348" s="7"/>
      <x:c r="V348" s="7"/>
      <x:c r="W348" s="22" t="str">
        <x:f>IF(A348="","",COUNTIFS('Esecuzioni'!$A$8:$A$1007,A348,'Esecuzioni'!$Q$8:$Q$1007,"OK"))</x:f>
      </x:c>
      <x:c r="X348" s="20" t="str">
        <x:f>IF(OR(A348="",I348&lt;&gt;"Esecuzioni",W348=0),"",SUMIFS('Esecuzioni'!$L$8:$L$1007,'Esecuzioni'!$A$8:$A$1007,A348))</x:f>
      </x:c>
      <x:c r="Y348" s="20" t="str">
        <x:f>IF(OR(A348="",I348&lt;&gt;"Esecuzioni",W348=0),"",SUMIFS('Esecuzioni'!$M$8:$M$1007,'Esecuzioni'!$A$8:$A$1007,A348))</x:f>
      </x:c>
      <x:c r="Z348" s="20" t="str">
        <x:f>IF(A348="","",IF(J348="Annullato",0,IF(ISNUMBER(O348),O348,IF(AND(I348="Esecuzioni",W348&gt;0),_xlfn.MAXIFS('Esecuzioni'!$P$8:$P$1007,'Esecuzioni'!$A$8:$A$1007,A348),""))))</x:f>
      </x:c>
      <x:c r="AA348" s="20" t="str">
        <x:f>IF(OR(A348="",J348="Aperto"),"",IF(J348="Annullato",0,IF(I348="Lordo manuale",IF(ISNUMBER(P348),P348,""),IF(I348="Netto manuale",IF(AND(ISNUMBER(P348),ISNUMBER(Q348)),P348+Q348,""),IF(OR(W348=0,COUNTIFS('Esecuzioni'!$A$8:$A$1007,A348,'Esecuzioni'!$Q$8:$Q$1007,"&lt;&gt;OK")&gt;0),"",IF(S348="Vince",X348,IF(S348="Perde",Y348,IF(AND(S348="Coperto",ABS(X348-Y348)&lt;='Impostazioni'!$B$11),ROUND((X348+Y348)/2,2),""))))))))</x:f>
      </x:c>
      <x:c r="AB348" s="20" t="str">
        <x:f>IF(NOT(ISNUMBER(AA348)),"",IF(J348="Annullato",0,IF(ISNUMBER(Q348),Q348,ROUND(MAX(0,AA348)*IF(ISNUMBER(R348),R348,'Impostazioni'!$B$8),2))))</x:f>
      </x:c>
      <x:c r="AC348" s="20" t="str">
        <x:f>IF(AND(ISNUMBER(AA348),ISNUMBER(AB348)),ROUND(AA348-AB348,2),"")</x:f>
      </x:c>
      <x:c r="AD348" s="18" t="str">
        <x:f>IF(A348="","",IF(AQ348&lt;&gt;"OK","Incompleto",IF(J348="Aperto","Aperto",IF(J348="Annullato","Annullato",IF(AC348&gt;0,"Green",IF(AC348&lt;0,"Red","Flat"))))))</x:f>
      </x:c>
      <x:c r="AE348" s="21" t="str">
        <x:f>IF(AND(AH348=1,Z348&gt;0),AC348/Z348,"")</x:f>
      </x:c>
      <x:c r="AF348" s="22" t="str">
        <x:f>IF(AH348&lt;&gt;1,"",COUNTIFS($C$8:$C$507,"&lt;"&amp;C348,$AH$8:$AH$507,1)+COUNTIFS($C$8:$C$507,C348,$A$8:$A$507,"&lt;="&amp;A348,$AH$8:$AH$507,1))</x:f>
      </x:c>
      <x:c r="AG348" s="20" t="str">
        <x:f>IF(AH348&lt;&gt;1,"",SUMIFS($AC$8:$AC$507,$C$8:$C$507,"&lt;"&amp;C348,$AH$8:$AH$507,1)+SUMIFS($AC$8:$AC$507,$C$8:$C$507,C348,$A$8:$A$507,"&lt;="&amp;A348,$AH$8:$AH$507,1))</x:f>
      </x:c>
      <x:c r="AH348" s="22" t="str">
        <x:f>IF(A348="","",IF(AND(J348="Chiuso",AQ348="OK",ISNUMBER(AC348)),1,0))</x:f>
      </x:c>
      <x:c r="AI348" s="20" t="str">
        <x:f>IF(AH348&lt;&gt;1,"",MAX(0,_xlfn.MAXIFS($AG$8:$AG$507,$AF$8:$AF$507,"&lt;="&amp;AF348,$AH$8:$AH$507,1)))</x:f>
      </x:c>
      <x:c r="AJ348" s="20" t="str">
        <x:f>IF(AH348&lt;&gt;1,"",MAX(0,AI348-AG348))</x:f>
      </x:c>
      <x:c r="AK348" s="21" t="str">
        <x:f>IF(OR(AH348&lt;&gt;1,NOT(ISNUMBER('Impostazioni'!$B$6)),'Impostazioni'!$B$6+AI348&lt;=0),"",AJ348/('Impostazioni'!$B$6+AI348))</x:f>
      </x:c>
      <x:c r="AL348" s="22" t="str">
        <x:f>IF(AH348&lt;&gt;1,"",IF(AC348&gt;0,AF348-_xlfn.MAXIFS($AF$8:$AF$507,$AF$8:$AF$507,"&lt;="&amp;AF348,$AC$8:$AC$507,"&lt;=0",$AH$8:$AH$507,1),0))</x:f>
      </x:c>
      <x:c r="AM348" s="22" t="str">
        <x:f>IF(AH348&lt;&gt;1,"",IF(AC348&lt;0,AF348-_xlfn.MAXIFS($AF$8:$AF$507,$AF$8:$AF$507,"&lt;="&amp;AF348,$AC$8:$AC$507,"&gt;=0",$AH$8:$AH$507,1),0))</x:f>
      </x:c>
      <x:c r="AN348" s="20" t="str">
        <x:f>IF(OR(A348="",NOT(ISNUMBER(B348)),NOT(ISNUMBER('Impostazioni'!$B$6))),"",'Impostazioni'!$B$6+SUMIFS($AC$8:$AC$507,$C$8:$C$507,"&lt;"&amp;B348,$AH$8:$AH$507,1)+SUMIFS('Cassa'!$F$8:$F$307,'Cassa'!$A$8:$A$307,"&lt;="&amp;B348,'Cassa'!$G$8:$G$307,"OK"))</x:f>
      </x:c>
      <x:c r="AO348" s="21" t="str">
        <x:f>IF(AND(ISNUMBER(Z348),ISNUMBER(AN348),AN348&gt;0),Z348/AN348,"")</x:f>
      </x:c>
      <x:c r="AP348" s="18" t="str">
        <x:f>IF(NOT(ISNUMBER(AO348)),"",IF(AO348&gt;'Impostazioni'!$B$7,"Oltre soglia personale","Nella soglia personale"))</x:f>
      </x:c>
      <x:c r="AQ348" s="18" t="str">
        <x:f>IF(A348="",IF(COUNTA(B348:V348)=0,"","Inserisci ID"),IF(COUNTIFS($A$8:$A$507,A348)&lt;&gt;1,"ID duplicato",IF(OR(NOT(ISNUMBER(B348)),D348="",E348="",F348="",G348="",H348="",COUNTIFS('Impostazioni'!$J$6:$J$25,F348)&lt;&gt;1),"Completa dati / elenchi",IF(OR(AND(I348&lt;&gt;"Lordo manuale",I348&lt;&gt;"Netto manuale",I348&lt;&gt;"Esecuzioni"),AND(J348&lt;&gt;"Aperto",J348&lt;&gt;"Chiuso",J348&lt;&gt;"Annullato")),"Modalità / stato mancanti",IF(AND(J348&lt;&gt;"Aperto",OR(NOT(ISNUMBER(C348)),C348&lt;B348)),"Correggi data chiusura",IF(OR(AND(Q348&lt;&gt;"",OR(NOT(ISNUMBER(Q348)),Q348&lt;0)),AND(R348&lt;&gt;"",OR(NOT(ISNUMBER(R348)),R348&lt;0,R348&gt;1))),"Commissione non valida",IF(J348="Annullato","OK",IF(OR(NOT(ISNUMBER(Z348)),Z348&lt;0,AND(O348&lt;&gt;"",NOT(ISNUMBER(O348)))),"Inserisci rischio",IF(AND(I348="Esecuzioni",OR(W348=0,COUNTIFS('Esecuzioni'!$A$8:$A$1007,A348,'Esecuzioni'!$Q$8:$Q$1007,"&lt;&gt;OK")&gt;0)),"Correggi esecuzioni",IF(J348="Aperto","OK",IF(AND(I348="Esecuzioni",S348="Coperto",ABS(X348-Y348)&gt;'Impostazioni'!$B$11),"Copertura residua",IF(NOT(ISNUMBER(AC348)),"Completa risultato / esito",IF(AND(Z348=0,AC348&lt;&gt;0),"Rischio nullo con P/L","OK")))))))))))))</x:f>
      </x:c>
      <x:c r="AR348" s="20" t="str">
        <x:f>IF(OR(A348="",J348&lt;&gt;"Aperto",AQ348&lt;&gt;"OK"),"",IF(I348="Esecuzioni",SUMIFS('Esecuzioni'!$P$8:$P$1007,'Esecuzioni'!$A$8:$A$1007,A348,'Esecuzioni'!$B$8:$B$1007,_xlfn.MAXIFS('Esecuzioni'!$B$8:$B$1007,'Esecuzioni'!$A$8:$A$1007,A348)),IF(LEFT(U348,8)="FREEBET:",0,Z348)))</x:f>
      </x:c>
      <x:c r="AS348" s="48" t="str">
        <x:f>IF(OR(A348="",E348=""),"",IF(COUNTIFS($E$8:E348,E348)=1,COUNT($AS$7:AS347)+1,""))</x:f>
      </x:c>
    </x:row>
    <x:row r="349" ht="22" customHeight="1">
      <x:c r="A349" s="7"/>
      <x:c r="B349" s="19"/>
      <x:c r="C349" s="19"/>
      <x:c r="D349" s="7"/>
      <x:c r="E349" s="7"/>
      <x:c r="F349" s="7"/>
      <x:c r="G349" s="7"/>
      <x:c r="H349" s="7"/>
      <x:c r="I349" s="7"/>
      <x:c r="J349" s="7"/>
      <x:c r="K349" s="10"/>
      <x:c r="L349" s="7"/>
      <x:c r="M349" s="10"/>
      <x:c r="N349" s="7"/>
      <x:c r="O349" s="8"/>
      <x:c r="P349" s="8"/>
      <x:c r="Q349" s="8"/>
      <x:c r="R349" s="9"/>
      <x:c r="S349" s="7"/>
      <x:c r="T349" s="7"/>
      <x:c r="U349" s="7"/>
      <x:c r="V349" s="7"/>
      <x:c r="W349" s="22" t="str">
        <x:f>IF(A349="","",COUNTIFS('Esecuzioni'!$A$8:$A$1007,A349,'Esecuzioni'!$Q$8:$Q$1007,"OK"))</x:f>
      </x:c>
      <x:c r="X349" s="20" t="str">
        <x:f>IF(OR(A349="",I349&lt;&gt;"Esecuzioni",W349=0),"",SUMIFS('Esecuzioni'!$L$8:$L$1007,'Esecuzioni'!$A$8:$A$1007,A349))</x:f>
      </x:c>
      <x:c r="Y349" s="20" t="str">
        <x:f>IF(OR(A349="",I349&lt;&gt;"Esecuzioni",W349=0),"",SUMIFS('Esecuzioni'!$M$8:$M$1007,'Esecuzioni'!$A$8:$A$1007,A349))</x:f>
      </x:c>
      <x:c r="Z349" s="20" t="str">
        <x:f>IF(A349="","",IF(J349="Annullato",0,IF(ISNUMBER(O349),O349,IF(AND(I349="Esecuzioni",W349&gt;0),_xlfn.MAXIFS('Esecuzioni'!$P$8:$P$1007,'Esecuzioni'!$A$8:$A$1007,A349),""))))</x:f>
      </x:c>
      <x:c r="AA349" s="20" t="str">
        <x:f>IF(OR(A349="",J349="Aperto"),"",IF(J349="Annullato",0,IF(I349="Lordo manuale",IF(ISNUMBER(P349),P349,""),IF(I349="Netto manuale",IF(AND(ISNUMBER(P349),ISNUMBER(Q349)),P349+Q349,""),IF(OR(W349=0,COUNTIFS('Esecuzioni'!$A$8:$A$1007,A349,'Esecuzioni'!$Q$8:$Q$1007,"&lt;&gt;OK")&gt;0),"",IF(S349="Vince",X349,IF(S349="Perde",Y349,IF(AND(S349="Coperto",ABS(X349-Y349)&lt;='Impostazioni'!$B$11),ROUND((X349+Y349)/2,2),""))))))))</x:f>
      </x:c>
      <x:c r="AB349" s="20" t="str">
        <x:f>IF(NOT(ISNUMBER(AA349)),"",IF(J349="Annullato",0,IF(ISNUMBER(Q349),Q349,ROUND(MAX(0,AA349)*IF(ISNUMBER(R349),R349,'Impostazioni'!$B$8),2))))</x:f>
      </x:c>
      <x:c r="AC349" s="20" t="str">
        <x:f>IF(AND(ISNUMBER(AA349),ISNUMBER(AB349)),ROUND(AA349-AB349,2),"")</x:f>
      </x:c>
      <x:c r="AD349" s="18" t="str">
        <x:f>IF(A349="","",IF(AQ349&lt;&gt;"OK","Incompleto",IF(J349="Aperto","Aperto",IF(J349="Annullato","Annullato",IF(AC349&gt;0,"Green",IF(AC349&lt;0,"Red","Flat"))))))</x:f>
      </x:c>
      <x:c r="AE349" s="21" t="str">
        <x:f>IF(AND(AH349=1,Z349&gt;0),AC349/Z349,"")</x:f>
      </x:c>
      <x:c r="AF349" s="22" t="str">
        <x:f>IF(AH349&lt;&gt;1,"",COUNTIFS($C$8:$C$507,"&lt;"&amp;C349,$AH$8:$AH$507,1)+COUNTIFS($C$8:$C$507,C349,$A$8:$A$507,"&lt;="&amp;A349,$AH$8:$AH$507,1))</x:f>
      </x:c>
      <x:c r="AG349" s="20" t="str">
        <x:f>IF(AH349&lt;&gt;1,"",SUMIFS($AC$8:$AC$507,$C$8:$C$507,"&lt;"&amp;C349,$AH$8:$AH$507,1)+SUMIFS($AC$8:$AC$507,$C$8:$C$507,C349,$A$8:$A$507,"&lt;="&amp;A349,$AH$8:$AH$507,1))</x:f>
      </x:c>
      <x:c r="AH349" s="22" t="str">
        <x:f>IF(A349="","",IF(AND(J349="Chiuso",AQ349="OK",ISNUMBER(AC349)),1,0))</x:f>
      </x:c>
      <x:c r="AI349" s="20" t="str">
        <x:f>IF(AH349&lt;&gt;1,"",MAX(0,_xlfn.MAXIFS($AG$8:$AG$507,$AF$8:$AF$507,"&lt;="&amp;AF349,$AH$8:$AH$507,1)))</x:f>
      </x:c>
      <x:c r="AJ349" s="20" t="str">
        <x:f>IF(AH349&lt;&gt;1,"",MAX(0,AI349-AG349))</x:f>
      </x:c>
      <x:c r="AK349" s="21" t="str">
        <x:f>IF(OR(AH349&lt;&gt;1,NOT(ISNUMBER('Impostazioni'!$B$6)),'Impostazioni'!$B$6+AI349&lt;=0),"",AJ349/('Impostazioni'!$B$6+AI349))</x:f>
      </x:c>
      <x:c r="AL349" s="22" t="str">
        <x:f>IF(AH349&lt;&gt;1,"",IF(AC349&gt;0,AF349-_xlfn.MAXIFS($AF$8:$AF$507,$AF$8:$AF$507,"&lt;="&amp;AF349,$AC$8:$AC$507,"&lt;=0",$AH$8:$AH$507,1),0))</x:f>
      </x:c>
      <x:c r="AM349" s="22" t="str">
        <x:f>IF(AH349&lt;&gt;1,"",IF(AC349&lt;0,AF349-_xlfn.MAXIFS($AF$8:$AF$507,$AF$8:$AF$507,"&lt;="&amp;AF349,$AC$8:$AC$507,"&gt;=0",$AH$8:$AH$507,1),0))</x:f>
      </x:c>
      <x:c r="AN349" s="20" t="str">
        <x:f>IF(OR(A349="",NOT(ISNUMBER(B349)),NOT(ISNUMBER('Impostazioni'!$B$6))),"",'Impostazioni'!$B$6+SUMIFS($AC$8:$AC$507,$C$8:$C$507,"&lt;"&amp;B349,$AH$8:$AH$507,1)+SUMIFS('Cassa'!$F$8:$F$307,'Cassa'!$A$8:$A$307,"&lt;="&amp;B349,'Cassa'!$G$8:$G$307,"OK"))</x:f>
      </x:c>
      <x:c r="AO349" s="21" t="str">
        <x:f>IF(AND(ISNUMBER(Z349),ISNUMBER(AN349),AN349&gt;0),Z349/AN349,"")</x:f>
      </x:c>
      <x:c r="AP349" s="18" t="str">
        <x:f>IF(NOT(ISNUMBER(AO349)),"",IF(AO349&gt;'Impostazioni'!$B$7,"Oltre soglia personale","Nella soglia personale"))</x:f>
      </x:c>
      <x:c r="AQ349" s="18" t="str">
        <x:f>IF(A349="",IF(COUNTA(B349:V349)=0,"","Inserisci ID"),IF(COUNTIFS($A$8:$A$507,A349)&lt;&gt;1,"ID duplicato",IF(OR(NOT(ISNUMBER(B349)),D349="",E349="",F349="",G349="",H349="",COUNTIFS('Impostazioni'!$J$6:$J$25,F349)&lt;&gt;1),"Completa dati / elenchi",IF(OR(AND(I349&lt;&gt;"Lordo manuale",I349&lt;&gt;"Netto manuale",I349&lt;&gt;"Esecuzioni"),AND(J349&lt;&gt;"Aperto",J349&lt;&gt;"Chiuso",J349&lt;&gt;"Annullato")),"Modalità / stato mancanti",IF(AND(J349&lt;&gt;"Aperto",OR(NOT(ISNUMBER(C349)),C349&lt;B349)),"Correggi data chiusura",IF(OR(AND(Q349&lt;&gt;"",OR(NOT(ISNUMBER(Q349)),Q349&lt;0)),AND(R349&lt;&gt;"",OR(NOT(ISNUMBER(R349)),R349&lt;0,R349&gt;1))),"Commissione non valida",IF(J349="Annullato","OK",IF(OR(NOT(ISNUMBER(Z349)),Z349&lt;0,AND(O349&lt;&gt;"",NOT(ISNUMBER(O349)))),"Inserisci rischio",IF(AND(I349="Esecuzioni",OR(W349=0,COUNTIFS('Esecuzioni'!$A$8:$A$1007,A349,'Esecuzioni'!$Q$8:$Q$1007,"&lt;&gt;OK")&gt;0)),"Correggi esecuzioni",IF(J349="Aperto","OK",IF(AND(I349="Esecuzioni",S349="Coperto",ABS(X349-Y349)&gt;'Impostazioni'!$B$11),"Copertura residua",IF(NOT(ISNUMBER(AC349)),"Completa risultato / esito",IF(AND(Z349=0,AC349&lt;&gt;0),"Rischio nullo con P/L","OK")))))))))))))</x:f>
      </x:c>
      <x:c r="AR349" s="20" t="str">
        <x:f>IF(OR(A349="",J349&lt;&gt;"Aperto",AQ349&lt;&gt;"OK"),"",IF(I349="Esecuzioni",SUMIFS('Esecuzioni'!$P$8:$P$1007,'Esecuzioni'!$A$8:$A$1007,A349,'Esecuzioni'!$B$8:$B$1007,_xlfn.MAXIFS('Esecuzioni'!$B$8:$B$1007,'Esecuzioni'!$A$8:$A$1007,A349)),IF(LEFT(U349,8)="FREEBET:",0,Z349)))</x:f>
      </x:c>
      <x:c r="AS349" s="48" t="str">
        <x:f>IF(OR(A349="",E349=""),"",IF(COUNTIFS($E$8:E349,E349)=1,COUNT($AS$7:AS348)+1,""))</x:f>
      </x:c>
    </x:row>
    <x:row r="350" ht="22" customHeight="1">
      <x:c r="A350" s="7"/>
      <x:c r="B350" s="19"/>
      <x:c r="C350" s="19"/>
      <x:c r="D350" s="7"/>
      <x:c r="E350" s="7"/>
      <x:c r="F350" s="7"/>
      <x:c r="G350" s="7"/>
      <x:c r="H350" s="7"/>
      <x:c r="I350" s="7"/>
      <x:c r="J350" s="7"/>
      <x:c r="K350" s="10"/>
      <x:c r="L350" s="7"/>
      <x:c r="M350" s="10"/>
      <x:c r="N350" s="7"/>
      <x:c r="O350" s="8"/>
      <x:c r="P350" s="8"/>
      <x:c r="Q350" s="8"/>
      <x:c r="R350" s="9"/>
      <x:c r="S350" s="7"/>
      <x:c r="T350" s="7"/>
      <x:c r="U350" s="7"/>
      <x:c r="V350" s="7"/>
      <x:c r="W350" s="22" t="str">
        <x:f>IF(A350="","",COUNTIFS('Esecuzioni'!$A$8:$A$1007,A350,'Esecuzioni'!$Q$8:$Q$1007,"OK"))</x:f>
      </x:c>
      <x:c r="X350" s="20" t="str">
        <x:f>IF(OR(A350="",I350&lt;&gt;"Esecuzioni",W350=0),"",SUMIFS('Esecuzioni'!$L$8:$L$1007,'Esecuzioni'!$A$8:$A$1007,A350))</x:f>
      </x:c>
      <x:c r="Y350" s="20" t="str">
        <x:f>IF(OR(A350="",I350&lt;&gt;"Esecuzioni",W350=0),"",SUMIFS('Esecuzioni'!$M$8:$M$1007,'Esecuzioni'!$A$8:$A$1007,A350))</x:f>
      </x:c>
      <x:c r="Z350" s="20" t="str">
        <x:f>IF(A350="","",IF(J350="Annullato",0,IF(ISNUMBER(O350),O350,IF(AND(I350="Esecuzioni",W350&gt;0),_xlfn.MAXIFS('Esecuzioni'!$P$8:$P$1007,'Esecuzioni'!$A$8:$A$1007,A350),""))))</x:f>
      </x:c>
      <x:c r="AA350" s="20" t="str">
        <x:f>IF(OR(A350="",J350="Aperto"),"",IF(J350="Annullato",0,IF(I350="Lordo manuale",IF(ISNUMBER(P350),P350,""),IF(I350="Netto manuale",IF(AND(ISNUMBER(P350),ISNUMBER(Q350)),P350+Q350,""),IF(OR(W350=0,COUNTIFS('Esecuzioni'!$A$8:$A$1007,A350,'Esecuzioni'!$Q$8:$Q$1007,"&lt;&gt;OK")&gt;0),"",IF(S350="Vince",X350,IF(S350="Perde",Y350,IF(AND(S350="Coperto",ABS(X350-Y350)&lt;='Impostazioni'!$B$11),ROUND((X350+Y350)/2,2),""))))))))</x:f>
      </x:c>
      <x:c r="AB350" s="20" t="str">
        <x:f>IF(NOT(ISNUMBER(AA350)),"",IF(J350="Annullato",0,IF(ISNUMBER(Q350),Q350,ROUND(MAX(0,AA350)*IF(ISNUMBER(R350),R350,'Impostazioni'!$B$8),2))))</x:f>
      </x:c>
      <x:c r="AC350" s="20" t="str">
        <x:f>IF(AND(ISNUMBER(AA350),ISNUMBER(AB350)),ROUND(AA350-AB350,2),"")</x:f>
      </x:c>
      <x:c r="AD350" s="18" t="str">
        <x:f>IF(A350="","",IF(AQ350&lt;&gt;"OK","Incompleto",IF(J350="Aperto","Aperto",IF(J350="Annullato","Annullato",IF(AC350&gt;0,"Green",IF(AC350&lt;0,"Red","Flat"))))))</x:f>
      </x:c>
      <x:c r="AE350" s="21" t="str">
        <x:f>IF(AND(AH350=1,Z350&gt;0),AC350/Z350,"")</x:f>
      </x:c>
      <x:c r="AF350" s="22" t="str">
        <x:f>IF(AH350&lt;&gt;1,"",COUNTIFS($C$8:$C$507,"&lt;"&amp;C350,$AH$8:$AH$507,1)+COUNTIFS($C$8:$C$507,C350,$A$8:$A$507,"&lt;="&amp;A350,$AH$8:$AH$507,1))</x:f>
      </x:c>
      <x:c r="AG350" s="20" t="str">
        <x:f>IF(AH350&lt;&gt;1,"",SUMIFS($AC$8:$AC$507,$C$8:$C$507,"&lt;"&amp;C350,$AH$8:$AH$507,1)+SUMIFS($AC$8:$AC$507,$C$8:$C$507,C350,$A$8:$A$507,"&lt;="&amp;A350,$AH$8:$AH$507,1))</x:f>
      </x:c>
      <x:c r="AH350" s="22" t="str">
        <x:f>IF(A350="","",IF(AND(J350="Chiuso",AQ350="OK",ISNUMBER(AC350)),1,0))</x:f>
      </x:c>
      <x:c r="AI350" s="20" t="str">
        <x:f>IF(AH350&lt;&gt;1,"",MAX(0,_xlfn.MAXIFS($AG$8:$AG$507,$AF$8:$AF$507,"&lt;="&amp;AF350,$AH$8:$AH$507,1)))</x:f>
      </x:c>
      <x:c r="AJ350" s="20" t="str">
        <x:f>IF(AH350&lt;&gt;1,"",MAX(0,AI350-AG350))</x:f>
      </x:c>
      <x:c r="AK350" s="21" t="str">
        <x:f>IF(OR(AH350&lt;&gt;1,NOT(ISNUMBER('Impostazioni'!$B$6)),'Impostazioni'!$B$6+AI350&lt;=0),"",AJ350/('Impostazioni'!$B$6+AI350))</x:f>
      </x:c>
      <x:c r="AL350" s="22" t="str">
        <x:f>IF(AH350&lt;&gt;1,"",IF(AC350&gt;0,AF350-_xlfn.MAXIFS($AF$8:$AF$507,$AF$8:$AF$507,"&lt;="&amp;AF350,$AC$8:$AC$507,"&lt;=0",$AH$8:$AH$507,1),0))</x:f>
      </x:c>
      <x:c r="AM350" s="22" t="str">
        <x:f>IF(AH350&lt;&gt;1,"",IF(AC350&lt;0,AF350-_xlfn.MAXIFS($AF$8:$AF$507,$AF$8:$AF$507,"&lt;="&amp;AF350,$AC$8:$AC$507,"&gt;=0",$AH$8:$AH$507,1),0))</x:f>
      </x:c>
      <x:c r="AN350" s="20" t="str">
        <x:f>IF(OR(A350="",NOT(ISNUMBER(B350)),NOT(ISNUMBER('Impostazioni'!$B$6))),"",'Impostazioni'!$B$6+SUMIFS($AC$8:$AC$507,$C$8:$C$507,"&lt;"&amp;B350,$AH$8:$AH$507,1)+SUMIFS('Cassa'!$F$8:$F$307,'Cassa'!$A$8:$A$307,"&lt;="&amp;B350,'Cassa'!$G$8:$G$307,"OK"))</x:f>
      </x:c>
      <x:c r="AO350" s="21" t="str">
        <x:f>IF(AND(ISNUMBER(Z350),ISNUMBER(AN350),AN350&gt;0),Z350/AN350,"")</x:f>
      </x:c>
      <x:c r="AP350" s="18" t="str">
        <x:f>IF(NOT(ISNUMBER(AO350)),"",IF(AO350&gt;'Impostazioni'!$B$7,"Oltre soglia personale","Nella soglia personale"))</x:f>
      </x:c>
      <x:c r="AQ350" s="18" t="str">
        <x:f>IF(A350="",IF(COUNTA(B350:V350)=0,"","Inserisci ID"),IF(COUNTIFS($A$8:$A$507,A350)&lt;&gt;1,"ID duplicato",IF(OR(NOT(ISNUMBER(B350)),D350="",E350="",F350="",G350="",H350="",COUNTIFS('Impostazioni'!$J$6:$J$25,F350)&lt;&gt;1),"Completa dati / elenchi",IF(OR(AND(I350&lt;&gt;"Lordo manuale",I350&lt;&gt;"Netto manuale",I350&lt;&gt;"Esecuzioni"),AND(J350&lt;&gt;"Aperto",J350&lt;&gt;"Chiuso",J350&lt;&gt;"Annullato")),"Modalità / stato mancanti",IF(AND(J350&lt;&gt;"Aperto",OR(NOT(ISNUMBER(C350)),C350&lt;B350)),"Correggi data chiusura",IF(OR(AND(Q350&lt;&gt;"",OR(NOT(ISNUMBER(Q350)),Q350&lt;0)),AND(R350&lt;&gt;"",OR(NOT(ISNUMBER(R350)),R350&lt;0,R350&gt;1))),"Commissione non valida",IF(J350="Annullato","OK",IF(OR(NOT(ISNUMBER(Z350)),Z350&lt;0,AND(O350&lt;&gt;"",NOT(ISNUMBER(O350)))),"Inserisci rischio",IF(AND(I350="Esecuzioni",OR(W350=0,COUNTIFS('Esecuzioni'!$A$8:$A$1007,A350,'Esecuzioni'!$Q$8:$Q$1007,"&lt;&gt;OK")&gt;0)),"Correggi esecuzioni",IF(J350="Aperto","OK",IF(AND(I350="Esecuzioni",S350="Coperto",ABS(X350-Y350)&gt;'Impostazioni'!$B$11),"Copertura residua",IF(NOT(ISNUMBER(AC350)),"Completa risultato / esito",IF(AND(Z350=0,AC350&lt;&gt;0),"Rischio nullo con P/L","OK")))))))))))))</x:f>
      </x:c>
      <x:c r="AR350" s="20" t="str">
        <x:f>IF(OR(A350="",J350&lt;&gt;"Aperto",AQ350&lt;&gt;"OK"),"",IF(I350="Esecuzioni",SUMIFS('Esecuzioni'!$P$8:$P$1007,'Esecuzioni'!$A$8:$A$1007,A350,'Esecuzioni'!$B$8:$B$1007,_xlfn.MAXIFS('Esecuzioni'!$B$8:$B$1007,'Esecuzioni'!$A$8:$A$1007,A350)),IF(LEFT(U350,8)="FREEBET:",0,Z350)))</x:f>
      </x:c>
      <x:c r="AS350" s="48" t="str">
        <x:f>IF(OR(A350="",E350=""),"",IF(COUNTIFS($E$8:E350,E350)=1,COUNT($AS$7:AS349)+1,""))</x:f>
      </x:c>
    </x:row>
    <x:row r="351" ht="22" customHeight="1">
      <x:c r="A351" s="7"/>
      <x:c r="B351" s="19"/>
      <x:c r="C351" s="19"/>
      <x:c r="D351" s="7"/>
      <x:c r="E351" s="7"/>
      <x:c r="F351" s="7"/>
      <x:c r="G351" s="7"/>
      <x:c r="H351" s="7"/>
      <x:c r="I351" s="7"/>
      <x:c r="J351" s="7"/>
      <x:c r="K351" s="10"/>
      <x:c r="L351" s="7"/>
      <x:c r="M351" s="10"/>
      <x:c r="N351" s="7"/>
      <x:c r="O351" s="8"/>
      <x:c r="P351" s="8"/>
      <x:c r="Q351" s="8"/>
      <x:c r="R351" s="9"/>
      <x:c r="S351" s="7"/>
      <x:c r="T351" s="7"/>
      <x:c r="U351" s="7"/>
      <x:c r="V351" s="7"/>
      <x:c r="W351" s="22" t="str">
        <x:f>IF(A351="","",COUNTIFS('Esecuzioni'!$A$8:$A$1007,A351,'Esecuzioni'!$Q$8:$Q$1007,"OK"))</x:f>
      </x:c>
      <x:c r="X351" s="20" t="str">
        <x:f>IF(OR(A351="",I351&lt;&gt;"Esecuzioni",W351=0),"",SUMIFS('Esecuzioni'!$L$8:$L$1007,'Esecuzioni'!$A$8:$A$1007,A351))</x:f>
      </x:c>
      <x:c r="Y351" s="20" t="str">
        <x:f>IF(OR(A351="",I351&lt;&gt;"Esecuzioni",W351=0),"",SUMIFS('Esecuzioni'!$M$8:$M$1007,'Esecuzioni'!$A$8:$A$1007,A351))</x:f>
      </x:c>
      <x:c r="Z351" s="20" t="str">
        <x:f>IF(A351="","",IF(J351="Annullato",0,IF(ISNUMBER(O351),O351,IF(AND(I351="Esecuzioni",W351&gt;0),_xlfn.MAXIFS('Esecuzioni'!$P$8:$P$1007,'Esecuzioni'!$A$8:$A$1007,A351),""))))</x:f>
      </x:c>
      <x:c r="AA351" s="20" t="str">
        <x:f>IF(OR(A351="",J351="Aperto"),"",IF(J351="Annullato",0,IF(I351="Lordo manuale",IF(ISNUMBER(P351),P351,""),IF(I351="Netto manuale",IF(AND(ISNUMBER(P351),ISNUMBER(Q351)),P351+Q351,""),IF(OR(W351=0,COUNTIFS('Esecuzioni'!$A$8:$A$1007,A351,'Esecuzioni'!$Q$8:$Q$1007,"&lt;&gt;OK")&gt;0),"",IF(S351="Vince",X351,IF(S351="Perde",Y351,IF(AND(S351="Coperto",ABS(X351-Y351)&lt;='Impostazioni'!$B$11),ROUND((X351+Y351)/2,2),""))))))))</x:f>
      </x:c>
      <x:c r="AB351" s="20" t="str">
        <x:f>IF(NOT(ISNUMBER(AA351)),"",IF(J351="Annullato",0,IF(ISNUMBER(Q351),Q351,ROUND(MAX(0,AA351)*IF(ISNUMBER(R351),R351,'Impostazioni'!$B$8),2))))</x:f>
      </x:c>
      <x:c r="AC351" s="20" t="str">
        <x:f>IF(AND(ISNUMBER(AA351),ISNUMBER(AB351)),ROUND(AA351-AB351,2),"")</x:f>
      </x:c>
      <x:c r="AD351" s="18" t="str">
        <x:f>IF(A351="","",IF(AQ351&lt;&gt;"OK","Incompleto",IF(J351="Aperto","Aperto",IF(J351="Annullato","Annullato",IF(AC351&gt;0,"Green",IF(AC351&lt;0,"Red","Flat"))))))</x:f>
      </x:c>
      <x:c r="AE351" s="21" t="str">
        <x:f>IF(AND(AH351=1,Z351&gt;0),AC351/Z351,"")</x:f>
      </x:c>
      <x:c r="AF351" s="22" t="str">
        <x:f>IF(AH351&lt;&gt;1,"",COUNTIFS($C$8:$C$507,"&lt;"&amp;C351,$AH$8:$AH$507,1)+COUNTIFS($C$8:$C$507,C351,$A$8:$A$507,"&lt;="&amp;A351,$AH$8:$AH$507,1))</x:f>
      </x:c>
      <x:c r="AG351" s="20" t="str">
        <x:f>IF(AH351&lt;&gt;1,"",SUMIFS($AC$8:$AC$507,$C$8:$C$507,"&lt;"&amp;C351,$AH$8:$AH$507,1)+SUMIFS($AC$8:$AC$507,$C$8:$C$507,C351,$A$8:$A$507,"&lt;="&amp;A351,$AH$8:$AH$507,1))</x:f>
      </x:c>
      <x:c r="AH351" s="22" t="str">
        <x:f>IF(A351="","",IF(AND(J351="Chiuso",AQ351="OK",ISNUMBER(AC351)),1,0))</x:f>
      </x:c>
      <x:c r="AI351" s="20" t="str">
        <x:f>IF(AH351&lt;&gt;1,"",MAX(0,_xlfn.MAXIFS($AG$8:$AG$507,$AF$8:$AF$507,"&lt;="&amp;AF351,$AH$8:$AH$507,1)))</x:f>
      </x:c>
      <x:c r="AJ351" s="20" t="str">
        <x:f>IF(AH351&lt;&gt;1,"",MAX(0,AI351-AG351))</x:f>
      </x:c>
      <x:c r="AK351" s="21" t="str">
        <x:f>IF(OR(AH351&lt;&gt;1,NOT(ISNUMBER('Impostazioni'!$B$6)),'Impostazioni'!$B$6+AI351&lt;=0),"",AJ351/('Impostazioni'!$B$6+AI351))</x:f>
      </x:c>
      <x:c r="AL351" s="22" t="str">
        <x:f>IF(AH351&lt;&gt;1,"",IF(AC351&gt;0,AF351-_xlfn.MAXIFS($AF$8:$AF$507,$AF$8:$AF$507,"&lt;="&amp;AF351,$AC$8:$AC$507,"&lt;=0",$AH$8:$AH$507,1),0))</x:f>
      </x:c>
      <x:c r="AM351" s="22" t="str">
        <x:f>IF(AH351&lt;&gt;1,"",IF(AC351&lt;0,AF351-_xlfn.MAXIFS($AF$8:$AF$507,$AF$8:$AF$507,"&lt;="&amp;AF351,$AC$8:$AC$507,"&gt;=0",$AH$8:$AH$507,1),0))</x:f>
      </x:c>
      <x:c r="AN351" s="20" t="str">
        <x:f>IF(OR(A351="",NOT(ISNUMBER(B351)),NOT(ISNUMBER('Impostazioni'!$B$6))),"",'Impostazioni'!$B$6+SUMIFS($AC$8:$AC$507,$C$8:$C$507,"&lt;"&amp;B351,$AH$8:$AH$507,1)+SUMIFS('Cassa'!$F$8:$F$307,'Cassa'!$A$8:$A$307,"&lt;="&amp;B351,'Cassa'!$G$8:$G$307,"OK"))</x:f>
      </x:c>
      <x:c r="AO351" s="21" t="str">
        <x:f>IF(AND(ISNUMBER(Z351),ISNUMBER(AN351),AN351&gt;0),Z351/AN351,"")</x:f>
      </x:c>
      <x:c r="AP351" s="18" t="str">
        <x:f>IF(NOT(ISNUMBER(AO351)),"",IF(AO351&gt;'Impostazioni'!$B$7,"Oltre soglia personale","Nella soglia personale"))</x:f>
      </x:c>
      <x:c r="AQ351" s="18" t="str">
        <x:f>IF(A351="",IF(COUNTA(B351:V351)=0,"","Inserisci ID"),IF(COUNTIFS($A$8:$A$507,A351)&lt;&gt;1,"ID duplicato",IF(OR(NOT(ISNUMBER(B351)),D351="",E351="",F351="",G351="",H351="",COUNTIFS('Impostazioni'!$J$6:$J$25,F351)&lt;&gt;1),"Completa dati / elenchi",IF(OR(AND(I351&lt;&gt;"Lordo manuale",I351&lt;&gt;"Netto manuale",I351&lt;&gt;"Esecuzioni"),AND(J351&lt;&gt;"Aperto",J351&lt;&gt;"Chiuso",J351&lt;&gt;"Annullato")),"Modalità / stato mancanti",IF(AND(J351&lt;&gt;"Aperto",OR(NOT(ISNUMBER(C351)),C351&lt;B351)),"Correggi data chiusura",IF(OR(AND(Q351&lt;&gt;"",OR(NOT(ISNUMBER(Q351)),Q351&lt;0)),AND(R351&lt;&gt;"",OR(NOT(ISNUMBER(R351)),R351&lt;0,R351&gt;1))),"Commissione non valida",IF(J351="Annullato","OK",IF(OR(NOT(ISNUMBER(Z351)),Z351&lt;0,AND(O351&lt;&gt;"",NOT(ISNUMBER(O351)))),"Inserisci rischio",IF(AND(I351="Esecuzioni",OR(W351=0,COUNTIFS('Esecuzioni'!$A$8:$A$1007,A351,'Esecuzioni'!$Q$8:$Q$1007,"&lt;&gt;OK")&gt;0)),"Correggi esecuzioni",IF(J351="Aperto","OK",IF(AND(I351="Esecuzioni",S351="Coperto",ABS(X351-Y351)&gt;'Impostazioni'!$B$11),"Copertura residua",IF(NOT(ISNUMBER(AC351)),"Completa risultato / esito",IF(AND(Z351=0,AC351&lt;&gt;0),"Rischio nullo con P/L","OK")))))))))))))</x:f>
      </x:c>
      <x:c r="AR351" s="20" t="str">
        <x:f>IF(OR(A351="",J351&lt;&gt;"Aperto",AQ351&lt;&gt;"OK"),"",IF(I351="Esecuzioni",SUMIFS('Esecuzioni'!$P$8:$P$1007,'Esecuzioni'!$A$8:$A$1007,A351,'Esecuzioni'!$B$8:$B$1007,_xlfn.MAXIFS('Esecuzioni'!$B$8:$B$1007,'Esecuzioni'!$A$8:$A$1007,A351)),IF(LEFT(U351,8)="FREEBET:",0,Z351)))</x:f>
      </x:c>
      <x:c r="AS351" s="48" t="str">
        <x:f>IF(OR(A351="",E351=""),"",IF(COUNTIFS($E$8:E351,E351)=1,COUNT($AS$7:AS350)+1,""))</x:f>
      </x:c>
    </x:row>
    <x:row r="352" ht="22" customHeight="1">
      <x:c r="A352" s="7"/>
      <x:c r="B352" s="19"/>
      <x:c r="C352" s="19"/>
      <x:c r="D352" s="7"/>
      <x:c r="E352" s="7"/>
      <x:c r="F352" s="7"/>
      <x:c r="G352" s="7"/>
      <x:c r="H352" s="7"/>
      <x:c r="I352" s="7"/>
      <x:c r="J352" s="7"/>
      <x:c r="K352" s="10"/>
      <x:c r="L352" s="7"/>
      <x:c r="M352" s="10"/>
      <x:c r="N352" s="7"/>
      <x:c r="O352" s="8"/>
      <x:c r="P352" s="8"/>
      <x:c r="Q352" s="8"/>
      <x:c r="R352" s="9"/>
      <x:c r="S352" s="7"/>
      <x:c r="T352" s="7"/>
      <x:c r="U352" s="7"/>
      <x:c r="V352" s="7"/>
      <x:c r="W352" s="22" t="str">
        <x:f>IF(A352="","",COUNTIFS('Esecuzioni'!$A$8:$A$1007,A352,'Esecuzioni'!$Q$8:$Q$1007,"OK"))</x:f>
      </x:c>
      <x:c r="X352" s="20" t="str">
        <x:f>IF(OR(A352="",I352&lt;&gt;"Esecuzioni",W352=0),"",SUMIFS('Esecuzioni'!$L$8:$L$1007,'Esecuzioni'!$A$8:$A$1007,A352))</x:f>
      </x:c>
      <x:c r="Y352" s="20" t="str">
        <x:f>IF(OR(A352="",I352&lt;&gt;"Esecuzioni",W352=0),"",SUMIFS('Esecuzioni'!$M$8:$M$1007,'Esecuzioni'!$A$8:$A$1007,A352))</x:f>
      </x:c>
      <x:c r="Z352" s="20" t="str">
        <x:f>IF(A352="","",IF(J352="Annullato",0,IF(ISNUMBER(O352),O352,IF(AND(I352="Esecuzioni",W352&gt;0),_xlfn.MAXIFS('Esecuzioni'!$P$8:$P$1007,'Esecuzioni'!$A$8:$A$1007,A352),""))))</x:f>
      </x:c>
      <x:c r="AA352" s="20" t="str">
        <x:f>IF(OR(A352="",J352="Aperto"),"",IF(J352="Annullato",0,IF(I352="Lordo manuale",IF(ISNUMBER(P352),P352,""),IF(I352="Netto manuale",IF(AND(ISNUMBER(P352),ISNUMBER(Q352)),P352+Q352,""),IF(OR(W352=0,COUNTIFS('Esecuzioni'!$A$8:$A$1007,A352,'Esecuzioni'!$Q$8:$Q$1007,"&lt;&gt;OK")&gt;0),"",IF(S352="Vince",X352,IF(S352="Perde",Y352,IF(AND(S352="Coperto",ABS(X352-Y352)&lt;='Impostazioni'!$B$11),ROUND((X352+Y352)/2,2),""))))))))</x:f>
      </x:c>
      <x:c r="AB352" s="20" t="str">
        <x:f>IF(NOT(ISNUMBER(AA352)),"",IF(J352="Annullato",0,IF(ISNUMBER(Q352),Q352,ROUND(MAX(0,AA352)*IF(ISNUMBER(R352),R352,'Impostazioni'!$B$8),2))))</x:f>
      </x:c>
      <x:c r="AC352" s="20" t="str">
        <x:f>IF(AND(ISNUMBER(AA352),ISNUMBER(AB352)),ROUND(AA352-AB352,2),"")</x:f>
      </x:c>
      <x:c r="AD352" s="18" t="str">
        <x:f>IF(A352="","",IF(AQ352&lt;&gt;"OK","Incompleto",IF(J352="Aperto","Aperto",IF(J352="Annullato","Annullato",IF(AC352&gt;0,"Green",IF(AC352&lt;0,"Red","Flat"))))))</x:f>
      </x:c>
      <x:c r="AE352" s="21" t="str">
        <x:f>IF(AND(AH352=1,Z352&gt;0),AC352/Z352,"")</x:f>
      </x:c>
      <x:c r="AF352" s="22" t="str">
        <x:f>IF(AH352&lt;&gt;1,"",COUNTIFS($C$8:$C$507,"&lt;"&amp;C352,$AH$8:$AH$507,1)+COUNTIFS($C$8:$C$507,C352,$A$8:$A$507,"&lt;="&amp;A352,$AH$8:$AH$507,1))</x:f>
      </x:c>
      <x:c r="AG352" s="20" t="str">
        <x:f>IF(AH352&lt;&gt;1,"",SUMIFS($AC$8:$AC$507,$C$8:$C$507,"&lt;"&amp;C352,$AH$8:$AH$507,1)+SUMIFS($AC$8:$AC$507,$C$8:$C$507,C352,$A$8:$A$507,"&lt;="&amp;A352,$AH$8:$AH$507,1))</x:f>
      </x:c>
      <x:c r="AH352" s="22" t="str">
        <x:f>IF(A352="","",IF(AND(J352="Chiuso",AQ352="OK",ISNUMBER(AC352)),1,0))</x:f>
      </x:c>
      <x:c r="AI352" s="20" t="str">
        <x:f>IF(AH352&lt;&gt;1,"",MAX(0,_xlfn.MAXIFS($AG$8:$AG$507,$AF$8:$AF$507,"&lt;="&amp;AF352,$AH$8:$AH$507,1)))</x:f>
      </x:c>
      <x:c r="AJ352" s="20" t="str">
        <x:f>IF(AH352&lt;&gt;1,"",MAX(0,AI352-AG352))</x:f>
      </x:c>
      <x:c r="AK352" s="21" t="str">
        <x:f>IF(OR(AH352&lt;&gt;1,NOT(ISNUMBER('Impostazioni'!$B$6)),'Impostazioni'!$B$6+AI352&lt;=0),"",AJ352/('Impostazioni'!$B$6+AI352))</x:f>
      </x:c>
      <x:c r="AL352" s="22" t="str">
        <x:f>IF(AH352&lt;&gt;1,"",IF(AC352&gt;0,AF352-_xlfn.MAXIFS($AF$8:$AF$507,$AF$8:$AF$507,"&lt;="&amp;AF352,$AC$8:$AC$507,"&lt;=0",$AH$8:$AH$507,1),0))</x:f>
      </x:c>
      <x:c r="AM352" s="22" t="str">
        <x:f>IF(AH352&lt;&gt;1,"",IF(AC352&lt;0,AF352-_xlfn.MAXIFS($AF$8:$AF$507,$AF$8:$AF$507,"&lt;="&amp;AF352,$AC$8:$AC$507,"&gt;=0",$AH$8:$AH$507,1),0))</x:f>
      </x:c>
      <x:c r="AN352" s="20" t="str">
        <x:f>IF(OR(A352="",NOT(ISNUMBER(B352)),NOT(ISNUMBER('Impostazioni'!$B$6))),"",'Impostazioni'!$B$6+SUMIFS($AC$8:$AC$507,$C$8:$C$507,"&lt;"&amp;B352,$AH$8:$AH$507,1)+SUMIFS('Cassa'!$F$8:$F$307,'Cassa'!$A$8:$A$307,"&lt;="&amp;B352,'Cassa'!$G$8:$G$307,"OK"))</x:f>
      </x:c>
      <x:c r="AO352" s="21" t="str">
        <x:f>IF(AND(ISNUMBER(Z352),ISNUMBER(AN352),AN352&gt;0),Z352/AN352,"")</x:f>
      </x:c>
      <x:c r="AP352" s="18" t="str">
        <x:f>IF(NOT(ISNUMBER(AO352)),"",IF(AO352&gt;'Impostazioni'!$B$7,"Oltre soglia personale","Nella soglia personale"))</x:f>
      </x:c>
      <x:c r="AQ352" s="18" t="str">
        <x:f>IF(A352="",IF(COUNTA(B352:V352)=0,"","Inserisci ID"),IF(COUNTIFS($A$8:$A$507,A352)&lt;&gt;1,"ID duplicato",IF(OR(NOT(ISNUMBER(B352)),D352="",E352="",F352="",G352="",H352="",COUNTIFS('Impostazioni'!$J$6:$J$25,F352)&lt;&gt;1),"Completa dati / elenchi",IF(OR(AND(I352&lt;&gt;"Lordo manuale",I352&lt;&gt;"Netto manuale",I352&lt;&gt;"Esecuzioni"),AND(J352&lt;&gt;"Aperto",J352&lt;&gt;"Chiuso",J352&lt;&gt;"Annullato")),"Modalità / stato mancanti",IF(AND(J352&lt;&gt;"Aperto",OR(NOT(ISNUMBER(C352)),C352&lt;B352)),"Correggi data chiusura",IF(OR(AND(Q352&lt;&gt;"",OR(NOT(ISNUMBER(Q352)),Q352&lt;0)),AND(R352&lt;&gt;"",OR(NOT(ISNUMBER(R352)),R352&lt;0,R352&gt;1))),"Commissione non valida",IF(J352="Annullato","OK",IF(OR(NOT(ISNUMBER(Z352)),Z352&lt;0,AND(O352&lt;&gt;"",NOT(ISNUMBER(O352)))),"Inserisci rischio",IF(AND(I352="Esecuzioni",OR(W352=0,COUNTIFS('Esecuzioni'!$A$8:$A$1007,A352,'Esecuzioni'!$Q$8:$Q$1007,"&lt;&gt;OK")&gt;0)),"Correggi esecuzioni",IF(J352="Aperto","OK",IF(AND(I352="Esecuzioni",S352="Coperto",ABS(X352-Y352)&gt;'Impostazioni'!$B$11),"Copertura residua",IF(NOT(ISNUMBER(AC352)),"Completa risultato / esito",IF(AND(Z352=0,AC352&lt;&gt;0),"Rischio nullo con P/L","OK")))))))))))))</x:f>
      </x:c>
      <x:c r="AR352" s="20" t="str">
        <x:f>IF(OR(A352="",J352&lt;&gt;"Aperto",AQ352&lt;&gt;"OK"),"",IF(I352="Esecuzioni",SUMIFS('Esecuzioni'!$P$8:$P$1007,'Esecuzioni'!$A$8:$A$1007,A352,'Esecuzioni'!$B$8:$B$1007,_xlfn.MAXIFS('Esecuzioni'!$B$8:$B$1007,'Esecuzioni'!$A$8:$A$1007,A352)),IF(LEFT(U352,8)="FREEBET:",0,Z352)))</x:f>
      </x:c>
      <x:c r="AS352" s="48" t="str">
        <x:f>IF(OR(A352="",E352=""),"",IF(COUNTIFS($E$8:E352,E352)=1,COUNT($AS$7:AS351)+1,""))</x:f>
      </x:c>
    </x:row>
    <x:row r="353" ht="22" customHeight="1">
      <x:c r="A353" s="7"/>
      <x:c r="B353" s="19"/>
      <x:c r="C353" s="19"/>
      <x:c r="D353" s="7"/>
      <x:c r="E353" s="7"/>
      <x:c r="F353" s="7"/>
      <x:c r="G353" s="7"/>
      <x:c r="H353" s="7"/>
      <x:c r="I353" s="7"/>
      <x:c r="J353" s="7"/>
      <x:c r="K353" s="10"/>
      <x:c r="L353" s="7"/>
      <x:c r="M353" s="10"/>
      <x:c r="N353" s="7"/>
      <x:c r="O353" s="8"/>
      <x:c r="P353" s="8"/>
      <x:c r="Q353" s="8"/>
      <x:c r="R353" s="9"/>
      <x:c r="S353" s="7"/>
      <x:c r="T353" s="7"/>
      <x:c r="U353" s="7"/>
      <x:c r="V353" s="7"/>
      <x:c r="W353" s="22" t="str">
        <x:f>IF(A353="","",COUNTIFS('Esecuzioni'!$A$8:$A$1007,A353,'Esecuzioni'!$Q$8:$Q$1007,"OK"))</x:f>
      </x:c>
      <x:c r="X353" s="20" t="str">
        <x:f>IF(OR(A353="",I353&lt;&gt;"Esecuzioni",W353=0),"",SUMIFS('Esecuzioni'!$L$8:$L$1007,'Esecuzioni'!$A$8:$A$1007,A353))</x:f>
      </x:c>
      <x:c r="Y353" s="20" t="str">
        <x:f>IF(OR(A353="",I353&lt;&gt;"Esecuzioni",W353=0),"",SUMIFS('Esecuzioni'!$M$8:$M$1007,'Esecuzioni'!$A$8:$A$1007,A353))</x:f>
      </x:c>
      <x:c r="Z353" s="20" t="str">
        <x:f>IF(A353="","",IF(J353="Annullato",0,IF(ISNUMBER(O353),O353,IF(AND(I353="Esecuzioni",W353&gt;0),_xlfn.MAXIFS('Esecuzioni'!$P$8:$P$1007,'Esecuzioni'!$A$8:$A$1007,A353),""))))</x:f>
      </x:c>
      <x:c r="AA353" s="20" t="str">
        <x:f>IF(OR(A353="",J353="Aperto"),"",IF(J353="Annullato",0,IF(I353="Lordo manuale",IF(ISNUMBER(P353),P353,""),IF(I353="Netto manuale",IF(AND(ISNUMBER(P353),ISNUMBER(Q353)),P353+Q353,""),IF(OR(W353=0,COUNTIFS('Esecuzioni'!$A$8:$A$1007,A353,'Esecuzioni'!$Q$8:$Q$1007,"&lt;&gt;OK")&gt;0),"",IF(S353="Vince",X353,IF(S353="Perde",Y353,IF(AND(S353="Coperto",ABS(X353-Y353)&lt;='Impostazioni'!$B$11),ROUND((X353+Y353)/2,2),""))))))))</x:f>
      </x:c>
      <x:c r="AB353" s="20" t="str">
        <x:f>IF(NOT(ISNUMBER(AA353)),"",IF(J353="Annullato",0,IF(ISNUMBER(Q353),Q353,ROUND(MAX(0,AA353)*IF(ISNUMBER(R353),R353,'Impostazioni'!$B$8),2))))</x:f>
      </x:c>
      <x:c r="AC353" s="20" t="str">
        <x:f>IF(AND(ISNUMBER(AA353),ISNUMBER(AB353)),ROUND(AA353-AB353,2),"")</x:f>
      </x:c>
      <x:c r="AD353" s="18" t="str">
        <x:f>IF(A353="","",IF(AQ353&lt;&gt;"OK","Incompleto",IF(J353="Aperto","Aperto",IF(J353="Annullato","Annullato",IF(AC353&gt;0,"Green",IF(AC353&lt;0,"Red","Flat"))))))</x:f>
      </x:c>
      <x:c r="AE353" s="21" t="str">
        <x:f>IF(AND(AH353=1,Z353&gt;0),AC353/Z353,"")</x:f>
      </x:c>
      <x:c r="AF353" s="22" t="str">
        <x:f>IF(AH353&lt;&gt;1,"",COUNTIFS($C$8:$C$507,"&lt;"&amp;C353,$AH$8:$AH$507,1)+COUNTIFS($C$8:$C$507,C353,$A$8:$A$507,"&lt;="&amp;A353,$AH$8:$AH$507,1))</x:f>
      </x:c>
      <x:c r="AG353" s="20" t="str">
        <x:f>IF(AH353&lt;&gt;1,"",SUMIFS($AC$8:$AC$507,$C$8:$C$507,"&lt;"&amp;C353,$AH$8:$AH$507,1)+SUMIFS($AC$8:$AC$507,$C$8:$C$507,C353,$A$8:$A$507,"&lt;="&amp;A353,$AH$8:$AH$507,1))</x:f>
      </x:c>
      <x:c r="AH353" s="22" t="str">
        <x:f>IF(A353="","",IF(AND(J353="Chiuso",AQ353="OK",ISNUMBER(AC353)),1,0))</x:f>
      </x:c>
      <x:c r="AI353" s="20" t="str">
        <x:f>IF(AH353&lt;&gt;1,"",MAX(0,_xlfn.MAXIFS($AG$8:$AG$507,$AF$8:$AF$507,"&lt;="&amp;AF353,$AH$8:$AH$507,1)))</x:f>
      </x:c>
      <x:c r="AJ353" s="20" t="str">
        <x:f>IF(AH353&lt;&gt;1,"",MAX(0,AI353-AG353))</x:f>
      </x:c>
      <x:c r="AK353" s="21" t="str">
        <x:f>IF(OR(AH353&lt;&gt;1,NOT(ISNUMBER('Impostazioni'!$B$6)),'Impostazioni'!$B$6+AI353&lt;=0),"",AJ353/('Impostazioni'!$B$6+AI353))</x:f>
      </x:c>
      <x:c r="AL353" s="22" t="str">
        <x:f>IF(AH353&lt;&gt;1,"",IF(AC353&gt;0,AF353-_xlfn.MAXIFS($AF$8:$AF$507,$AF$8:$AF$507,"&lt;="&amp;AF353,$AC$8:$AC$507,"&lt;=0",$AH$8:$AH$507,1),0))</x:f>
      </x:c>
      <x:c r="AM353" s="22" t="str">
        <x:f>IF(AH353&lt;&gt;1,"",IF(AC353&lt;0,AF353-_xlfn.MAXIFS($AF$8:$AF$507,$AF$8:$AF$507,"&lt;="&amp;AF353,$AC$8:$AC$507,"&gt;=0",$AH$8:$AH$507,1),0))</x:f>
      </x:c>
      <x:c r="AN353" s="20" t="str">
        <x:f>IF(OR(A353="",NOT(ISNUMBER(B353)),NOT(ISNUMBER('Impostazioni'!$B$6))),"",'Impostazioni'!$B$6+SUMIFS($AC$8:$AC$507,$C$8:$C$507,"&lt;"&amp;B353,$AH$8:$AH$507,1)+SUMIFS('Cassa'!$F$8:$F$307,'Cassa'!$A$8:$A$307,"&lt;="&amp;B353,'Cassa'!$G$8:$G$307,"OK"))</x:f>
      </x:c>
      <x:c r="AO353" s="21" t="str">
        <x:f>IF(AND(ISNUMBER(Z353),ISNUMBER(AN353),AN353&gt;0),Z353/AN353,"")</x:f>
      </x:c>
      <x:c r="AP353" s="18" t="str">
        <x:f>IF(NOT(ISNUMBER(AO353)),"",IF(AO353&gt;'Impostazioni'!$B$7,"Oltre soglia personale","Nella soglia personale"))</x:f>
      </x:c>
      <x:c r="AQ353" s="18" t="str">
        <x:f>IF(A353="",IF(COUNTA(B353:V353)=0,"","Inserisci ID"),IF(COUNTIFS($A$8:$A$507,A353)&lt;&gt;1,"ID duplicato",IF(OR(NOT(ISNUMBER(B353)),D353="",E353="",F353="",G353="",H353="",COUNTIFS('Impostazioni'!$J$6:$J$25,F353)&lt;&gt;1),"Completa dati / elenchi",IF(OR(AND(I353&lt;&gt;"Lordo manuale",I353&lt;&gt;"Netto manuale",I353&lt;&gt;"Esecuzioni"),AND(J353&lt;&gt;"Aperto",J353&lt;&gt;"Chiuso",J353&lt;&gt;"Annullato")),"Modalità / stato mancanti",IF(AND(J353&lt;&gt;"Aperto",OR(NOT(ISNUMBER(C353)),C353&lt;B353)),"Correggi data chiusura",IF(OR(AND(Q353&lt;&gt;"",OR(NOT(ISNUMBER(Q353)),Q353&lt;0)),AND(R353&lt;&gt;"",OR(NOT(ISNUMBER(R353)),R353&lt;0,R353&gt;1))),"Commissione non valida",IF(J353="Annullato","OK",IF(OR(NOT(ISNUMBER(Z353)),Z353&lt;0,AND(O353&lt;&gt;"",NOT(ISNUMBER(O353)))),"Inserisci rischio",IF(AND(I353="Esecuzioni",OR(W353=0,COUNTIFS('Esecuzioni'!$A$8:$A$1007,A353,'Esecuzioni'!$Q$8:$Q$1007,"&lt;&gt;OK")&gt;0)),"Correggi esecuzioni",IF(J353="Aperto","OK",IF(AND(I353="Esecuzioni",S353="Coperto",ABS(X353-Y353)&gt;'Impostazioni'!$B$11),"Copertura residua",IF(NOT(ISNUMBER(AC353)),"Completa risultato / esito",IF(AND(Z353=0,AC353&lt;&gt;0),"Rischio nullo con P/L","OK")))))))))))))</x:f>
      </x:c>
      <x:c r="AR353" s="20" t="str">
        <x:f>IF(OR(A353="",J353&lt;&gt;"Aperto",AQ353&lt;&gt;"OK"),"",IF(I353="Esecuzioni",SUMIFS('Esecuzioni'!$P$8:$P$1007,'Esecuzioni'!$A$8:$A$1007,A353,'Esecuzioni'!$B$8:$B$1007,_xlfn.MAXIFS('Esecuzioni'!$B$8:$B$1007,'Esecuzioni'!$A$8:$A$1007,A353)),IF(LEFT(U353,8)="FREEBET:",0,Z353)))</x:f>
      </x:c>
      <x:c r="AS353" s="48" t="str">
        <x:f>IF(OR(A353="",E353=""),"",IF(COUNTIFS($E$8:E353,E353)=1,COUNT($AS$7:AS352)+1,""))</x:f>
      </x:c>
    </x:row>
    <x:row r="354" ht="22" customHeight="1">
      <x:c r="A354" s="7"/>
      <x:c r="B354" s="19"/>
      <x:c r="C354" s="19"/>
      <x:c r="D354" s="7"/>
      <x:c r="E354" s="7"/>
      <x:c r="F354" s="7"/>
      <x:c r="G354" s="7"/>
      <x:c r="H354" s="7"/>
      <x:c r="I354" s="7"/>
      <x:c r="J354" s="7"/>
      <x:c r="K354" s="10"/>
      <x:c r="L354" s="7"/>
      <x:c r="M354" s="10"/>
      <x:c r="N354" s="7"/>
      <x:c r="O354" s="8"/>
      <x:c r="P354" s="8"/>
      <x:c r="Q354" s="8"/>
      <x:c r="R354" s="9"/>
      <x:c r="S354" s="7"/>
      <x:c r="T354" s="7"/>
      <x:c r="U354" s="7"/>
      <x:c r="V354" s="7"/>
      <x:c r="W354" s="22" t="str">
        <x:f>IF(A354="","",COUNTIFS('Esecuzioni'!$A$8:$A$1007,A354,'Esecuzioni'!$Q$8:$Q$1007,"OK"))</x:f>
      </x:c>
      <x:c r="X354" s="20" t="str">
        <x:f>IF(OR(A354="",I354&lt;&gt;"Esecuzioni",W354=0),"",SUMIFS('Esecuzioni'!$L$8:$L$1007,'Esecuzioni'!$A$8:$A$1007,A354))</x:f>
      </x:c>
      <x:c r="Y354" s="20" t="str">
        <x:f>IF(OR(A354="",I354&lt;&gt;"Esecuzioni",W354=0),"",SUMIFS('Esecuzioni'!$M$8:$M$1007,'Esecuzioni'!$A$8:$A$1007,A354))</x:f>
      </x:c>
      <x:c r="Z354" s="20" t="str">
        <x:f>IF(A354="","",IF(J354="Annullato",0,IF(ISNUMBER(O354),O354,IF(AND(I354="Esecuzioni",W354&gt;0),_xlfn.MAXIFS('Esecuzioni'!$P$8:$P$1007,'Esecuzioni'!$A$8:$A$1007,A354),""))))</x:f>
      </x:c>
      <x:c r="AA354" s="20" t="str">
        <x:f>IF(OR(A354="",J354="Aperto"),"",IF(J354="Annullato",0,IF(I354="Lordo manuale",IF(ISNUMBER(P354),P354,""),IF(I354="Netto manuale",IF(AND(ISNUMBER(P354),ISNUMBER(Q354)),P354+Q354,""),IF(OR(W354=0,COUNTIFS('Esecuzioni'!$A$8:$A$1007,A354,'Esecuzioni'!$Q$8:$Q$1007,"&lt;&gt;OK")&gt;0),"",IF(S354="Vince",X354,IF(S354="Perde",Y354,IF(AND(S354="Coperto",ABS(X354-Y354)&lt;='Impostazioni'!$B$11),ROUND((X354+Y354)/2,2),""))))))))</x:f>
      </x:c>
      <x:c r="AB354" s="20" t="str">
        <x:f>IF(NOT(ISNUMBER(AA354)),"",IF(J354="Annullato",0,IF(ISNUMBER(Q354),Q354,ROUND(MAX(0,AA354)*IF(ISNUMBER(R354),R354,'Impostazioni'!$B$8),2))))</x:f>
      </x:c>
      <x:c r="AC354" s="20" t="str">
        <x:f>IF(AND(ISNUMBER(AA354),ISNUMBER(AB354)),ROUND(AA354-AB354,2),"")</x:f>
      </x:c>
      <x:c r="AD354" s="18" t="str">
        <x:f>IF(A354="","",IF(AQ354&lt;&gt;"OK","Incompleto",IF(J354="Aperto","Aperto",IF(J354="Annullato","Annullato",IF(AC354&gt;0,"Green",IF(AC354&lt;0,"Red","Flat"))))))</x:f>
      </x:c>
      <x:c r="AE354" s="21" t="str">
        <x:f>IF(AND(AH354=1,Z354&gt;0),AC354/Z354,"")</x:f>
      </x:c>
      <x:c r="AF354" s="22" t="str">
        <x:f>IF(AH354&lt;&gt;1,"",COUNTIFS($C$8:$C$507,"&lt;"&amp;C354,$AH$8:$AH$507,1)+COUNTIFS($C$8:$C$507,C354,$A$8:$A$507,"&lt;="&amp;A354,$AH$8:$AH$507,1))</x:f>
      </x:c>
      <x:c r="AG354" s="20" t="str">
        <x:f>IF(AH354&lt;&gt;1,"",SUMIFS($AC$8:$AC$507,$C$8:$C$507,"&lt;"&amp;C354,$AH$8:$AH$507,1)+SUMIFS($AC$8:$AC$507,$C$8:$C$507,C354,$A$8:$A$507,"&lt;="&amp;A354,$AH$8:$AH$507,1))</x:f>
      </x:c>
      <x:c r="AH354" s="22" t="str">
        <x:f>IF(A354="","",IF(AND(J354="Chiuso",AQ354="OK",ISNUMBER(AC354)),1,0))</x:f>
      </x:c>
      <x:c r="AI354" s="20" t="str">
        <x:f>IF(AH354&lt;&gt;1,"",MAX(0,_xlfn.MAXIFS($AG$8:$AG$507,$AF$8:$AF$507,"&lt;="&amp;AF354,$AH$8:$AH$507,1)))</x:f>
      </x:c>
      <x:c r="AJ354" s="20" t="str">
        <x:f>IF(AH354&lt;&gt;1,"",MAX(0,AI354-AG354))</x:f>
      </x:c>
      <x:c r="AK354" s="21" t="str">
        <x:f>IF(OR(AH354&lt;&gt;1,NOT(ISNUMBER('Impostazioni'!$B$6)),'Impostazioni'!$B$6+AI354&lt;=0),"",AJ354/('Impostazioni'!$B$6+AI354))</x:f>
      </x:c>
      <x:c r="AL354" s="22" t="str">
        <x:f>IF(AH354&lt;&gt;1,"",IF(AC354&gt;0,AF354-_xlfn.MAXIFS($AF$8:$AF$507,$AF$8:$AF$507,"&lt;="&amp;AF354,$AC$8:$AC$507,"&lt;=0",$AH$8:$AH$507,1),0))</x:f>
      </x:c>
      <x:c r="AM354" s="22" t="str">
        <x:f>IF(AH354&lt;&gt;1,"",IF(AC354&lt;0,AF354-_xlfn.MAXIFS($AF$8:$AF$507,$AF$8:$AF$507,"&lt;="&amp;AF354,$AC$8:$AC$507,"&gt;=0",$AH$8:$AH$507,1),0))</x:f>
      </x:c>
      <x:c r="AN354" s="20" t="str">
        <x:f>IF(OR(A354="",NOT(ISNUMBER(B354)),NOT(ISNUMBER('Impostazioni'!$B$6))),"",'Impostazioni'!$B$6+SUMIFS($AC$8:$AC$507,$C$8:$C$507,"&lt;"&amp;B354,$AH$8:$AH$507,1)+SUMIFS('Cassa'!$F$8:$F$307,'Cassa'!$A$8:$A$307,"&lt;="&amp;B354,'Cassa'!$G$8:$G$307,"OK"))</x:f>
      </x:c>
      <x:c r="AO354" s="21" t="str">
        <x:f>IF(AND(ISNUMBER(Z354),ISNUMBER(AN354),AN354&gt;0),Z354/AN354,"")</x:f>
      </x:c>
      <x:c r="AP354" s="18" t="str">
        <x:f>IF(NOT(ISNUMBER(AO354)),"",IF(AO354&gt;'Impostazioni'!$B$7,"Oltre soglia personale","Nella soglia personale"))</x:f>
      </x:c>
      <x:c r="AQ354" s="18" t="str">
        <x:f>IF(A354="",IF(COUNTA(B354:V354)=0,"","Inserisci ID"),IF(COUNTIFS($A$8:$A$507,A354)&lt;&gt;1,"ID duplicato",IF(OR(NOT(ISNUMBER(B354)),D354="",E354="",F354="",G354="",H354="",COUNTIFS('Impostazioni'!$J$6:$J$25,F354)&lt;&gt;1),"Completa dati / elenchi",IF(OR(AND(I354&lt;&gt;"Lordo manuale",I354&lt;&gt;"Netto manuale",I354&lt;&gt;"Esecuzioni"),AND(J354&lt;&gt;"Aperto",J354&lt;&gt;"Chiuso",J354&lt;&gt;"Annullato")),"Modalità / stato mancanti",IF(AND(J354&lt;&gt;"Aperto",OR(NOT(ISNUMBER(C354)),C354&lt;B354)),"Correggi data chiusura",IF(OR(AND(Q354&lt;&gt;"",OR(NOT(ISNUMBER(Q354)),Q354&lt;0)),AND(R354&lt;&gt;"",OR(NOT(ISNUMBER(R354)),R354&lt;0,R354&gt;1))),"Commissione non valida",IF(J354="Annullato","OK",IF(OR(NOT(ISNUMBER(Z354)),Z354&lt;0,AND(O354&lt;&gt;"",NOT(ISNUMBER(O354)))),"Inserisci rischio",IF(AND(I354="Esecuzioni",OR(W354=0,COUNTIFS('Esecuzioni'!$A$8:$A$1007,A354,'Esecuzioni'!$Q$8:$Q$1007,"&lt;&gt;OK")&gt;0)),"Correggi esecuzioni",IF(J354="Aperto","OK",IF(AND(I354="Esecuzioni",S354="Coperto",ABS(X354-Y354)&gt;'Impostazioni'!$B$11),"Copertura residua",IF(NOT(ISNUMBER(AC354)),"Completa risultato / esito",IF(AND(Z354=0,AC354&lt;&gt;0),"Rischio nullo con P/L","OK")))))))))))))</x:f>
      </x:c>
      <x:c r="AR354" s="20" t="str">
        <x:f>IF(OR(A354="",J354&lt;&gt;"Aperto",AQ354&lt;&gt;"OK"),"",IF(I354="Esecuzioni",SUMIFS('Esecuzioni'!$P$8:$P$1007,'Esecuzioni'!$A$8:$A$1007,A354,'Esecuzioni'!$B$8:$B$1007,_xlfn.MAXIFS('Esecuzioni'!$B$8:$B$1007,'Esecuzioni'!$A$8:$A$1007,A354)),IF(LEFT(U354,8)="FREEBET:",0,Z354)))</x:f>
      </x:c>
      <x:c r="AS354" s="48" t="str">
        <x:f>IF(OR(A354="",E354=""),"",IF(COUNTIFS($E$8:E354,E354)=1,COUNT($AS$7:AS353)+1,""))</x:f>
      </x:c>
    </x:row>
    <x:row r="355" ht="22" customHeight="1">
      <x:c r="A355" s="7"/>
      <x:c r="B355" s="19"/>
      <x:c r="C355" s="19"/>
      <x:c r="D355" s="7"/>
      <x:c r="E355" s="7"/>
      <x:c r="F355" s="7"/>
      <x:c r="G355" s="7"/>
      <x:c r="H355" s="7"/>
      <x:c r="I355" s="7"/>
      <x:c r="J355" s="7"/>
      <x:c r="K355" s="10"/>
      <x:c r="L355" s="7"/>
      <x:c r="M355" s="10"/>
      <x:c r="N355" s="7"/>
      <x:c r="O355" s="8"/>
      <x:c r="P355" s="8"/>
      <x:c r="Q355" s="8"/>
      <x:c r="R355" s="9"/>
      <x:c r="S355" s="7"/>
      <x:c r="T355" s="7"/>
      <x:c r="U355" s="7"/>
      <x:c r="V355" s="7"/>
      <x:c r="W355" s="22" t="str">
        <x:f>IF(A355="","",COUNTIFS('Esecuzioni'!$A$8:$A$1007,A355,'Esecuzioni'!$Q$8:$Q$1007,"OK"))</x:f>
      </x:c>
      <x:c r="X355" s="20" t="str">
        <x:f>IF(OR(A355="",I355&lt;&gt;"Esecuzioni",W355=0),"",SUMIFS('Esecuzioni'!$L$8:$L$1007,'Esecuzioni'!$A$8:$A$1007,A355))</x:f>
      </x:c>
      <x:c r="Y355" s="20" t="str">
        <x:f>IF(OR(A355="",I355&lt;&gt;"Esecuzioni",W355=0),"",SUMIFS('Esecuzioni'!$M$8:$M$1007,'Esecuzioni'!$A$8:$A$1007,A355))</x:f>
      </x:c>
      <x:c r="Z355" s="20" t="str">
        <x:f>IF(A355="","",IF(J355="Annullato",0,IF(ISNUMBER(O355),O355,IF(AND(I355="Esecuzioni",W355&gt;0),_xlfn.MAXIFS('Esecuzioni'!$P$8:$P$1007,'Esecuzioni'!$A$8:$A$1007,A355),""))))</x:f>
      </x:c>
      <x:c r="AA355" s="20" t="str">
        <x:f>IF(OR(A355="",J355="Aperto"),"",IF(J355="Annullato",0,IF(I355="Lordo manuale",IF(ISNUMBER(P355),P355,""),IF(I355="Netto manuale",IF(AND(ISNUMBER(P355),ISNUMBER(Q355)),P355+Q355,""),IF(OR(W355=0,COUNTIFS('Esecuzioni'!$A$8:$A$1007,A355,'Esecuzioni'!$Q$8:$Q$1007,"&lt;&gt;OK")&gt;0),"",IF(S355="Vince",X355,IF(S355="Perde",Y355,IF(AND(S355="Coperto",ABS(X355-Y355)&lt;='Impostazioni'!$B$11),ROUND((X355+Y355)/2,2),""))))))))</x:f>
      </x:c>
      <x:c r="AB355" s="20" t="str">
        <x:f>IF(NOT(ISNUMBER(AA355)),"",IF(J355="Annullato",0,IF(ISNUMBER(Q355),Q355,ROUND(MAX(0,AA355)*IF(ISNUMBER(R355),R355,'Impostazioni'!$B$8),2))))</x:f>
      </x:c>
      <x:c r="AC355" s="20" t="str">
        <x:f>IF(AND(ISNUMBER(AA355),ISNUMBER(AB355)),ROUND(AA355-AB355,2),"")</x:f>
      </x:c>
      <x:c r="AD355" s="18" t="str">
        <x:f>IF(A355="","",IF(AQ355&lt;&gt;"OK","Incompleto",IF(J355="Aperto","Aperto",IF(J355="Annullato","Annullato",IF(AC355&gt;0,"Green",IF(AC355&lt;0,"Red","Flat"))))))</x:f>
      </x:c>
      <x:c r="AE355" s="21" t="str">
        <x:f>IF(AND(AH355=1,Z355&gt;0),AC355/Z355,"")</x:f>
      </x:c>
      <x:c r="AF355" s="22" t="str">
        <x:f>IF(AH355&lt;&gt;1,"",COUNTIFS($C$8:$C$507,"&lt;"&amp;C355,$AH$8:$AH$507,1)+COUNTIFS($C$8:$C$507,C355,$A$8:$A$507,"&lt;="&amp;A355,$AH$8:$AH$507,1))</x:f>
      </x:c>
      <x:c r="AG355" s="20" t="str">
        <x:f>IF(AH355&lt;&gt;1,"",SUMIFS($AC$8:$AC$507,$C$8:$C$507,"&lt;"&amp;C355,$AH$8:$AH$507,1)+SUMIFS($AC$8:$AC$507,$C$8:$C$507,C355,$A$8:$A$507,"&lt;="&amp;A355,$AH$8:$AH$507,1))</x:f>
      </x:c>
      <x:c r="AH355" s="22" t="str">
        <x:f>IF(A355="","",IF(AND(J355="Chiuso",AQ355="OK",ISNUMBER(AC355)),1,0))</x:f>
      </x:c>
      <x:c r="AI355" s="20" t="str">
        <x:f>IF(AH355&lt;&gt;1,"",MAX(0,_xlfn.MAXIFS($AG$8:$AG$507,$AF$8:$AF$507,"&lt;="&amp;AF355,$AH$8:$AH$507,1)))</x:f>
      </x:c>
      <x:c r="AJ355" s="20" t="str">
        <x:f>IF(AH355&lt;&gt;1,"",MAX(0,AI355-AG355))</x:f>
      </x:c>
      <x:c r="AK355" s="21" t="str">
        <x:f>IF(OR(AH355&lt;&gt;1,NOT(ISNUMBER('Impostazioni'!$B$6)),'Impostazioni'!$B$6+AI355&lt;=0),"",AJ355/('Impostazioni'!$B$6+AI355))</x:f>
      </x:c>
      <x:c r="AL355" s="22" t="str">
        <x:f>IF(AH355&lt;&gt;1,"",IF(AC355&gt;0,AF355-_xlfn.MAXIFS($AF$8:$AF$507,$AF$8:$AF$507,"&lt;="&amp;AF355,$AC$8:$AC$507,"&lt;=0",$AH$8:$AH$507,1),0))</x:f>
      </x:c>
      <x:c r="AM355" s="22" t="str">
        <x:f>IF(AH355&lt;&gt;1,"",IF(AC355&lt;0,AF355-_xlfn.MAXIFS($AF$8:$AF$507,$AF$8:$AF$507,"&lt;="&amp;AF355,$AC$8:$AC$507,"&gt;=0",$AH$8:$AH$507,1),0))</x:f>
      </x:c>
      <x:c r="AN355" s="20" t="str">
        <x:f>IF(OR(A355="",NOT(ISNUMBER(B355)),NOT(ISNUMBER('Impostazioni'!$B$6))),"",'Impostazioni'!$B$6+SUMIFS($AC$8:$AC$507,$C$8:$C$507,"&lt;"&amp;B355,$AH$8:$AH$507,1)+SUMIFS('Cassa'!$F$8:$F$307,'Cassa'!$A$8:$A$307,"&lt;="&amp;B355,'Cassa'!$G$8:$G$307,"OK"))</x:f>
      </x:c>
      <x:c r="AO355" s="21" t="str">
        <x:f>IF(AND(ISNUMBER(Z355),ISNUMBER(AN355),AN355&gt;0),Z355/AN355,"")</x:f>
      </x:c>
      <x:c r="AP355" s="18" t="str">
        <x:f>IF(NOT(ISNUMBER(AO355)),"",IF(AO355&gt;'Impostazioni'!$B$7,"Oltre soglia personale","Nella soglia personale"))</x:f>
      </x:c>
      <x:c r="AQ355" s="18" t="str">
        <x:f>IF(A355="",IF(COUNTA(B355:V355)=0,"","Inserisci ID"),IF(COUNTIFS($A$8:$A$507,A355)&lt;&gt;1,"ID duplicato",IF(OR(NOT(ISNUMBER(B355)),D355="",E355="",F355="",G355="",H355="",COUNTIFS('Impostazioni'!$J$6:$J$25,F355)&lt;&gt;1),"Completa dati / elenchi",IF(OR(AND(I355&lt;&gt;"Lordo manuale",I355&lt;&gt;"Netto manuale",I355&lt;&gt;"Esecuzioni"),AND(J355&lt;&gt;"Aperto",J355&lt;&gt;"Chiuso",J355&lt;&gt;"Annullato")),"Modalità / stato mancanti",IF(AND(J355&lt;&gt;"Aperto",OR(NOT(ISNUMBER(C355)),C355&lt;B355)),"Correggi data chiusura",IF(OR(AND(Q355&lt;&gt;"",OR(NOT(ISNUMBER(Q355)),Q355&lt;0)),AND(R355&lt;&gt;"",OR(NOT(ISNUMBER(R355)),R355&lt;0,R355&gt;1))),"Commissione non valida",IF(J355="Annullato","OK",IF(OR(NOT(ISNUMBER(Z355)),Z355&lt;0,AND(O355&lt;&gt;"",NOT(ISNUMBER(O355)))),"Inserisci rischio",IF(AND(I355="Esecuzioni",OR(W355=0,COUNTIFS('Esecuzioni'!$A$8:$A$1007,A355,'Esecuzioni'!$Q$8:$Q$1007,"&lt;&gt;OK")&gt;0)),"Correggi esecuzioni",IF(J355="Aperto","OK",IF(AND(I355="Esecuzioni",S355="Coperto",ABS(X355-Y355)&gt;'Impostazioni'!$B$11),"Copertura residua",IF(NOT(ISNUMBER(AC355)),"Completa risultato / esito",IF(AND(Z355=0,AC355&lt;&gt;0),"Rischio nullo con P/L","OK")))))))))))))</x:f>
      </x:c>
      <x:c r="AR355" s="20" t="str">
        <x:f>IF(OR(A355="",J355&lt;&gt;"Aperto",AQ355&lt;&gt;"OK"),"",IF(I355="Esecuzioni",SUMIFS('Esecuzioni'!$P$8:$P$1007,'Esecuzioni'!$A$8:$A$1007,A355,'Esecuzioni'!$B$8:$B$1007,_xlfn.MAXIFS('Esecuzioni'!$B$8:$B$1007,'Esecuzioni'!$A$8:$A$1007,A355)),IF(LEFT(U355,8)="FREEBET:",0,Z355)))</x:f>
      </x:c>
      <x:c r="AS355" s="48" t="str">
        <x:f>IF(OR(A355="",E355=""),"",IF(COUNTIFS($E$8:E355,E355)=1,COUNT($AS$7:AS354)+1,""))</x:f>
      </x:c>
    </x:row>
    <x:row r="356" ht="22" customHeight="1">
      <x:c r="A356" s="7"/>
      <x:c r="B356" s="19"/>
      <x:c r="C356" s="19"/>
      <x:c r="D356" s="7"/>
      <x:c r="E356" s="7"/>
      <x:c r="F356" s="7"/>
      <x:c r="G356" s="7"/>
      <x:c r="H356" s="7"/>
      <x:c r="I356" s="7"/>
      <x:c r="J356" s="7"/>
      <x:c r="K356" s="10"/>
      <x:c r="L356" s="7"/>
      <x:c r="M356" s="10"/>
      <x:c r="N356" s="7"/>
      <x:c r="O356" s="8"/>
      <x:c r="P356" s="8"/>
      <x:c r="Q356" s="8"/>
      <x:c r="R356" s="9"/>
      <x:c r="S356" s="7"/>
      <x:c r="T356" s="7"/>
      <x:c r="U356" s="7"/>
      <x:c r="V356" s="7"/>
      <x:c r="W356" s="22" t="str">
        <x:f>IF(A356="","",COUNTIFS('Esecuzioni'!$A$8:$A$1007,A356,'Esecuzioni'!$Q$8:$Q$1007,"OK"))</x:f>
      </x:c>
      <x:c r="X356" s="20" t="str">
        <x:f>IF(OR(A356="",I356&lt;&gt;"Esecuzioni",W356=0),"",SUMIFS('Esecuzioni'!$L$8:$L$1007,'Esecuzioni'!$A$8:$A$1007,A356))</x:f>
      </x:c>
      <x:c r="Y356" s="20" t="str">
        <x:f>IF(OR(A356="",I356&lt;&gt;"Esecuzioni",W356=0),"",SUMIFS('Esecuzioni'!$M$8:$M$1007,'Esecuzioni'!$A$8:$A$1007,A356))</x:f>
      </x:c>
      <x:c r="Z356" s="20" t="str">
        <x:f>IF(A356="","",IF(J356="Annullato",0,IF(ISNUMBER(O356),O356,IF(AND(I356="Esecuzioni",W356&gt;0),_xlfn.MAXIFS('Esecuzioni'!$P$8:$P$1007,'Esecuzioni'!$A$8:$A$1007,A356),""))))</x:f>
      </x:c>
      <x:c r="AA356" s="20" t="str">
        <x:f>IF(OR(A356="",J356="Aperto"),"",IF(J356="Annullato",0,IF(I356="Lordo manuale",IF(ISNUMBER(P356),P356,""),IF(I356="Netto manuale",IF(AND(ISNUMBER(P356),ISNUMBER(Q356)),P356+Q356,""),IF(OR(W356=0,COUNTIFS('Esecuzioni'!$A$8:$A$1007,A356,'Esecuzioni'!$Q$8:$Q$1007,"&lt;&gt;OK")&gt;0),"",IF(S356="Vince",X356,IF(S356="Perde",Y356,IF(AND(S356="Coperto",ABS(X356-Y356)&lt;='Impostazioni'!$B$11),ROUND((X356+Y356)/2,2),""))))))))</x:f>
      </x:c>
      <x:c r="AB356" s="20" t="str">
        <x:f>IF(NOT(ISNUMBER(AA356)),"",IF(J356="Annullato",0,IF(ISNUMBER(Q356),Q356,ROUND(MAX(0,AA356)*IF(ISNUMBER(R356),R356,'Impostazioni'!$B$8),2))))</x:f>
      </x:c>
      <x:c r="AC356" s="20" t="str">
        <x:f>IF(AND(ISNUMBER(AA356),ISNUMBER(AB356)),ROUND(AA356-AB356,2),"")</x:f>
      </x:c>
      <x:c r="AD356" s="18" t="str">
        <x:f>IF(A356="","",IF(AQ356&lt;&gt;"OK","Incompleto",IF(J356="Aperto","Aperto",IF(J356="Annullato","Annullato",IF(AC356&gt;0,"Green",IF(AC356&lt;0,"Red","Flat"))))))</x:f>
      </x:c>
      <x:c r="AE356" s="21" t="str">
        <x:f>IF(AND(AH356=1,Z356&gt;0),AC356/Z356,"")</x:f>
      </x:c>
      <x:c r="AF356" s="22" t="str">
        <x:f>IF(AH356&lt;&gt;1,"",COUNTIFS($C$8:$C$507,"&lt;"&amp;C356,$AH$8:$AH$507,1)+COUNTIFS($C$8:$C$507,C356,$A$8:$A$507,"&lt;="&amp;A356,$AH$8:$AH$507,1))</x:f>
      </x:c>
      <x:c r="AG356" s="20" t="str">
        <x:f>IF(AH356&lt;&gt;1,"",SUMIFS($AC$8:$AC$507,$C$8:$C$507,"&lt;"&amp;C356,$AH$8:$AH$507,1)+SUMIFS($AC$8:$AC$507,$C$8:$C$507,C356,$A$8:$A$507,"&lt;="&amp;A356,$AH$8:$AH$507,1))</x:f>
      </x:c>
      <x:c r="AH356" s="22" t="str">
        <x:f>IF(A356="","",IF(AND(J356="Chiuso",AQ356="OK",ISNUMBER(AC356)),1,0))</x:f>
      </x:c>
      <x:c r="AI356" s="20" t="str">
        <x:f>IF(AH356&lt;&gt;1,"",MAX(0,_xlfn.MAXIFS($AG$8:$AG$507,$AF$8:$AF$507,"&lt;="&amp;AF356,$AH$8:$AH$507,1)))</x:f>
      </x:c>
      <x:c r="AJ356" s="20" t="str">
        <x:f>IF(AH356&lt;&gt;1,"",MAX(0,AI356-AG356))</x:f>
      </x:c>
      <x:c r="AK356" s="21" t="str">
        <x:f>IF(OR(AH356&lt;&gt;1,NOT(ISNUMBER('Impostazioni'!$B$6)),'Impostazioni'!$B$6+AI356&lt;=0),"",AJ356/('Impostazioni'!$B$6+AI356))</x:f>
      </x:c>
      <x:c r="AL356" s="22" t="str">
        <x:f>IF(AH356&lt;&gt;1,"",IF(AC356&gt;0,AF356-_xlfn.MAXIFS($AF$8:$AF$507,$AF$8:$AF$507,"&lt;="&amp;AF356,$AC$8:$AC$507,"&lt;=0",$AH$8:$AH$507,1),0))</x:f>
      </x:c>
      <x:c r="AM356" s="22" t="str">
        <x:f>IF(AH356&lt;&gt;1,"",IF(AC356&lt;0,AF356-_xlfn.MAXIFS($AF$8:$AF$507,$AF$8:$AF$507,"&lt;="&amp;AF356,$AC$8:$AC$507,"&gt;=0",$AH$8:$AH$507,1),0))</x:f>
      </x:c>
      <x:c r="AN356" s="20" t="str">
        <x:f>IF(OR(A356="",NOT(ISNUMBER(B356)),NOT(ISNUMBER('Impostazioni'!$B$6))),"",'Impostazioni'!$B$6+SUMIFS($AC$8:$AC$507,$C$8:$C$507,"&lt;"&amp;B356,$AH$8:$AH$507,1)+SUMIFS('Cassa'!$F$8:$F$307,'Cassa'!$A$8:$A$307,"&lt;="&amp;B356,'Cassa'!$G$8:$G$307,"OK"))</x:f>
      </x:c>
      <x:c r="AO356" s="21" t="str">
        <x:f>IF(AND(ISNUMBER(Z356),ISNUMBER(AN356),AN356&gt;0),Z356/AN356,"")</x:f>
      </x:c>
      <x:c r="AP356" s="18" t="str">
        <x:f>IF(NOT(ISNUMBER(AO356)),"",IF(AO356&gt;'Impostazioni'!$B$7,"Oltre soglia personale","Nella soglia personale"))</x:f>
      </x:c>
      <x:c r="AQ356" s="18" t="str">
        <x:f>IF(A356="",IF(COUNTA(B356:V356)=0,"","Inserisci ID"),IF(COUNTIFS($A$8:$A$507,A356)&lt;&gt;1,"ID duplicato",IF(OR(NOT(ISNUMBER(B356)),D356="",E356="",F356="",G356="",H356="",COUNTIFS('Impostazioni'!$J$6:$J$25,F356)&lt;&gt;1),"Completa dati / elenchi",IF(OR(AND(I356&lt;&gt;"Lordo manuale",I356&lt;&gt;"Netto manuale",I356&lt;&gt;"Esecuzioni"),AND(J356&lt;&gt;"Aperto",J356&lt;&gt;"Chiuso",J356&lt;&gt;"Annullato")),"Modalità / stato mancanti",IF(AND(J356&lt;&gt;"Aperto",OR(NOT(ISNUMBER(C356)),C356&lt;B356)),"Correggi data chiusura",IF(OR(AND(Q356&lt;&gt;"",OR(NOT(ISNUMBER(Q356)),Q356&lt;0)),AND(R356&lt;&gt;"",OR(NOT(ISNUMBER(R356)),R356&lt;0,R356&gt;1))),"Commissione non valida",IF(J356="Annullato","OK",IF(OR(NOT(ISNUMBER(Z356)),Z356&lt;0,AND(O356&lt;&gt;"",NOT(ISNUMBER(O356)))),"Inserisci rischio",IF(AND(I356="Esecuzioni",OR(W356=0,COUNTIFS('Esecuzioni'!$A$8:$A$1007,A356,'Esecuzioni'!$Q$8:$Q$1007,"&lt;&gt;OK")&gt;0)),"Correggi esecuzioni",IF(J356="Aperto","OK",IF(AND(I356="Esecuzioni",S356="Coperto",ABS(X356-Y356)&gt;'Impostazioni'!$B$11),"Copertura residua",IF(NOT(ISNUMBER(AC356)),"Completa risultato / esito",IF(AND(Z356=0,AC356&lt;&gt;0),"Rischio nullo con P/L","OK")))))))))))))</x:f>
      </x:c>
      <x:c r="AR356" s="20" t="str">
        <x:f>IF(OR(A356="",J356&lt;&gt;"Aperto",AQ356&lt;&gt;"OK"),"",IF(I356="Esecuzioni",SUMIFS('Esecuzioni'!$P$8:$P$1007,'Esecuzioni'!$A$8:$A$1007,A356,'Esecuzioni'!$B$8:$B$1007,_xlfn.MAXIFS('Esecuzioni'!$B$8:$B$1007,'Esecuzioni'!$A$8:$A$1007,A356)),IF(LEFT(U356,8)="FREEBET:",0,Z356)))</x:f>
      </x:c>
      <x:c r="AS356" s="48" t="str">
        <x:f>IF(OR(A356="",E356=""),"",IF(COUNTIFS($E$8:E356,E356)=1,COUNT($AS$7:AS355)+1,""))</x:f>
      </x:c>
    </x:row>
    <x:row r="357" ht="22" customHeight="1">
      <x:c r="A357" s="7"/>
      <x:c r="B357" s="19"/>
      <x:c r="C357" s="19"/>
      <x:c r="D357" s="7"/>
      <x:c r="E357" s="7"/>
      <x:c r="F357" s="7"/>
      <x:c r="G357" s="7"/>
      <x:c r="H357" s="7"/>
      <x:c r="I357" s="7"/>
      <x:c r="J357" s="7"/>
      <x:c r="K357" s="10"/>
      <x:c r="L357" s="7"/>
      <x:c r="M357" s="10"/>
      <x:c r="N357" s="7"/>
      <x:c r="O357" s="8"/>
      <x:c r="P357" s="8"/>
      <x:c r="Q357" s="8"/>
      <x:c r="R357" s="9"/>
      <x:c r="S357" s="7"/>
      <x:c r="T357" s="7"/>
      <x:c r="U357" s="7"/>
      <x:c r="V357" s="7"/>
      <x:c r="W357" s="22" t="str">
        <x:f>IF(A357="","",COUNTIFS('Esecuzioni'!$A$8:$A$1007,A357,'Esecuzioni'!$Q$8:$Q$1007,"OK"))</x:f>
      </x:c>
      <x:c r="X357" s="20" t="str">
        <x:f>IF(OR(A357="",I357&lt;&gt;"Esecuzioni",W357=0),"",SUMIFS('Esecuzioni'!$L$8:$L$1007,'Esecuzioni'!$A$8:$A$1007,A357))</x:f>
      </x:c>
      <x:c r="Y357" s="20" t="str">
        <x:f>IF(OR(A357="",I357&lt;&gt;"Esecuzioni",W357=0),"",SUMIFS('Esecuzioni'!$M$8:$M$1007,'Esecuzioni'!$A$8:$A$1007,A357))</x:f>
      </x:c>
      <x:c r="Z357" s="20" t="str">
        <x:f>IF(A357="","",IF(J357="Annullato",0,IF(ISNUMBER(O357),O357,IF(AND(I357="Esecuzioni",W357&gt;0),_xlfn.MAXIFS('Esecuzioni'!$P$8:$P$1007,'Esecuzioni'!$A$8:$A$1007,A357),""))))</x:f>
      </x:c>
      <x:c r="AA357" s="20" t="str">
        <x:f>IF(OR(A357="",J357="Aperto"),"",IF(J357="Annullato",0,IF(I357="Lordo manuale",IF(ISNUMBER(P357),P357,""),IF(I357="Netto manuale",IF(AND(ISNUMBER(P357),ISNUMBER(Q357)),P357+Q357,""),IF(OR(W357=0,COUNTIFS('Esecuzioni'!$A$8:$A$1007,A357,'Esecuzioni'!$Q$8:$Q$1007,"&lt;&gt;OK")&gt;0),"",IF(S357="Vince",X357,IF(S357="Perde",Y357,IF(AND(S357="Coperto",ABS(X357-Y357)&lt;='Impostazioni'!$B$11),ROUND((X357+Y357)/2,2),""))))))))</x:f>
      </x:c>
      <x:c r="AB357" s="20" t="str">
        <x:f>IF(NOT(ISNUMBER(AA357)),"",IF(J357="Annullato",0,IF(ISNUMBER(Q357),Q357,ROUND(MAX(0,AA357)*IF(ISNUMBER(R357),R357,'Impostazioni'!$B$8),2))))</x:f>
      </x:c>
      <x:c r="AC357" s="20" t="str">
        <x:f>IF(AND(ISNUMBER(AA357),ISNUMBER(AB357)),ROUND(AA357-AB357,2),"")</x:f>
      </x:c>
      <x:c r="AD357" s="18" t="str">
        <x:f>IF(A357="","",IF(AQ357&lt;&gt;"OK","Incompleto",IF(J357="Aperto","Aperto",IF(J357="Annullato","Annullato",IF(AC357&gt;0,"Green",IF(AC357&lt;0,"Red","Flat"))))))</x:f>
      </x:c>
      <x:c r="AE357" s="21" t="str">
        <x:f>IF(AND(AH357=1,Z357&gt;0),AC357/Z357,"")</x:f>
      </x:c>
      <x:c r="AF357" s="22" t="str">
        <x:f>IF(AH357&lt;&gt;1,"",COUNTIFS($C$8:$C$507,"&lt;"&amp;C357,$AH$8:$AH$507,1)+COUNTIFS($C$8:$C$507,C357,$A$8:$A$507,"&lt;="&amp;A357,$AH$8:$AH$507,1))</x:f>
      </x:c>
      <x:c r="AG357" s="20" t="str">
        <x:f>IF(AH357&lt;&gt;1,"",SUMIFS($AC$8:$AC$507,$C$8:$C$507,"&lt;"&amp;C357,$AH$8:$AH$507,1)+SUMIFS($AC$8:$AC$507,$C$8:$C$507,C357,$A$8:$A$507,"&lt;="&amp;A357,$AH$8:$AH$507,1))</x:f>
      </x:c>
      <x:c r="AH357" s="22" t="str">
        <x:f>IF(A357="","",IF(AND(J357="Chiuso",AQ357="OK",ISNUMBER(AC357)),1,0))</x:f>
      </x:c>
      <x:c r="AI357" s="20" t="str">
        <x:f>IF(AH357&lt;&gt;1,"",MAX(0,_xlfn.MAXIFS($AG$8:$AG$507,$AF$8:$AF$507,"&lt;="&amp;AF357,$AH$8:$AH$507,1)))</x:f>
      </x:c>
      <x:c r="AJ357" s="20" t="str">
        <x:f>IF(AH357&lt;&gt;1,"",MAX(0,AI357-AG357))</x:f>
      </x:c>
      <x:c r="AK357" s="21" t="str">
        <x:f>IF(OR(AH357&lt;&gt;1,NOT(ISNUMBER('Impostazioni'!$B$6)),'Impostazioni'!$B$6+AI357&lt;=0),"",AJ357/('Impostazioni'!$B$6+AI357))</x:f>
      </x:c>
      <x:c r="AL357" s="22" t="str">
        <x:f>IF(AH357&lt;&gt;1,"",IF(AC357&gt;0,AF357-_xlfn.MAXIFS($AF$8:$AF$507,$AF$8:$AF$507,"&lt;="&amp;AF357,$AC$8:$AC$507,"&lt;=0",$AH$8:$AH$507,1),0))</x:f>
      </x:c>
      <x:c r="AM357" s="22" t="str">
        <x:f>IF(AH357&lt;&gt;1,"",IF(AC357&lt;0,AF357-_xlfn.MAXIFS($AF$8:$AF$507,$AF$8:$AF$507,"&lt;="&amp;AF357,$AC$8:$AC$507,"&gt;=0",$AH$8:$AH$507,1),0))</x:f>
      </x:c>
      <x:c r="AN357" s="20" t="str">
        <x:f>IF(OR(A357="",NOT(ISNUMBER(B357)),NOT(ISNUMBER('Impostazioni'!$B$6))),"",'Impostazioni'!$B$6+SUMIFS($AC$8:$AC$507,$C$8:$C$507,"&lt;"&amp;B357,$AH$8:$AH$507,1)+SUMIFS('Cassa'!$F$8:$F$307,'Cassa'!$A$8:$A$307,"&lt;="&amp;B357,'Cassa'!$G$8:$G$307,"OK"))</x:f>
      </x:c>
      <x:c r="AO357" s="21" t="str">
        <x:f>IF(AND(ISNUMBER(Z357),ISNUMBER(AN357),AN357&gt;0),Z357/AN357,"")</x:f>
      </x:c>
      <x:c r="AP357" s="18" t="str">
        <x:f>IF(NOT(ISNUMBER(AO357)),"",IF(AO357&gt;'Impostazioni'!$B$7,"Oltre soglia personale","Nella soglia personale"))</x:f>
      </x:c>
      <x:c r="AQ357" s="18" t="str">
        <x:f>IF(A357="",IF(COUNTA(B357:V357)=0,"","Inserisci ID"),IF(COUNTIFS($A$8:$A$507,A357)&lt;&gt;1,"ID duplicato",IF(OR(NOT(ISNUMBER(B357)),D357="",E357="",F357="",G357="",H357="",COUNTIFS('Impostazioni'!$J$6:$J$25,F357)&lt;&gt;1),"Completa dati / elenchi",IF(OR(AND(I357&lt;&gt;"Lordo manuale",I357&lt;&gt;"Netto manuale",I357&lt;&gt;"Esecuzioni"),AND(J357&lt;&gt;"Aperto",J357&lt;&gt;"Chiuso",J357&lt;&gt;"Annullato")),"Modalità / stato mancanti",IF(AND(J357&lt;&gt;"Aperto",OR(NOT(ISNUMBER(C357)),C357&lt;B357)),"Correggi data chiusura",IF(OR(AND(Q357&lt;&gt;"",OR(NOT(ISNUMBER(Q357)),Q357&lt;0)),AND(R357&lt;&gt;"",OR(NOT(ISNUMBER(R357)),R357&lt;0,R357&gt;1))),"Commissione non valida",IF(J357="Annullato","OK",IF(OR(NOT(ISNUMBER(Z357)),Z357&lt;0,AND(O357&lt;&gt;"",NOT(ISNUMBER(O357)))),"Inserisci rischio",IF(AND(I357="Esecuzioni",OR(W357=0,COUNTIFS('Esecuzioni'!$A$8:$A$1007,A357,'Esecuzioni'!$Q$8:$Q$1007,"&lt;&gt;OK")&gt;0)),"Correggi esecuzioni",IF(J357="Aperto","OK",IF(AND(I357="Esecuzioni",S357="Coperto",ABS(X357-Y357)&gt;'Impostazioni'!$B$11),"Copertura residua",IF(NOT(ISNUMBER(AC357)),"Completa risultato / esito",IF(AND(Z357=0,AC357&lt;&gt;0),"Rischio nullo con P/L","OK")))))))))))))</x:f>
      </x:c>
      <x:c r="AR357" s="20" t="str">
        <x:f>IF(OR(A357="",J357&lt;&gt;"Aperto",AQ357&lt;&gt;"OK"),"",IF(I357="Esecuzioni",SUMIFS('Esecuzioni'!$P$8:$P$1007,'Esecuzioni'!$A$8:$A$1007,A357,'Esecuzioni'!$B$8:$B$1007,_xlfn.MAXIFS('Esecuzioni'!$B$8:$B$1007,'Esecuzioni'!$A$8:$A$1007,A357)),IF(LEFT(U357,8)="FREEBET:",0,Z357)))</x:f>
      </x:c>
      <x:c r="AS357" s="48" t="str">
        <x:f>IF(OR(A357="",E357=""),"",IF(COUNTIFS($E$8:E357,E357)=1,COUNT($AS$7:AS356)+1,""))</x:f>
      </x:c>
    </x:row>
    <x:row r="358" ht="22" customHeight="1">
      <x:c r="A358" s="7"/>
      <x:c r="B358" s="19"/>
      <x:c r="C358" s="19"/>
      <x:c r="D358" s="7"/>
      <x:c r="E358" s="7"/>
      <x:c r="F358" s="7"/>
      <x:c r="G358" s="7"/>
      <x:c r="H358" s="7"/>
      <x:c r="I358" s="7"/>
      <x:c r="J358" s="7"/>
      <x:c r="K358" s="10"/>
      <x:c r="L358" s="7"/>
      <x:c r="M358" s="10"/>
      <x:c r="N358" s="7"/>
      <x:c r="O358" s="8"/>
      <x:c r="P358" s="8"/>
      <x:c r="Q358" s="8"/>
      <x:c r="R358" s="9"/>
      <x:c r="S358" s="7"/>
      <x:c r="T358" s="7"/>
      <x:c r="U358" s="7"/>
      <x:c r="V358" s="7"/>
      <x:c r="W358" s="22" t="str">
        <x:f>IF(A358="","",COUNTIFS('Esecuzioni'!$A$8:$A$1007,A358,'Esecuzioni'!$Q$8:$Q$1007,"OK"))</x:f>
      </x:c>
      <x:c r="X358" s="20" t="str">
        <x:f>IF(OR(A358="",I358&lt;&gt;"Esecuzioni",W358=0),"",SUMIFS('Esecuzioni'!$L$8:$L$1007,'Esecuzioni'!$A$8:$A$1007,A358))</x:f>
      </x:c>
      <x:c r="Y358" s="20" t="str">
        <x:f>IF(OR(A358="",I358&lt;&gt;"Esecuzioni",W358=0),"",SUMIFS('Esecuzioni'!$M$8:$M$1007,'Esecuzioni'!$A$8:$A$1007,A358))</x:f>
      </x:c>
      <x:c r="Z358" s="20" t="str">
        <x:f>IF(A358="","",IF(J358="Annullato",0,IF(ISNUMBER(O358),O358,IF(AND(I358="Esecuzioni",W358&gt;0),_xlfn.MAXIFS('Esecuzioni'!$P$8:$P$1007,'Esecuzioni'!$A$8:$A$1007,A358),""))))</x:f>
      </x:c>
      <x:c r="AA358" s="20" t="str">
        <x:f>IF(OR(A358="",J358="Aperto"),"",IF(J358="Annullato",0,IF(I358="Lordo manuale",IF(ISNUMBER(P358),P358,""),IF(I358="Netto manuale",IF(AND(ISNUMBER(P358),ISNUMBER(Q358)),P358+Q358,""),IF(OR(W358=0,COUNTIFS('Esecuzioni'!$A$8:$A$1007,A358,'Esecuzioni'!$Q$8:$Q$1007,"&lt;&gt;OK")&gt;0),"",IF(S358="Vince",X358,IF(S358="Perde",Y358,IF(AND(S358="Coperto",ABS(X358-Y358)&lt;='Impostazioni'!$B$11),ROUND((X358+Y358)/2,2),""))))))))</x:f>
      </x:c>
      <x:c r="AB358" s="20" t="str">
        <x:f>IF(NOT(ISNUMBER(AA358)),"",IF(J358="Annullato",0,IF(ISNUMBER(Q358),Q358,ROUND(MAX(0,AA358)*IF(ISNUMBER(R358),R358,'Impostazioni'!$B$8),2))))</x:f>
      </x:c>
      <x:c r="AC358" s="20" t="str">
        <x:f>IF(AND(ISNUMBER(AA358),ISNUMBER(AB358)),ROUND(AA358-AB358,2),"")</x:f>
      </x:c>
      <x:c r="AD358" s="18" t="str">
        <x:f>IF(A358="","",IF(AQ358&lt;&gt;"OK","Incompleto",IF(J358="Aperto","Aperto",IF(J358="Annullato","Annullato",IF(AC358&gt;0,"Green",IF(AC358&lt;0,"Red","Flat"))))))</x:f>
      </x:c>
      <x:c r="AE358" s="21" t="str">
        <x:f>IF(AND(AH358=1,Z358&gt;0),AC358/Z358,"")</x:f>
      </x:c>
      <x:c r="AF358" s="22" t="str">
        <x:f>IF(AH358&lt;&gt;1,"",COUNTIFS($C$8:$C$507,"&lt;"&amp;C358,$AH$8:$AH$507,1)+COUNTIFS($C$8:$C$507,C358,$A$8:$A$507,"&lt;="&amp;A358,$AH$8:$AH$507,1))</x:f>
      </x:c>
      <x:c r="AG358" s="20" t="str">
        <x:f>IF(AH358&lt;&gt;1,"",SUMIFS($AC$8:$AC$507,$C$8:$C$507,"&lt;"&amp;C358,$AH$8:$AH$507,1)+SUMIFS($AC$8:$AC$507,$C$8:$C$507,C358,$A$8:$A$507,"&lt;="&amp;A358,$AH$8:$AH$507,1))</x:f>
      </x:c>
      <x:c r="AH358" s="22" t="str">
        <x:f>IF(A358="","",IF(AND(J358="Chiuso",AQ358="OK",ISNUMBER(AC358)),1,0))</x:f>
      </x:c>
      <x:c r="AI358" s="20" t="str">
        <x:f>IF(AH358&lt;&gt;1,"",MAX(0,_xlfn.MAXIFS($AG$8:$AG$507,$AF$8:$AF$507,"&lt;="&amp;AF358,$AH$8:$AH$507,1)))</x:f>
      </x:c>
      <x:c r="AJ358" s="20" t="str">
        <x:f>IF(AH358&lt;&gt;1,"",MAX(0,AI358-AG358))</x:f>
      </x:c>
      <x:c r="AK358" s="21" t="str">
        <x:f>IF(OR(AH358&lt;&gt;1,NOT(ISNUMBER('Impostazioni'!$B$6)),'Impostazioni'!$B$6+AI358&lt;=0),"",AJ358/('Impostazioni'!$B$6+AI358))</x:f>
      </x:c>
      <x:c r="AL358" s="22" t="str">
        <x:f>IF(AH358&lt;&gt;1,"",IF(AC358&gt;0,AF358-_xlfn.MAXIFS($AF$8:$AF$507,$AF$8:$AF$507,"&lt;="&amp;AF358,$AC$8:$AC$507,"&lt;=0",$AH$8:$AH$507,1),0))</x:f>
      </x:c>
      <x:c r="AM358" s="22" t="str">
        <x:f>IF(AH358&lt;&gt;1,"",IF(AC358&lt;0,AF358-_xlfn.MAXIFS($AF$8:$AF$507,$AF$8:$AF$507,"&lt;="&amp;AF358,$AC$8:$AC$507,"&gt;=0",$AH$8:$AH$507,1),0))</x:f>
      </x:c>
      <x:c r="AN358" s="20" t="str">
        <x:f>IF(OR(A358="",NOT(ISNUMBER(B358)),NOT(ISNUMBER('Impostazioni'!$B$6))),"",'Impostazioni'!$B$6+SUMIFS($AC$8:$AC$507,$C$8:$C$507,"&lt;"&amp;B358,$AH$8:$AH$507,1)+SUMIFS('Cassa'!$F$8:$F$307,'Cassa'!$A$8:$A$307,"&lt;="&amp;B358,'Cassa'!$G$8:$G$307,"OK"))</x:f>
      </x:c>
      <x:c r="AO358" s="21" t="str">
        <x:f>IF(AND(ISNUMBER(Z358),ISNUMBER(AN358),AN358&gt;0),Z358/AN358,"")</x:f>
      </x:c>
      <x:c r="AP358" s="18" t="str">
        <x:f>IF(NOT(ISNUMBER(AO358)),"",IF(AO358&gt;'Impostazioni'!$B$7,"Oltre soglia personale","Nella soglia personale"))</x:f>
      </x:c>
      <x:c r="AQ358" s="18" t="str">
        <x:f>IF(A358="",IF(COUNTA(B358:V358)=0,"","Inserisci ID"),IF(COUNTIFS($A$8:$A$507,A358)&lt;&gt;1,"ID duplicato",IF(OR(NOT(ISNUMBER(B358)),D358="",E358="",F358="",G358="",H358="",COUNTIFS('Impostazioni'!$J$6:$J$25,F358)&lt;&gt;1),"Completa dati / elenchi",IF(OR(AND(I358&lt;&gt;"Lordo manuale",I358&lt;&gt;"Netto manuale",I358&lt;&gt;"Esecuzioni"),AND(J358&lt;&gt;"Aperto",J358&lt;&gt;"Chiuso",J358&lt;&gt;"Annullato")),"Modalità / stato mancanti",IF(AND(J358&lt;&gt;"Aperto",OR(NOT(ISNUMBER(C358)),C358&lt;B358)),"Correggi data chiusura",IF(OR(AND(Q358&lt;&gt;"",OR(NOT(ISNUMBER(Q358)),Q358&lt;0)),AND(R358&lt;&gt;"",OR(NOT(ISNUMBER(R358)),R358&lt;0,R358&gt;1))),"Commissione non valida",IF(J358="Annullato","OK",IF(OR(NOT(ISNUMBER(Z358)),Z358&lt;0,AND(O358&lt;&gt;"",NOT(ISNUMBER(O358)))),"Inserisci rischio",IF(AND(I358="Esecuzioni",OR(W358=0,COUNTIFS('Esecuzioni'!$A$8:$A$1007,A358,'Esecuzioni'!$Q$8:$Q$1007,"&lt;&gt;OK")&gt;0)),"Correggi esecuzioni",IF(J358="Aperto","OK",IF(AND(I358="Esecuzioni",S358="Coperto",ABS(X358-Y358)&gt;'Impostazioni'!$B$11),"Copertura residua",IF(NOT(ISNUMBER(AC358)),"Completa risultato / esito",IF(AND(Z358=0,AC358&lt;&gt;0),"Rischio nullo con P/L","OK")))))))))))))</x:f>
      </x:c>
      <x:c r="AR358" s="20" t="str">
        <x:f>IF(OR(A358="",J358&lt;&gt;"Aperto",AQ358&lt;&gt;"OK"),"",IF(I358="Esecuzioni",SUMIFS('Esecuzioni'!$P$8:$P$1007,'Esecuzioni'!$A$8:$A$1007,A358,'Esecuzioni'!$B$8:$B$1007,_xlfn.MAXIFS('Esecuzioni'!$B$8:$B$1007,'Esecuzioni'!$A$8:$A$1007,A358)),IF(LEFT(U358,8)="FREEBET:",0,Z358)))</x:f>
      </x:c>
      <x:c r="AS358" s="48" t="str">
        <x:f>IF(OR(A358="",E358=""),"",IF(COUNTIFS($E$8:E358,E358)=1,COUNT($AS$7:AS357)+1,""))</x:f>
      </x:c>
    </x:row>
    <x:row r="359" ht="22" customHeight="1">
      <x:c r="A359" s="7"/>
      <x:c r="B359" s="19"/>
      <x:c r="C359" s="19"/>
      <x:c r="D359" s="7"/>
      <x:c r="E359" s="7"/>
      <x:c r="F359" s="7"/>
      <x:c r="G359" s="7"/>
      <x:c r="H359" s="7"/>
      <x:c r="I359" s="7"/>
      <x:c r="J359" s="7"/>
      <x:c r="K359" s="10"/>
      <x:c r="L359" s="7"/>
      <x:c r="M359" s="10"/>
      <x:c r="N359" s="7"/>
      <x:c r="O359" s="8"/>
      <x:c r="P359" s="8"/>
      <x:c r="Q359" s="8"/>
      <x:c r="R359" s="9"/>
      <x:c r="S359" s="7"/>
      <x:c r="T359" s="7"/>
      <x:c r="U359" s="7"/>
      <x:c r="V359" s="7"/>
      <x:c r="W359" s="22" t="str">
        <x:f>IF(A359="","",COUNTIFS('Esecuzioni'!$A$8:$A$1007,A359,'Esecuzioni'!$Q$8:$Q$1007,"OK"))</x:f>
      </x:c>
      <x:c r="X359" s="20" t="str">
        <x:f>IF(OR(A359="",I359&lt;&gt;"Esecuzioni",W359=0),"",SUMIFS('Esecuzioni'!$L$8:$L$1007,'Esecuzioni'!$A$8:$A$1007,A359))</x:f>
      </x:c>
      <x:c r="Y359" s="20" t="str">
        <x:f>IF(OR(A359="",I359&lt;&gt;"Esecuzioni",W359=0),"",SUMIFS('Esecuzioni'!$M$8:$M$1007,'Esecuzioni'!$A$8:$A$1007,A359))</x:f>
      </x:c>
      <x:c r="Z359" s="20" t="str">
        <x:f>IF(A359="","",IF(J359="Annullato",0,IF(ISNUMBER(O359),O359,IF(AND(I359="Esecuzioni",W359&gt;0),_xlfn.MAXIFS('Esecuzioni'!$P$8:$P$1007,'Esecuzioni'!$A$8:$A$1007,A359),""))))</x:f>
      </x:c>
      <x:c r="AA359" s="20" t="str">
        <x:f>IF(OR(A359="",J359="Aperto"),"",IF(J359="Annullato",0,IF(I359="Lordo manuale",IF(ISNUMBER(P359),P359,""),IF(I359="Netto manuale",IF(AND(ISNUMBER(P359),ISNUMBER(Q359)),P359+Q359,""),IF(OR(W359=0,COUNTIFS('Esecuzioni'!$A$8:$A$1007,A359,'Esecuzioni'!$Q$8:$Q$1007,"&lt;&gt;OK")&gt;0),"",IF(S359="Vince",X359,IF(S359="Perde",Y359,IF(AND(S359="Coperto",ABS(X359-Y359)&lt;='Impostazioni'!$B$11),ROUND((X359+Y359)/2,2),""))))))))</x:f>
      </x:c>
      <x:c r="AB359" s="20" t="str">
        <x:f>IF(NOT(ISNUMBER(AA359)),"",IF(J359="Annullato",0,IF(ISNUMBER(Q359),Q359,ROUND(MAX(0,AA359)*IF(ISNUMBER(R359),R359,'Impostazioni'!$B$8),2))))</x:f>
      </x:c>
      <x:c r="AC359" s="20" t="str">
        <x:f>IF(AND(ISNUMBER(AA359),ISNUMBER(AB359)),ROUND(AA359-AB359,2),"")</x:f>
      </x:c>
      <x:c r="AD359" s="18" t="str">
        <x:f>IF(A359="","",IF(AQ359&lt;&gt;"OK","Incompleto",IF(J359="Aperto","Aperto",IF(J359="Annullato","Annullato",IF(AC359&gt;0,"Green",IF(AC359&lt;0,"Red","Flat"))))))</x:f>
      </x:c>
      <x:c r="AE359" s="21" t="str">
        <x:f>IF(AND(AH359=1,Z359&gt;0),AC359/Z359,"")</x:f>
      </x:c>
      <x:c r="AF359" s="22" t="str">
        <x:f>IF(AH359&lt;&gt;1,"",COUNTIFS($C$8:$C$507,"&lt;"&amp;C359,$AH$8:$AH$507,1)+COUNTIFS($C$8:$C$507,C359,$A$8:$A$507,"&lt;="&amp;A359,$AH$8:$AH$507,1))</x:f>
      </x:c>
      <x:c r="AG359" s="20" t="str">
        <x:f>IF(AH359&lt;&gt;1,"",SUMIFS($AC$8:$AC$507,$C$8:$C$507,"&lt;"&amp;C359,$AH$8:$AH$507,1)+SUMIFS($AC$8:$AC$507,$C$8:$C$507,C359,$A$8:$A$507,"&lt;="&amp;A359,$AH$8:$AH$507,1))</x:f>
      </x:c>
      <x:c r="AH359" s="22" t="str">
        <x:f>IF(A359="","",IF(AND(J359="Chiuso",AQ359="OK",ISNUMBER(AC359)),1,0))</x:f>
      </x:c>
      <x:c r="AI359" s="20" t="str">
        <x:f>IF(AH359&lt;&gt;1,"",MAX(0,_xlfn.MAXIFS($AG$8:$AG$507,$AF$8:$AF$507,"&lt;="&amp;AF359,$AH$8:$AH$507,1)))</x:f>
      </x:c>
      <x:c r="AJ359" s="20" t="str">
        <x:f>IF(AH359&lt;&gt;1,"",MAX(0,AI359-AG359))</x:f>
      </x:c>
      <x:c r="AK359" s="21" t="str">
        <x:f>IF(OR(AH359&lt;&gt;1,NOT(ISNUMBER('Impostazioni'!$B$6)),'Impostazioni'!$B$6+AI359&lt;=0),"",AJ359/('Impostazioni'!$B$6+AI359))</x:f>
      </x:c>
      <x:c r="AL359" s="22" t="str">
        <x:f>IF(AH359&lt;&gt;1,"",IF(AC359&gt;0,AF359-_xlfn.MAXIFS($AF$8:$AF$507,$AF$8:$AF$507,"&lt;="&amp;AF359,$AC$8:$AC$507,"&lt;=0",$AH$8:$AH$507,1),0))</x:f>
      </x:c>
      <x:c r="AM359" s="22" t="str">
        <x:f>IF(AH359&lt;&gt;1,"",IF(AC359&lt;0,AF359-_xlfn.MAXIFS($AF$8:$AF$507,$AF$8:$AF$507,"&lt;="&amp;AF359,$AC$8:$AC$507,"&gt;=0",$AH$8:$AH$507,1),0))</x:f>
      </x:c>
      <x:c r="AN359" s="20" t="str">
        <x:f>IF(OR(A359="",NOT(ISNUMBER(B359)),NOT(ISNUMBER('Impostazioni'!$B$6))),"",'Impostazioni'!$B$6+SUMIFS($AC$8:$AC$507,$C$8:$C$507,"&lt;"&amp;B359,$AH$8:$AH$507,1)+SUMIFS('Cassa'!$F$8:$F$307,'Cassa'!$A$8:$A$307,"&lt;="&amp;B359,'Cassa'!$G$8:$G$307,"OK"))</x:f>
      </x:c>
      <x:c r="AO359" s="21" t="str">
        <x:f>IF(AND(ISNUMBER(Z359),ISNUMBER(AN359),AN359&gt;0),Z359/AN359,"")</x:f>
      </x:c>
      <x:c r="AP359" s="18" t="str">
        <x:f>IF(NOT(ISNUMBER(AO359)),"",IF(AO359&gt;'Impostazioni'!$B$7,"Oltre soglia personale","Nella soglia personale"))</x:f>
      </x:c>
      <x:c r="AQ359" s="18" t="str">
        <x:f>IF(A359="",IF(COUNTA(B359:V359)=0,"","Inserisci ID"),IF(COUNTIFS($A$8:$A$507,A359)&lt;&gt;1,"ID duplicato",IF(OR(NOT(ISNUMBER(B359)),D359="",E359="",F359="",G359="",H359="",COUNTIFS('Impostazioni'!$J$6:$J$25,F359)&lt;&gt;1),"Completa dati / elenchi",IF(OR(AND(I359&lt;&gt;"Lordo manuale",I359&lt;&gt;"Netto manuale",I359&lt;&gt;"Esecuzioni"),AND(J359&lt;&gt;"Aperto",J359&lt;&gt;"Chiuso",J359&lt;&gt;"Annullato")),"Modalità / stato mancanti",IF(AND(J359&lt;&gt;"Aperto",OR(NOT(ISNUMBER(C359)),C359&lt;B359)),"Correggi data chiusura",IF(OR(AND(Q359&lt;&gt;"",OR(NOT(ISNUMBER(Q359)),Q359&lt;0)),AND(R359&lt;&gt;"",OR(NOT(ISNUMBER(R359)),R359&lt;0,R359&gt;1))),"Commissione non valida",IF(J359="Annullato","OK",IF(OR(NOT(ISNUMBER(Z359)),Z359&lt;0,AND(O359&lt;&gt;"",NOT(ISNUMBER(O359)))),"Inserisci rischio",IF(AND(I359="Esecuzioni",OR(W359=0,COUNTIFS('Esecuzioni'!$A$8:$A$1007,A359,'Esecuzioni'!$Q$8:$Q$1007,"&lt;&gt;OK")&gt;0)),"Correggi esecuzioni",IF(J359="Aperto","OK",IF(AND(I359="Esecuzioni",S359="Coperto",ABS(X359-Y359)&gt;'Impostazioni'!$B$11),"Copertura residua",IF(NOT(ISNUMBER(AC359)),"Completa risultato / esito",IF(AND(Z359=0,AC359&lt;&gt;0),"Rischio nullo con P/L","OK")))))))))))))</x:f>
      </x:c>
      <x:c r="AR359" s="20" t="str">
        <x:f>IF(OR(A359="",J359&lt;&gt;"Aperto",AQ359&lt;&gt;"OK"),"",IF(I359="Esecuzioni",SUMIFS('Esecuzioni'!$P$8:$P$1007,'Esecuzioni'!$A$8:$A$1007,A359,'Esecuzioni'!$B$8:$B$1007,_xlfn.MAXIFS('Esecuzioni'!$B$8:$B$1007,'Esecuzioni'!$A$8:$A$1007,A359)),IF(LEFT(U359,8)="FREEBET:",0,Z359)))</x:f>
      </x:c>
      <x:c r="AS359" s="48" t="str">
        <x:f>IF(OR(A359="",E359=""),"",IF(COUNTIFS($E$8:E359,E359)=1,COUNT($AS$7:AS358)+1,""))</x:f>
      </x:c>
    </x:row>
    <x:row r="360" ht="22" customHeight="1">
      <x:c r="A360" s="7"/>
      <x:c r="B360" s="19"/>
      <x:c r="C360" s="19"/>
      <x:c r="D360" s="7"/>
      <x:c r="E360" s="7"/>
      <x:c r="F360" s="7"/>
      <x:c r="G360" s="7"/>
      <x:c r="H360" s="7"/>
      <x:c r="I360" s="7"/>
      <x:c r="J360" s="7"/>
      <x:c r="K360" s="10"/>
      <x:c r="L360" s="7"/>
      <x:c r="M360" s="10"/>
      <x:c r="N360" s="7"/>
      <x:c r="O360" s="8"/>
      <x:c r="P360" s="8"/>
      <x:c r="Q360" s="8"/>
      <x:c r="R360" s="9"/>
      <x:c r="S360" s="7"/>
      <x:c r="T360" s="7"/>
      <x:c r="U360" s="7"/>
      <x:c r="V360" s="7"/>
      <x:c r="W360" s="22" t="str">
        <x:f>IF(A360="","",COUNTIFS('Esecuzioni'!$A$8:$A$1007,A360,'Esecuzioni'!$Q$8:$Q$1007,"OK"))</x:f>
      </x:c>
      <x:c r="X360" s="20" t="str">
        <x:f>IF(OR(A360="",I360&lt;&gt;"Esecuzioni",W360=0),"",SUMIFS('Esecuzioni'!$L$8:$L$1007,'Esecuzioni'!$A$8:$A$1007,A360))</x:f>
      </x:c>
      <x:c r="Y360" s="20" t="str">
        <x:f>IF(OR(A360="",I360&lt;&gt;"Esecuzioni",W360=0),"",SUMIFS('Esecuzioni'!$M$8:$M$1007,'Esecuzioni'!$A$8:$A$1007,A360))</x:f>
      </x:c>
      <x:c r="Z360" s="20" t="str">
        <x:f>IF(A360="","",IF(J360="Annullato",0,IF(ISNUMBER(O360),O360,IF(AND(I360="Esecuzioni",W360&gt;0),_xlfn.MAXIFS('Esecuzioni'!$P$8:$P$1007,'Esecuzioni'!$A$8:$A$1007,A360),""))))</x:f>
      </x:c>
      <x:c r="AA360" s="20" t="str">
        <x:f>IF(OR(A360="",J360="Aperto"),"",IF(J360="Annullato",0,IF(I360="Lordo manuale",IF(ISNUMBER(P360),P360,""),IF(I360="Netto manuale",IF(AND(ISNUMBER(P360),ISNUMBER(Q360)),P360+Q360,""),IF(OR(W360=0,COUNTIFS('Esecuzioni'!$A$8:$A$1007,A360,'Esecuzioni'!$Q$8:$Q$1007,"&lt;&gt;OK")&gt;0),"",IF(S360="Vince",X360,IF(S360="Perde",Y360,IF(AND(S360="Coperto",ABS(X360-Y360)&lt;='Impostazioni'!$B$11),ROUND((X360+Y360)/2,2),""))))))))</x:f>
      </x:c>
      <x:c r="AB360" s="20" t="str">
        <x:f>IF(NOT(ISNUMBER(AA360)),"",IF(J360="Annullato",0,IF(ISNUMBER(Q360),Q360,ROUND(MAX(0,AA360)*IF(ISNUMBER(R360),R360,'Impostazioni'!$B$8),2))))</x:f>
      </x:c>
      <x:c r="AC360" s="20" t="str">
        <x:f>IF(AND(ISNUMBER(AA360),ISNUMBER(AB360)),ROUND(AA360-AB360,2),"")</x:f>
      </x:c>
      <x:c r="AD360" s="18" t="str">
        <x:f>IF(A360="","",IF(AQ360&lt;&gt;"OK","Incompleto",IF(J360="Aperto","Aperto",IF(J360="Annullato","Annullato",IF(AC360&gt;0,"Green",IF(AC360&lt;0,"Red","Flat"))))))</x:f>
      </x:c>
      <x:c r="AE360" s="21" t="str">
        <x:f>IF(AND(AH360=1,Z360&gt;0),AC360/Z360,"")</x:f>
      </x:c>
      <x:c r="AF360" s="22" t="str">
        <x:f>IF(AH360&lt;&gt;1,"",COUNTIFS($C$8:$C$507,"&lt;"&amp;C360,$AH$8:$AH$507,1)+COUNTIFS($C$8:$C$507,C360,$A$8:$A$507,"&lt;="&amp;A360,$AH$8:$AH$507,1))</x:f>
      </x:c>
      <x:c r="AG360" s="20" t="str">
        <x:f>IF(AH360&lt;&gt;1,"",SUMIFS($AC$8:$AC$507,$C$8:$C$507,"&lt;"&amp;C360,$AH$8:$AH$507,1)+SUMIFS($AC$8:$AC$507,$C$8:$C$507,C360,$A$8:$A$507,"&lt;="&amp;A360,$AH$8:$AH$507,1))</x:f>
      </x:c>
      <x:c r="AH360" s="22" t="str">
        <x:f>IF(A360="","",IF(AND(J360="Chiuso",AQ360="OK",ISNUMBER(AC360)),1,0))</x:f>
      </x:c>
      <x:c r="AI360" s="20" t="str">
        <x:f>IF(AH360&lt;&gt;1,"",MAX(0,_xlfn.MAXIFS($AG$8:$AG$507,$AF$8:$AF$507,"&lt;="&amp;AF360,$AH$8:$AH$507,1)))</x:f>
      </x:c>
      <x:c r="AJ360" s="20" t="str">
        <x:f>IF(AH360&lt;&gt;1,"",MAX(0,AI360-AG360))</x:f>
      </x:c>
      <x:c r="AK360" s="21" t="str">
        <x:f>IF(OR(AH360&lt;&gt;1,NOT(ISNUMBER('Impostazioni'!$B$6)),'Impostazioni'!$B$6+AI360&lt;=0),"",AJ360/('Impostazioni'!$B$6+AI360))</x:f>
      </x:c>
      <x:c r="AL360" s="22" t="str">
        <x:f>IF(AH360&lt;&gt;1,"",IF(AC360&gt;0,AF360-_xlfn.MAXIFS($AF$8:$AF$507,$AF$8:$AF$507,"&lt;="&amp;AF360,$AC$8:$AC$507,"&lt;=0",$AH$8:$AH$507,1),0))</x:f>
      </x:c>
      <x:c r="AM360" s="22" t="str">
        <x:f>IF(AH360&lt;&gt;1,"",IF(AC360&lt;0,AF360-_xlfn.MAXIFS($AF$8:$AF$507,$AF$8:$AF$507,"&lt;="&amp;AF360,$AC$8:$AC$507,"&gt;=0",$AH$8:$AH$507,1),0))</x:f>
      </x:c>
      <x:c r="AN360" s="20" t="str">
        <x:f>IF(OR(A360="",NOT(ISNUMBER(B360)),NOT(ISNUMBER('Impostazioni'!$B$6))),"",'Impostazioni'!$B$6+SUMIFS($AC$8:$AC$507,$C$8:$C$507,"&lt;"&amp;B360,$AH$8:$AH$507,1)+SUMIFS('Cassa'!$F$8:$F$307,'Cassa'!$A$8:$A$307,"&lt;="&amp;B360,'Cassa'!$G$8:$G$307,"OK"))</x:f>
      </x:c>
      <x:c r="AO360" s="21" t="str">
        <x:f>IF(AND(ISNUMBER(Z360),ISNUMBER(AN360),AN360&gt;0),Z360/AN360,"")</x:f>
      </x:c>
      <x:c r="AP360" s="18" t="str">
        <x:f>IF(NOT(ISNUMBER(AO360)),"",IF(AO360&gt;'Impostazioni'!$B$7,"Oltre soglia personale","Nella soglia personale"))</x:f>
      </x:c>
      <x:c r="AQ360" s="18" t="str">
        <x:f>IF(A360="",IF(COUNTA(B360:V360)=0,"","Inserisci ID"),IF(COUNTIFS($A$8:$A$507,A360)&lt;&gt;1,"ID duplicato",IF(OR(NOT(ISNUMBER(B360)),D360="",E360="",F360="",G360="",H360="",COUNTIFS('Impostazioni'!$J$6:$J$25,F360)&lt;&gt;1),"Completa dati / elenchi",IF(OR(AND(I360&lt;&gt;"Lordo manuale",I360&lt;&gt;"Netto manuale",I360&lt;&gt;"Esecuzioni"),AND(J360&lt;&gt;"Aperto",J360&lt;&gt;"Chiuso",J360&lt;&gt;"Annullato")),"Modalità / stato mancanti",IF(AND(J360&lt;&gt;"Aperto",OR(NOT(ISNUMBER(C360)),C360&lt;B360)),"Correggi data chiusura",IF(OR(AND(Q360&lt;&gt;"",OR(NOT(ISNUMBER(Q360)),Q360&lt;0)),AND(R360&lt;&gt;"",OR(NOT(ISNUMBER(R360)),R360&lt;0,R360&gt;1))),"Commissione non valida",IF(J360="Annullato","OK",IF(OR(NOT(ISNUMBER(Z360)),Z360&lt;0,AND(O360&lt;&gt;"",NOT(ISNUMBER(O360)))),"Inserisci rischio",IF(AND(I360="Esecuzioni",OR(W360=0,COUNTIFS('Esecuzioni'!$A$8:$A$1007,A360,'Esecuzioni'!$Q$8:$Q$1007,"&lt;&gt;OK")&gt;0)),"Correggi esecuzioni",IF(J360="Aperto","OK",IF(AND(I360="Esecuzioni",S360="Coperto",ABS(X360-Y360)&gt;'Impostazioni'!$B$11),"Copertura residua",IF(NOT(ISNUMBER(AC360)),"Completa risultato / esito",IF(AND(Z360=0,AC360&lt;&gt;0),"Rischio nullo con P/L","OK")))))))))))))</x:f>
      </x:c>
      <x:c r="AR360" s="20" t="str">
        <x:f>IF(OR(A360="",J360&lt;&gt;"Aperto",AQ360&lt;&gt;"OK"),"",IF(I360="Esecuzioni",SUMIFS('Esecuzioni'!$P$8:$P$1007,'Esecuzioni'!$A$8:$A$1007,A360,'Esecuzioni'!$B$8:$B$1007,_xlfn.MAXIFS('Esecuzioni'!$B$8:$B$1007,'Esecuzioni'!$A$8:$A$1007,A360)),IF(LEFT(U360,8)="FREEBET:",0,Z360)))</x:f>
      </x:c>
      <x:c r="AS360" s="48" t="str">
        <x:f>IF(OR(A360="",E360=""),"",IF(COUNTIFS($E$8:E360,E360)=1,COUNT($AS$7:AS359)+1,""))</x:f>
      </x:c>
    </x:row>
    <x:row r="361" ht="22" customHeight="1">
      <x:c r="A361" s="7"/>
      <x:c r="B361" s="19"/>
      <x:c r="C361" s="19"/>
      <x:c r="D361" s="7"/>
      <x:c r="E361" s="7"/>
      <x:c r="F361" s="7"/>
      <x:c r="G361" s="7"/>
      <x:c r="H361" s="7"/>
      <x:c r="I361" s="7"/>
      <x:c r="J361" s="7"/>
      <x:c r="K361" s="10"/>
      <x:c r="L361" s="7"/>
      <x:c r="M361" s="10"/>
      <x:c r="N361" s="7"/>
      <x:c r="O361" s="8"/>
      <x:c r="P361" s="8"/>
      <x:c r="Q361" s="8"/>
      <x:c r="R361" s="9"/>
      <x:c r="S361" s="7"/>
      <x:c r="T361" s="7"/>
      <x:c r="U361" s="7"/>
      <x:c r="V361" s="7"/>
      <x:c r="W361" s="22" t="str">
        <x:f>IF(A361="","",COUNTIFS('Esecuzioni'!$A$8:$A$1007,A361,'Esecuzioni'!$Q$8:$Q$1007,"OK"))</x:f>
      </x:c>
      <x:c r="X361" s="20" t="str">
        <x:f>IF(OR(A361="",I361&lt;&gt;"Esecuzioni",W361=0),"",SUMIFS('Esecuzioni'!$L$8:$L$1007,'Esecuzioni'!$A$8:$A$1007,A361))</x:f>
      </x:c>
      <x:c r="Y361" s="20" t="str">
        <x:f>IF(OR(A361="",I361&lt;&gt;"Esecuzioni",W361=0),"",SUMIFS('Esecuzioni'!$M$8:$M$1007,'Esecuzioni'!$A$8:$A$1007,A361))</x:f>
      </x:c>
      <x:c r="Z361" s="20" t="str">
        <x:f>IF(A361="","",IF(J361="Annullato",0,IF(ISNUMBER(O361),O361,IF(AND(I361="Esecuzioni",W361&gt;0),_xlfn.MAXIFS('Esecuzioni'!$P$8:$P$1007,'Esecuzioni'!$A$8:$A$1007,A361),""))))</x:f>
      </x:c>
      <x:c r="AA361" s="20" t="str">
        <x:f>IF(OR(A361="",J361="Aperto"),"",IF(J361="Annullato",0,IF(I361="Lordo manuale",IF(ISNUMBER(P361),P361,""),IF(I361="Netto manuale",IF(AND(ISNUMBER(P361),ISNUMBER(Q361)),P361+Q361,""),IF(OR(W361=0,COUNTIFS('Esecuzioni'!$A$8:$A$1007,A361,'Esecuzioni'!$Q$8:$Q$1007,"&lt;&gt;OK")&gt;0),"",IF(S361="Vince",X361,IF(S361="Perde",Y361,IF(AND(S361="Coperto",ABS(X361-Y361)&lt;='Impostazioni'!$B$11),ROUND((X361+Y361)/2,2),""))))))))</x:f>
      </x:c>
      <x:c r="AB361" s="20" t="str">
        <x:f>IF(NOT(ISNUMBER(AA361)),"",IF(J361="Annullato",0,IF(ISNUMBER(Q361),Q361,ROUND(MAX(0,AA361)*IF(ISNUMBER(R361),R361,'Impostazioni'!$B$8),2))))</x:f>
      </x:c>
      <x:c r="AC361" s="20" t="str">
        <x:f>IF(AND(ISNUMBER(AA361),ISNUMBER(AB361)),ROUND(AA361-AB361,2),"")</x:f>
      </x:c>
      <x:c r="AD361" s="18" t="str">
        <x:f>IF(A361="","",IF(AQ361&lt;&gt;"OK","Incompleto",IF(J361="Aperto","Aperto",IF(J361="Annullato","Annullato",IF(AC361&gt;0,"Green",IF(AC361&lt;0,"Red","Flat"))))))</x:f>
      </x:c>
      <x:c r="AE361" s="21" t="str">
        <x:f>IF(AND(AH361=1,Z361&gt;0),AC361/Z361,"")</x:f>
      </x:c>
      <x:c r="AF361" s="22" t="str">
        <x:f>IF(AH361&lt;&gt;1,"",COUNTIFS($C$8:$C$507,"&lt;"&amp;C361,$AH$8:$AH$507,1)+COUNTIFS($C$8:$C$507,C361,$A$8:$A$507,"&lt;="&amp;A361,$AH$8:$AH$507,1))</x:f>
      </x:c>
      <x:c r="AG361" s="20" t="str">
        <x:f>IF(AH361&lt;&gt;1,"",SUMIFS($AC$8:$AC$507,$C$8:$C$507,"&lt;"&amp;C361,$AH$8:$AH$507,1)+SUMIFS($AC$8:$AC$507,$C$8:$C$507,C361,$A$8:$A$507,"&lt;="&amp;A361,$AH$8:$AH$507,1))</x:f>
      </x:c>
      <x:c r="AH361" s="22" t="str">
        <x:f>IF(A361="","",IF(AND(J361="Chiuso",AQ361="OK",ISNUMBER(AC361)),1,0))</x:f>
      </x:c>
      <x:c r="AI361" s="20" t="str">
        <x:f>IF(AH361&lt;&gt;1,"",MAX(0,_xlfn.MAXIFS($AG$8:$AG$507,$AF$8:$AF$507,"&lt;="&amp;AF361,$AH$8:$AH$507,1)))</x:f>
      </x:c>
      <x:c r="AJ361" s="20" t="str">
        <x:f>IF(AH361&lt;&gt;1,"",MAX(0,AI361-AG361))</x:f>
      </x:c>
      <x:c r="AK361" s="21" t="str">
        <x:f>IF(OR(AH361&lt;&gt;1,NOT(ISNUMBER('Impostazioni'!$B$6)),'Impostazioni'!$B$6+AI361&lt;=0),"",AJ361/('Impostazioni'!$B$6+AI361))</x:f>
      </x:c>
      <x:c r="AL361" s="22" t="str">
        <x:f>IF(AH361&lt;&gt;1,"",IF(AC361&gt;0,AF361-_xlfn.MAXIFS($AF$8:$AF$507,$AF$8:$AF$507,"&lt;="&amp;AF361,$AC$8:$AC$507,"&lt;=0",$AH$8:$AH$507,1),0))</x:f>
      </x:c>
      <x:c r="AM361" s="22" t="str">
        <x:f>IF(AH361&lt;&gt;1,"",IF(AC361&lt;0,AF361-_xlfn.MAXIFS($AF$8:$AF$507,$AF$8:$AF$507,"&lt;="&amp;AF361,$AC$8:$AC$507,"&gt;=0",$AH$8:$AH$507,1),0))</x:f>
      </x:c>
      <x:c r="AN361" s="20" t="str">
        <x:f>IF(OR(A361="",NOT(ISNUMBER(B361)),NOT(ISNUMBER('Impostazioni'!$B$6))),"",'Impostazioni'!$B$6+SUMIFS($AC$8:$AC$507,$C$8:$C$507,"&lt;"&amp;B361,$AH$8:$AH$507,1)+SUMIFS('Cassa'!$F$8:$F$307,'Cassa'!$A$8:$A$307,"&lt;="&amp;B361,'Cassa'!$G$8:$G$307,"OK"))</x:f>
      </x:c>
      <x:c r="AO361" s="21" t="str">
        <x:f>IF(AND(ISNUMBER(Z361),ISNUMBER(AN361),AN361&gt;0),Z361/AN361,"")</x:f>
      </x:c>
      <x:c r="AP361" s="18" t="str">
        <x:f>IF(NOT(ISNUMBER(AO361)),"",IF(AO361&gt;'Impostazioni'!$B$7,"Oltre soglia personale","Nella soglia personale"))</x:f>
      </x:c>
      <x:c r="AQ361" s="18" t="str">
        <x:f>IF(A361="",IF(COUNTA(B361:V361)=0,"","Inserisci ID"),IF(COUNTIFS($A$8:$A$507,A361)&lt;&gt;1,"ID duplicato",IF(OR(NOT(ISNUMBER(B361)),D361="",E361="",F361="",G361="",H361="",COUNTIFS('Impostazioni'!$J$6:$J$25,F361)&lt;&gt;1),"Completa dati / elenchi",IF(OR(AND(I361&lt;&gt;"Lordo manuale",I361&lt;&gt;"Netto manuale",I361&lt;&gt;"Esecuzioni"),AND(J361&lt;&gt;"Aperto",J361&lt;&gt;"Chiuso",J361&lt;&gt;"Annullato")),"Modalità / stato mancanti",IF(AND(J361&lt;&gt;"Aperto",OR(NOT(ISNUMBER(C361)),C361&lt;B361)),"Correggi data chiusura",IF(OR(AND(Q361&lt;&gt;"",OR(NOT(ISNUMBER(Q361)),Q361&lt;0)),AND(R361&lt;&gt;"",OR(NOT(ISNUMBER(R361)),R361&lt;0,R361&gt;1))),"Commissione non valida",IF(J361="Annullato","OK",IF(OR(NOT(ISNUMBER(Z361)),Z361&lt;0,AND(O361&lt;&gt;"",NOT(ISNUMBER(O361)))),"Inserisci rischio",IF(AND(I361="Esecuzioni",OR(W361=0,COUNTIFS('Esecuzioni'!$A$8:$A$1007,A361,'Esecuzioni'!$Q$8:$Q$1007,"&lt;&gt;OK")&gt;0)),"Correggi esecuzioni",IF(J361="Aperto","OK",IF(AND(I361="Esecuzioni",S361="Coperto",ABS(X361-Y361)&gt;'Impostazioni'!$B$11),"Copertura residua",IF(NOT(ISNUMBER(AC361)),"Completa risultato / esito",IF(AND(Z361=0,AC361&lt;&gt;0),"Rischio nullo con P/L","OK")))))))))))))</x:f>
      </x:c>
      <x:c r="AR361" s="20" t="str">
        <x:f>IF(OR(A361="",J361&lt;&gt;"Aperto",AQ361&lt;&gt;"OK"),"",IF(I361="Esecuzioni",SUMIFS('Esecuzioni'!$P$8:$P$1007,'Esecuzioni'!$A$8:$A$1007,A361,'Esecuzioni'!$B$8:$B$1007,_xlfn.MAXIFS('Esecuzioni'!$B$8:$B$1007,'Esecuzioni'!$A$8:$A$1007,A361)),IF(LEFT(U361,8)="FREEBET:",0,Z361)))</x:f>
      </x:c>
      <x:c r="AS361" s="48" t="str">
        <x:f>IF(OR(A361="",E361=""),"",IF(COUNTIFS($E$8:E361,E361)=1,COUNT($AS$7:AS360)+1,""))</x:f>
      </x:c>
    </x:row>
    <x:row r="362" ht="22" customHeight="1">
      <x:c r="A362" s="7"/>
      <x:c r="B362" s="19"/>
      <x:c r="C362" s="19"/>
      <x:c r="D362" s="7"/>
      <x:c r="E362" s="7"/>
      <x:c r="F362" s="7"/>
      <x:c r="G362" s="7"/>
      <x:c r="H362" s="7"/>
      <x:c r="I362" s="7"/>
      <x:c r="J362" s="7"/>
      <x:c r="K362" s="10"/>
      <x:c r="L362" s="7"/>
      <x:c r="M362" s="10"/>
      <x:c r="N362" s="7"/>
      <x:c r="O362" s="8"/>
      <x:c r="P362" s="8"/>
      <x:c r="Q362" s="8"/>
      <x:c r="R362" s="9"/>
      <x:c r="S362" s="7"/>
      <x:c r="T362" s="7"/>
      <x:c r="U362" s="7"/>
      <x:c r="V362" s="7"/>
      <x:c r="W362" s="22" t="str">
        <x:f>IF(A362="","",COUNTIFS('Esecuzioni'!$A$8:$A$1007,A362,'Esecuzioni'!$Q$8:$Q$1007,"OK"))</x:f>
      </x:c>
      <x:c r="X362" s="20" t="str">
        <x:f>IF(OR(A362="",I362&lt;&gt;"Esecuzioni",W362=0),"",SUMIFS('Esecuzioni'!$L$8:$L$1007,'Esecuzioni'!$A$8:$A$1007,A362))</x:f>
      </x:c>
      <x:c r="Y362" s="20" t="str">
        <x:f>IF(OR(A362="",I362&lt;&gt;"Esecuzioni",W362=0),"",SUMIFS('Esecuzioni'!$M$8:$M$1007,'Esecuzioni'!$A$8:$A$1007,A362))</x:f>
      </x:c>
      <x:c r="Z362" s="20" t="str">
        <x:f>IF(A362="","",IF(J362="Annullato",0,IF(ISNUMBER(O362),O362,IF(AND(I362="Esecuzioni",W362&gt;0),_xlfn.MAXIFS('Esecuzioni'!$P$8:$P$1007,'Esecuzioni'!$A$8:$A$1007,A362),""))))</x:f>
      </x:c>
      <x:c r="AA362" s="20" t="str">
        <x:f>IF(OR(A362="",J362="Aperto"),"",IF(J362="Annullato",0,IF(I362="Lordo manuale",IF(ISNUMBER(P362),P362,""),IF(I362="Netto manuale",IF(AND(ISNUMBER(P362),ISNUMBER(Q362)),P362+Q362,""),IF(OR(W362=0,COUNTIFS('Esecuzioni'!$A$8:$A$1007,A362,'Esecuzioni'!$Q$8:$Q$1007,"&lt;&gt;OK")&gt;0),"",IF(S362="Vince",X362,IF(S362="Perde",Y362,IF(AND(S362="Coperto",ABS(X362-Y362)&lt;='Impostazioni'!$B$11),ROUND((X362+Y362)/2,2),""))))))))</x:f>
      </x:c>
      <x:c r="AB362" s="20" t="str">
        <x:f>IF(NOT(ISNUMBER(AA362)),"",IF(J362="Annullato",0,IF(ISNUMBER(Q362),Q362,ROUND(MAX(0,AA362)*IF(ISNUMBER(R362),R362,'Impostazioni'!$B$8),2))))</x:f>
      </x:c>
      <x:c r="AC362" s="20" t="str">
        <x:f>IF(AND(ISNUMBER(AA362),ISNUMBER(AB362)),ROUND(AA362-AB362,2),"")</x:f>
      </x:c>
      <x:c r="AD362" s="18" t="str">
        <x:f>IF(A362="","",IF(AQ362&lt;&gt;"OK","Incompleto",IF(J362="Aperto","Aperto",IF(J362="Annullato","Annullato",IF(AC362&gt;0,"Green",IF(AC362&lt;0,"Red","Flat"))))))</x:f>
      </x:c>
      <x:c r="AE362" s="21" t="str">
        <x:f>IF(AND(AH362=1,Z362&gt;0),AC362/Z362,"")</x:f>
      </x:c>
      <x:c r="AF362" s="22" t="str">
        <x:f>IF(AH362&lt;&gt;1,"",COUNTIFS($C$8:$C$507,"&lt;"&amp;C362,$AH$8:$AH$507,1)+COUNTIFS($C$8:$C$507,C362,$A$8:$A$507,"&lt;="&amp;A362,$AH$8:$AH$507,1))</x:f>
      </x:c>
      <x:c r="AG362" s="20" t="str">
        <x:f>IF(AH362&lt;&gt;1,"",SUMIFS($AC$8:$AC$507,$C$8:$C$507,"&lt;"&amp;C362,$AH$8:$AH$507,1)+SUMIFS($AC$8:$AC$507,$C$8:$C$507,C362,$A$8:$A$507,"&lt;="&amp;A362,$AH$8:$AH$507,1))</x:f>
      </x:c>
      <x:c r="AH362" s="22" t="str">
        <x:f>IF(A362="","",IF(AND(J362="Chiuso",AQ362="OK",ISNUMBER(AC362)),1,0))</x:f>
      </x:c>
      <x:c r="AI362" s="20" t="str">
        <x:f>IF(AH362&lt;&gt;1,"",MAX(0,_xlfn.MAXIFS($AG$8:$AG$507,$AF$8:$AF$507,"&lt;="&amp;AF362,$AH$8:$AH$507,1)))</x:f>
      </x:c>
      <x:c r="AJ362" s="20" t="str">
        <x:f>IF(AH362&lt;&gt;1,"",MAX(0,AI362-AG362))</x:f>
      </x:c>
      <x:c r="AK362" s="21" t="str">
        <x:f>IF(OR(AH362&lt;&gt;1,NOT(ISNUMBER('Impostazioni'!$B$6)),'Impostazioni'!$B$6+AI362&lt;=0),"",AJ362/('Impostazioni'!$B$6+AI362))</x:f>
      </x:c>
      <x:c r="AL362" s="22" t="str">
        <x:f>IF(AH362&lt;&gt;1,"",IF(AC362&gt;0,AF362-_xlfn.MAXIFS($AF$8:$AF$507,$AF$8:$AF$507,"&lt;="&amp;AF362,$AC$8:$AC$507,"&lt;=0",$AH$8:$AH$507,1),0))</x:f>
      </x:c>
      <x:c r="AM362" s="22" t="str">
        <x:f>IF(AH362&lt;&gt;1,"",IF(AC362&lt;0,AF362-_xlfn.MAXIFS($AF$8:$AF$507,$AF$8:$AF$507,"&lt;="&amp;AF362,$AC$8:$AC$507,"&gt;=0",$AH$8:$AH$507,1),0))</x:f>
      </x:c>
      <x:c r="AN362" s="20" t="str">
        <x:f>IF(OR(A362="",NOT(ISNUMBER(B362)),NOT(ISNUMBER('Impostazioni'!$B$6))),"",'Impostazioni'!$B$6+SUMIFS($AC$8:$AC$507,$C$8:$C$507,"&lt;"&amp;B362,$AH$8:$AH$507,1)+SUMIFS('Cassa'!$F$8:$F$307,'Cassa'!$A$8:$A$307,"&lt;="&amp;B362,'Cassa'!$G$8:$G$307,"OK"))</x:f>
      </x:c>
      <x:c r="AO362" s="21" t="str">
        <x:f>IF(AND(ISNUMBER(Z362),ISNUMBER(AN362),AN362&gt;0),Z362/AN362,"")</x:f>
      </x:c>
      <x:c r="AP362" s="18" t="str">
        <x:f>IF(NOT(ISNUMBER(AO362)),"",IF(AO362&gt;'Impostazioni'!$B$7,"Oltre soglia personale","Nella soglia personale"))</x:f>
      </x:c>
      <x:c r="AQ362" s="18" t="str">
        <x:f>IF(A362="",IF(COUNTA(B362:V362)=0,"","Inserisci ID"),IF(COUNTIFS($A$8:$A$507,A362)&lt;&gt;1,"ID duplicato",IF(OR(NOT(ISNUMBER(B362)),D362="",E362="",F362="",G362="",H362="",COUNTIFS('Impostazioni'!$J$6:$J$25,F362)&lt;&gt;1),"Completa dati / elenchi",IF(OR(AND(I362&lt;&gt;"Lordo manuale",I362&lt;&gt;"Netto manuale",I362&lt;&gt;"Esecuzioni"),AND(J362&lt;&gt;"Aperto",J362&lt;&gt;"Chiuso",J362&lt;&gt;"Annullato")),"Modalità / stato mancanti",IF(AND(J362&lt;&gt;"Aperto",OR(NOT(ISNUMBER(C362)),C362&lt;B362)),"Correggi data chiusura",IF(OR(AND(Q362&lt;&gt;"",OR(NOT(ISNUMBER(Q362)),Q362&lt;0)),AND(R362&lt;&gt;"",OR(NOT(ISNUMBER(R362)),R362&lt;0,R362&gt;1))),"Commissione non valida",IF(J362="Annullato","OK",IF(OR(NOT(ISNUMBER(Z362)),Z362&lt;0,AND(O362&lt;&gt;"",NOT(ISNUMBER(O362)))),"Inserisci rischio",IF(AND(I362="Esecuzioni",OR(W362=0,COUNTIFS('Esecuzioni'!$A$8:$A$1007,A362,'Esecuzioni'!$Q$8:$Q$1007,"&lt;&gt;OK")&gt;0)),"Correggi esecuzioni",IF(J362="Aperto","OK",IF(AND(I362="Esecuzioni",S362="Coperto",ABS(X362-Y362)&gt;'Impostazioni'!$B$11),"Copertura residua",IF(NOT(ISNUMBER(AC362)),"Completa risultato / esito",IF(AND(Z362=0,AC362&lt;&gt;0),"Rischio nullo con P/L","OK")))))))))))))</x:f>
      </x:c>
      <x:c r="AR362" s="20" t="str">
        <x:f>IF(OR(A362="",J362&lt;&gt;"Aperto",AQ362&lt;&gt;"OK"),"",IF(I362="Esecuzioni",SUMIFS('Esecuzioni'!$P$8:$P$1007,'Esecuzioni'!$A$8:$A$1007,A362,'Esecuzioni'!$B$8:$B$1007,_xlfn.MAXIFS('Esecuzioni'!$B$8:$B$1007,'Esecuzioni'!$A$8:$A$1007,A362)),IF(LEFT(U362,8)="FREEBET:",0,Z362)))</x:f>
      </x:c>
      <x:c r="AS362" s="48" t="str">
        <x:f>IF(OR(A362="",E362=""),"",IF(COUNTIFS($E$8:E362,E362)=1,COUNT($AS$7:AS361)+1,""))</x:f>
      </x:c>
    </x:row>
    <x:row r="363" ht="22" customHeight="1">
      <x:c r="A363" s="7"/>
      <x:c r="B363" s="19"/>
      <x:c r="C363" s="19"/>
      <x:c r="D363" s="7"/>
      <x:c r="E363" s="7"/>
      <x:c r="F363" s="7"/>
      <x:c r="G363" s="7"/>
      <x:c r="H363" s="7"/>
      <x:c r="I363" s="7"/>
      <x:c r="J363" s="7"/>
      <x:c r="K363" s="10"/>
      <x:c r="L363" s="7"/>
      <x:c r="M363" s="10"/>
      <x:c r="N363" s="7"/>
      <x:c r="O363" s="8"/>
      <x:c r="P363" s="8"/>
      <x:c r="Q363" s="8"/>
      <x:c r="R363" s="9"/>
      <x:c r="S363" s="7"/>
      <x:c r="T363" s="7"/>
      <x:c r="U363" s="7"/>
      <x:c r="V363" s="7"/>
      <x:c r="W363" s="22" t="str">
        <x:f>IF(A363="","",COUNTIFS('Esecuzioni'!$A$8:$A$1007,A363,'Esecuzioni'!$Q$8:$Q$1007,"OK"))</x:f>
      </x:c>
      <x:c r="X363" s="20" t="str">
        <x:f>IF(OR(A363="",I363&lt;&gt;"Esecuzioni",W363=0),"",SUMIFS('Esecuzioni'!$L$8:$L$1007,'Esecuzioni'!$A$8:$A$1007,A363))</x:f>
      </x:c>
      <x:c r="Y363" s="20" t="str">
        <x:f>IF(OR(A363="",I363&lt;&gt;"Esecuzioni",W363=0),"",SUMIFS('Esecuzioni'!$M$8:$M$1007,'Esecuzioni'!$A$8:$A$1007,A363))</x:f>
      </x:c>
      <x:c r="Z363" s="20" t="str">
        <x:f>IF(A363="","",IF(J363="Annullato",0,IF(ISNUMBER(O363),O363,IF(AND(I363="Esecuzioni",W363&gt;0),_xlfn.MAXIFS('Esecuzioni'!$P$8:$P$1007,'Esecuzioni'!$A$8:$A$1007,A363),""))))</x:f>
      </x:c>
      <x:c r="AA363" s="20" t="str">
        <x:f>IF(OR(A363="",J363="Aperto"),"",IF(J363="Annullato",0,IF(I363="Lordo manuale",IF(ISNUMBER(P363),P363,""),IF(I363="Netto manuale",IF(AND(ISNUMBER(P363),ISNUMBER(Q363)),P363+Q363,""),IF(OR(W363=0,COUNTIFS('Esecuzioni'!$A$8:$A$1007,A363,'Esecuzioni'!$Q$8:$Q$1007,"&lt;&gt;OK")&gt;0),"",IF(S363="Vince",X363,IF(S363="Perde",Y363,IF(AND(S363="Coperto",ABS(X363-Y363)&lt;='Impostazioni'!$B$11),ROUND((X363+Y363)/2,2),""))))))))</x:f>
      </x:c>
      <x:c r="AB363" s="20" t="str">
        <x:f>IF(NOT(ISNUMBER(AA363)),"",IF(J363="Annullato",0,IF(ISNUMBER(Q363),Q363,ROUND(MAX(0,AA363)*IF(ISNUMBER(R363),R363,'Impostazioni'!$B$8),2))))</x:f>
      </x:c>
      <x:c r="AC363" s="20" t="str">
        <x:f>IF(AND(ISNUMBER(AA363),ISNUMBER(AB363)),ROUND(AA363-AB363,2),"")</x:f>
      </x:c>
      <x:c r="AD363" s="18" t="str">
        <x:f>IF(A363="","",IF(AQ363&lt;&gt;"OK","Incompleto",IF(J363="Aperto","Aperto",IF(J363="Annullato","Annullato",IF(AC363&gt;0,"Green",IF(AC363&lt;0,"Red","Flat"))))))</x:f>
      </x:c>
      <x:c r="AE363" s="21" t="str">
        <x:f>IF(AND(AH363=1,Z363&gt;0),AC363/Z363,"")</x:f>
      </x:c>
      <x:c r="AF363" s="22" t="str">
        <x:f>IF(AH363&lt;&gt;1,"",COUNTIFS($C$8:$C$507,"&lt;"&amp;C363,$AH$8:$AH$507,1)+COUNTIFS($C$8:$C$507,C363,$A$8:$A$507,"&lt;="&amp;A363,$AH$8:$AH$507,1))</x:f>
      </x:c>
      <x:c r="AG363" s="20" t="str">
        <x:f>IF(AH363&lt;&gt;1,"",SUMIFS($AC$8:$AC$507,$C$8:$C$507,"&lt;"&amp;C363,$AH$8:$AH$507,1)+SUMIFS($AC$8:$AC$507,$C$8:$C$507,C363,$A$8:$A$507,"&lt;="&amp;A363,$AH$8:$AH$507,1))</x:f>
      </x:c>
      <x:c r="AH363" s="22" t="str">
        <x:f>IF(A363="","",IF(AND(J363="Chiuso",AQ363="OK",ISNUMBER(AC363)),1,0))</x:f>
      </x:c>
      <x:c r="AI363" s="20" t="str">
        <x:f>IF(AH363&lt;&gt;1,"",MAX(0,_xlfn.MAXIFS($AG$8:$AG$507,$AF$8:$AF$507,"&lt;="&amp;AF363,$AH$8:$AH$507,1)))</x:f>
      </x:c>
      <x:c r="AJ363" s="20" t="str">
        <x:f>IF(AH363&lt;&gt;1,"",MAX(0,AI363-AG363))</x:f>
      </x:c>
      <x:c r="AK363" s="21" t="str">
        <x:f>IF(OR(AH363&lt;&gt;1,NOT(ISNUMBER('Impostazioni'!$B$6)),'Impostazioni'!$B$6+AI363&lt;=0),"",AJ363/('Impostazioni'!$B$6+AI363))</x:f>
      </x:c>
      <x:c r="AL363" s="22" t="str">
        <x:f>IF(AH363&lt;&gt;1,"",IF(AC363&gt;0,AF363-_xlfn.MAXIFS($AF$8:$AF$507,$AF$8:$AF$507,"&lt;="&amp;AF363,$AC$8:$AC$507,"&lt;=0",$AH$8:$AH$507,1),0))</x:f>
      </x:c>
      <x:c r="AM363" s="22" t="str">
        <x:f>IF(AH363&lt;&gt;1,"",IF(AC363&lt;0,AF363-_xlfn.MAXIFS($AF$8:$AF$507,$AF$8:$AF$507,"&lt;="&amp;AF363,$AC$8:$AC$507,"&gt;=0",$AH$8:$AH$507,1),0))</x:f>
      </x:c>
      <x:c r="AN363" s="20" t="str">
        <x:f>IF(OR(A363="",NOT(ISNUMBER(B363)),NOT(ISNUMBER('Impostazioni'!$B$6))),"",'Impostazioni'!$B$6+SUMIFS($AC$8:$AC$507,$C$8:$C$507,"&lt;"&amp;B363,$AH$8:$AH$507,1)+SUMIFS('Cassa'!$F$8:$F$307,'Cassa'!$A$8:$A$307,"&lt;="&amp;B363,'Cassa'!$G$8:$G$307,"OK"))</x:f>
      </x:c>
      <x:c r="AO363" s="21" t="str">
        <x:f>IF(AND(ISNUMBER(Z363),ISNUMBER(AN363),AN363&gt;0),Z363/AN363,"")</x:f>
      </x:c>
      <x:c r="AP363" s="18" t="str">
        <x:f>IF(NOT(ISNUMBER(AO363)),"",IF(AO363&gt;'Impostazioni'!$B$7,"Oltre soglia personale","Nella soglia personale"))</x:f>
      </x:c>
      <x:c r="AQ363" s="18" t="str">
        <x:f>IF(A363="",IF(COUNTA(B363:V363)=0,"","Inserisci ID"),IF(COUNTIFS($A$8:$A$507,A363)&lt;&gt;1,"ID duplicato",IF(OR(NOT(ISNUMBER(B363)),D363="",E363="",F363="",G363="",H363="",COUNTIFS('Impostazioni'!$J$6:$J$25,F363)&lt;&gt;1),"Completa dati / elenchi",IF(OR(AND(I363&lt;&gt;"Lordo manuale",I363&lt;&gt;"Netto manuale",I363&lt;&gt;"Esecuzioni"),AND(J363&lt;&gt;"Aperto",J363&lt;&gt;"Chiuso",J363&lt;&gt;"Annullato")),"Modalità / stato mancanti",IF(AND(J363&lt;&gt;"Aperto",OR(NOT(ISNUMBER(C363)),C363&lt;B363)),"Correggi data chiusura",IF(OR(AND(Q363&lt;&gt;"",OR(NOT(ISNUMBER(Q363)),Q363&lt;0)),AND(R363&lt;&gt;"",OR(NOT(ISNUMBER(R363)),R363&lt;0,R363&gt;1))),"Commissione non valida",IF(J363="Annullato","OK",IF(OR(NOT(ISNUMBER(Z363)),Z363&lt;0,AND(O363&lt;&gt;"",NOT(ISNUMBER(O363)))),"Inserisci rischio",IF(AND(I363="Esecuzioni",OR(W363=0,COUNTIFS('Esecuzioni'!$A$8:$A$1007,A363,'Esecuzioni'!$Q$8:$Q$1007,"&lt;&gt;OK")&gt;0)),"Correggi esecuzioni",IF(J363="Aperto","OK",IF(AND(I363="Esecuzioni",S363="Coperto",ABS(X363-Y363)&gt;'Impostazioni'!$B$11),"Copertura residua",IF(NOT(ISNUMBER(AC363)),"Completa risultato / esito",IF(AND(Z363=0,AC363&lt;&gt;0),"Rischio nullo con P/L","OK")))))))))))))</x:f>
      </x:c>
      <x:c r="AR363" s="20" t="str">
        <x:f>IF(OR(A363="",J363&lt;&gt;"Aperto",AQ363&lt;&gt;"OK"),"",IF(I363="Esecuzioni",SUMIFS('Esecuzioni'!$P$8:$P$1007,'Esecuzioni'!$A$8:$A$1007,A363,'Esecuzioni'!$B$8:$B$1007,_xlfn.MAXIFS('Esecuzioni'!$B$8:$B$1007,'Esecuzioni'!$A$8:$A$1007,A363)),IF(LEFT(U363,8)="FREEBET:",0,Z363)))</x:f>
      </x:c>
      <x:c r="AS363" s="48" t="str">
        <x:f>IF(OR(A363="",E363=""),"",IF(COUNTIFS($E$8:E363,E363)=1,COUNT($AS$7:AS362)+1,""))</x:f>
      </x:c>
    </x:row>
    <x:row r="364" ht="22" customHeight="1">
      <x:c r="A364" s="7"/>
      <x:c r="B364" s="19"/>
      <x:c r="C364" s="19"/>
      <x:c r="D364" s="7"/>
      <x:c r="E364" s="7"/>
      <x:c r="F364" s="7"/>
      <x:c r="G364" s="7"/>
      <x:c r="H364" s="7"/>
      <x:c r="I364" s="7"/>
      <x:c r="J364" s="7"/>
      <x:c r="K364" s="10"/>
      <x:c r="L364" s="7"/>
      <x:c r="M364" s="10"/>
      <x:c r="N364" s="7"/>
      <x:c r="O364" s="8"/>
      <x:c r="P364" s="8"/>
      <x:c r="Q364" s="8"/>
      <x:c r="R364" s="9"/>
      <x:c r="S364" s="7"/>
      <x:c r="T364" s="7"/>
      <x:c r="U364" s="7"/>
      <x:c r="V364" s="7"/>
      <x:c r="W364" s="22" t="str">
        <x:f>IF(A364="","",COUNTIFS('Esecuzioni'!$A$8:$A$1007,A364,'Esecuzioni'!$Q$8:$Q$1007,"OK"))</x:f>
      </x:c>
      <x:c r="X364" s="20" t="str">
        <x:f>IF(OR(A364="",I364&lt;&gt;"Esecuzioni",W364=0),"",SUMIFS('Esecuzioni'!$L$8:$L$1007,'Esecuzioni'!$A$8:$A$1007,A364))</x:f>
      </x:c>
      <x:c r="Y364" s="20" t="str">
        <x:f>IF(OR(A364="",I364&lt;&gt;"Esecuzioni",W364=0),"",SUMIFS('Esecuzioni'!$M$8:$M$1007,'Esecuzioni'!$A$8:$A$1007,A364))</x:f>
      </x:c>
      <x:c r="Z364" s="20" t="str">
        <x:f>IF(A364="","",IF(J364="Annullato",0,IF(ISNUMBER(O364),O364,IF(AND(I364="Esecuzioni",W364&gt;0),_xlfn.MAXIFS('Esecuzioni'!$P$8:$P$1007,'Esecuzioni'!$A$8:$A$1007,A364),""))))</x:f>
      </x:c>
      <x:c r="AA364" s="20" t="str">
        <x:f>IF(OR(A364="",J364="Aperto"),"",IF(J364="Annullato",0,IF(I364="Lordo manuale",IF(ISNUMBER(P364),P364,""),IF(I364="Netto manuale",IF(AND(ISNUMBER(P364),ISNUMBER(Q364)),P364+Q364,""),IF(OR(W364=0,COUNTIFS('Esecuzioni'!$A$8:$A$1007,A364,'Esecuzioni'!$Q$8:$Q$1007,"&lt;&gt;OK")&gt;0),"",IF(S364="Vince",X364,IF(S364="Perde",Y364,IF(AND(S364="Coperto",ABS(X364-Y364)&lt;='Impostazioni'!$B$11),ROUND((X364+Y364)/2,2),""))))))))</x:f>
      </x:c>
      <x:c r="AB364" s="20" t="str">
        <x:f>IF(NOT(ISNUMBER(AA364)),"",IF(J364="Annullato",0,IF(ISNUMBER(Q364),Q364,ROUND(MAX(0,AA364)*IF(ISNUMBER(R364),R364,'Impostazioni'!$B$8),2))))</x:f>
      </x:c>
      <x:c r="AC364" s="20" t="str">
        <x:f>IF(AND(ISNUMBER(AA364),ISNUMBER(AB364)),ROUND(AA364-AB364,2),"")</x:f>
      </x:c>
      <x:c r="AD364" s="18" t="str">
        <x:f>IF(A364="","",IF(AQ364&lt;&gt;"OK","Incompleto",IF(J364="Aperto","Aperto",IF(J364="Annullato","Annullato",IF(AC364&gt;0,"Green",IF(AC364&lt;0,"Red","Flat"))))))</x:f>
      </x:c>
      <x:c r="AE364" s="21" t="str">
        <x:f>IF(AND(AH364=1,Z364&gt;0),AC364/Z364,"")</x:f>
      </x:c>
      <x:c r="AF364" s="22" t="str">
        <x:f>IF(AH364&lt;&gt;1,"",COUNTIFS($C$8:$C$507,"&lt;"&amp;C364,$AH$8:$AH$507,1)+COUNTIFS($C$8:$C$507,C364,$A$8:$A$507,"&lt;="&amp;A364,$AH$8:$AH$507,1))</x:f>
      </x:c>
      <x:c r="AG364" s="20" t="str">
        <x:f>IF(AH364&lt;&gt;1,"",SUMIFS($AC$8:$AC$507,$C$8:$C$507,"&lt;"&amp;C364,$AH$8:$AH$507,1)+SUMIFS($AC$8:$AC$507,$C$8:$C$507,C364,$A$8:$A$507,"&lt;="&amp;A364,$AH$8:$AH$507,1))</x:f>
      </x:c>
      <x:c r="AH364" s="22" t="str">
        <x:f>IF(A364="","",IF(AND(J364="Chiuso",AQ364="OK",ISNUMBER(AC364)),1,0))</x:f>
      </x:c>
      <x:c r="AI364" s="20" t="str">
        <x:f>IF(AH364&lt;&gt;1,"",MAX(0,_xlfn.MAXIFS($AG$8:$AG$507,$AF$8:$AF$507,"&lt;="&amp;AF364,$AH$8:$AH$507,1)))</x:f>
      </x:c>
      <x:c r="AJ364" s="20" t="str">
        <x:f>IF(AH364&lt;&gt;1,"",MAX(0,AI364-AG364))</x:f>
      </x:c>
      <x:c r="AK364" s="21" t="str">
        <x:f>IF(OR(AH364&lt;&gt;1,NOT(ISNUMBER('Impostazioni'!$B$6)),'Impostazioni'!$B$6+AI364&lt;=0),"",AJ364/('Impostazioni'!$B$6+AI364))</x:f>
      </x:c>
      <x:c r="AL364" s="22" t="str">
        <x:f>IF(AH364&lt;&gt;1,"",IF(AC364&gt;0,AF364-_xlfn.MAXIFS($AF$8:$AF$507,$AF$8:$AF$507,"&lt;="&amp;AF364,$AC$8:$AC$507,"&lt;=0",$AH$8:$AH$507,1),0))</x:f>
      </x:c>
      <x:c r="AM364" s="22" t="str">
        <x:f>IF(AH364&lt;&gt;1,"",IF(AC364&lt;0,AF364-_xlfn.MAXIFS($AF$8:$AF$507,$AF$8:$AF$507,"&lt;="&amp;AF364,$AC$8:$AC$507,"&gt;=0",$AH$8:$AH$507,1),0))</x:f>
      </x:c>
      <x:c r="AN364" s="20" t="str">
        <x:f>IF(OR(A364="",NOT(ISNUMBER(B364)),NOT(ISNUMBER('Impostazioni'!$B$6))),"",'Impostazioni'!$B$6+SUMIFS($AC$8:$AC$507,$C$8:$C$507,"&lt;"&amp;B364,$AH$8:$AH$507,1)+SUMIFS('Cassa'!$F$8:$F$307,'Cassa'!$A$8:$A$307,"&lt;="&amp;B364,'Cassa'!$G$8:$G$307,"OK"))</x:f>
      </x:c>
      <x:c r="AO364" s="21" t="str">
        <x:f>IF(AND(ISNUMBER(Z364),ISNUMBER(AN364),AN364&gt;0),Z364/AN364,"")</x:f>
      </x:c>
      <x:c r="AP364" s="18" t="str">
        <x:f>IF(NOT(ISNUMBER(AO364)),"",IF(AO364&gt;'Impostazioni'!$B$7,"Oltre soglia personale","Nella soglia personale"))</x:f>
      </x:c>
      <x:c r="AQ364" s="18" t="str">
        <x:f>IF(A364="",IF(COUNTA(B364:V364)=0,"","Inserisci ID"),IF(COUNTIFS($A$8:$A$507,A364)&lt;&gt;1,"ID duplicato",IF(OR(NOT(ISNUMBER(B364)),D364="",E364="",F364="",G364="",H364="",COUNTIFS('Impostazioni'!$J$6:$J$25,F364)&lt;&gt;1),"Completa dati / elenchi",IF(OR(AND(I364&lt;&gt;"Lordo manuale",I364&lt;&gt;"Netto manuale",I364&lt;&gt;"Esecuzioni"),AND(J364&lt;&gt;"Aperto",J364&lt;&gt;"Chiuso",J364&lt;&gt;"Annullato")),"Modalità / stato mancanti",IF(AND(J364&lt;&gt;"Aperto",OR(NOT(ISNUMBER(C364)),C364&lt;B364)),"Correggi data chiusura",IF(OR(AND(Q364&lt;&gt;"",OR(NOT(ISNUMBER(Q364)),Q364&lt;0)),AND(R364&lt;&gt;"",OR(NOT(ISNUMBER(R364)),R364&lt;0,R364&gt;1))),"Commissione non valida",IF(J364="Annullato","OK",IF(OR(NOT(ISNUMBER(Z364)),Z364&lt;0,AND(O364&lt;&gt;"",NOT(ISNUMBER(O364)))),"Inserisci rischio",IF(AND(I364="Esecuzioni",OR(W364=0,COUNTIFS('Esecuzioni'!$A$8:$A$1007,A364,'Esecuzioni'!$Q$8:$Q$1007,"&lt;&gt;OK")&gt;0)),"Correggi esecuzioni",IF(J364="Aperto","OK",IF(AND(I364="Esecuzioni",S364="Coperto",ABS(X364-Y364)&gt;'Impostazioni'!$B$11),"Copertura residua",IF(NOT(ISNUMBER(AC364)),"Completa risultato / esito",IF(AND(Z364=0,AC364&lt;&gt;0),"Rischio nullo con P/L","OK")))))))))))))</x:f>
      </x:c>
      <x:c r="AR364" s="20" t="str">
        <x:f>IF(OR(A364="",J364&lt;&gt;"Aperto",AQ364&lt;&gt;"OK"),"",IF(I364="Esecuzioni",SUMIFS('Esecuzioni'!$P$8:$P$1007,'Esecuzioni'!$A$8:$A$1007,A364,'Esecuzioni'!$B$8:$B$1007,_xlfn.MAXIFS('Esecuzioni'!$B$8:$B$1007,'Esecuzioni'!$A$8:$A$1007,A364)),IF(LEFT(U364,8)="FREEBET:",0,Z364)))</x:f>
      </x:c>
      <x:c r="AS364" s="48" t="str">
        <x:f>IF(OR(A364="",E364=""),"",IF(COUNTIFS($E$8:E364,E364)=1,COUNT($AS$7:AS363)+1,""))</x:f>
      </x:c>
    </x:row>
    <x:row r="365" ht="22" customHeight="1">
      <x:c r="A365" s="7"/>
      <x:c r="B365" s="19"/>
      <x:c r="C365" s="19"/>
      <x:c r="D365" s="7"/>
      <x:c r="E365" s="7"/>
      <x:c r="F365" s="7"/>
      <x:c r="G365" s="7"/>
      <x:c r="H365" s="7"/>
      <x:c r="I365" s="7"/>
      <x:c r="J365" s="7"/>
      <x:c r="K365" s="10"/>
      <x:c r="L365" s="7"/>
      <x:c r="M365" s="10"/>
      <x:c r="N365" s="7"/>
      <x:c r="O365" s="8"/>
      <x:c r="P365" s="8"/>
      <x:c r="Q365" s="8"/>
      <x:c r="R365" s="9"/>
      <x:c r="S365" s="7"/>
      <x:c r="T365" s="7"/>
      <x:c r="U365" s="7"/>
      <x:c r="V365" s="7"/>
      <x:c r="W365" s="22" t="str">
        <x:f>IF(A365="","",COUNTIFS('Esecuzioni'!$A$8:$A$1007,A365,'Esecuzioni'!$Q$8:$Q$1007,"OK"))</x:f>
      </x:c>
      <x:c r="X365" s="20" t="str">
        <x:f>IF(OR(A365="",I365&lt;&gt;"Esecuzioni",W365=0),"",SUMIFS('Esecuzioni'!$L$8:$L$1007,'Esecuzioni'!$A$8:$A$1007,A365))</x:f>
      </x:c>
      <x:c r="Y365" s="20" t="str">
        <x:f>IF(OR(A365="",I365&lt;&gt;"Esecuzioni",W365=0),"",SUMIFS('Esecuzioni'!$M$8:$M$1007,'Esecuzioni'!$A$8:$A$1007,A365))</x:f>
      </x:c>
      <x:c r="Z365" s="20" t="str">
        <x:f>IF(A365="","",IF(J365="Annullato",0,IF(ISNUMBER(O365),O365,IF(AND(I365="Esecuzioni",W365&gt;0),_xlfn.MAXIFS('Esecuzioni'!$P$8:$P$1007,'Esecuzioni'!$A$8:$A$1007,A365),""))))</x:f>
      </x:c>
      <x:c r="AA365" s="20" t="str">
        <x:f>IF(OR(A365="",J365="Aperto"),"",IF(J365="Annullato",0,IF(I365="Lordo manuale",IF(ISNUMBER(P365),P365,""),IF(I365="Netto manuale",IF(AND(ISNUMBER(P365),ISNUMBER(Q365)),P365+Q365,""),IF(OR(W365=0,COUNTIFS('Esecuzioni'!$A$8:$A$1007,A365,'Esecuzioni'!$Q$8:$Q$1007,"&lt;&gt;OK")&gt;0),"",IF(S365="Vince",X365,IF(S365="Perde",Y365,IF(AND(S365="Coperto",ABS(X365-Y365)&lt;='Impostazioni'!$B$11),ROUND((X365+Y365)/2,2),""))))))))</x:f>
      </x:c>
      <x:c r="AB365" s="20" t="str">
        <x:f>IF(NOT(ISNUMBER(AA365)),"",IF(J365="Annullato",0,IF(ISNUMBER(Q365),Q365,ROUND(MAX(0,AA365)*IF(ISNUMBER(R365),R365,'Impostazioni'!$B$8),2))))</x:f>
      </x:c>
      <x:c r="AC365" s="20" t="str">
        <x:f>IF(AND(ISNUMBER(AA365),ISNUMBER(AB365)),ROUND(AA365-AB365,2),"")</x:f>
      </x:c>
      <x:c r="AD365" s="18" t="str">
        <x:f>IF(A365="","",IF(AQ365&lt;&gt;"OK","Incompleto",IF(J365="Aperto","Aperto",IF(J365="Annullato","Annullato",IF(AC365&gt;0,"Green",IF(AC365&lt;0,"Red","Flat"))))))</x:f>
      </x:c>
      <x:c r="AE365" s="21" t="str">
        <x:f>IF(AND(AH365=1,Z365&gt;0),AC365/Z365,"")</x:f>
      </x:c>
      <x:c r="AF365" s="22" t="str">
        <x:f>IF(AH365&lt;&gt;1,"",COUNTIFS($C$8:$C$507,"&lt;"&amp;C365,$AH$8:$AH$507,1)+COUNTIFS($C$8:$C$507,C365,$A$8:$A$507,"&lt;="&amp;A365,$AH$8:$AH$507,1))</x:f>
      </x:c>
      <x:c r="AG365" s="20" t="str">
        <x:f>IF(AH365&lt;&gt;1,"",SUMIFS($AC$8:$AC$507,$C$8:$C$507,"&lt;"&amp;C365,$AH$8:$AH$507,1)+SUMIFS($AC$8:$AC$507,$C$8:$C$507,C365,$A$8:$A$507,"&lt;="&amp;A365,$AH$8:$AH$507,1))</x:f>
      </x:c>
      <x:c r="AH365" s="22" t="str">
        <x:f>IF(A365="","",IF(AND(J365="Chiuso",AQ365="OK",ISNUMBER(AC365)),1,0))</x:f>
      </x:c>
      <x:c r="AI365" s="20" t="str">
        <x:f>IF(AH365&lt;&gt;1,"",MAX(0,_xlfn.MAXIFS($AG$8:$AG$507,$AF$8:$AF$507,"&lt;="&amp;AF365,$AH$8:$AH$507,1)))</x:f>
      </x:c>
      <x:c r="AJ365" s="20" t="str">
        <x:f>IF(AH365&lt;&gt;1,"",MAX(0,AI365-AG365))</x:f>
      </x:c>
      <x:c r="AK365" s="21" t="str">
        <x:f>IF(OR(AH365&lt;&gt;1,NOT(ISNUMBER('Impostazioni'!$B$6)),'Impostazioni'!$B$6+AI365&lt;=0),"",AJ365/('Impostazioni'!$B$6+AI365))</x:f>
      </x:c>
      <x:c r="AL365" s="22" t="str">
        <x:f>IF(AH365&lt;&gt;1,"",IF(AC365&gt;0,AF365-_xlfn.MAXIFS($AF$8:$AF$507,$AF$8:$AF$507,"&lt;="&amp;AF365,$AC$8:$AC$507,"&lt;=0",$AH$8:$AH$507,1),0))</x:f>
      </x:c>
      <x:c r="AM365" s="22" t="str">
        <x:f>IF(AH365&lt;&gt;1,"",IF(AC365&lt;0,AF365-_xlfn.MAXIFS($AF$8:$AF$507,$AF$8:$AF$507,"&lt;="&amp;AF365,$AC$8:$AC$507,"&gt;=0",$AH$8:$AH$507,1),0))</x:f>
      </x:c>
      <x:c r="AN365" s="20" t="str">
        <x:f>IF(OR(A365="",NOT(ISNUMBER(B365)),NOT(ISNUMBER('Impostazioni'!$B$6))),"",'Impostazioni'!$B$6+SUMIFS($AC$8:$AC$507,$C$8:$C$507,"&lt;"&amp;B365,$AH$8:$AH$507,1)+SUMIFS('Cassa'!$F$8:$F$307,'Cassa'!$A$8:$A$307,"&lt;="&amp;B365,'Cassa'!$G$8:$G$307,"OK"))</x:f>
      </x:c>
      <x:c r="AO365" s="21" t="str">
        <x:f>IF(AND(ISNUMBER(Z365),ISNUMBER(AN365),AN365&gt;0),Z365/AN365,"")</x:f>
      </x:c>
      <x:c r="AP365" s="18" t="str">
        <x:f>IF(NOT(ISNUMBER(AO365)),"",IF(AO365&gt;'Impostazioni'!$B$7,"Oltre soglia personale","Nella soglia personale"))</x:f>
      </x:c>
      <x:c r="AQ365" s="18" t="str">
        <x:f>IF(A365="",IF(COUNTA(B365:V365)=0,"","Inserisci ID"),IF(COUNTIFS($A$8:$A$507,A365)&lt;&gt;1,"ID duplicato",IF(OR(NOT(ISNUMBER(B365)),D365="",E365="",F365="",G365="",H365="",COUNTIFS('Impostazioni'!$J$6:$J$25,F365)&lt;&gt;1),"Completa dati / elenchi",IF(OR(AND(I365&lt;&gt;"Lordo manuale",I365&lt;&gt;"Netto manuale",I365&lt;&gt;"Esecuzioni"),AND(J365&lt;&gt;"Aperto",J365&lt;&gt;"Chiuso",J365&lt;&gt;"Annullato")),"Modalità / stato mancanti",IF(AND(J365&lt;&gt;"Aperto",OR(NOT(ISNUMBER(C365)),C365&lt;B365)),"Correggi data chiusura",IF(OR(AND(Q365&lt;&gt;"",OR(NOT(ISNUMBER(Q365)),Q365&lt;0)),AND(R365&lt;&gt;"",OR(NOT(ISNUMBER(R365)),R365&lt;0,R365&gt;1))),"Commissione non valida",IF(J365="Annullato","OK",IF(OR(NOT(ISNUMBER(Z365)),Z365&lt;0,AND(O365&lt;&gt;"",NOT(ISNUMBER(O365)))),"Inserisci rischio",IF(AND(I365="Esecuzioni",OR(W365=0,COUNTIFS('Esecuzioni'!$A$8:$A$1007,A365,'Esecuzioni'!$Q$8:$Q$1007,"&lt;&gt;OK")&gt;0)),"Correggi esecuzioni",IF(J365="Aperto","OK",IF(AND(I365="Esecuzioni",S365="Coperto",ABS(X365-Y365)&gt;'Impostazioni'!$B$11),"Copertura residua",IF(NOT(ISNUMBER(AC365)),"Completa risultato / esito",IF(AND(Z365=0,AC365&lt;&gt;0),"Rischio nullo con P/L","OK")))))))))))))</x:f>
      </x:c>
      <x:c r="AR365" s="20" t="str">
        <x:f>IF(OR(A365="",J365&lt;&gt;"Aperto",AQ365&lt;&gt;"OK"),"",IF(I365="Esecuzioni",SUMIFS('Esecuzioni'!$P$8:$P$1007,'Esecuzioni'!$A$8:$A$1007,A365,'Esecuzioni'!$B$8:$B$1007,_xlfn.MAXIFS('Esecuzioni'!$B$8:$B$1007,'Esecuzioni'!$A$8:$A$1007,A365)),IF(LEFT(U365,8)="FREEBET:",0,Z365)))</x:f>
      </x:c>
      <x:c r="AS365" s="48" t="str">
        <x:f>IF(OR(A365="",E365=""),"",IF(COUNTIFS($E$8:E365,E365)=1,COUNT($AS$7:AS364)+1,""))</x:f>
      </x:c>
    </x:row>
    <x:row r="366" ht="22" customHeight="1">
      <x:c r="A366" s="7"/>
      <x:c r="B366" s="19"/>
      <x:c r="C366" s="19"/>
      <x:c r="D366" s="7"/>
      <x:c r="E366" s="7"/>
      <x:c r="F366" s="7"/>
      <x:c r="G366" s="7"/>
      <x:c r="H366" s="7"/>
      <x:c r="I366" s="7"/>
      <x:c r="J366" s="7"/>
      <x:c r="K366" s="10"/>
      <x:c r="L366" s="7"/>
      <x:c r="M366" s="10"/>
      <x:c r="N366" s="7"/>
      <x:c r="O366" s="8"/>
      <x:c r="P366" s="8"/>
      <x:c r="Q366" s="8"/>
      <x:c r="R366" s="9"/>
      <x:c r="S366" s="7"/>
      <x:c r="T366" s="7"/>
      <x:c r="U366" s="7"/>
      <x:c r="V366" s="7"/>
      <x:c r="W366" s="22" t="str">
        <x:f>IF(A366="","",COUNTIFS('Esecuzioni'!$A$8:$A$1007,A366,'Esecuzioni'!$Q$8:$Q$1007,"OK"))</x:f>
      </x:c>
      <x:c r="X366" s="20" t="str">
        <x:f>IF(OR(A366="",I366&lt;&gt;"Esecuzioni",W366=0),"",SUMIFS('Esecuzioni'!$L$8:$L$1007,'Esecuzioni'!$A$8:$A$1007,A366))</x:f>
      </x:c>
      <x:c r="Y366" s="20" t="str">
        <x:f>IF(OR(A366="",I366&lt;&gt;"Esecuzioni",W366=0),"",SUMIFS('Esecuzioni'!$M$8:$M$1007,'Esecuzioni'!$A$8:$A$1007,A366))</x:f>
      </x:c>
      <x:c r="Z366" s="20" t="str">
        <x:f>IF(A366="","",IF(J366="Annullato",0,IF(ISNUMBER(O366),O366,IF(AND(I366="Esecuzioni",W366&gt;0),_xlfn.MAXIFS('Esecuzioni'!$P$8:$P$1007,'Esecuzioni'!$A$8:$A$1007,A366),""))))</x:f>
      </x:c>
      <x:c r="AA366" s="20" t="str">
        <x:f>IF(OR(A366="",J366="Aperto"),"",IF(J366="Annullato",0,IF(I366="Lordo manuale",IF(ISNUMBER(P366),P366,""),IF(I366="Netto manuale",IF(AND(ISNUMBER(P366),ISNUMBER(Q366)),P366+Q366,""),IF(OR(W366=0,COUNTIFS('Esecuzioni'!$A$8:$A$1007,A366,'Esecuzioni'!$Q$8:$Q$1007,"&lt;&gt;OK")&gt;0),"",IF(S366="Vince",X366,IF(S366="Perde",Y366,IF(AND(S366="Coperto",ABS(X366-Y366)&lt;='Impostazioni'!$B$11),ROUND((X366+Y366)/2,2),""))))))))</x:f>
      </x:c>
      <x:c r="AB366" s="20" t="str">
        <x:f>IF(NOT(ISNUMBER(AA366)),"",IF(J366="Annullato",0,IF(ISNUMBER(Q366),Q366,ROUND(MAX(0,AA366)*IF(ISNUMBER(R366),R366,'Impostazioni'!$B$8),2))))</x:f>
      </x:c>
      <x:c r="AC366" s="20" t="str">
        <x:f>IF(AND(ISNUMBER(AA366),ISNUMBER(AB366)),ROUND(AA366-AB366,2),"")</x:f>
      </x:c>
      <x:c r="AD366" s="18" t="str">
        <x:f>IF(A366="","",IF(AQ366&lt;&gt;"OK","Incompleto",IF(J366="Aperto","Aperto",IF(J366="Annullato","Annullato",IF(AC366&gt;0,"Green",IF(AC366&lt;0,"Red","Flat"))))))</x:f>
      </x:c>
      <x:c r="AE366" s="21" t="str">
        <x:f>IF(AND(AH366=1,Z366&gt;0),AC366/Z366,"")</x:f>
      </x:c>
      <x:c r="AF366" s="22" t="str">
        <x:f>IF(AH366&lt;&gt;1,"",COUNTIFS($C$8:$C$507,"&lt;"&amp;C366,$AH$8:$AH$507,1)+COUNTIFS($C$8:$C$507,C366,$A$8:$A$507,"&lt;="&amp;A366,$AH$8:$AH$507,1))</x:f>
      </x:c>
      <x:c r="AG366" s="20" t="str">
        <x:f>IF(AH366&lt;&gt;1,"",SUMIFS($AC$8:$AC$507,$C$8:$C$507,"&lt;"&amp;C366,$AH$8:$AH$507,1)+SUMIFS($AC$8:$AC$507,$C$8:$C$507,C366,$A$8:$A$507,"&lt;="&amp;A366,$AH$8:$AH$507,1))</x:f>
      </x:c>
      <x:c r="AH366" s="22" t="str">
        <x:f>IF(A366="","",IF(AND(J366="Chiuso",AQ366="OK",ISNUMBER(AC366)),1,0))</x:f>
      </x:c>
      <x:c r="AI366" s="20" t="str">
        <x:f>IF(AH366&lt;&gt;1,"",MAX(0,_xlfn.MAXIFS($AG$8:$AG$507,$AF$8:$AF$507,"&lt;="&amp;AF366,$AH$8:$AH$507,1)))</x:f>
      </x:c>
      <x:c r="AJ366" s="20" t="str">
        <x:f>IF(AH366&lt;&gt;1,"",MAX(0,AI366-AG366))</x:f>
      </x:c>
      <x:c r="AK366" s="21" t="str">
        <x:f>IF(OR(AH366&lt;&gt;1,NOT(ISNUMBER('Impostazioni'!$B$6)),'Impostazioni'!$B$6+AI366&lt;=0),"",AJ366/('Impostazioni'!$B$6+AI366))</x:f>
      </x:c>
      <x:c r="AL366" s="22" t="str">
        <x:f>IF(AH366&lt;&gt;1,"",IF(AC366&gt;0,AF366-_xlfn.MAXIFS($AF$8:$AF$507,$AF$8:$AF$507,"&lt;="&amp;AF366,$AC$8:$AC$507,"&lt;=0",$AH$8:$AH$507,1),0))</x:f>
      </x:c>
      <x:c r="AM366" s="22" t="str">
        <x:f>IF(AH366&lt;&gt;1,"",IF(AC366&lt;0,AF366-_xlfn.MAXIFS($AF$8:$AF$507,$AF$8:$AF$507,"&lt;="&amp;AF366,$AC$8:$AC$507,"&gt;=0",$AH$8:$AH$507,1),0))</x:f>
      </x:c>
      <x:c r="AN366" s="20" t="str">
        <x:f>IF(OR(A366="",NOT(ISNUMBER(B366)),NOT(ISNUMBER('Impostazioni'!$B$6))),"",'Impostazioni'!$B$6+SUMIFS($AC$8:$AC$507,$C$8:$C$507,"&lt;"&amp;B366,$AH$8:$AH$507,1)+SUMIFS('Cassa'!$F$8:$F$307,'Cassa'!$A$8:$A$307,"&lt;="&amp;B366,'Cassa'!$G$8:$G$307,"OK"))</x:f>
      </x:c>
      <x:c r="AO366" s="21" t="str">
        <x:f>IF(AND(ISNUMBER(Z366),ISNUMBER(AN366),AN366&gt;0),Z366/AN366,"")</x:f>
      </x:c>
      <x:c r="AP366" s="18" t="str">
        <x:f>IF(NOT(ISNUMBER(AO366)),"",IF(AO366&gt;'Impostazioni'!$B$7,"Oltre soglia personale","Nella soglia personale"))</x:f>
      </x:c>
      <x:c r="AQ366" s="18" t="str">
        <x:f>IF(A366="",IF(COUNTA(B366:V366)=0,"","Inserisci ID"),IF(COUNTIFS($A$8:$A$507,A366)&lt;&gt;1,"ID duplicato",IF(OR(NOT(ISNUMBER(B366)),D366="",E366="",F366="",G366="",H366="",COUNTIFS('Impostazioni'!$J$6:$J$25,F366)&lt;&gt;1),"Completa dati / elenchi",IF(OR(AND(I366&lt;&gt;"Lordo manuale",I366&lt;&gt;"Netto manuale",I366&lt;&gt;"Esecuzioni"),AND(J366&lt;&gt;"Aperto",J366&lt;&gt;"Chiuso",J366&lt;&gt;"Annullato")),"Modalità / stato mancanti",IF(AND(J366&lt;&gt;"Aperto",OR(NOT(ISNUMBER(C366)),C366&lt;B366)),"Correggi data chiusura",IF(OR(AND(Q366&lt;&gt;"",OR(NOT(ISNUMBER(Q366)),Q366&lt;0)),AND(R366&lt;&gt;"",OR(NOT(ISNUMBER(R366)),R366&lt;0,R366&gt;1))),"Commissione non valida",IF(J366="Annullato","OK",IF(OR(NOT(ISNUMBER(Z366)),Z366&lt;0,AND(O366&lt;&gt;"",NOT(ISNUMBER(O366)))),"Inserisci rischio",IF(AND(I366="Esecuzioni",OR(W366=0,COUNTIFS('Esecuzioni'!$A$8:$A$1007,A366,'Esecuzioni'!$Q$8:$Q$1007,"&lt;&gt;OK")&gt;0)),"Correggi esecuzioni",IF(J366="Aperto","OK",IF(AND(I366="Esecuzioni",S366="Coperto",ABS(X366-Y366)&gt;'Impostazioni'!$B$11),"Copertura residua",IF(NOT(ISNUMBER(AC366)),"Completa risultato / esito",IF(AND(Z366=0,AC366&lt;&gt;0),"Rischio nullo con P/L","OK")))))))))))))</x:f>
      </x:c>
      <x:c r="AR366" s="20" t="str">
        <x:f>IF(OR(A366="",J366&lt;&gt;"Aperto",AQ366&lt;&gt;"OK"),"",IF(I366="Esecuzioni",SUMIFS('Esecuzioni'!$P$8:$P$1007,'Esecuzioni'!$A$8:$A$1007,A366,'Esecuzioni'!$B$8:$B$1007,_xlfn.MAXIFS('Esecuzioni'!$B$8:$B$1007,'Esecuzioni'!$A$8:$A$1007,A366)),IF(LEFT(U366,8)="FREEBET:",0,Z366)))</x:f>
      </x:c>
      <x:c r="AS366" s="48" t="str">
        <x:f>IF(OR(A366="",E366=""),"",IF(COUNTIFS($E$8:E366,E366)=1,COUNT($AS$7:AS365)+1,""))</x:f>
      </x:c>
    </x:row>
    <x:row r="367" ht="22" customHeight="1">
      <x:c r="A367" s="7"/>
      <x:c r="B367" s="19"/>
      <x:c r="C367" s="19"/>
      <x:c r="D367" s="7"/>
      <x:c r="E367" s="7"/>
      <x:c r="F367" s="7"/>
      <x:c r="G367" s="7"/>
      <x:c r="H367" s="7"/>
      <x:c r="I367" s="7"/>
      <x:c r="J367" s="7"/>
      <x:c r="K367" s="10"/>
      <x:c r="L367" s="7"/>
      <x:c r="M367" s="10"/>
      <x:c r="N367" s="7"/>
      <x:c r="O367" s="8"/>
      <x:c r="P367" s="8"/>
      <x:c r="Q367" s="8"/>
      <x:c r="R367" s="9"/>
      <x:c r="S367" s="7"/>
      <x:c r="T367" s="7"/>
      <x:c r="U367" s="7"/>
      <x:c r="V367" s="7"/>
      <x:c r="W367" s="22" t="str">
        <x:f>IF(A367="","",COUNTIFS('Esecuzioni'!$A$8:$A$1007,A367,'Esecuzioni'!$Q$8:$Q$1007,"OK"))</x:f>
      </x:c>
      <x:c r="X367" s="20" t="str">
        <x:f>IF(OR(A367="",I367&lt;&gt;"Esecuzioni",W367=0),"",SUMIFS('Esecuzioni'!$L$8:$L$1007,'Esecuzioni'!$A$8:$A$1007,A367))</x:f>
      </x:c>
      <x:c r="Y367" s="20" t="str">
        <x:f>IF(OR(A367="",I367&lt;&gt;"Esecuzioni",W367=0),"",SUMIFS('Esecuzioni'!$M$8:$M$1007,'Esecuzioni'!$A$8:$A$1007,A367))</x:f>
      </x:c>
      <x:c r="Z367" s="20" t="str">
        <x:f>IF(A367="","",IF(J367="Annullato",0,IF(ISNUMBER(O367),O367,IF(AND(I367="Esecuzioni",W367&gt;0),_xlfn.MAXIFS('Esecuzioni'!$P$8:$P$1007,'Esecuzioni'!$A$8:$A$1007,A367),""))))</x:f>
      </x:c>
      <x:c r="AA367" s="20" t="str">
        <x:f>IF(OR(A367="",J367="Aperto"),"",IF(J367="Annullato",0,IF(I367="Lordo manuale",IF(ISNUMBER(P367),P367,""),IF(I367="Netto manuale",IF(AND(ISNUMBER(P367),ISNUMBER(Q367)),P367+Q367,""),IF(OR(W367=0,COUNTIFS('Esecuzioni'!$A$8:$A$1007,A367,'Esecuzioni'!$Q$8:$Q$1007,"&lt;&gt;OK")&gt;0),"",IF(S367="Vince",X367,IF(S367="Perde",Y367,IF(AND(S367="Coperto",ABS(X367-Y367)&lt;='Impostazioni'!$B$11),ROUND((X367+Y367)/2,2),""))))))))</x:f>
      </x:c>
      <x:c r="AB367" s="20" t="str">
        <x:f>IF(NOT(ISNUMBER(AA367)),"",IF(J367="Annullato",0,IF(ISNUMBER(Q367),Q367,ROUND(MAX(0,AA367)*IF(ISNUMBER(R367),R367,'Impostazioni'!$B$8),2))))</x:f>
      </x:c>
      <x:c r="AC367" s="20" t="str">
        <x:f>IF(AND(ISNUMBER(AA367),ISNUMBER(AB367)),ROUND(AA367-AB367,2),"")</x:f>
      </x:c>
      <x:c r="AD367" s="18" t="str">
        <x:f>IF(A367="","",IF(AQ367&lt;&gt;"OK","Incompleto",IF(J367="Aperto","Aperto",IF(J367="Annullato","Annullato",IF(AC367&gt;0,"Green",IF(AC367&lt;0,"Red","Flat"))))))</x:f>
      </x:c>
      <x:c r="AE367" s="21" t="str">
        <x:f>IF(AND(AH367=1,Z367&gt;0),AC367/Z367,"")</x:f>
      </x:c>
      <x:c r="AF367" s="22" t="str">
        <x:f>IF(AH367&lt;&gt;1,"",COUNTIFS($C$8:$C$507,"&lt;"&amp;C367,$AH$8:$AH$507,1)+COUNTIFS($C$8:$C$507,C367,$A$8:$A$507,"&lt;="&amp;A367,$AH$8:$AH$507,1))</x:f>
      </x:c>
      <x:c r="AG367" s="20" t="str">
        <x:f>IF(AH367&lt;&gt;1,"",SUMIFS($AC$8:$AC$507,$C$8:$C$507,"&lt;"&amp;C367,$AH$8:$AH$507,1)+SUMIFS($AC$8:$AC$507,$C$8:$C$507,C367,$A$8:$A$507,"&lt;="&amp;A367,$AH$8:$AH$507,1))</x:f>
      </x:c>
      <x:c r="AH367" s="22" t="str">
        <x:f>IF(A367="","",IF(AND(J367="Chiuso",AQ367="OK",ISNUMBER(AC367)),1,0))</x:f>
      </x:c>
      <x:c r="AI367" s="20" t="str">
        <x:f>IF(AH367&lt;&gt;1,"",MAX(0,_xlfn.MAXIFS($AG$8:$AG$507,$AF$8:$AF$507,"&lt;="&amp;AF367,$AH$8:$AH$507,1)))</x:f>
      </x:c>
      <x:c r="AJ367" s="20" t="str">
        <x:f>IF(AH367&lt;&gt;1,"",MAX(0,AI367-AG367))</x:f>
      </x:c>
      <x:c r="AK367" s="21" t="str">
        <x:f>IF(OR(AH367&lt;&gt;1,NOT(ISNUMBER('Impostazioni'!$B$6)),'Impostazioni'!$B$6+AI367&lt;=0),"",AJ367/('Impostazioni'!$B$6+AI367))</x:f>
      </x:c>
      <x:c r="AL367" s="22" t="str">
        <x:f>IF(AH367&lt;&gt;1,"",IF(AC367&gt;0,AF367-_xlfn.MAXIFS($AF$8:$AF$507,$AF$8:$AF$507,"&lt;="&amp;AF367,$AC$8:$AC$507,"&lt;=0",$AH$8:$AH$507,1),0))</x:f>
      </x:c>
      <x:c r="AM367" s="22" t="str">
        <x:f>IF(AH367&lt;&gt;1,"",IF(AC367&lt;0,AF367-_xlfn.MAXIFS($AF$8:$AF$507,$AF$8:$AF$507,"&lt;="&amp;AF367,$AC$8:$AC$507,"&gt;=0",$AH$8:$AH$507,1),0))</x:f>
      </x:c>
      <x:c r="AN367" s="20" t="str">
        <x:f>IF(OR(A367="",NOT(ISNUMBER(B367)),NOT(ISNUMBER('Impostazioni'!$B$6))),"",'Impostazioni'!$B$6+SUMIFS($AC$8:$AC$507,$C$8:$C$507,"&lt;"&amp;B367,$AH$8:$AH$507,1)+SUMIFS('Cassa'!$F$8:$F$307,'Cassa'!$A$8:$A$307,"&lt;="&amp;B367,'Cassa'!$G$8:$G$307,"OK"))</x:f>
      </x:c>
      <x:c r="AO367" s="21" t="str">
        <x:f>IF(AND(ISNUMBER(Z367),ISNUMBER(AN367),AN367&gt;0),Z367/AN367,"")</x:f>
      </x:c>
      <x:c r="AP367" s="18" t="str">
        <x:f>IF(NOT(ISNUMBER(AO367)),"",IF(AO367&gt;'Impostazioni'!$B$7,"Oltre soglia personale","Nella soglia personale"))</x:f>
      </x:c>
      <x:c r="AQ367" s="18" t="str">
        <x:f>IF(A367="",IF(COUNTA(B367:V367)=0,"","Inserisci ID"),IF(COUNTIFS($A$8:$A$507,A367)&lt;&gt;1,"ID duplicato",IF(OR(NOT(ISNUMBER(B367)),D367="",E367="",F367="",G367="",H367="",COUNTIFS('Impostazioni'!$J$6:$J$25,F367)&lt;&gt;1),"Completa dati / elenchi",IF(OR(AND(I367&lt;&gt;"Lordo manuale",I367&lt;&gt;"Netto manuale",I367&lt;&gt;"Esecuzioni"),AND(J367&lt;&gt;"Aperto",J367&lt;&gt;"Chiuso",J367&lt;&gt;"Annullato")),"Modalità / stato mancanti",IF(AND(J367&lt;&gt;"Aperto",OR(NOT(ISNUMBER(C367)),C367&lt;B367)),"Correggi data chiusura",IF(OR(AND(Q367&lt;&gt;"",OR(NOT(ISNUMBER(Q367)),Q367&lt;0)),AND(R367&lt;&gt;"",OR(NOT(ISNUMBER(R367)),R367&lt;0,R367&gt;1))),"Commissione non valida",IF(J367="Annullato","OK",IF(OR(NOT(ISNUMBER(Z367)),Z367&lt;0,AND(O367&lt;&gt;"",NOT(ISNUMBER(O367)))),"Inserisci rischio",IF(AND(I367="Esecuzioni",OR(W367=0,COUNTIFS('Esecuzioni'!$A$8:$A$1007,A367,'Esecuzioni'!$Q$8:$Q$1007,"&lt;&gt;OK")&gt;0)),"Correggi esecuzioni",IF(J367="Aperto","OK",IF(AND(I367="Esecuzioni",S367="Coperto",ABS(X367-Y367)&gt;'Impostazioni'!$B$11),"Copertura residua",IF(NOT(ISNUMBER(AC367)),"Completa risultato / esito",IF(AND(Z367=0,AC367&lt;&gt;0),"Rischio nullo con P/L","OK")))))))))))))</x:f>
      </x:c>
      <x:c r="AR367" s="20" t="str">
        <x:f>IF(OR(A367="",J367&lt;&gt;"Aperto",AQ367&lt;&gt;"OK"),"",IF(I367="Esecuzioni",SUMIFS('Esecuzioni'!$P$8:$P$1007,'Esecuzioni'!$A$8:$A$1007,A367,'Esecuzioni'!$B$8:$B$1007,_xlfn.MAXIFS('Esecuzioni'!$B$8:$B$1007,'Esecuzioni'!$A$8:$A$1007,A367)),IF(LEFT(U367,8)="FREEBET:",0,Z367)))</x:f>
      </x:c>
      <x:c r="AS367" s="48" t="str">
        <x:f>IF(OR(A367="",E367=""),"",IF(COUNTIFS($E$8:E367,E367)=1,COUNT($AS$7:AS366)+1,""))</x:f>
      </x:c>
    </x:row>
    <x:row r="368" ht="22" customHeight="1">
      <x:c r="A368" s="7"/>
      <x:c r="B368" s="19"/>
      <x:c r="C368" s="19"/>
      <x:c r="D368" s="7"/>
      <x:c r="E368" s="7"/>
      <x:c r="F368" s="7"/>
      <x:c r="G368" s="7"/>
      <x:c r="H368" s="7"/>
      <x:c r="I368" s="7"/>
      <x:c r="J368" s="7"/>
      <x:c r="K368" s="10"/>
      <x:c r="L368" s="7"/>
      <x:c r="M368" s="10"/>
      <x:c r="N368" s="7"/>
      <x:c r="O368" s="8"/>
      <x:c r="P368" s="8"/>
      <x:c r="Q368" s="8"/>
      <x:c r="R368" s="9"/>
      <x:c r="S368" s="7"/>
      <x:c r="T368" s="7"/>
      <x:c r="U368" s="7"/>
      <x:c r="V368" s="7"/>
      <x:c r="W368" s="22" t="str">
        <x:f>IF(A368="","",COUNTIFS('Esecuzioni'!$A$8:$A$1007,A368,'Esecuzioni'!$Q$8:$Q$1007,"OK"))</x:f>
      </x:c>
      <x:c r="X368" s="20" t="str">
        <x:f>IF(OR(A368="",I368&lt;&gt;"Esecuzioni",W368=0),"",SUMIFS('Esecuzioni'!$L$8:$L$1007,'Esecuzioni'!$A$8:$A$1007,A368))</x:f>
      </x:c>
      <x:c r="Y368" s="20" t="str">
        <x:f>IF(OR(A368="",I368&lt;&gt;"Esecuzioni",W368=0),"",SUMIFS('Esecuzioni'!$M$8:$M$1007,'Esecuzioni'!$A$8:$A$1007,A368))</x:f>
      </x:c>
      <x:c r="Z368" s="20" t="str">
        <x:f>IF(A368="","",IF(J368="Annullato",0,IF(ISNUMBER(O368),O368,IF(AND(I368="Esecuzioni",W368&gt;0),_xlfn.MAXIFS('Esecuzioni'!$P$8:$P$1007,'Esecuzioni'!$A$8:$A$1007,A368),""))))</x:f>
      </x:c>
      <x:c r="AA368" s="20" t="str">
        <x:f>IF(OR(A368="",J368="Aperto"),"",IF(J368="Annullato",0,IF(I368="Lordo manuale",IF(ISNUMBER(P368),P368,""),IF(I368="Netto manuale",IF(AND(ISNUMBER(P368),ISNUMBER(Q368)),P368+Q368,""),IF(OR(W368=0,COUNTIFS('Esecuzioni'!$A$8:$A$1007,A368,'Esecuzioni'!$Q$8:$Q$1007,"&lt;&gt;OK")&gt;0),"",IF(S368="Vince",X368,IF(S368="Perde",Y368,IF(AND(S368="Coperto",ABS(X368-Y368)&lt;='Impostazioni'!$B$11),ROUND((X368+Y368)/2,2),""))))))))</x:f>
      </x:c>
      <x:c r="AB368" s="20" t="str">
        <x:f>IF(NOT(ISNUMBER(AA368)),"",IF(J368="Annullato",0,IF(ISNUMBER(Q368),Q368,ROUND(MAX(0,AA368)*IF(ISNUMBER(R368),R368,'Impostazioni'!$B$8),2))))</x:f>
      </x:c>
      <x:c r="AC368" s="20" t="str">
        <x:f>IF(AND(ISNUMBER(AA368),ISNUMBER(AB368)),ROUND(AA368-AB368,2),"")</x:f>
      </x:c>
      <x:c r="AD368" s="18" t="str">
        <x:f>IF(A368="","",IF(AQ368&lt;&gt;"OK","Incompleto",IF(J368="Aperto","Aperto",IF(J368="Annullato","Annullato",IF(AC368&gt;0,"Green",IF(AC368&lt;0,"Red","Flat"))))))</x:f>
      </x:c>
      <x:c r="AE368" s="21" t="str">
        <x:f>IF(AND(AH368=1,Z368&gt;0),AC368/Z368,"")</x:f>
      </x:c>
      <x:c r="AF368" s="22" t="str">
        <x:f>IF(AH368&lt;&gt;1,"",COUNTIFS($C$8:$C$507,"&lt;"&amp;C368,$AH$8:$AH$507,1)+COUNTIFS($C$8:$C$507,C368,$A$8:$A$507,"&lt;="&amp;A368,$AH$8:$AH$507,1))</x:f>
      </x:c>
      <x:c r="AG368" s="20" t="str">
        <x:f>IF(AH368&lt;&gt;1,"",SUMIFS($AC$8:$AC$507,$C$8:$C$507,"&lt;"&amp;C368,$AH$8:$AH$507,1)+SUMIFS($AC$8:$AC$507,$C$8:$C$507,C368,$A$8:$A$507,"&lt;="&amp;A368,$AH$8:$AH$507,1))</x:f>
      </x:c>
      <x:c r="AH368" s="22" t="str">
        <x:f>IF(A368="","",IF(AND(J368="Chiuso",AQ368="OK",ISNUMBER(AC368)),1,0))</x:f>
      </x:c>
      <x:c r="AI368" s="20" t="str">
        <x:f>IF(AH368&lt;&gt;1,"",MAX(0,_xlfn.MAXIFS($AG$8:$AG$507,$AF$8:$AF$507,"&lt;="&amp;AF368,$AH$8:$AH$507,1)))</x:f>
      </x:c>
      <x:c r="AJ368" s="20" t="str">
        <x:f>IF(AH368&lt;&gt;1,"",MAX(0,AI368-AG368))</x:f>
      </x:c>
      <x:c r="AK368" s="21" t="str">
        <x:f>IF(OR(AH368&lt;&gt;1,NOT(ISNUMBER('Impostazioni'!$B$6)),'Impostazioni'!$B$6+AI368&lt;=0),"",AJ368/('Impostazioni'!$B$6+AI368))</x:f>
      </x:c>
      <x:c r="AL368" s="22" t="str">
        <x:f>IF(AH368&lt;&gt;1,"",IF(AC368&gt;0,AF368-_xlfn.MAXIFS($AF$8:$AF$507,$AF$8:$AF$507,"&lt;="&amp;AF368,$AC$8:$AC$507,"&lt;=0",$AH$8:$AH$507,1),0))</x:f>
      </x:c>
      <x:c r="AM368" s="22" t="str">
        <x:f>IF(AH368&lt;&gt;1,"",IF(AC368&lt;0,AF368-_xlfn.MAXIFS($AF$8:$AF$507,$AF$8:$AF$507,"&lt;="&amp;AF368,$AC$8:$AC$507,"&gt;=0",$AH$8:$AH$507,1),0))</x:f>
      </x:c>
      <x:c r="AN368" s="20" t="str">
        <x:f>IF(OR(A368="",NOT(ISNUMBER(B368)),NOT(ISNUMBER('Impostazioni'!$B$6))),"",'Impostazioni'!$B$6+SUMIFS($AC$8:$AC$507,$C$8:$C$507,"&lt;"&amp;B368,$AH$8:$AH$507,1)+SUMIFS('Cassa'!$F$8:$F$307,'Cassa'!$A$8:$A$307,"&lt;="&amp;B368,'Cassa'!$G$8:$G$307,"OK"))</x:f>
      </x:c>
      <x:c r="AO368" s="21" t="str">
        <x:f>IF(AND(ISNUMBER(Z368),ISNUMBER(AN368),AN368&gt;0),Z368/AN368,"")</x:f>
      </x:c>
      <x:c r="AP368" s="18" t="str">
        <x:f>IF(NOT(ISNUMBER(AO368)),"",IF(AO368&gt;'Impostazioni'!$B$7,"Oltre soglia personale","Nella soglia personale"))</x:f>
      </x:c>
      <x:c r="AQ368" s="18" t="str">
        <x:f>IF(A368="",IF(COUNTA(B368:V368)=0,"","Inserisci ID"),IF(COUNTIFS($A$8:$A$507,A368)&lt;&gt;1,"ID duplicato",IF(OR(NOT(ISNUMBER(B368)),D368="",E368="",F368="",G368="",H368="",COUNTIFS('Impostazioni'!$J$6:$J$25,F368)&lt;&gt;1),"Completa dati / elenchi",IF(OR(AND(I368&lt;&gt;"Lordo manuale",I368&lt;&gt;"Netto manuale",I368&lt;&gt;"Esecuzioni"),AND(J368&lt;&gt;"Aperto",J368&lt;&gt;"Chiuso",J368&lt;&gt;"Annullato")),"Modalità / stato mancanti",IF(AND(J368&lt;&gt;"Aperto",OR(NOT(ISNUMBER(C368)),C368&lt;B368)),"Correggi data chiusura",IF(OR(AND(Q368&lt;&gt;"",OR(NOT(ISNUMBER(Q368)),Q368&lt;0)),AND(R368&lt;&gt;"",OR(NOT(ISNUMBER(R368)),R368&lt;0,R368&gt;1))),"Commissione non valida",IF(J368="Annullato","OK",IF(OR(NOT(ISNUMBER(Z368)),Z368&lt;0,AND(O368&lt;&gt;"",NOT(ISNUMBER(O368)))),"Inserisci rischio",IF(AND(I368="Esecuzioni",OR(W368=0,COUNTIFS('Esecuzioni'!$A$8:$A$1007,A368,'Esecuzioni'!$Q$8:$Q$1007,"&lt;&gt;OK")&gt;0)),"Correggi esecuzioni",IF(J368="Aperto","OK",IF(AND(I368="Esecuzioni",S368="Coperto",ABS(X368-Y368)&gt;'Impostazioni'!$B$11),"Copertura residua",IF(NOT(ISNUMBER(AC368)),"Completa risultato / esito",IF(AND(Z368=0,AC368&lt;&gt;0),"Rischio nullo con P/L","OK")))))))))))))</x:f>
      </x:c>
      <x:c r="AR368" s="20" t="str">
        <x:f>IF(OR(A368="",J368&lt;&gt;"Aperto",AQ368&lt;&gt;"OK"),"",IF(I368="Esecuzioni",SUMIFS('Esecuzioni'!$P$8:$P$1007,'Esecuzioni'!$A$8:$A$1007,A368,'Esecuzioni'!$B$8:$B$1007,_xlfn.MAXIFS('Esecuzioni'!$B$8:$B$1007,'Esecuzioni'!$A$8:$A$1007,A368)),IF(LEFT(U368,8)="FREEBET:",0,Z368)))</x:f>
      </x:c>
      <x:c r="AS368" s="48" t="str">
        <x:f>IF(OR(A368="",E368=""),"",IF(COUNTIFS($E$8:E368,E368)=1,COUNT($AS$7:AS367)+1,""))</x:f>
      </x:c>
    </x:row>
    <x:row r="369" ht="22" customHeight="1">
      <x:c r="A369" s="7"/>
      <x:c r="B369" s="19"/>
      <x:c r="C369" s="19"/>
      <x:c r="D369" s="7"/>
      <x:c r="E369" s="7"/>
      <x:c r="F369" s="7"/>
      <x:c r="G369" s="7"/>
      <x:c r="H369" s="7"/>
      <x:c r="I369" s="7"/>
      <x:c r="J369" s="7"/>
      <x:c r="K369" s="10"/>
      <x:c r="L369" s="7"/>
      <x:c r="M369" s="10"/>
      <x:c r="N369" s="7"/>
      <x:c r="O369" s="8"/>
      <x:c r="P369" s="8"/>
      <x:c r="Q369" s="8"/>
      <x:c r="R369" s="9"/>
      <x:c r="S369" s="7"/>
      <x:c r="T369" s="7"/>
      <x:c r="U369" s="7"/>
      <x:c r="V369" s="7"/>
      <x:c r="W369" s="22" t="str">
        <x:f>IF(A369="","",COUNTIFS('Esecuzioni'!$A$8:$A$1007,A369,'Esecuzioni'!$Q$8:$Q$1007,"OK"))</x:f>
      </x:c>
      <x:c r="X369" s="20" t="str">
        <x:f>IF(OR(A369="",I369&lt;&gt;"Esecuzioni",W369=0),"",SUMIFS('Esecuzioni'!$L$8:$L$1007,'Esecuzioni'!$A$8:$A$1007,A369))</x:f>
      </x:c>
      <x:c r="Y369" s="20" t="str">
        <x:f>IF(OR(A369="",I369&lt;&gt;"Esecuzioni",W369=0),"",SUMIFS('Esecuzioni'!$M$8:$M$1007,'Esecuzioni'!$A$8:$A$1007,A369))</x:f>
      </x:c>
      <x:c r="Z369" s="20" t="str">
        <x:f>IF(A369="","",IF(J369="Annullato",0,IF(ISNUMBER(O369),O369,IF(AND(I369="Esecuzioni",W369&gt;0),_xlfn.MAXIFS('Esecuzioni'!$P$8:$P$1007,'Esecuzioni'!$A$8:$A$1007,A369),""))))</x:f>
      </x:c>
      <x:c r="AA369" s="20" t="str">
        <x:f>IF(OR(A369="",J369="Aperto"),"",IF(J369="Annullato",0,IF(I369="Lordo manuale",IF(ISNUMBER(P369),P369,""),IF(I369="Netto manuale",IF(AND(ISNUMBER(P369),ISNUMBER(Q369)),P369+Q369,""),IF(OR(W369=0,COUNTIFS('Esecuzioni'!$A$8:$A$1007,A369,'Esecuzioni'!$Q$8:$Q$1007,"&lt;&gt;OK")&gt;0),"",IF(S369="Vince",X369,IF(S369="Perde",Y369,IF(AND(S369="Coperto",ABS(X369-Y369)&lt;='Impostazioni'!$B$11),ROUND((X369+Y369)/2,2),""))))))))</x:f>
      </x:c>
      <x:c r="AB369" s="20" t="str">
        <x:f>IF(NOT(ISNUMBER(AA369)),"",IF(J369="Annullato",0,IF(ISNUMBER(Q369),Q369,ROUND(MAX(0,AA369)*IF(ISNUMBER(R369),R369,'Impostazioni'!$B$8),2))))</x:f>
      </x:c>
      <x:c r="AC369" s="20" t="str">
        <x:f>IF(AND(ISNUMBER(AA369),ISNUMBER(AB369)),ROUND(AA369-AB369,2),"")</x:f>
      </x:c>
      <x:c r="AD369" s="18" t="str">
        <x:f>IF(A369="","",IF(AQ369&lt;&gt;"OK","Incompleto",IF(J369="Aperto","Aperto",IF(J369="Annullato","Annullato",IF(AC369&gt;0,"Green",IF(AC369&lt;0,"Red","Flat"))))))</x:f>
      </x:c>
      <x:c r="AE369" s="21" t="str">
        <x:f>IF(AND(AH369=1,Z369&gt;0),AC369/Z369,"")</x:f>
      </x:c>
      <x:c r="AF369" s="22" t="str">
        <x:f>IF(AH369&lt;&gt;1,"",COUNTIFS($C$8:$C$507,"&lt;"&amp;C369,$AH$8:$AH$507,1)+COUNTIFS($C$8:$C$507,C369,$A$8:$A$507,"&lt;="&amp;A369,$AH$8:$AH$507,1))</x:f>
      </x:c>
      <x:c r="AG369" s="20" t="str">
        <x:f>IF(AH369&lt;&gt;1,"",SUMIFS($AC$8:$AC$507,$C$8:$C$507,"&lt;"&amp;C369,$AH$8:$AH$507,1)+SUMIFS($AC$8:$AC$507,$C$8:$C$507,C369,$A$8:$A$507,"&lt;="&amp;A369,$AH$8:$AH$507,1))</x:f>
      </x:c>
      <x:c r="AH369" s="22" t="str">
        <x:f>IF(A369="","",IF(AND(J369="Chiuso",AQ369="OK",ISNUMBER(AC369)),1,0))</x:f>
      </x:c>
      <x:c r="AI369" s="20" t="str">
        <x:f>IF(AH369&lt;&gt;1,"",MAX(0,_xlfn.MAXIFS($AG$8:$AG$507,$AF$8:$AF$507,"&lt;="&amp;AF369,$AH$8:$AH$507,1)))</x:f>
      </x:c>
      <x:c r="AJ369" s="20" t="str">
        <x:f>IF(AH369&lt;&gt;1,"",MAX(0,AI369-AG369))</x:f>
      </x:c>
      <x:c r="AK369" s="21" t="str">
        <x:f>IF(OR(AH369&lt;&gt;1,NOT(ISNUMBER('Impostazioni'!$B$6)),'Impostazioni'!$B$6+AI369&lt;=0),"",AJ369/('Impostazioni'!$B$6+AI369))</x:f>
      </x:c>
      <x:c r="AL369" s="22" t="str">
        <x:f>IF(AH369&lt;&gt;1,"",IF(AC369&gt;0,AF369-_xlfn.MAXIFS($AF$8:$AF$507,$AF$8:$AF$507,"&lt;="&amp;AF369,$AC$8:$AC$507,"&lt;=0",$AH$8:$AH$507,1),0))</x:f>
      </x:c>
      <x:c r="AM369" s="22" t="str">
        <x:f>IF(AH369&lt;&gt;1,"",IF(AC369&lt;0,AF369-_xlfn.MAXIFS($AF$8:$AF$507,$AF$8:$AF$507,"&lt;="&amp;AF369,$AC$8:$AC$507,"&gt;=0",$AH$8:$AH$507,1),0))</x:f>
      </x:c>
      <x:c r="AN369" s="20" t="str">
        <x:f>IF(OR(A369="",NOT(ISNUMBER(B369)),NOT(ISNUMBER('Impostazioni'!$B$6))),"",'Impostazioni'!$B$6+SUMIFS($AC$8:$AC$507,$C$8:$C$507,"&lt;"&amp;B369,$AH$8:$AH$507,1)+SUMIFS('Cassa'!$F$8:$F$307,'Cassa'!$A$8:$A$307,"&lt;="&amp;B369,'Cassa'!$G$8:$G$307,"OK"))</x:f>
      </x:c>
      <x:c r="AO369" s="21" t="str">
        <x:f>IF(AND(ISNUMBER(Z369),ISNUMBER(AN369),AN369&gt;0),Z369/AN369,"")</x:f>
      </x:c>
      <x:c r="AP369" s="18" t="str">
        <x:f>IF(NOT(ISNUMBER(AO369)),"",IF(AO369&gt;'Impostazioni'!$B$7,"Oltre soglia personale","Nella soglia personale"))</x:f>
      </x:c>
      <x:c r="AQ369" s="18" t="str">
        <x:f>IF(A369="",IF(COUNTA(B369:V369)=0,"","Inserisci ID"),IF(COUNTIFS($A$8:$A$507,A369)&lt;&gt;1,"ID duplicato",IF(OR(NOT(ISNUMBER(B369)),D369="",E369="",F369="",G369="",H369="",COUNTIFS('Impostazioni'!$J$6:$J$25,F369)&lt;&gt;1),"Completa dati / elenchi",IF(OR(AND(I369&lt;&gt;"Lordo manuale",I369&lt;&gt;"Netto manuale",I369&lt;&gt;"Esecuzioni"),AND(J369&lt;&gt;"Aperto",J369&lt;&gt;"Chiuso",J369&lt;&gt;"Annullato")),"Modalità / stato mancanti",IF(AND(J369&lt;&gt;"Aperto",OR(NOT(ISNUMBER(C369)),C369&lt;B369)),"Correggi data chiusura",IF(OR(AND(Q369&lt;&gt;"",OR(NOT(ISNUMBER(Q369)),Q369&lt;0)),AND(R369&lt;&gt;"",OR(NOT(ISNUMBER(R369)),R369&lt;0,R369&gt;1))),"Commissione non valida",IF(J369="Annullato","OK",IF(OR(NOT(ISNUMBER(Z369)),Z369&lt;0,AND(O369&lt;&gt;"",NOT(ISNUMBER(O369)))),"Inserisci rischio",IF(AND(I369="Esecuzioni",OR(W369=0,COUNTIFS('Esecuzioni'!$A$8:$A$1007,A369,'Esecuzioni'!$Q$8:$Q$1007,"&lt;&gt;OK")&gt;0)),"Correggi esecuzioni",IF(J369="Aperto","OK",IF(AND(I369="Esecuzioni",S369="Coperto",ABS(X369-Y369)&gt;'Impostazioni'!$B$11),"Copertura residua",IF(NOT(ISNUMBER(AC369)),"Completa risultato / esito",IF(AND(Z369=0,AC369&lt;&gt;0),"Rischio nullo con P/L","OK")))))))))))))</x:f>
      </x:c>
      <x:c r="AR369" s="20" t="str">
        <x:f>IF(OR(A369="",J369&lt;&gt;"Aperto",AQ369&lt;&gt;"OK"),"",IF(I369="Esecuzioni",SUMIFS('Esecuzioni'!$P$8:$P$1007,'Esecuzioni'!$A$8:$A$1007,A369,'Esecuzioni'!$B$8:$B$1007,_xlfn.MAXIFS('Esecuzioni'!$B$8:$B$1007,'Esecuzioni'!$A$8:$A$1007,A369)),IF(LEFT(U369,8)="FREEBET:",0,Z369)))</x:f>
      </x:c>
      <x:c r="AS369" s="48" t="str">
        <x:f>IF(OR(A369="",E369=""),"",IF(COUNTIFS($E$8:E369,E369)=1,COUNT($AS$7:AS368)+1,""))</x:f>
      </x:c>
    </x:row>
    <x:row r="370" ht="22" customHeight="1">
      <x:c r="A370" s="7"/>
      <x:c r="B370" s="19"/>
      <x:c r="C370" s="19"/>
      <x:c r="D370" s="7"/>
      <x:c r="E370" s="7"/>
      <x:c r="F370" s="7"/>
      <x:c r="G370" s="7"/>
      <x:c r="H370" s="7"/>
      <x:c r="I370" s="7"/>
      <x:c r="J370" s="7"/>
      <x:c r="K370" s="10"/>
      <x:c r="L370" s="7"/>
      <x:c r="M370" s="10"/>
      <x:c r="N370" s="7"/>
      <x:c r="O370" s="8"/>
      <x:c r="P370" s="8"/>
      <x:c r="Q370" s="8"/>
      <x:c r="R370" s="9"/>
      <x:c r="S370" s="7"/>
      <x:c r="T370" s="7"/>
      <x:c r="U370" s="7"/>
      <x:c r="V370" s="7"/>
      <x:c r="W370" s="22" t="str">
        <x:f>IF(A370="","",COUNTIFS('Esecuzioni'!$A$8:$A$1007,A370,'Esecuzioni'!$Q$8:$Q$1007,"OK"))</x:f>
      </x:c>
      <x:c r="X370" s="20" t="str">
        <x:f>IF(OR(A370="",I370&lt;&gt;"Esecuzioni",W370=0),"",SUMIFS('Esecuzioni'!$L$8:$L$1007,'Esecuzioni'!$A$8:$A$1007,A370))</x:f>
      </x:c>
      <x:c r="Y370" s="20" t="str">
        <x:f>IF(OR(A370="",I370&lt;&gt;"Esecuzioni",W370=0),"",SUMIFS('Esecuzioni'!$M$8:$M$1007,'Esecuzioni'!$A$8:$A$1007,A370))</x:f>
      </x:c>
      <x:c r="Z370" s="20" t="str">
        <x:f>IF(A370="","",IF(J370="Annullato",0,IF(ISNUMBER(O370),O370,IF(AND(I370="Esecuzioni",W370&gt;0),_xlfn.MAXIFS('Esecuzioni'!$P$8:$P$1007,'Esecuzioni'!$A$8:$A$1007,A370),""))))</x:f>
      </x:c>
      <x:c r="AA370" s="20" t="str">
        <x:f>IF(OR(A370="",J370="Aperto"),"",IF(J370="Annullato",0,IF(I370="Lordo manuale",IF(ISNUMBER(P370),P370,""),IF(I370="Netto manuale",IF(AND(ISNUMBER(P370),ISNUMBER(Q370)),P370+Q370,""),IF(OR(W370=0,COUNTIFS('Esecuzioni'!$A$8:$A$1007,A370,'Esecuzioni'!$Q$8:$Q$1007,"&lt;&gt;OK")&gt;0),"",IF(S370="Vince",X370,IF(S370="Perde",Y370,IF(AND(S370="Coperto",ABS(X370-Y370)&lt;='Impostazioni'!$B$11),ROUND((X370+Y370)/2,2),""))))))))</x:f>
      </x:c>
      <x:c r="AB370" s="20" t="str">
        <x:f>IF(NOT(ISNUMBER(AA370)),"",IF(J370="Annullato",0,IF(ISNUMBER(Q370),Q370,ROUND(MAX(0,AA370)*IF(ISNUMBER(R370),R370,'Impostazioni'!$B$8),2))))</x:f>
      </x:c>
      <x:c r="AC370" s="20" t="str">
        <x:f>IF(AND(ISNUMBER(AA370),ISNUMBER(AB370)),ROUND(AA370-AB370,2),"")</x:f>
      </x:c>
      <x:c r="AD370" s="18" t="str">
        <x:f>IF(A370="","",IF(AQ370&lt;&gt;"OK","Incompleto",IF(J370="Aperto","Aperto",IF(J370="Annullato","Annullato",IF(AC370&gt;0,"Green",IF(AC370&lt;0,"Red","Flat"))))))</x:f>
      </x:c>
      <x:c r="AE370" s="21" t="str">
        <x:f>IF(AND(AH370=1,Z370&gt;0),AC370/Z370,"")</x:f>
      </x:c>
      <x:c r="AF370" s="22" t="str">
        <x:f>IF(AH370&lt;&gt;1,"",COUNTIFS($C$8:$C$507,"&lt;"&amp;C370,$AH$8:$AH$507,1)+COUNTIFS($C$8:$C$507,C370,$A$8:$A$507,"&lt;="&amp;A370,$AH$8:$AH$507,1))</x:f>
      </x:c>
      <x:c r="AG370" s="20" t="str">
        <x:f>IF(AH370&lt;&gt;1,"",SUMIFS($AC$8:$AC$507,$C$8:$C$507,"&lt;"&amp;C370,$AH$8:$AH$507,1)+SUMIFS($AC$8:$AC$507,$C$8:$C$507,C370,$A$8:$A$507,"&lt;="&amp;A370,$AH$8:$AH$507,1))</x:f>
      </x:c>
      <x:c r="AH370" s="22" t="str">
        <x:f>IF(A370="","",IF(AND(J370="Chiuso",AQ370="OK",ISNUMBER(AC370)),1,0))</x:f>
      </x:c>
      <x:c r="AI370" s="20" t="str">
        <x:f>IF(AH370&lt;&gt;1,"",MAX(0,_xlfn.MAXIFS($AG$8:$AG$507,$AF$8:$AF$507,"&lt;="&amp;AF370,$AH$8:$AH$507,1)))</x:f>
      </x:c>
      <x:c r="AJ370" s="20" t="str">
        <x:f>IF(AH370&lt;&gt;1,"",MAX(0,AI370-AG370))</x:f>
      </x:c>
      <x:c r="AK370" s="21" t="str">
        <x:f>IF(OR(AH370&lt;&gt;1,NOT(ISNUMBER('Impostazioni'!$B$6)),'Impostazioni'!$B$6+AI370&lt;=0),"",AJ370/('Impostazioni'!$B$6+AI370))</x:f>
      </x:c>
      <x:c r="AL370" s="22" t="str">
        <x:f>IF(AH370&lt;&gt;1,"",IF(AC370&gt;0,AF370-_xlfn.MAXIFS($AF$8:$AF$507,$AF$8:$AF$507,"&lt;="&amp;AF370,$AC$8:$AC$507,"&lt;=0",$AH$8:$AH$507,1),0))</x:f>
      </x:c>
      <x:c r="AM370" s="22" t="str">
        <x:f>IF(AH370&lt;&gt;1,"",IF(AC370&lt;0,AF370-_xlfn.MAXIFS($AF$8:$AF$507,$AF$8:$AF$507,"&lt;="&amp;AF370,$AC$8:$AC$507,"&gt;=0",$AH$8:$AH$507,1),0))</x:f>
      </x:c>
      <x:c r="AN370" s="20" t="str">
        <x:f>IF(OR(A370="",NOT(ISNUMBER(B370)),NOT(ISNUMBER('Impostazioni'!$B$6))),"",'Impostazioni'!$B$6+SUMIFS($AC$8:$AC$507,$C$8:$C$507,"&lt;"&amp;B370,$AH$8:$AH$507,1)+SUMIFS('Cassa'!$F$8:$F$307,'Cassa'!$A$8:$A$307,"&lt;="&amp;B370,'Cassa'!$G$8:$G$307,"OK"))</x:f>
      </x:c>
      <x:c r="AO370" s="21" t="str">
        <x:f>IF(AND(ISNUMBER(Z370),ISNUMBER(AN370),AN370&gt;0),Z370/AN370,"")</x:f>
      </x:c>
      <x:c r="AP370" s="18" t="str">
        <x:f>IF(NOT(ISNUMBER(AO370)),"",IF(AO370&gt;'Impostazioni'!$B$7,"Oltre soglia personale","Nella soglia personale"))</x:f>
      </x:c>
      <x:c r="AQ370" s="18" t="str">
        <x:f>IF(A370="",IF(COUNTA(B370:V370)=0,"","Inserisci ID"),IF(COUNTIFS($A$8:$A$507,A370)&lt;&gt;1,"ID duplicato",IF(OR(NOT(ISNUMBER(B370)),D370="",E370="",F370="",G370="",H370="",COUNTIFS('Impostazioni'!$J$6:$J$25,F370)&lt;&gt;1),"Completa dati / elenchi",IF(OR(AND(I370&lt;&gt;"Lordo manuale",I370&lt;&gt;"Netto manuale",I370&lt;&gt;"Esecuzioni"),AND(J370&lt;&gt;"Aperto",J370&lt;&gt;"Chiuso",J370&lt;&gt;"Annullato")),"Modalità / stato mancanti",IF(AND(J370&lt;&gt;"Aperto",OR(NOT(ISNUMBER(C370)),C370&lt;B370)),"Correggi data chiusura",IF(OR(AND(Q370&lt;&gt;"",OR(NOT(ISNUMBER(Q370)),Q370&lt;0)),AND(R370&lt;&gt;"",OR(NOT(ISNUMBER(R370)),R370&lt;0,R370&gt;1))),"Commissione non valida",IF(J370="Annullato","OK",IF(OR(NOT(ISNUMBER(Z370)),Z370&lt;0,AND(O370&lt;&gt;"",NOT(ISNUMBER(O370)))),"Inserisci rischio",IF(AND(I370="Esecuzioni",OR(W370=0,COUNTIFS('Esecuzioni'!$A$8:$A$1007,A370,'Esecuzioni'!$Q$8:$Q$1007,"&lt;&gt;OK")&gt;0)),"Correggi esecuzioni",IF(J370="Aperto","OK",IF(AND(I370="Esecuzioni",S370="Coperto",ABS(X370-Y370)&gt;'Impostazioni'!$B$11),"Copertura residua",IF(NOT(ISNUMBER(AC370)),"Completa risultato / esito",IF(AND(Z370=0,AC370&lt;&gt;0),"Rischio nullo con P/L","OK")))))))))))))</x:f>
      </x:c>
      <x:c r="AR370" s="20" t="str">
        <x:f>IF(OR(A370="",J370&lt;&gt;"Aperto",AQ370&lt;&gt;"OK"),"",IF(I370="Esecuzioni",SUMIFS('Esecuzioni'!$P$8:$P$1007,'Esecuzioni'!$A$8:$A$1007,A370,'Esecuzioni'!$B$8:$B$1007,_xlfn.MAXIFS('Esecuzioni'!$B$8:$B$1007,'Esecuzioni'!$A$8:$A$1007,A370)),IF(LEFT(U370,8)="FREEBET:",0,Z370)))</x:f>
      </x:c>
      <x:c r="AS370" s="48" t="str">
        <x:f>IF(OR(A370="",E370=""),"",IF(COUNTIFS($E$8:E370,E370)=1,COUNT($AS$7:AS369)+1,""))</x:f>
      </x:c>
    </x:row>
    <x:row r="371" ht="22" customHeight="1">
      <x:c r="A371" s="7"/>
      <x:c r="B371" s="19"/>
      <x:c r="C371" s="19"/>
      <x:c r="D371" s="7"/>
      <x:c r="E371" s="7"/>
      <x:c r="F371" s="7"/>
      <x:c r="G371" s="7"/>
      <x:c r="H371" s="7"/>
      <x:c r="I371" s="7"/>
      <x:c r="J371" s="7"/>
      <x:c r="K371" s="10"/>
      <x:c r="L371" s="7"/>
      <x:c r="M371" s="10"/>
      <x:c r="N371" s="7"/>
      <x:c r="O371" s="8"/>
      <x:c r="P371" s="8"/>
      <x:c r="Q371" s="8"/>
      <x:c r="R371" s="9"/>
      <x:c r="S371" s="7"/>
      <x:c r="T371" s="7"/>
      <x:c r="U371" s="7"/>
      <x:c r="V371" s="7"/>
      <x:c r="W371" s="22" t="str">
        <x:f>IF(A371="","",COUNTIFS('Esecuzioni'!$A$8:$A$1007,A371,'Esecuzioni'!$Q$8:$Q$1007,"OK"))</x:f>
      </x:c>
      <x:c r="X371" s="20" t="str">
        <x:f>IF(OR(A371="",I371&lt;&gt;"Esecuzioni",W371=0),"",SUMIFS('Esecuzioni'!$L$8:$L$1007,'Esecuzioni'!$A$8:$A$1007,A371))</x:f>
      </x:c>
      <x:c r="Y371" s="20" t="str">
        <x:f>IF(OR(A371="",I371&lt;&gt;"Esecuzioni",W371=0),"",SUMIFS('Esecuzioni'!$M$8:$M$1007,'Esecuzioni'!$A$8:$A$1007,A371))</x:f>
      </x:c>
      <x:c r="Z371" s="20" t="str">
        <x:f>IF(A371="","",IF(J371="Annullato",0,IF(ISNUMBER(O371),O371,IF(AND(I371="Esecuzioni",W371&gt;0),_xlfn.MAXIFS('Esecuzioni'!$P$8:$P$1007,'Esecuzioni'!$A$8:$A$1007,A371),""))))</x:f>
      </x:c>
      <x:c r="AA371" s="20" t="str">
        <x:f>IF(OR(A371="",J371="Aperto"),"",IF(J371="Annullato",0,IF(I371="Lordo manuale",IF(ISNUMBER(P371),P371,""),IF(I371="Netto manuale",IF(AND(ISNUMBER(P371),ISNUMBER(Q371)),P371+Q371,""),IF(OR(W371=0,COUNTIFS('Esecuzioni'!$A$8:$A$1007,A371,'Esecuzioni'!$Q$8:$Q$1007,"&lt;&gt;OK")&gt;0),"",IF(S371="Vince",X371,IF(S371="Perde",Y371,IF(AND(S371="Coperto",ABS(X371-Y371)&lt;='Impostazioni'!$B$11),ROUND((X371+Y371)/2,2),""))))))))</x:f>
      </x:c>
      <x:c r="AB371" s="20" t="str">
        <x:f>IF(NOT(ISNUMBER(AA371)),"",IF(J371="Annullato",0,IF(ISNUMBER(Q371),Q371,ROUND(MAX(0,AA371)*IF(ISNUMBER(R371),R371,'Impostazioni'!$B$8),2))))</x:f>
      </x:c>
      <x:c r="AC371" s="20" t="str">
        <x:f>IF(AND(ISNUMBER(AA371),ISNUMBER(AB371)),ROUND(AA371-AB371,2),"")</x:f>
      </x:c>
      <x:c r="AD371" s="18" t="str">
        <x:f>IF(A371="","",IF(AQ371&lt;&gt;"OK","Incompleto",IF(J371="Aperto","Aperto",IF(J371="Annullato","Annullato",IF(AC371&gt;0,"Green",IF(AC371&lt;0,"Red","Flat"))))))</x:f>
      </x:c>
      <x:c r="AE371" s="21" t="str">
        <x:f>IF(AND(AH371=1,Z371&gt;0),AC371/Z371,"")</x:f>
      </x:c>
      <x:c r="AF371" s="22" t="str">
        <x:f>IF(AH371&lt;&gt;1,"",COUNTIFS($C$8:$C$507,"&lt;"&amp;C371,$AH$8:$AH$507,1)+COUNTIFS($C$8:$C$507,C371,$A$8:$A$507,"&lt;="&amp;A371,$AH$8:$AH$507,1))</x:f>
      </x:c>
      <x:c r="AG371" s="20" t="str">
        <x:f>IF(AH371&lt;&gt;1,"",SUMIFS($AC$8:$AC$507,$C$8:$C$507,"&lt;"&amp;C371,$AH$8:$AH$507,1)+SUMIFS($AC$8:$AC$507,$C$8:$C$507,C371,$A$8:$A$507,"&lt;="&amp;A371,$AH$8:$AH$507,1))</x:f>
      </x:c>
      <x:c r="AH371" s="22" t="str">
        <x:f>IF(A371="","",IF(AND(J371="Chiuso",AQ371="OK",ISNUMBER(AC371)),1,0))</x:f>
      </x:c>
      <x:c r="AI371" s="20" t="str">
        <x:f>IF(AH371&lt;&gt;1,"",MAX(0,_xlfn.MAXIFS($AG$8:$AG$507,$AF$8:$AF$507,"&lt;="&amp;AF371,$AH$8:$AH$507,1)))</x:f>
      </x:c>
      <x:c r="AJ371" s="20" t="str">
        <x:f>IF(AH371&lt;&gt;1,"",MAX(0,AI371-AG371))</x:f>
      </x:c>
      <x:c r="AK371" s="21" t="str">
        <x:f>IF(OR(AH371&lt;&gt;1,NOT(ISNUMBER('Impostazioni'!$B$6)),'Impostazioni'!$B$6+AI371&lt;=0),"",AJ371/('Impostazioni'!$B$6+AI371))</x:f>
      </x:c>
      <x:c r="AL371" s="22" t="str">
        <x:f>IF(AH371&lt;&gt;1,"",IF(AC371&gt;0,AF371-_xlfn.MAXIFS($AF$8:$AF$507,$AF$8:$AF$507,"&lt;="&amp;AF371,$AC$8:$AC$507,"&lt;=0",$AH$8:$AH$507,1),0))</x:f>
      </x:c>
      <x:c r="AM371" s="22" t="str">
        <x:f>IF(AH371&lt;&gt;1,"",IF(AC371&lt;0,AF371-_xlfn.MAXIFS($AF$8:$AF$507,$AF$8:$AF$507,"&lt;="&amp;AF371,$AC$8:$AC$507,"&gt;=0",$AH$8:$AH$507,1),0))</x:f>
      </x:c>
      <x:c r="AN371" s="20" t="str">
        <x:f>IF(OR(A371="",NOT(ISNUMBER(B371)),NOT(ISNUMBER('Impostazioni'!$B$6))),"",'Impostazioni'!$B$6+SUMIFS($AC$8:$AC$507,$C$8:$C$507,"&lt;"&amp;B371,$AH$8:$AH$507,1)+SUMIFS('Cassa'!$F$8:$F$307,'Cassa'!$A$8:$A$307,"&lt;="&amp;B371,'Cassa'!$G$8:$G$307,"OK"))</x:f>
      </x:c>
      <x:c r="AO371" s="21" t="str">
        <x:f>IF(AND(ISNUMBER(Z371),ISNUMBER(AN371),AN371&gt;0),Z371/AN371,"")</x:f>
      </x:c>
      <x:c r="AP371" s="18" t="str">
        <x:f>IF(NOT(ISNUMBER(AO371)),"",IF(AO371&gt;'Impostazioni'!$B$7,"Oltre soglia personale","Nella soglia personale"))</x:f>
      </x:c>
      <x:c r="AQ371" s="18" t="str">
        <x:f>IF(A371="",IF(COUNTA(B371:V371)=0,"","Inserisci ID"),IF(COUNTIFS($A$8:$A$507,A371)&lt;&gt;1,"ID duplicato",IF(OR(NOT(ISNUMBER(B371)),D371="",E371="",F371="",G371="",H371="",COUNTIFS('Impostazioni'!$J$6:$J$25,F371)&lt;&gt;1),"Completa dati / elenchi",IF(OR(AND(I371&lt;&gt;"Lordo manuale",I371&lt;&gt;"Netto manuale",I371&lt;&gt;"Esecuzioni"),AND(J371&lt;&gt;"Aperto",J371&lt;&gt;"Chiuso",J371&lt;&gt;"Annullato")),"Modalità / stato mancanti",IF(AND(J371&lt;&gt;"Aperto",OR(NOT(ISNUMBER(C371)),C371&lt;B371)),"Correggi data chiusura",IF(OR(AND(Q371&lt;&gt;"",OR(NOT(ISNUMBER(Q371)),Q371&lt;0)),AND(R371&lt;&gt;"",OR(NOT(ISNUMBER(R371)),R371&lt;0,R371&gt;1))),"Commissione non valida",IF(J371="Annullato","OK",IF(OR(NOT(ISNUMBER(Z371)),Z371&lt;0,AND(O371&lt;&gt;"",NOT(ISNUMBER(O371)))),"Inserisci rischio",IF(AND(I371="Esecuzioni",OR(W371=0,COUNTIFS('Esecuzioni'!$A$8:$A$1007,A371,'Esecuzioni'!$Q$8:$Q$1007,"&lt;&gt;OK")&gt;0)),"Correggi esecuzioni",IF(J371="Aperto","OK",IF(AND(I371="Esecuzioni",S371="Coperto",ABS(X371-Y371)&gt;'Impostazioni'!$B$11),"Copertura residua",IF(NOT(ISNUMBER(AC371)),"Completa risultato / esito",IF(AND(Z371=0,AC371&lt;&gt;0),"Rischio nullo con P/L","OK")))))))))))))</x:f>
      </x:c>
      <x:c r="AR371" s="20" t="str">
        <x:f>IF(OR(A371="",J371&lt;&gt;"Aperto",AQ371&lt;&gt;"OK"),"",IF(I371="Esecuzioni",SUMIFS('Esecuzioni'!$P$8:$P$1007,'Esecuzioni'!$A$8:$A$1007,A371,'Esecuzioni'!$B$8:$B$1007,_xlfn.MAXIFS('Esecuzioni'!$B$8:$B$1007,'Esecuzioni'!$A$8:$A$1007,A371)),IF(LEFT(U371,8)="FREEBET:",0,Z371)))</x:f>
      </x:c>
      <x:c r="AS371" s="48" t="str">
        <x:f>IF(OR(A371="",E371=""),"",IF(COUNTIFS($E$8:E371,E371)=1,COUNT($AS$7:AS370)+1,""))</x:f>
      </x:c>
    </x:row>
    <x:row r="372" ht="22" customHeight="1">
      <x:c r="A372" s="7"/>
      <x:c r="B372" s="19"/>
      <x:c r="C372" s="19"/>
      <x:c r="D372" s="7"/>
      <x:c r="E372" s="7"/>
      <x:c r="F372" s="7"/>
      <x:c r="G372" s="7"/>
      <x:c r="H372" s="7"/>
      <x:c r="I372" s="7"/>
      <x:c r="J372" s="7"/>
      <x:c r="K372" s="10"/>
      <x:c r="L372" s="7"/>
      <x:c r="M372" s="10"/>
      <x:c r="N372" s="7"/>
      <x:c r="O372" s="8"/>
      <x:c r="P372" s="8"/>
      <x:c r="Q372" s="8"/>
      <x:c r="R372" s="9"/>
      <x:c r="S372" s="7"/>
      <x:c r="T372" s="7"/>
      <x:c r="U372" s="7"/>
      <x:c r="V372" s="7"/>
      <x:c r="W372" s="22" t="str">
        <x:f>IF(A372="","",COUNTIFS('Esecuzioni'!$A$8:$A$1007,A372,'Esecuzioni'!$Q$8:$Q$1007,"OK"))</x:f>
      </x:c>
      <x:c r="X372" s="20" t="str">
        <x:f>IF(OR(A372="",I372&lt;&gt;"Esecuzioni",W372=0),"",SUMIFS('Esecuzioni'!$L$8:$L$1007,'Esecuzioni'!$A$8:$A$1007,A372))</x:f>
      </x:c>
      <x:c r="Y372" s="20" t="str">
        <x:f>IF(OR(A372="",I372&lt;&gt;"Esecuzioni",W372=0),"",SUMIFS('Esecuzioni'!$M$8:$M$1007,'Esecuzioni'!$A$8:$A$1007,A372))</x:f>
      </x:c>
      <x:c r="Z372" s="20" t="str">
        <x:f>IF(A372="","",IF(J372="Annullato",0,IF(ISNUMBER(O372),O372,IF(AND(I372="Esecuzioni",W372&gt;0),_xlfn.MAXIFS('Esecuzioni'!$P$8:$P$1007,'Esecuzioni'!$A$8:$A$1007,A372),""))))</x:f>
      </x:c>
      <x:c r="AA372" s="20" t="str">
        <x:f>IF(OR(A372="",J372="Aperto"),"",IF(J372="Annullato",0,IF(I372="Lordo manuale",IF(ISNUMBER(P372),P372,""),IF(I372="Netto manuale",IF(AND(ISNUMBER(P372),ISNUMBER(Q372)),P372+Q372,""),IF(OR(W372=0,COUNTIFS('Esecuzioni'!$A$8:$A$1007,A372,'Esecuzioni'!$Q$8:$Q$1007,"&lt;&gt;OK")&gt;0),"",IF(S372="Vince",X372,IF(S372="Perde",Y372,IF(AND(S372="Coperto",ABS(X372-Y372)&lt;='Impostazioni'!$B$11),ROUND((X372+Y372)/2,2),""))))))))</x:f>
      </x:c>
      <x:c r="AB372" s="20" t="str">
        <x:f>IF(NOT(ISNUMBER(AA372)),"",IF(J372="Annullato",0,IF(ISNUMBER(Q372),Q372,ROUND(MAX(0,AA372)*IF(ISNUMBER(R372),R372,'Impostazioni'!$B$8),2))))</x:f>
      </x:c>
      <x:c r="AC372" s="20" t="str">
        <x:f>IF(AND(ISNUMBER(AA372),ISNUMBER(AB372)),ROUND(AA372-AB372,2),"")</x:f>
      </x:c>
      <x:c r="AD372" s="18" t="str">
        <x:f>IF(A372="","",IF(AQ372&lt;&gt;"OK","Incompleto",IF(J372="Aperto","Aperto",IF(J372="Annullato","Annullato",IF(AC372&gt;0,"Green",IF(AC372&lt;0,"Red","Flat"))))))</x:f>
      </x:c>
      <x:c r="AE372" s="21" t="str">
        <x:f>IF(AND(AH372=1,Z372&gt;0),AC372/Z372,"")</x:f>
      </x:c>
      <x:c r="AF372" s="22" t="str">
        <x:f>IF(AH372&lt;&gt;1,"",COUNTIFS($C$8:$C$507,"&lt;"&amp;C372,$AH$8:$AH$507,1)+COUNTIFS($C$8:$C$507,C372,$A$8:$A$507,"&lt;="&amp;A372,$AH$8:$AH$507,1))</x:f>
      </x:c>
      <x:c r="AG372" s="20" t="str">
        <x:f>IF(AH372&lt;&gt;1,"",SUMIFS($AC$8:$AC$507,$C$8:$C$507,"&lt;"&amp;C372,$AH$8:$AH$507,1)+SUMIFS($AC$8:$AC$507,$C$8:$C$507,C372,$A$8:$A$507,"&lt;="&amp;A372,$AH$8:$AH$507,1))</x:f>
      </x:c>
      <x:c r="AH372" s="22" t="str">
        <x:f>IF(A372="","",IF(AND(J372="Chiuso",AQ372="OK",ISNUMBER(AC372)),1,0))</x:f>
      </x:c>
      <x:c r="AI372" s="20" t="str">
        <x:f>IF(AH372&lt;&gt;1,"",MAX(0,_xlfn.MAXIFS($AG$8:$AG$507,$AF$8:$AF$507,"&lt;="&amp;AF372,$AH$8:$AH$507,1)))</x:f>
      </x:c>
      <x:c r="AJ372" s="20" t="str">
        <x:f>IF(AH372&lt;&gt;1,"",MAX(0,AI372-AG372))</x:f>
      </x:c>
      <x:c r="AK372" s="21" t="str">
        <x:f>IF(OR(AH372&lt;&gt;1,NOT(ISNUMBER('Impostazioni'!$B$6)),'Impostazioni'!$B$6+AI372&lt;=0),"",AJ372/('Impostazioni'!$B$6+AI372))</x:f>
      </x:c>
      <x:c r="AL372" s="22" t="str">
        <x:f>IF(AH372&lt;&gt;1,"",IF(AC372&gt;0,AF372-_xlfn.MAXIFS($AF$8:$AF$507,$AF$8:$AF$507,"&lt;="&amp;AF372,$AC$8:$AC$507,"&lt;=0",$AH$8:$AH$507,1),0))</x:f>
      </x:c>
      <x:c r="AM372" s="22" t="str">
        <x:f>IF(AH372&lt;&gt;1,"",IF(AC372&lt;0,AF372-_xlfn.MAXIFS($AF$8:$AF$507,$AF$8:$AF$507,"&lt;="&amp;AF372,$AC$8:$AC$507,"&gt;=0",$AH$8:$AH$507,1),0))</x:f>
      </x:c>
      <x:c r="AN372" s="20" t="str">
        <x:f>IF(OR(A372="",NOT(ISNUMBER(B372)),NOT(ISNUMBER('Impostazioni'!$B$6))),"",'Impostazioni'!$B$6+SUMIFS($AC$8:$AC$507,$C$8:$C$507,"&lt;"&amp;B372,$AH$8:$AH$507,1)+SUMIFS('Cassa'!$F$8:$F$307,'Cassa'!$A$8:$A$307,"&lt;="&amp;B372,'Cassa'!$G$8:$G$307,"OK"))</x:f>
      </x:c>
      <x:c r="AO372" s="21" t="str">
        <x:f>IF(AND(ISNUMBER(Z372),ISNUMBER(AN372),AN372&gt;0),Z372/AN372,"")</x:f>
      </x:c>
      <x:c r="AP372" s="18" t="str">
        <x:f>IF(NOT(ISNUMBER(AO372)),"",IF(AO372&gt;'Impostazioni'!$B$7,"Oltre soglia personale","Nella soglia personale"))</x:f>
      </x:c>
      <x:c r="AQ372" s="18" t="str">
        <x:f>IF(A372="",IF(COUNTA(B372:V372)=0,"","Inserisci ID"),IF(COUNTIFS($A$8:$A$507,A372)&lt;&gt;1,"ID duplicato",IF(OR(NOT(ISNUMBER(B372)),D372="",E372="",F372="",G372="",H372="",COUNTIFS('Impostazioni'!$J$6:$J$25,F372)&lt;&gt;1),"Completa dati / elenchi",IF(OR(AND(I372&lt;&gt;"Lordo manuale",I372&lt;&gt;"Netto manuale",I372&lt;&gt;"Esecuzioni"),AND(J372&lt;&gt;"Aperto",J372&lt;&gt;"Chiuso",J372&lt;&gt;"Annullato")),"Modalità / stato mancanti",IF(AND(J372&lt;&gt;"Aperto",OR(NOT(ISNUMBER(C372)),C372&lt;B372)),"Correggi data chiusura",IF(OR(AND(Q372&lt;&gt;"",OR(NOT(ISNUMBER(Q372)),Q372&lt;0)),AND(R372&lt;&gt;"",OR(NOT(ISNUMBER(R372)),R372&lt;0,R372&gt;1))),"Commissione non valida",IF(J372="Annullato","OK",IF(OR(NOT(ISNUMBER(Z372)),Z372&lt;0,AND(O372&lt;&gt;"",NOT(ISNUMBER(O372)))),"Inserisci rischio",IF(AND(I372="Esecuzioni",OR(W372=0,COUNTIFS('Esecuzioni'!$A$8:$A$1007,A372,'Esecuzioni'!$Q$8:$Q$1007,"&lt;&gt;OK")&gt;0)),"Correggi esecuzioni",IF(J372="Aperto","OK",IF(AND(I372="Esecuzioni",S372="Coperto",ABS(X372-Y372)&gt;'Impostazioni'!$B$11),"Copertura residua",IF(NOT(ISNUMBER(AC372)),"Completa risultato / esito",IF(AND(Z372=0,AC372&lt;&gt;0),"Rischio nullo con P/L","OK")))))))))))))</x:f>
      </x:c>
      <x:c r="AR372" s="20" t="str">
        <x:f>IF(OR(A372="",J372&lt;&gt;"Aperto",AQ372&lt;&gt;"OK"),"",IF(I372="Esecuzioni",SUMIFS('Esecuzioni'!$P$8:$P$1007,'Esecuzioni'!$A$8:$A$1007,A372,'Esecuzioni'!$B$8:$B$1007,_xlfn.MAXIFS('Esecuzioni'!$B$8:$B$1007,'Esecuzioni'!$A$8:$A$1007,A372)),IF(LEFT(U372,8)="FREEBET:",0,Z372)))</x:f>
      </x:c>
      <x:c r="AS372" s="48" t="str">
        <x:f>IF(OR(A372="",E372=""),"",IF(COUNTIFS($E$8:E372,E372)=1,COUNT($AS$7:AS371)+1,""))</x:f>
      </x:c>
    </x:row>
    <x:row r="373" ht="22" customHeight="1">
      <x:c r="A373" s="7"/>
      <x:c r="B373" s="19"/>
      <x:c r="C373" s="19"/>
      <x:c r="D373" s="7"/>
      <x:c r="E373" s="7"/>
      <x:c r="F373" s="7"/>
      <x:c r="G373" s="7"/>
      <x:c r="H373" s="7"/>
      <x:c r="I373" s="7"/>
      <x:c r="J373" s="7"/>
      <x:c r="K373" s="10"/>
      <x:c r="L373" s="7"/>
      <x:c r="M373" s="10"/>
      <x:c r="N373" s="7"/>
      <x:c r="O373" s="8"/>
      <x:c r="P373" s="8"/>
      <x:c r="Q373" s="8"/>
      <x:c r="R373" s="9"/>
      <x:c r="S373" s="7"/>
      <x:c r="T373" s="7"/>
      <x:c r="U373" s="7"/>
      <x:c r="V373" s="7"/>
      <x:c r="W373" s="22" t="str">
        <x:f>IF(A373="","",COUNTIFS('Esecuzioni'!$A$8:$A$1007,A373,'Esecuzioni'!$Q$8:$Q$1007,"OK"))</x:f>
      </x:c>
      <x:c r="X373" s="20" t="str">
        <x:f>IF(OR(A373="",I373&lt;&gt;"Esecuzioni",W373=0),"",SUMIFS('Esecuzioni'!$L$8:$L$1007,'Esecuzioni'!$A$8:$A$1007,A373))</x:f>
      </x:c>
      <x:c r="Y373" s="20" t="str">
        <x:f>IF(OR(A373="",I373&lt;&gt;"Esecuzioni",W373=0),"",SUMIFS('Esecuzioni'!$M$8:$M$1007,'Esecuzioni'!$A$8:$A$1007,A373))</x:f>
      </x:c>
      <x:c r="Z373" s="20" t="str">
        <x:f>IF(A373="","",IF(J373="Annullato",0,IF(ISNUMBER(O373),O373,IF(AND(I373="Esecuzioni",W373&gt;0),_xlfn.MAXIFS('Esecuzioni'!$P$8:$P$1007,'Esecuzioni'!$A$8:$A$1007,A373),""))))</x:f>
      </x:c>
      <x:c r="AA373" s="20" t="str">
        <x:f>IF(OR(A373="",J373="Aperto"),"",IF(J373="Annullato",0,IF(I373="Lordo manuale",IF(ISNUMBER(P373),P373,""),IF(I373="Netto manuale",IF(AND(ISNUMBER(P373),ISNUMBER(Q373)),P373+Q373,""),IF(OR(W373=0,COUNTIFS('Esecuzioni'!$A$8:$A$1007,A373,'Esecuzioni'!$Q$8:$Q$1007,"&lt;&gt;OK")&gt;0),"",IF(S373="Vince",X373,IF(S373="Perde",Y373,IF(AND(S373="Coperto",ABS(X373-Y373)&lt;='Impostazioni'!$B$11),ROUND((X373+Y373)/2,2),""))))))))</x:f>
      </x:c>
      <x:c r="AB373" s="20" t="str">
        <x:f>IF(NOT(ISNUMBER(AA373)),"",IF(J373="Annullato",0,IF(ISNUMBER(Q373),Q373,ROUND(MAX(0,AA373)*IF(ISNUMBER(R373),R373,'Impostazioni'!$B$8),2))))</x:f>
      </x:c>
      <x:c r="AC373" s="20" t="str">
        <x:f>IF(AND(ISNUMBER(AA373),ISNUMBER(AB373)),ROUND(AA373-AB373,2),"")</x:f>
      </x:c>
      <x:c r="AD373" s="18" t="str">
        <x:f>IF(A373="","",IF(AQ373&lt;&gt;"OK","Incompleto",IF(J373="Aperto","Aperto",IF(J373="Annullato","Annullato",IF(AC373&gt;0,"Green",IF(AC373&lt;0,"Red","Flat"))))))</x:f>
      </x:c>
      <x:c r="AE373" s="21" t="str">
        <x:f>IF(AND(AH373=1,Z373&gt;0),AC373/Z373,"")</x:f>
      </x:c>
      <x:c r="AF373" s="22" t="str">
        <x:f>IF(AH373&lt;&gt;1,"",COUNTIFS($C$8:$C$507,"&lt;"&amp;C373,$AH$8:$AH$507,1)+COUNTIFS($C$8:$C$507,C373,$A$8:$A$507,"&lt;="&amp;A373,$AH$8:$AH$507,1))</x:f>
      </x:c>
      <x:c r="AG373" s="20" t="str">
        <x:f>IF(AH373&lt;&gt;1,"",SUMIFS($AC$8:$AC$507,$C$8:$C$507,"&lt;"&amp;C373,$AH$8:$AH$507,1)+SUMIFS($AC$8:$AC$507,$C$8:$C$507,C373,$A$8:$A$507,"&lt;="&amp;A373,$AH$8:$AH$507,1))</x:f>
      </x:c>
      <x:c r="AH373" s="22" t="str">
        <x:f>IF(A373="","",IF(AND(J373="Chiuso",AQ373="OK",ISNUMBER(AC373)),1,0))</x:f>
      </x:c>
      <x:c r="AI373" s="20" t="str">
        <x:f>IF(AH373&lt;&gt;1,"",MAX(0,_xlfn.MAXIFS($AG$8:$AG$507,$AF$8:$AF$507,"&lt;="&amp;AF373,$AH$8:$AH$507,1)))</x:f>
      </x:c>
      <x:c r="AJ373" s="20" t="str">
        <x:f>IF(AH373&lt;&gt;1,"",MAX(0,AI373-AG373))</x:f>
      </x:c>
      <x:c r="AK373" s="21" t="str">
        <x:f>IF(OR(AH373&lt;&gt;1,NOT(ISNUMBER('Impostazioni'!$B$6)),'Impostazioni'!$B$6+AI373&lt;=0),"",AJ373/('Impostazioni'!$B$6+AI373))</x:f>
      </x:c>
      <x:c r="AL373" s="22" t="str">
        <x:f>IF(AH373&lt;&gt;1,"",IF(AC373&gt;0,AF373-_xlfn.MAXIFS($AF$8:$AF$507,$AF$8:$AF$507,"&lt;="&amp;AF373,$AC$8:$AC$507,"&lt;=0",$AH$8:$AH$507,1),0))</x:f>
      </x:c>
      <x:c r="AM373" s="22" t="str">
        <x:f>IF(AH373&lt;&gt;1,"",IF(AC373&lt;0,AF373-_xlfn.MAXIFS($AF$8:$AF$507,$AF$8:$AF$507,"&lt;="&amp;AF373,$AC$8:$AC$507,"&gt;=0",$AH$8:$AH$507,1),0))</x:f>
      </x:c>
      <x:c r="AN373" s="20" t="str">
        <x:f>IF(OR(A373="",NOT(ISNUMBER(B373)),NOT(ISNUMBER('Impostazioni'!$B$6))),"",'Impostazioni'!$B$6+SUMIFS($AC$8:$AC$507,$C$8:$C$507,"&lt;"&amp;B373,$AH$8:$AH$507,1)+SUMIFS('Cassa'!$F$8:$F$307,'Cassa'!$A$8:$A$307,"&lt;="&amp;B373,'Cassa'!$G$8:$G$307,"OK"))</x:f>
      </x:c>
      <x:c r="AO373" s="21" t="str">
        <x:f>IF(AND(ISNUMBER(Z373),ISNUMBER(AN373),AN373&gt;0),Z373/AN373,"")</x:f>
      </x:c>
      <x:c r="AP373" s="18" t="str">
        <x:f>IF(NOT(ISNUMBER(AO373)),"",IF(AO373&gt;'Impostazioni'!$B$7,"Oltre soglia personale","Nella soglia personale"))</x:f>
      </x:c>
      <x:c r="AQ373" s="18" t="str">
        <x:f>IF(A373="",IF(COUNTA(B373:V373)=0,"","Inserisci ID"),IF(COUNTIFS($A$8:$A$507,A373)&lt;&gt;1,"ID duplicato",IF(OR(NOT(ISNUMBER(B373)),D373="",E373="",F373="",G373="",H373="",COUNTIFS('Impostazioni'!$J$6:$J$25,F373)&lt;&gt;1),"Completa dati / elenchi",IF(OR(AND(I373&lt;&gt;"Lordo manuale",I373&lt;&gt;"Netto manuale",I373&lt;&gt;"Esecuzioni"),AND(J373&lt;&gt;"Aperto",J373&lt;&gt;"Chiuso",J373&lt;&gt;"Annullato")),"Modalità / stato mancanti",IF(AND(J373&lt;&gt;"Aperto",OR(NOT(ISNUMBER(C373)),C373&lt;B373)),"Correggi data chiusura",IF(OR(AND(Q373&lt;&gt;"",OR(NOT(ISNUMBER(Q373)),Q373&lt;0)),AND(R373&lt;&gt;"",OR(NOT(ISNUMBER(R373)),R373&lt;0,R373&gt;1))),"Commissione non valida",IF(J373="Annullato","OK",IF(OR(NOT(ISNUMBER(Z373)),Z373&lt;0,AND(O373&lt;&gt;"",NOT(ISNUMBER(O373)))),"Inserisci rischio",IF(AND(I373="Esecuzioni",OR(W373=0,COUNTIFS('Esecuzioni'!$A$8:$A$1007,A373,'Esecuzioni'!$Q$8:$Q$1007,"&lt;&gt;OK")&gt;0)),"Correggi esecuzioni",IF(J373="Aperto","OK",IF(AND(I373="Esecuzioni",S373="Coperto",ABS(X373-Y373)&gt;'Impostazioni'!$B$11),"Copertura residua",IF(NOT(ISNUMBER(AC373)),"Completa risultato / esito",IF(AND(Z373=0,AC373&lt;&gt;0),"Rischio nullo con P/L","OK")))))))))))))</x:f>
      </x:c>
      <x:c r="AR373" s="20" t="str">
        <x:f>IF(OR(A373="",J373&lt;&gt;"Aperto",AQ373&lt;&gt;"OK"),"",IF(I373="Esecuzioni",SUMIFS('Esecuzioni'!$P$8:$P$1007,'Esecuzioni'!$A$8:$A$1007,A373,'Esecuzioni'!$B$8:$B$1007,_xlfn.MAXIFS('Esecuzioni'!$B$8:$B$1007,'Esecuzioni'!$A$8:$A$1007,A373)),IF(LEFT(U373,8)="FREEBET:",0,Z373)))</x:f>
      </x:c>
      <x:c r="AS373" s="48" t="str">
        <x:f>IF(OR(A373="",E373=""),"",IF(COUNTIFS($E$8:E373,E373)=1,COUNT($AS$7:AS372)+1,""))</x:f>
      </x:c>
    </x:row>
    <x:row r="374" ht="22" customHeight="1">
      <x:c r="A374" s="7"/>
      <x:c r="B374" s="19"/>
      <x:c r="C374" s="19"/>
      <x:c r="D374" s="7"/>
      <x:c r="E374" s="7"/>
      <x:c r="F374" s="7"/>
      <x:c r="G374" s="7"/>
      <x:c r="H374" s="7"/>
      <x:c r="I374" s="7"/>
      <x:c r="J374" s="7"/>
      <x:c r="K374" s="10"/>
      <x:c r="L374" s="7"/>
      <x:c r="M374" s="10"/>
      <x:c r="N374" s="7"/>
      <x:c r="O374" s="8"/>
      <x:c r="P374" s="8"/>
      <x:c r="Q374" s="8"/>
      <x:c r="R374" s="9"/>
      <x:c r="S374" s="7"/>
      <x:c r="T374" s="7"/>
      <x:c r="U374" s="7"/>
      <x:c r="V374" s="7"/>
      <x:c r="W374" s="22" t="str">
        <x:f>IF(A374="","",COUNTIFS('Esecuzioni'!$A$8:$A$1007,A374,'Esecuzioni'!$Q$8:$Q$1007,"OK"))</x:f>
      </x:c>
      <x:c r="X374" s="20" t="str">
        <x:f>IF(OR(A374="",I374&lt;&gt;"Esecuzioni",W374=0),"",SUMIFS('Esecuzioni'!$L$8:$L$1007,'Esecuzioni'!$A$8:$A$1007,A374))</x:f>
      </x:c>
      <x:c r="Y374" s="20" t="str">
        <x:f>IF(OR(A374="",I374&lt;&gt;"Esecuzioni",W374=0),"",SUMIFS('Esecuzioni'!$M$8:$M$1007,'Esecuzioni'!$A$8:$A$1007,A374))</x:f>
      </x:c>
      <x:c r="Z374" s="20" t="str">
        <x:f>IF(A374="","",IF(J374="Annullato",0,IF(ISNUMBER(O374),O374,IF(AND(I374="Esecuzioni",W374&gt;0),_xlfn.MAXIFS('Esecuzioni'!$P$8:$P$1007,'Esecuzioni'!$A$8:$A$1007,A374),""))))</x:f>
      </x:c>
      <x:c r="AA374" s="20" t="str">
        <x:f>IF(OR(A374="",J374="Aperto"),"",IF(J374="Annullato",0,IF(I374="Lordo manuale",IF(ISNUMBER(P374),P374,""),IF(I374="Netto manuale",IF(AND(ISNUMBER(P374),ISNUMBER(Q374)),P374+Q374,""),IF(OR(W374=0,COUNTIFS('Esecuzioni'!$A$8:$A$1007,A374,'Esecuzioni'!$Q$8:$Q$1007,"&lt;&gt;OK")&gt;0),"",IF(S374="Vince",X374,IF(S374="Perde",Y374,IF(AND(S374="Coperto",ABS(X374-Y374)&lt;='Impostazioni'!$B$11),ROUND((X374+Y374)/2,2),""))))))))</x:f>
      </x:c>
      <x:c r="AB374" s="20" t="str">
        <x:f>IF(NOT(ISNUMBER(AA374)),"",IF(J374="Annullato",0,IF(ISNUMBER(Q374),Q374,ROUND(MAX(0,AA374)*IF(ISNUMBER(R374),R374,'Impostazioni'!$B$8),2))))</x:f>
      </x:c>
      <x:c r="AC374" s="20" t="str">
        <x:f>IF(AND(ISNUMBER(AA374),ISNUMBER(AB374)),ROUND(AA374-AB374,2),"")</x:f>
      </x:c>
      <x:c r="AD374" s="18" t="str">
        <x:f>IF(A374="","",IF(AQ374&lt;&gt;"OK","Incompleto",IF(J374="Aperto","Aperto",IF(J374="Annullato","Annullato",IF(AC374&gt;0,"Green",IF(AC374&lt;0,"Red","Flat"))))))</x:f>
      </x:c>
      <x:c r="AE374" s="21" t="str">
        <x:f>IF(AND(AH374=1,Z374&gt;0),AC374/Z374,"")</x:f>
      </x:c>
      <x:c r="AF374" s="22" t="str">
        <x:f>IF(AH374&lt;&gt;1,"",COUNTIFS($C$8:$C$507,"&lt;"&amp;C374,$AH$8:$AH$507,1)+COUNTIFS($C$8:$C$507,C374,$A$8:$A$507,"&lt;="&amp;A374,$AH$8:$AH$507,1))</x:f>
      </x:c>
      <x:c r="AG374" s="20" t="str">
        <x:f>IF(AH374&lt;&gt;1,"",SUMIFS($AC$8:$AC$507,$C$8:$C$507,"&lt;"&amp;C374,$AH$8:$AH$507,1)+SUMIFS($AC$8:$AC$507,$C$8:$C$507,C374,$A$8:$A$507,"&lt;="&amp;A374,$AH$8:$AH$507,1))</x:f>
      </x:c>
      <x:c r="AH374" s="22" t="str">
        <x:f>IF(A374="","",IF(AND(J374="Chiuso",AQ374="OK",ISNUMBER(AC374)),1,0))</x:f>
      </x:c>
      <x:c r="AI374" s="20" t="str">
        <x:f>IF(AH374&lt;&gt;1,"",MAX(0,_xlfn.MAXIFS($AG$8:$AG$507,$AF$8:$AF$507,"&lt;="&amp;AF374,$AH$8:$AH$507,1)))</x:f>
      </x:c>
      <x:c r="AJ374" s="20" t="str">
        <x:f>IF(AH374&lt;&gt;1,"",MAX(0,AI374-AG374))</x:f>
      </x:c>
      <x:c r="AK374" s="21" t="str">
        <x:f>IF(OR(AH374&lt;&gt;1,NOT(ISNUMBER('Impostazioni'!$B$6)),'Impostazioni'!$B$6+AI374&lt;=0),"",AJ374/('Impostazioni'!$B$6+AI374))</x:f>
      </x:c>
      <x:c r="AL374" s="22" t="str">
        <x:f>IF(AH374&lt;&gt;1,"",IF(AC374&gt;0,AF374-_xlfn.MAXIFS($AF$8:$AF$507,$AF$8:$AF$507,"&lt;="&amp;AF374,$AC$8:$AC$507,"&lt;=0",$AH$8:$AH$507,1),0))</x:f>
      </x:c>
      <x:c r="AM374" s="22" t="str">
        <x:f>IF(AH374&lt;&gt;1,"",IF(AC374&lt;0,AF374-_xlfn.MAXIFS($AF$8:$AF$507,$AF$8:$AF$507,"&lt;="&amp;AF374,$AC$8:$AC$507,"&gt;=0",$AH$8:$AH$507,1),0))</x:f>
      </x:c>
      <x:c r="AN374" s="20" t="str">
        <x:f>IF(OR(A374="",NOT(ISNUMBER(B374)),NOT(ISNUMBER('Impostazioni'!$B$6))),"",'Impostazioni'!$B$6+SUMIFS($AC$8:$AC$507,$C$8:$C$507,"&lt;"&amp;B374,$AH$8:$AH$507,1)+SUMIFS('Cassa'!$F$8:$F$307,'Cassa'!$A$8:$A$307,"&lt;="&amp;B374,'Cassa'!$G$8:$G$307,"OK"))</x:f>
      </x:c>
      <x:c r="AO374" s="21" t="str">
        <x:f>IF(AND(ISNUMBER(Z374),ISNUMBER(AN374),AN374&gt;0),Z374/AN374,"")</x:f>
      </x:c>
      <x:c r="AP374" s="18" t="str">
        <x:f>IF(NOT(ISNUMBER(AO374)),"",IF(AO374&gt;'Impostazioni'!$B$7,"Oltre soglia personale","Nella soglia personale"))</x:f>
      </x:c>
      <x:c r="AQ374" s="18" t="str">
        <x:f>IF(A374="",IF(COUNTA(B374:V374)=0,"","Inserisci ID"),IF(COUNTIFS($A$8:$A$507,A374)&lt;&gt;1,"ID duplicato",IF(OR(NOT(ISNUMBER(B374)),D374="",E374="",F374="",G374="",H374="",COUNTIFS('Impostazioni'!$J$6:$J$25,F374)&lt;&gt;1),"Completa dati / elenchi",IF(OR(AND(I374&lt;&gt;"Lordo manuale",I374&lt;&gt;"Netto manuale",I374&lt;&gt;"Esecuzioni"),AND(J374&lt;&gt;"Aperto",J374&lt;&gt;"Chiuso",J374&lt;&gt;"Annullato")),"Modalità / stato mancanti",IF(AND(J374&lt;&gt;"Aperto",OR(NOT(ISNUMBER(C374)),C374&lt;B374)),"Correggi data chiusura",IF(OR(AND(Q374&lt;&gt;"",OR(NOT(ISNUMBER(Q374)),Q374&lt;0)),AND(R374&lt;&gt;"",OR(NOT(ISNUMBER(R374)),R374&lt;0,R374&gt;1))),"Commissione non valida",IF(J374="Annullato","OK",IF(OR(NOT(ISNUMBER(Z374)),Z374&lt;0,AND(O374&lt;&gt;"",NOT(ISNUMBER(O374)))),"Inserisci rischio",IF(AND(I374="Esecuzioni",OR(W374=0,COUNTIFS('Esecuzioni'!$A$8:$A$1007,A374,'Esecuzioni'!$Q$8:$Q$1007,"&lt;&gt;OK")&gt;0)),"Correggi esecuzioni",IF(J374="Aperto","OK",IF(AND(I374="Esecuzioni",S374="Coperto",ABS(X374-Y374)&gt;'Impostazioni'!$B$11),"Copertura residua",IF(NOT(ISNUMBER(AC374)),"Completa risultato / esito",IF(AND(Z374=0,AC374&lt;&gt;0),"Rischio nullo con P/L","OK")))))))))))))</x:f>
      </x:c>
      <x:c r="AR374" s="20" t="str">
        <x:f>IF(OR(A374="",J374&lt;&gt;"Aperto",AQ374&lt;&gt;"OK"),"",IF(I374="Esecuzioni",SUMIFS('Esecuzioni'!$P$8:$P$1007,'Esecuzioni'!$A$8:$A$1007,A374,'Esecuzioni'!$B$8:$B$1007,_xlfn.MAXIFS('Esecuzioni'!$B$8:$B$1007,'Esecuzioni'!$A$8:$A$1007,A374)),IF(LEFT(U374,8)="FREEBET:",0,Z374)))</x:f>
      </x:c>
      <x:c r="AS374" s="48" t="str">
        <x:f>IF(OR(A374="",E374=""),"",IF(COUNTIFS($E$8:E374,E374)=1,COUNT($AS$7:AS373)+1,""))</x:f>
      </x:c>
    </x:row>
    <x:row r="375" ht="22" customHeight="1">
      <x:c r="A375" s="7"/>
      <x:c r="B375" s="19"/>
      <x:c r="C375" s="19"/>
      <x:c r="D375" s="7"/>
      <x:c r="E375" s="7"/>
      <x:c r="F375" s="7"/>
      <x:c r="G375" s="7"/>
      <x:c r="H375" s="7"/>
      <x:c r="I375" s="7"/>
      <x:c r="J375" s="7"/>
      <x:c r="K375" s="10"/>
      <x:c r="L375" s="7"/>
      <x:c r="M375" s="10"/>
      <x:c r="N375" s="7"/>
      <x:c r="O375" s="8"/>
      <x:c r="P375" s="8"/>
      <x:c r="Q375" s="8"/>
      <x:c r="R375" s="9"/>
      <x:c r="S375" s="7"/>
      <x:c r="T375" s="7"/>
      <x:c r="U375" s="7"/>
      <x:c r="V375" s="7"/>
      <x:c r="W375" s="22" t="str">
        <x:f>IF(A375="","",COUNTIFS('Esecuzioni'!$A$8:$A$1007,A375,'Esecuzioni'!$Q$8:$Q$1007,"OK"))</x:f>
      </x:c>
      <x:c r="X375" s="20" t="str">
        <x:f>IF(OR(A375="",I375&lt;&gt;"Esecuzioni",W375=0),"",SUMIFS('Esecuzioni'!$L$8:$L$1007,'Esecuzioni'!$A$8:$A$1007,A375))</x:f>
      </x:c>
      <x:c r="Y375" s="20" t="str">
        <x:f>IF(OR(A375="",I375&lt;&gt;"Esecuzioni",W375=0),"",SUMIFS('Esecuzioni'!$M$8:$M$1007,'Esecuzioni'!$A$8:$A$1007,A375))</x:f>
      </x:c>
      <x:c r="Z375" s="20" t="str">
        <x:f>IF(A375="","",IF(J375="Annullato",0,IF(ISNUMBER(O375),O375,IF(AND(I375="Esecuzioni",W375&gt;0),_xlfn.MAXIFS('Esecuzioni'!$P$8:$P$1007,'Esecuzioni'!$A$8:$A$1007,A375),""))))</x:f>
      </x:c>
      <x:c r="AA375" s="20" t="str">
        <x:f>IF(OR(A375="",J375="Aperto"),"",IF(J375="Annullato",0,IF(I375="Lordo manuale",IF(ISNUMBER(P375),P375,""),IF(I375="Netto manuale",IF(AND(ISNUMBER(P375),ISNUMBER(Q375)),P375+Q375,""),IF(OR(W375=0,COUNTIFS('Esecuzioni'!$A$8:$A$1007,A375,'Esecuzioni'!$Q$8:$Q$1007,"&lt;&gt;OK")&gt;0),"",IF(S375="Vince",X375,IF(S375="Perde",Y375,IF(AND(S375="Coperto",ABS(X375-Y375)&lt;='Impostazioni'!$B$11),ROUND((X375+Y375)/2,2),""))))))))</x:f>
      </x:c>
      <x:c r="AB375" s="20" t="str">
        <x:f>IF(NOT(ISNUMBER(AA375)),"",IF(J375="Annullato",0,IF(ISNUMBER(Q375),Q375,ROUND(MAX(0,AA375)*IF(ISNUMBER(R375),R375,'Impostazioni'!$B$8),2))))</x:f>
      </x:c>
      <x:c r="AC375" s="20" t="str">
        <x:f>IF(AND(ISNUMBER(AA375),ISNUMBER(AB375)),ROUND(AA375-AB375,2),"")</x:f>
      </x:c>
      <x:c r="AD375" s="18" t="str">
        <x:f>IF(A375="","",IF(AQ375&lt;&gt;"OK","Incompleto",IF(J375="Aperto","Aperto",IF(J375="Annullato","Annullato",IF(AC375&gt;0,"Green",IF(AC375&lt;0,"Red","Flat"))))))</x:f>
      </x:c>
      <x:c r="AE375" s="21" t="str">
        <x:f>IF(AND(AH375=1,Z375&gt;0),AC375/Z375,"")</x:f>
      </x:c>
      <x:c r="AF375" s="22" t="str">
        <x:f>IF(AH375&lt;&gt;1,"",COUNTIFS($C$8:$C$507,"&lt;"&amp;C375,$AH$8:$AH$507,1)+COUNTIFS($C$8:$C$507,C375,$A$8:$A$507,"&lt;="&amp;A375,$AH$8:$AH$507,1))</x:f>
      </x:c>
      <x:c r="AG375" s="20" t="str">
        <x:f>IF(AH375&lt;&gt;1,"",SUMIFS($AC$8:$AC$507,$C$8:$C$507,"&lt;"&amp;C375,$AH$8:$AH$507,1)+SUMIFS($AC$8:$AC$507,$C$8:$C$507,C375,$A$8:$A$507,"&lt;="&amp;A375,$AH$8:$AH$507,1))</x:f>
      </x:c>
      <x:c r="AH375" s="22" t="str">
        <x:f>IF(A375="","",IF(AND(J375="Chiuso",AQ375="OK",ISNUMBER(AC375)),1,0))</x:f>
      </x:c>
      <x:c r="AI375" s="20" t="str">
        <x:f>IF(AH375&lt;&gt;1,"",MAX(0,_xlfn.MAXIFS($AG$8:$AG$507,$AF$8:$AF$507,"&lt;="&amp;AF375,$AH$8:$AH$507,1)))</x:f>
      </x:c>
      <x:c r="AJ375" s="20" t="str">
        <x:f>IF(AH375&lt;&gt;1,"",MAX(0,AI375-AG375))</x:f>
      </x:c>
      <x:c r="AK375" s="21" t="str">
        <x:f>IF(OR(AH375&lt;&gt;1,NOT(ISNUMBER('Impostazioni'!$B$6)),'Impostazioni'!$B$6+AI375&lt;=0),"",AJ375/('Impostazioni'!$B$6+AI375))</x:f>
      </x:c>
      <x:c r="AL375" s="22" t="str">
        <x:f>IF(AH375&lt;&gt;1,"",IF(AC375&gt;0,AF375-_xlfn.MAXIFS($AF$8:$AF$507,$AF$8:$AF$507,"&lt;="&amp;AF375,$AC$8:$AC$507,"&lt;=0",$AH$8:$AH$507,1),0))</x:f>
      </x:c>
      <x:c r="AM375" s="22" t="str">
        <x:f>IF(AH375&lt;&gt;1,"",IF(AC375&lt;0,AF375-_xlfn.MAXIFS($AF$8:$AF$507,$AF$8:$AF$507,"&lt;="&amp;AF375,$AC$8:$AC$507,"&gt;=0",$AH$8:$AH$507,1),0))</x:f>
      </x:c>
      <x:c r="AN375" s="20" t="str">
        <x:f>IF(OR(A375="",NOT(ISNUMBER(B375)),NOT(ISNUMBER('Impostazioni'!$B$6))),"",'Impostazioni'!$B$6+SUMIFS($AC$8:$AC$507,$C$8:$C$507,"&lt;"&amp;B375,$AH$8:$AH$507,1)+SUMIFS('Cassa'!$F$8:$F$307,'Cassa'!$A$8:$A$307,"&lt;="&amp;B375,'Cassa'!$G$8:$G$307,"OK"))</x:f>
      </x:c>
      <x:c r="AO375" s="21" t="str">
        <x:f>IF(AND(ISNUMBER(Z375),ISNUMBER(AN375),AN375&gt;0),Z375/AN375,"")</x:f>
      </x:c>
      <x:c r="AP375" s="18" t="str">
        <x:f>IF(NOT(ISNUMBER(AO375)),"",IF(AO375&gt;'Impostazioni'!$B$7,"Oltre soglia personale","Nella soglia personale"))</x:f>
      </x:c>
      <x:c r="AQ375" s="18" t="str">
        <x:f>IF(A375="",IF(COUNTA(B375:V375)=0,"","Inserisci ID"),IF(COUNTIFS($A$8:$A$507,A375)&lt;&gt;1,"ID duplicato",IF(OR(NOT(ISNUMBER(B375)),D375="",E375="",F375="",G375="",H375="",COUNTIFS('Impostazioni'!$J$6:$J$25,F375)&lt;&gt;1),"Completa dati / elenchi",IF(OR(AND(I375&lt;&gt;"Lordo manuale",I375&lt;&gt;"Netto manuale",I375&lt;&gt;"Esecuzioni"),AND(J375&lt;&gt;"Aperto",J375&lt;&gt;"Chiuso",J375&lt;&gt;"Annullato")),"Modalità / stato mancanti",IF(AND(J375&lt;&gt;"Aperto",OR(NOT(ISNUMBER(C375)),C375&lt;B375)),"Correggi data chiusura",IF(OR(AND(Q375&lt;&gt;"",OR(NOT(ISNUMBER(Q375)),Q375&lt;0)),AND(R375&lt;&gt;"",OR(NOT(ISNUMBER(R375)),R375&lt;0,R375&gt;1))),"Commissione non valida",IF(J375="Annullato","OK",IF(OR(NOT(ISNUMBER(Z375)),Z375&lt;0,AND(O375&lt;&gt;"",NOT(ISNUMBER(O375)))),"Inserisci rischio",IF(AND(I375="Esecuzioni",OR(W375=0,COUNTIFS('Esecuzioni'!$A$8:$A$1007,A375,'Esecuzioni'!$Q$8:$Q$1007,"&lt;&gt;OK")&gt;0)),"Correggi esecuzioni",IF(J375="Aperto","OK",IF(AND(I375="Esecuzioni",S375="Coperto",ABS(X375-Y375)&gt;'Impostazioni'!$B$11),"Copertura residua",IF(NOT(ISNUMBER(AC375)),"Completa risultato / esito",IF(AND(Z375=0,AC375&lt;&gt;0),"Rischio nullo con P/L","OK")))))))))))))</x:f>
      </x:c>
      <x:c r="AR375" s="20" t="str">
        <x:f>IF(OR(A375="",J375&lt;&gt;"Aperto",AQ375&lt;&gt;"OK"),"",IF(I375="Esecuzioni",SUMIFS('Esecuzioni'!$P$8:$P$1007,'Esecuzioni'!$A$8:$A$1007,A375,'Esecuzioni'!$B$8:$B$1007,_xlfn.MAXIFS('Esecuzioni'!$B$8:$B$1007,'Esecuzioni'!$A$8:$A$1007,A375)),IF(LEFT(U375,8)="FREEBET:",0,Z375)))</x:f>
      </x:c>
      <x:c r="AS375" s="48" t="str">
        <x:f>IF(OR(A375="",E375=""),"",IF(COUNTIFS($E$8:E375,E375)=1,COUNT($AS$7:AS374)+1,""))</x:f>
      </x:c>
    </x:row>
    <x:row r="376" ht="22" customHeight="1">
      <x:c r="A376" s="7"/>
      <x:c r="B376" s="19"/>
      <x:c r="C376" s="19"/>
      <x:c r="D376" s="7"/>
      <x:c r="E376" s="7"/>
      <x:c r="F376" s="7"/>
      <x:c r="G376" s="7"/>
      <x:c r="H376" s="7"/>
      <x:c r="I376" s="7"/>
      <x:c r="J376" s="7"/>
      <x:c r="K376" s="10"/>
      <x:c r="L376" s="7"/>
      <x:c r="M376" s="10"/>
      <x:c r="N376" s="7"/>
      <x:c r="O376" s="8"/>
      <x:c r="P376" s="8"/>
      <x:c r="Q376" s="8"/>
      <x:c r="R376" s="9"/>
      <x:c r="S376" s="7"/>
      <x:c r="T376" s="7"/>
      <x:c r="U376" s="7"/>
      <x:c r="V376" s="7"/>
      <x:c r="W376" s="22" t="str">
        <x:f>IF(A376="","",COUNTIFS('Esecuzioni'!$A$8:$A$1007,A376,'Esecuzioni'!$Q$8:$Q$1007,"OK"))</x:f>
      </x:c>
      <x:c r="X376" s="20" t="str">
        <x:f>IF(OR(A376="",I376&lt;&gt;"Esecuzioni",W376=0),"",SUMIFS('Esecuzioni'!$L$8:$L$1007,'Esecuzioni'!$A$8:$A$1007,A376))</x:f>
      </x:c>
      <x:c r="Y376" s="20" t="str">
        <x:f>IF(OR(A376="",I376&lt;&gt;"Esecuzioni",W376=0),"",SUMIFS('Esecuzioni'!$M$8:$M$1007,'Esecuzioni'!$A$8:$A$1007,A376))</x:f>
      </x:c>
      <x:c r="Z376" s="20" t="str">
        <x:f>IF(A376="","",IF(J376="Annullato",0,IF(ISNUMBER(O376),O376,IF(AND(I376="Esecuzioni",W376&gt;0),_xlfn.MAXIFS('Esecuzioni'!$P$8:$P$1007,'Esecuzioni'!$A$8:$A$1007,A376),""))))</x:f>
      </x:c>
      <x:c r="AA376" s="20" t="str">
        <x:f>IF(OR(A376="",J376="Aperto"),"",IF(J376="Annullato",0,IF(I376="Lordo manuale",IF(ISNUMBER(P376),P376,""),IF(I376="Netto manuale",IF(AND(ISNUMBER(P376),ISNUMBER(Q376)),P376+Q376,""),IF(OR(W376=0,COUNTIFS('Esecuzioni'!$A$8:$A$1007,A376,'Esecuzioni'!$Q$8:$Q$1007,"&lt;&gt;OK")&gt;0),"",IF(S376="Vince",X376,IF(S376="Perde",Y376,IF(AND(S376="Coperto",ABS(X376-Y376)&lt;='Impostazioni'!$B$11),ROUND((X376+Y376)/2,2),""))))))))</x:f>
      </x:c>
      <x:c r="AB376" s="20" t="str">
        <x:f>IF(NOT(ISNUMBER(AA376)),"",IF(J376="Annullato",0,IF(ISNUMBER(Q376),Q376,ROUND(MAX(0,AA376)*IF(ISNUMBER(R376),R376,'Impostazioni'!$B$8),2))))</x:f>
      </x:c>
      <x:c r="AC376" s="20" t="str">
        <x:f>IF(AND(ISNUMBER(AA376),ISNUMBER(AB376)),ROUND(AA376-AB376,2),"")</x:f>
      </x:c>
      <x:c r="AD376" s="18" t="str">
        <x:f>IF(A376="","",IF(AQ376&lt;&gt;"OK","Incompleto",IF(J376="Aperto","Aperto",IF(J376="Annullato","Annullato",IF(AC376&gt;0,"Green",IF(AC376&lt;0,"Red","Flat"))))))</x:f>
      </x:c>
      <x:c r="AE376" s="21" t="str">
        <x:f>IF(AND(AH376=1,Z376&gt;0),AC376/Z376,"")</x:f>
      </x:c>
      <x:c r="AF376" s="22" t="str">
        <x:f>IF(AH376&lt;&gt;1,"",COUNTIFS($C$8:$C$507,"&lt;"&amp;C376,$AH$8:$AH$507,1)+COUNTIFS($C$8:$C$507,C376,$A$8:$A$507,"&lt;="&amp;A376,$AH$8:$AH$507,1))</x:f>
      </x:c>
      <x:c r="AG376" s="20" t="str">
        <x:f>IF(AH376&lt;&gt;1,"",SUMIFS($AC$8:$AC$507,$C$8:$C$507,"&lt;"&amp;C376,$AH$8:$AH$507,1)+SUMIFS($AC$8:$AC$507,$C$8:$C$507,C376,$A$8:$A$507,"&lt;="&amp;A376,$AH$8:$AH$507,1))</x:f>
      </x:c>
      <x:c r="AH376" s="22" t="str">
        <x:f>IF(A376="","",IF(AND(J376="Chiuso",AQ376="OK",ISNUMBER(AC376)),1,0))</x:f>
      </x:c>
      <x:c r="AI376" s="20" t="str">
        <x:f>IF(AH376&lt;&gt;1,"",MAX(0,_xlfn.MAXIFS($AG$8:$AG$507,$AF$8:$AF$507,"&lt;="&amp;AF376,$AH$8:$AH$507,1)))</x:f>
      </x:c>
      <x:c r="AJ376" s="20" t="str">
        <x:f>IF(AH376&lt;&gt;1,"",MAX(0,AI376-AG376))</x:f>
      </x:c>
      <x:c r="AK376" s="21" t="str">
        <x:f>IF(OR(AH376&lt;&gt;1,NOT(ISNUMBER('Impostazioni'!$B$6)),'Impostazioni'!$B$6+AI376&lt;=0),"",AJ376/('Impostazioni'!$B$6+AI376))</x:f>
      </x:c>
      <x:c r="AL376" s="22" t="str">
        <x:f>IF(AH376&lt;&gt;1,"",IF(AC376&gt;0,AF376-_xlfn.MAXIFS($AF$8:$AF$507,$AF$8:$AF$507,"&lt;="&amp;AF376,$AC$8:$AC$507,"&lt;=0",$AH$8:$AH$507,1),0))</x:f>
      </x:c>
      <x:c r="AM376" s="22" t="str">
        <x:f>IF(AH376&lt;&gt;1,"",IF(AC376&lt;0,AF376-_xlfn.MAXIFS($AF$8:$AF$507,$AF$8:$AF$507,"&lt;="&amp;AF376,$AC$8:$AC$507,"&gt;=0",$AH$8:$AH$507,1),0))</x:f>
      </x:c>
      <x:c r="AN376" s="20" t="str">
        <x:f>IF(OR(A376="",NOT(ISNUMBER(B376)),NOT(ISNUMBER('Impostazioni'!$B$6))),"",'Impostazioni'!$B$6+SUMIFS($AC$8:$AC$507,$C$8:$C$507,"&lt;"&amp;B376,$AH$8:$AH$507,1)+SUMIFS('Cassa'!$F$8:$F$307,'Cassa'!$A$8:$A$307,"&lt;="&amp;B376,'Cassa'!$G$8:$G$307,"OK"))</x:f>
      </x:c>
      <x:c r="AO376" s="21" t="str">
        <x:f>IF(AND(ISNUMBER(Z376),ISNUMBER(AN376),AN376&gt;0),Z376/AN376,"")</x:f>
      </x:c>
      <x:c r="AP376" s="18" t="str">
        <x:f>IF(NOT(ISNUMBER(AO376)),"",IF(AO376&gt;'Impostazioni'!$B$7,"Oltre soglia personale","Nella soglia personale"))</x:f>
      </x:c>
      <x:c r="AQ376" s="18" t="str">
        <x:f>IF(A376="",IF(COUNTA(B376:V376)=0,"","Inserisci ID"),IF(COUNTIFS($A$8:$A$507,A376)&lt;&gt;1,"ID duplicato",IF(OR(NOT(ISNUMBER(B376)),D376="",E376="",F376="",G376="",H376="",COUNTIFS('Impostazioni'!$J$6:$J$25,F376)&lt;&gt;1),"Completa dati / elenchi",IF(OR(AND(I376&lt;&gt;"Lordo manuale",I376&lt;&gt;"Netto manuale",I376&lt;&gt;"Esecuzioni"),AND(J376&lt;&gt;"Aperto",J376&lt;&gt;"Chiuso",J376&lt;&gt;"Annullato")),"Modalità / stato mancanti",IF(AND(J376&lt;&gt;"Aperto",OR(NOT(ISNUMBER(C376)),C376&lt;B376)),"Correggi data chiusura",IF(OR(AND(Q376&lt;&gt;"",OR(NOT(ISNUMBER(Q376)),Q376&lt;0)),AND(R376&lt;&gt;"",OR(NOT(ISNUMBER(R376)),R376&lt;0,R376&gt;1))),"Commissione non valida",IF(J376="Annullato","OK",IF(OR(NOT(ISNUMBER(Z376)),Z376&lt;0,AND(O376&lt;&gt;"",NOT(ISNUMBER(O376)))),"Inserisci rischio",IF(AND(I376="Esecuzioni",OR(W376=0,COUNTIFS('Esecuzioni'!$A$8:$A$1007,A376,'Esecuzioni'!$Q$8:$Q$1007,"&lt;&gt;OK")&gt;0)),"Correggi esecuzioni",IF(J376="Aperto","OK",IF(AND(I376="Esecuzioni",S376="Coperto",ABS(X376-Y376)&gt;'Impostazioni'!$B$11),"Copertura residua",IF(NOT(ISNUMBER(AC376)),"Completa risultato / esito",IF(AND(Z376=0,AC376&lt;&gt;0),"Rischio nullo con P/L","OK")))))))))))))</x:f>
      </x:c>
      <x:c r="AR376" s="20" t="str">
        <x:f>IF(OR(A376="",J376&lt;&gt;"Aperto",AQ376&lt;&gt;"OK"),"",IF(I376="Esecuzioni",SUMIFS('Esecuzioni'!$P$8:$P$1007,'Esecuzioni'!$A$8:$A$1007,A376,'Esecuzioni'!$B$8:$B$1007,_xlfn.MAXIFS('Esecuzioni'!$B$8:$B$1007,'Esecuzioni'!$A$8:$A$1007,A376)),IF(LEFT(U376,8)="FREEBET:",0,Z376)))</x:f>
      </x:c>
      <x:c r="AS376" s="48" t="str">
        <x:f>IF(OR(A376="",E376=""),"",IF(COUNTIFS($E$8:E376,E376)=1,COUNT($AS$7:AS375)+1,""))</x:f>
      </x:c>
    </x:row>
    <x:row r="377" ht="22" customHeight="1">
      <x:c r="A377" s="7"/>
      <x:c r="B377" s="19"/>
      <x:c r="C377" s="19"/>
      <x:c r="D377" s="7"/>
      <x:c r="E377" s="7"/>
      <x:c r="F377" s="7"/>
      <x:c r="G377" s="7"/>
      <x:c r="H377" s="7"/>
      <x:c r="I377" s="7"/>
      <x:c r="J377" s="7"/>
      <x:c r="K377" s="10"/>
      <x:c r="L377" s="7"/>
      <x:c r="M377" s="10"/>
      <x:c r="N377" s="7"/>
      <x:c r="O377" s="8"/>
      <x:c r="P377" s="8"/>
      <x:c r="Q377" s="8"/>
      <x:c r="R377" s="9"/>
      <x:c r="S377" s="7"/>
      <x:c r="T377" s="7"/>
      <x:c r="U377" s="7"/>
      <x:c r="V377" s="7"/>
      <x:c r="W377" s="22" t="str">
        <x:f>IF(A377="","",COUNTIFS('Esecuzioni'!$A$8:$A$1007,A377,'Esecuzioni'!$Q$8:$Q$1007,"OK"))</x:f>
      </x:c>
      <x:c r="X377" s="20" t="str">
        <x:f>IF(OR(A377="",I377&lt;&gt;"Esecuzioni",W377=0),"",SUMIFS('Esecuzioni'!$L$8:$L$1007,'Esecuzioni'!$A$8:$A$1007,A377))</x:f>
      </x:c>
      <x:c r="Y377" s="20" t="str">
        <x:f>IF(OR(A377="",I377&lt;&gt;"Esecuzioni",W377=0),"",SUMIFS('Esecuzioni'!$M$8:$M$1007,'Esecuzioni'!$A$8:$A$1007,A377))</x:f>
      </x:c>
      <x:c r="Z377" s="20" t="str">
        <x:f>IF(A377="","",IF(J377="Annullato",0,IF(ISNUMBER(O377),O377,IF(AND(I377="Esecuzioni",W377&gt;0),_xlfn.MAXIFS('Esecuzioni'!$P$8:$P$1007,'Esecuzioni'!$A$8:$A$1007,A377),""))))</x:f>
      </x:c>
      <x:c r="AA377" s="20" t="str">
        <x:f>IF(OR(A377="",J377="Aperto"),"",IF(J377="Annullato",0,IF(I377="Lordo manuale",IF(ISNUMBER(P377),P377,""),IF(I377="Netto manuale",IF(AND(ISNUMBER(P377),ISNUMBER(Q377)),P377+Q377,""),IF(OR(W377=0,COUNTIFS('Esecuzioni'!$A$8:$A$1007,A377,'Esecuzioni'!$Q$8:$Q$1007,"&lt;&gt;OK")&gt;0),"",IF(S377="Vince",X377,IF(S377="Perde",Y377,IF(AND(S377="Coperto",ABS(X377-Y377)&lt;='Impostazioni'!$B$11),ROUND((X377+Y377)/2,2),""))))))))</x:f>
      </x:c>
      <x:c r="AB377" s="20" t="str">
        <x:f>IF(NOT(ISNUMBER(AA377)),"",IF(J377="Annullato",0,IF(ISNUMBER(Q377),Q377,ROUND(MAX(0,AA377)*IF(ISNUMBER(R377),R377,'Impostazioni'!$B$8),2))))</x:f>
      </x:c>
      <x:c r="AC377" s="20" t="str">
        <x:f>IF(AND(ISNUMBER(AA377),ISNUMBER(AB377)),ROUND(AA377-AB377,2),"")</x:f>
      </x:c>
      <x:c r="AD377" s="18" t="str">
        <x:f>IF(A377="","",IF(AQ377&lt;&gt;"OK","Incompleto",IF(J377="Aperto","Aperto",IF(J377="Annullato","Annullato",IF(AC377&gt;0,"Green",IF(AC377&lt;0,"Red","Flat"))))))</x:f>
      </x:c>
      <x:c r="AE377" s="21" t="str">
        <x:f>IF(AND(AH377=1,Z377&gt;0),AC377/Z377,"")</x:f>
      </x:c>
      <x:c r="AF377" s="22" t="str">
        <x:f>IF(AH377&lt;&gt;1,"",COUNTIFS($C$8:$C$507,"&lt;"&amp;C377,$AH$8:$AH$507,1)+COUNTIFS($C$8:$C$507,C377,$A$8:$A$507,"&lt;="&amp;A377,$AH$8:$AH$507,1))</x:f>
      </x:c>
      <x:c r="AG377" s="20" t="str">
        <x:f>IF(AH377&lt;&gt;1,"",SUMIFS($AC$8:$AC$507,$C$8:$C$507,"&lt;"&amp;C377,$AH$8:$AH$507,1)+SUMIFS($AC$8:$AC$507,$C$8:$C$507,C377,$A$8:$A$507,"&lt;="&amp;A377,$AH$8:$AH$507,1))</x:f>
      </x:c>
      <x:c r="AH377" s="22" t="str">
        <x:f>IF(A377="","",IF(AND(J377="Chiuso",AQ377="OK",ISNUMBER(AC377)),1,0))</x:f>
      </x:c>
      <x:c r="AI377" s="20" t="str">
        <x:f>IF(AH377&lt;&gt;1,"",MAX(0,_xlfn.MAXIFS($AG$8:$AG$507,$AF$8:$AF$507,"&lt;="&amp;AF377,$AH$8:$AH$507,1)))</x:f>
      </x:c>
      <x:c r="AJ377" s="20" t="str">
        <x:f>IF(AH377&lt;&gt;1,"",MAX(0,AI377-AG377))</x:f>
      </x:c>
      <x:c r="AK377" s="21" t="str">
        <x:f>IF(OR(AH377&lt;&gt;1,NOT(ISNUMBER('Impostazioni'!$B$6)),'Impostazioni'!$B$6+AI377&lt;=0),"",AJ377/('Impostazioni'!$B$6+AI377))</x:f>
      </x:c>
      <x:c r="AL377" s="22" t="str">
        <x:f>IF(AH377&lt;&gt;1,"",IF(AC377&gt;0,AF377-_xlfn.MAXIFS($AF$8:$AF$507,$AF$8:$AF$507,"&lt;="&amp;AF377,$AC$8:$AC$507,"&lt;=0",$AH$8:$AH$507,1),0))</x:f>
      </x:c>
      <x:c r="AM377" s="22" t="str">
        <x:f>IF(AH377&lt;&gt;1,"",IF(AC377&lt;0,AF377-_xlfn.MAXIFS($AF$8:$AF$507,$AF$8:$AF$507,"&lt;="&amp;AF377,$AC$8:$AC$507,"&gt;=0",$AH$8:$AH$507,1),0))</x:f>
      </x:c>
      <x:c r="AN377" s="20" t="str">
        <x:f>IF(OR(A377="",NOT(ISNUMBER(B377)),NOT(ISNUMBER('Impostazioni'!$B$6))),"",'Impostazioni'!$B$6+SUMIFS($AC$8:$AC$507,$C$8:$C$507,"&lt;"&amp;B377,$AH$8:$AH$507,1)+SUMIFS('Cassa'!$F$8:$F$307,'Cassa'!$A$8:$A$307,"&lt;="&amp;B377,'Cassa'!$G$8:$G$307,"OK"))</x:f>
      </x:c>
      <x:c r="AO377" s="21" t="str">
        <x:f>IF(AND(ISNUMBER(Z377),ISNUMBER(AN377),AN377&gt;0),Z377/AN377,"")</x:f>
      </x:c>
      <x:c r="AP377" s="18" t="str">
        <x:f>IF(NOT(ISNUMBER(AO377)),"",IF(AO377&gt;'Impostazioni'!$B$7,"Oltre soglia personale","Nella soglia personale"))</x:f>
      </x:c>
      <x:c r="AQ377" s="18" t="str">
        <x:f>IF(A377="",IF(COUNTA(B377:V377)=0,"","Inserisci ID"),IF(COUNTIFS($A$8:$A$507,A377)&lt;&gt;1,"ID duplicato",IF(OR(NOT(ISNUMBER(B377)),D377="",E377="",F377="",G377="",H377="",COUNTIFS('Impostazioni'!$J$6:$J$25,F377)&lt;&gt;1),"Completa dati / elenchi",IF(OR(AND(I377&lt;&gt;"Lordo manuale",I377&lt;&gt;"Netto manuale",I377&lt;&gt;"Esecuzioni"),AND(J377&lt;&gt;"Aperto",J377&lt;&gt;"Chiuso",J377&lt;&gt;"Annullato")),"Modalità / stato mancanti",IF(AND(J377&lt;&gt;"Aperto",OR(NOT(ISNUMBER(C377)),C377&lt;B377)),"Correggi data chiusura",IF(OR(AND(Q377&lt;&gt;"",OR(NOT(ISNUMBER(Q377)),Q377&lt;0)),AND(R377&lt;&gt;"",OR(NOT(ISNUMBER(R377)),R377&lt;0,R377&gt;1))),"Commissione non valida",IF(J377="Annullato","OK",IF(OR(NOT(ISNUMBER(Z377)),Z377&lt;0,AND(O377&lt;&gt;"",NOT(ISNUMBER(O377)))),"Inserisci rischio",IF(AND(I377="Esecuzioni",OR(W377=0,COUNTIFS('Esecuzioni'!$A$8:$A$1007,A377,'Esecuzioni'!$Q$8:$Q$1007,"&lt;&gt;OK")&gt;0)),"Correggi esecuzioni",IF(J377="Aperto","OK",IF(AND(I377="Esecuzioni",S377="Coperto",ABS(X377-Y377)&gt;'Impostazioni'!$B$11),"Copertura residua",IF(NOT(ISNUMBER(AC377)),"Completa risultato / esito",IF(AND(Z377=0,AC377&lt;&gt;0),"Rischio nullo con P/L","OK")))))))))))))</x:f>
      </x:c>
      <x:c r="AR377" s="20" t="str">
        <x:f>IF(OR(A377="",J377&lt;&gt;"Aperto",AQ377&lt;&gt;"OK"),"",IF(I377="Esecuzioni",SUMIFS('Esecuzioni'!$P$8:$P$1007,'Esecuzioni'!$A$8:$A$1007,A377,'Esecuzioni'!$B$8:$B$1007,_xlfn.MAXIFS('Esecuzioni'!$B$8:$B$1007,'Esecuzioni'!$A$8:$A$1007,A377)),IF(LEFT(U377,8)="FREEBET:",0,Z377)))</x:f>
      </x:c>
      <x:c r="AS377" s="48" t="str">
        <x:f>IF(OR(A377="",E377=""),"",IF(COUNTIFS($E$8:E377,E377)=1,COUNT($AS$7:AS376)+1,""))</x:f>
      </x:c>
    </x:row>
    <x:row r="378" ht="22" customHeight="1">
      <x:c r="A378" s="7"/>
      <x:c r="B378" s="19"/>
      <x:c r="C378" s="19"/>
      <x:c r="D378" s="7"/>
      <x:c r="E378" s="7"/>
      <x:c r="F378" s="7"/>
      <x:c r="G378" s="7"/>
      <x:c r="H378" s="7"/>
      <x:c r="I378" s="7"/>
      <x:c r="J378" s="7"/>
      <x:c r="K378" s="10"/>
      <x:c r="L378" s="7"/>
      <x:c r="M378" s="10"/>
      <x:c r="N378" s="7"/>
      <x:c r="O378" s="8"/>
      <x:c r="P378" s="8"/>
      <x:c r="Q378" s="8"/>
      <x:c r="R378" s="9"/>
      <x:c r="S378" s="7"/>
      <x:c r="T378" s="7"/>
      <x:c r="U378" s="7"/>
      <x:c r="V378" s="7"/>
      <x:c r="W378" s="22" t="str">
        <x:f>IF(A378="","",COUNTIFS('Esecuzioni'!$A$8:$A$1007,A378,'Esecuzioni'!$Q$8:$Q$1007,"OK"))</x:f>
      </x:c>
      <x:c r="X378" s="20" t="str">
        <x:f>IF(OR(A378="",I378&lt;&gt;"Esecuzioni",W378=0),"",SUMIFS('Esecuzioni'!$L$8:$L$1007,'Esecuzioni'!$A$8:$A$1007,A378))</x:f>
      </x:c>
      <x:c r="Y378" s="20" t="str">
        <x:f>IF(OR(A378="",I378&lt;&gt;"Esecuzioni",W378=0),"",SUMIFS('Esecuzioni'!$M$8:$M$1007,'Esecuzioni'!$A$8:$A$1007,A378))</x:f>
      </x:c>
      <x:c r="Z378" s="20" t="str">
        <x:f>IF(A378="","",IF(J378="Annullato",0,IF(ISNUMBER(O378),O378,IF(AND(I378="Esecuzioni",W378&gt;0),_xlfn.MAXIFS('Esecuzioni'!$P$8:$P$1007,'Esecuzioni'!$A$8:$A$1007,A378),""))))</x:f>
      </x:c>
      <x:c r="AA378" s="20" t="str">
        <x:f>IF(OR(A378="",J378="Aperto"),"",IF(J378="Annullato",0,IF(I378="Lordo manuale",IF(ISNUMBER(P378),P378,""),IF(I378="Netto manuale",IF(AND(ISNUMBER(P378),ISNUMBER(Q378)),P378+Q378,""),IF(OR(W378=0,COUNTIFS('Esecuzioni'!$A$8:$A$1007,A378,'Esecuzioni'!$Q$8:$Q$1007,"&lt;&gt;OK")&gt;0),"",IF(S378="Vince",X378,IF(S378="Perde",Y378,IF(AND(S378="Coperto",ABS(X378-Y378)&lt;='Impostazioni'!$B$11),ROUND((X378+Y378)/2,2),""))))))))</x:f>
      </x:c>
      <x:c r="AB378" s="20" t="str">
        <x:f>IF(NOT(ISNUMBER(AA378)),"",IF(J378="Annullato",0,IF(ISNUMBER(Q378),Q378,ROUND(MAX(0,AA378)*IF(ISNUMBER(R378),R378,'Impostazioni'!$B$8),2))))</x:f>
      </x:c>
      <x:c r="AC378" s="20" t="str">
        <x:f>IF(AND(ISNUMBER(AA378),ISNUMBER(AB378)),ROUND(AA378-AB378,2),"")</x:f>
      </x:c>
      <x:c r="AD378" s="18" t="str">
        <x:f>IF(A378="","",IF(AQ378&lt;&gt;"OK","Incompleto",IF(J378="Aperto","Aperto",IF(J378="Annullato","Annullato",IF(AC378&gt;0,"Green",IF(AC378&lt;0,"Red","Flat"))))))</x:f>
      </x:c>
      <x:c r="AE378" s="21" t="str">
        <x:f>IF(AND(AH378=1,Z378&gt;0),AC378/Z378,"")</x:f>
      </x:c>
      <x:c r="AF378" s="22" t="str">
        <x:f>IF(AH378&lt;&gt;1,"",COUNTIFS($C$8:$C$507,"&lt;"&amp;C378,$AH$8:$AH$507,1)+COUNTIFS($C$8:$C$507,C378,$A$8:$A$507,"&lt;="&amp;A378,$AH$8:$AH$507,1))</x:f>
      </x:c>
      <x:c r="AG378" s="20" t="str">
        <x:f>IF(AH378&lt;&gt;1,"",SUMIFS($AC$8:$AC$507,$C$8:$C$507,"&lt;"&amp;C378,$AH$8:$AH$507,1)+SUMIFS($AC$8:$AC$507,$C$8:$C$507,C378,$A$8:$A$507,"&lt;="&amp;A378,$AH$8:$AH$507,1))</x:f>
      </x:c>
      <x:c r="AH378" s="22" t="str">
        <x:f>IF(A378="","",IF(AND(J378="Chiuso",AQ378="OK",ISNUMBER(AC378)),1,0))</x:f>
      </x:c>
      <x:c r="AI378" s="20" t="str">
        <x:f>IF(AH378&lt;&gt;1,"",MAX(0,_xlfn.MAXIFS($AG$8:$AG$507,$AF$8:$AF$507,"&lt;="&amp;AF378,$AH$8:$AH$507,1)))</x:f>
      </x:c>
      <x:c r="AJ378" s="20" t="str">
        <x:f>IF(AH378&lt;&gt;1,"",MAX(0,AI378-AG378))</x:f>
      </x:c>
      <x:c r="AK378" s="21" t="str">
        <x:f>IF(OR(AH378&lt;&gt;1,NOT(ISNUMBER('Impostazioni'!$B$6)),'Impostazioni'!$B$6+AI378&lt;=0),"",AJ378/('Impostazioni'!$B$6+AI378))</x:f>
      </x:c>
      <x:c r="AL378" s="22" t="str">
        <x:f>IF(AH378&lt;&gt;1,"",IF(AC378&gt;0,AF378-_xlfn.MAXIFS($AF$8:$AF$507,$AF$8:$AF$507,"&lt;="&amp;AF378,$AC$8:$AC$507,"&lt;=0",$AH$8:$AH$507,1),0))</x:f>
      </x:c>
      <x:c r="AM378" s="22" t="str">
        <x:f>IF(AH378&lt;&gt;1,"",IF(AC378&lt;0,AF378-_xlfn.MAXIFS($AF$8:$AF$507,$AF$8:$AF$507,"&lt;="&amp;AF378,$AC$8:$AC$507,"&gt;=0",$AH$8:$AH$507,1),0))</x:f>
      </x:c>
      <x:c r="AN378" s="20" t="str">
        <x:f>IF(OR(A378="",NOT(ISNUMBER(B378)),NOT(ISNUMBER('Impostazioni'!$B$6))),"",'Impostazioni'!$B$6+SUMIFS($AC$8:$AC$507,$C$8:$C$507,"&lt;"&amp;B378,$AH$8:$AH$507,1)+SUMIFS('Cassa'!$F$8:$F$307,'Cassa'!$A$8:$A$307,"&lt;="&amp;B378,'Cassa'!$G$8:$G$307,"OK"))</x:f>
      </x:c>
      <x:c r="AO378" s="21" t="str">
        <x:f>IF(AND(ISNUMBER(Z378),ISNUMBER(AN378),AN378&gt;0),Z378/AN378,"")</x:f>
      </x:c>
      <x:c r="AP378" s="18" t="str">
        <x:f>IF(NOT(ISNUMBER(AO378)),"",IF(AO378&gt;'Impostazioni'!$B$7,"Oltre soglia personale","Nella soglia personale"))</x:f>
      </x:c>
      <x:c r="AQ378" s="18" t="str">
        <x:f>IF(A378="",IF(COUNTA(B378:V378)=0,"","Inserisci ID"),IF(COUNTIFS($A$8:$A$507,A378)&lt;&gt;1,"ID duplicato",IF(OR(NOT(ISNUMBER(B378)),D378="",E378="",F378="",G378="",H378="",COUNTIFS('Impostazioni'!$J$6:$J$25,F378)&lt;&gt;1),"Completa dati / elenchi",IF(OR(AND(I378&lt;&gt;"Lordo manuale",I378&lt;&gt;"Netto manuale",I378&lt;&gt;"Esecuzioni"),AND(J378&lt;&gt;"Aperto",J378&lt;&gt;"Chiuso",J378&lt;&gt;"Annullato")),"Modalità / stato mancanti",IF(AND(J378&lt;&gt;"Aperto",OR(NOT(ISNUMBER(C378)),C378&lt;B378)),"Correggi data chiusura",IF(OR(AND(Q378&lt;&gt;"",OR(NOT(ISNUMBER(Q378)),Q378&lt;0)),AND(R378&lt;&gt;"",OR(NOT(ISNUMBER(R378)),R378&lt;0,R378&gt;1))),"Commissione non valida",IF(J378="Annullato","OK",IF(OR(NOT(ISNUMBER(Z378)),Z378&lt;0,AND(O378&lt;&gt;"",NOT(ISNUMBER(O378)))),"Inserisci rischio",IF(AND(I378="Esecuzioni",OR(W378=0,COUNTIFS('Esecuzioni'!$A$8:$A$1007,A378,'Esecuzioni'!$Q$8:$Q$1007,"&lt;&gt;OK")&gt;0)),"Correggi esecuzioni",IF(J378="Aperto","OK",IF(AND(I378="Esecuzioni",S378="Coperto",ABS(X378-Y378)&gt;'Impostazioni'!$B$11),"Copertura residua",IF(NOT(ISNUMBER(AC378)),"Completa risultato / esito",IF(AND(Z378=0,AC378&lt;&gt;0),"Rischio nullo con P/L","OK")))))))))))))</x:f>
      </x:c>
      <x:c r="AR378" s="20" t="str">
        <x:f>IF(OR(A378="",J378&lt;&gt;"Aperto",AQ378&lt;&gt;"OK"),"",IF(I378="Esecuzioni",SUMIFS('Esecuzioni'!$P$8:$P$1007,'Esecuzioni'!$A$8:$A$1007,A378,'Esecuzioni'!$B$8:$B$1007,_xlfn.MAXIFS('Esecuzioni'!$B$8:$B$1007,'Esecuzioni'!$A$8:$A$1007,A378)),IF(LEFT(U378,8)="FREEBET:",0,Z378)))</x:f>
      </x:c>
      <x:c r="AS378" s="48" t="str">
        <x:f>IF(OR(A378="",E378=""),"",IF(COUNTIFS($E$8:E378,E378)=1,COUNT($AS$7:AS377)+1,""))</x:f>
      </x:c>
    </x:row>
    <x:row r="379" ht="22" customHeight="1">
      <x:c r="A379" s="7"/>
      <x:c r="B379" s="19"/>
      <x:c r="C379" s="19"/>
      <x:c r="D379" s="7"/>
      <x:c r="E379" s="7"/>
      <x:c r="F379" s="7"/>
      <x:c r="G379" s="7"/>
      <x:c r="H379" s="7"/>
      <x:c r="I379" s="7"/>
      <x:c r="J379" s="7"/>
      <x:c r="K379" s="10"/>
      <x:c r="L379" s="7"/>
      <x:c r="M379" s="10"/>
      <x:c r="N379" s="7"/>
      <x:c r="O379" s="8"/>
      <x:c r="P379" s="8"/>
      <x:c r="Q379" s="8"/>
      <x:c r="R379" s="9"/>
      <x:c r="S379" s="7"/>
      <x:c r="T379" s="7"/>
      <x:c r="U379" s="7"/>
      <x:c r="V379" s="7"/>
      <x:c r="W379" s="22" t="str">
        <x:f>IF(A379="","",COUNTIFS('Esecuzioni'!$A$8:$A$1007,A379,'Esecuzioni'!$Q$8:$Q$1007,"OK"))</x:f>
      </x:c>
      <x:c r="X379" s="20" t="str">
        <x:f>IF(OR(A379="",I379&lt;&gt;"Esecuzioni",W379=0),"",SUMIFS('Esecuzioni'!$L$8:$L$1007,'Esecuzioni'!$A$8:$A$1007,A379))</x:f>
      </x:c>
      <x:c r="Y379" s="20" t="str">
        <x:f>IF(OR(A379="",I379&lt;&gt;"Esecuzioni",W379=0),"",SUMIFS('Esecuzioni'!$M$8:$M$1007,'Esecuzioni'!$A$8:$A$1007,A379))</x:f>
      </x:c>
      <x:c r="Z379" s="20" t="str">
        <x:f>IF(A379="","",IF(J379="Annullato",0,IF(ISNUMBER(O379),O379,IF(AND(I379="Esecuzioni",W379&gt;0),_xlfn.MAXIFS('Esecuzioni'!$P$8:$P$1007,'Esecuzioni'!$A$8:$A$1007,A379),""))))</x:f>
      </x:c>
      <x:c r="AA379" s="20" t="str">
        <x:f>IF(OR(A379="",J379="Aperto"),"",IF(J379="Annullato",0,IF(I379="Lordo manuale",IF(ISNUMBER(P379),P379,""),IF(I379="Netto manuale",IF(AND(ISNUMBER(P379),ISNUMBER(Q379)),P379+Q379,""),IF(OR(W379=0,COUNTIFS('Esecuzioni'!$A$8:$A$1007,A379,'Esecuzioni'!$Q$8:$Q$1007,"&lt;&gt;OK")&gt;0),"",IF(S379="Vince",X379,IF(S379="Perde",Y379,IF(AND(S379="Coperto",ABS(X379-Y379)&lt;='Impostazioni'!$B$11),ROUND((X379+Y379)/2,2),""))))))))</x:f>
      </x:c>
      <x:c r="AB379" s="20" t="str">
        <x:f>IF(NOT(ISNUMBER(AA379)),"",IF(J379="Annullato",0,IF(ISNUMBER(Q379),Q379,ROUND(MAX(0,AA379)*IF(ISNUMBER(R379),R379,'Impostazioni'!$B$8),2))))</x:f>
      </x:c>
      <x:c r="AC379" s="20" t="str">
        <x:f>IF(AND(ISNUMBER(AA379),ISNUMBER(AB379)),ROUND(AA379-AB379,2),"")</x:f>
      </x:c>
      <x:c r="AD379" s="18" t="str">
        <x:f>IF(A379="","",IF(AQ379&lt;&gt;"OK","Incompleto",IF(J379="Aperto","Aperto",IF(J379="Annullato","Annullato",IF(AC379&gt;0,"Green",IF(AC379&lt;0,"Red","Flat"))))))</x:f>
      </x:c>
      <x:c r="AE379" s="21" t="str">
        <x:f>IF(AND(AH379=1,Z379&gt;0),AC379/Z379,"")</x:f>
      </x:c>
      <x:c r="AF379" s="22" t="str">
        <x:f>IF(AH379&lt;&gt;1,"",COUNTIFS($C$8:$C$507,"&lt;"&amp;C379,$AH$8:$AH$507,1)+COUNTIFS($C$8:$C$507,C379,$A$8:$A$507,"&lt;="&amp;A379,$AH$8:$AH$507,1))</x:f>
      </x:c>
      <x:c r="AG379" s="20" t="str">
        <x:f>IF(AH379&lt;&gt;1,"",SUMIFS($AC$8:$AC$507,$C$8:$C$507,"&lt;"&amp;C379,$AH$8:$AH$507,1)+SUMIFS($AC$8:$AC$507,$C$8:$C$507,C379,$A$8:$A$507,"&lt;="&amp;A379,$AH$8:$AH$507,1))</x:f>
      </x:c>
      <x:c r="AH379" s="22" t="str">
        <x:f>IF(A379="","",IF(AND(J379="Chiuso",AQ379="OK",ISNUMBER(AC379)),1,0))</x:f>
      </x:c>
      <x:c r="AI379" s="20" t="str">
        <x:f>IF(AH379&lt;&gt;1,"",MAX(0,_xlfn.MAXIFS($AG$8:$AG$507,$AF$8:$AF$507,"&lt;="&amp;AF379,$AH$8:$AH$507,1)))</x:f>
      </x:c>
      <x:c r="AJ379" s="20" t="str">
        <x:f>IF(AH379&lt;&gt;1,"",MAX(0,AI379-AG379))</x:f>
      </x:c>
      <x:c r="AK379" s="21" t="str">
        <x:f>IF(OR(AH379&lt;&gt;1,NOT(ISNUMBER('Impostazioni'!$B$6)),'Impostazioni'!$B$6+AI379&lt;=0),"",AJ379/('Impostazioni'!$B$6+AI379))</x:f>
      </x:c>
      <x:c r="AL379" s="22" t="str">
        <x:f>IF(AH379&lt;&gt;1,"",IF(AC379&gt;0,AF379-_xlfn.MAXIFS($AF$8:$AF$507,$AF$8:$AF$507,"&lt;="&amp;AF379,$AC$8:$AC$507,"&lt;=0",$AH$8:$AH$507,1),0))</x:f>
      </x:c>
      <x:c r="AM379" s="22" t="str">
        <x:f>IF(AH379&lt;&gt;1,"",IF(AC379&lt;0,AF379-_xlfn.MAXIFS($AF$8:$AF$507,$AF$8:$AF$507,"&lt;="&amp;AF379,$AC$8:$AC$507,"&gt;=0",$AH$8:$AH$507,1),0))</x:f>
      </x:c>
      <x:c r="AN379" s="20" t="str">
        <x:f>IF(OR(A379="",NOT(ISNUMBER(B379)),NOT(ISNUMBER('Impostazioni'!$B$6))),"",'Impostazioni'!$B$6+SUMIFS($AC$8:$AC$507,$C$8:$C$507,"&lt;"&amp;B379,$AH$8:$AH$507,1)+SUMIFS('Cassa'!$F$8:$F$307,'Cassa'!$A$8:$A$307,"&lt;="&amp;B379,'Cassa'!$G$8:$G$307,"OK"))</x:f>
      </x:c>
      <x:c r="AO379" s="21" t="str">
        <x:f>IF(AND(ISNUMBER(Z379),ISNUMBER(AN379),AN379&gt;0),Z379/AN379,"")</x:f>
      </x:c>
      <x:c r="AP379" s="18" t="str">
        <x:f>IF(NOT(ISNUMBER(AO379)),"",IF(AO379&gt;'Impostazioni'!$B$7,"Oltre soglia personale","Nella soglia personale"))</x:f>
      </x:c>
      <x:c r="AQ379" s="18" t="str">
        <x:f>IF(A379="",IF(COUNTA(B379:V379)=0,"","Inserisci ID"),IF(COUNTIFS($A$8:$A$507,A379)&lt;&gt;1,"ID duplicato",IF(OR(NOT(ISNUMBER(B379)),D379="",E379="",F379="",G379="",H379="",COUNTIFS('Impostazioni'!$J$6:$J$25,F379)&lt;&gt;1),"Completa dati / elenchi",IF(OR(AND(I379&lt;&gt;"Lordo manuale",I379&lt;&gt;"Netto manuale",I379&lt;&gt;"Esecuzioni"),AND(J379&lt;&gt;"Aperto",J379&lt;&gt;"Chiuso",J379&lt;&gt;"Annullato")),"Modalità / stato mancanti",IF(AND(J379&lt;&gt;"Aperto",OR(NOT(ISNUMBER(C379)),C379&lt;B379)),"Correggi data chiusura",IF(OR(AND(Q379&lt;&gt;"",OR(NOT(ISNUMBER(Q379)),Q379&lt;0)),AND(R379&lt;&gt;"",OR(NOT(ISNUMBER(R379)),R379&lt;0,R379&gt;1))),"Commissione non valida",IF(J379="Annullato","OK",IF(OR(NOT(ISNUMBER(Z379)),Z379&lt;0,AND(O379&lt;&gt;"",NOT(ISNUMBER(O379)))),"Inserisci rischio",IF(AND(I379="Esecuzioni",OR(W379=0,COUNTIFS('Esecuzioni'!$A$8:$A$1007,A379,'Esecuzioni'!$Q$8:$Q$1007,"&lt;&gt;OK")&gt;0)),"Correggi esecuzioni",IF(J379="Aperto","OK",IF(AND(I379="Esecuzioni",S379="Coperto",ABS(X379-Y379)&gt;'Impostazioni'!$B$11),"Copertura residua",IF(NOT(ISNUMBER(AC379)),"Completa risultato / esito",IF(AND(Z379=0,AC379&lt;&gt;0),"Rischio nullo con P/L","OK")))))))))))))</x:f>
      </x:c>
      <x:c r="AR379" s="20" t="str">
        <x:f>IF(OR(A379="",J379&lt;&gt;"Aperto",AQ379&lt;&gt;"OK"),"",IF(I379="Esecuzioni",SUMIFS('Esecuzioni'!$P$8:$P$1007,'Esecuzioni'!$A$8:$A$1007,A379,'Esecuzioni'!$B$8:$B$1007,_xlfn.MAXIFS('Esecuzioni'!$B$8:$B$1007,'Esecuzioni'!$A$8:$A$1007,A379)),IF(LEFT(U379,8)="FREEBET:",0,Z379)))</x:f>
      </x:c>
      <x:c r="AS379" s="48" t="str">
        <x:f>IF(OR(A379="",E379=""),"",IF(COUNTIFS($E$8:E379,E379)=1,COUNT($AS$7:AS378)+1,""))</x:f>
      </x:c>
    </x:row>
    <x:row r="380" ht="22" customHeight="1">
      <x:c r="A380" s="7"/>
      <x:c r="B380" s="19"/>
      <x:c r="C380" s="19"/>
      <x:c r="D380" s="7"/>
      <x:c r="E380" s="7"/>
      <x:c r="F380" s="7"/>
      <x:c r="G380" s="7"/>
      <x:c r="H380" s="7"/>
      <x:c r="I380" s="7"/>
      <x:c r="J380" s="7"/>
      <x:c r="K380" s="10"/>
      <x:c r="L380" s="7"/>
      <x:c r="M380" s="10"/>
      <x:c r="N380" s="7"/>
      <x:c r="O380" s="8"/>
      <x:c r="P380" s="8"/>
      <x:c r="Q380" s="8"/>
      <x:c r="R380" s="9"/>
      <x:c r="S380" s="7"/>
      <x:c r="T380" s="7"/>
      <x:c r="U380" s="7"/>
      <x:c r="V380" s="7"/>
      <x:c r="W380" s="22" t="str">
        <x:f>IF(A380="","",COUNTIFS('Esecuzioni'!$A$8:$A$1007,A380,'Esecuzioni'!$Q$8:$Q$1007,"OK"))</x:f>
      </x:c>
      <x:c r="X380" s="20" t="str">
        <x:f>IF(OR(A380="",I380&lt;&gt;"Esecuzioni",W380=0),"",SUMIFS('Esecuzioni'!$L$8:$L$1007,'Esecuzioni'!$A$8:$A$1007,A380))</x:f>
      </x:c>
      <x:c r="Y380" s="20" t="str">
        <x:f>IF(OR(A380="",I380&lt;&gt;"Esecuzioni",W380=0),"",SUMIFS('Esecuzioni'!$M$8:$M$1007,'Esecuzioni'!$A$8:$A$1007,A380))</x:f>
      </x:c>
      <x:c r="Z380" s="20" t="str">
        <x:f>IF(A380="","",IF(J380="Annullato",0,IF(ISNUMBER(O380),O380,IF(AND(I380="Esecuzioni",W380&gt;0),_xlfn.MAXIFS('Esecuzioni'!$P$8:$P$1007,'Esecuzioni'!$A$8:$A$1007,A380),""))))</x:f>
      </x:c>
      <x:c r="AA380" s="20" t="str">
        <x:f>IF(OR(A380="",J380="Aperto"),"",IF(J380="Annullato",0,IF(I380="Lordo manuale",IF(ISNUMBER(P380),P380,""),IF(I380="Netto manuale",IF(AND(ISNUMBER(P380),ISNUMBER(Q380)),P380+Q380,""),IF(OR(W380=0,COUNTIFS('Esecuzioni'!$A$8:$A$1007,A380,'Esecuzioni'!$Q$8:$Q$1007,"&lt;&gt;OK")&gt;0),"",IF(S380="Vince",X380,IF(S380="Perde",Y380,IF(AND(S380="Coperto",ABS(X380-Y380)&lt;='Impostazioni'!$B$11),ROUND((X380+Y380)/2,2),""))))))))</x:f>
      </x:c>
      <x:c r="AB380" s="20" t="str">
        <x:f>IF(NOT(ISNUMBER(AA380)),"",IF(J380="Annullato",0,IF(ISNUMBER(Q380),Q380,ROUND(MAX(0,AA380)*IF(ISNUMBER(R380),R380,'Impostazioni'!$B$8),2))))</x:f>
      </x:c>
      <x:c r="AC380" s="20" t="str">
        <x:f>IF(AND(ISNUMBER(AA380),ISNUMBER(AB380)),ROUND(AA380-AB380,2),"")</x:f>
      </x:c>
      <x:c r="AD380" s="18" t="str">
        <x:f>IF(A380="","",IF(AQ380&lt;&gt;"OK","Incompleto",IF(J380="Aperto","Aperto",IF(J380="Annullato","Annullato",IF(AC380&gt;0,"Green",IF(AC380&lt;0,"Red","Flat"))))))</x:f>
      </x:c>
      <x:c r="AE380" s="21" t="str">
        <x:f>IF(AND(AH380=1,Z380&gt;0),AC380/Z380,"")</x:f>
      </x:c>
      <x:c r="AF380" s="22" t="str">
        <x:f>IF(AH380&lt;&gt;1,"",COUNTIFS($C$8:$C$507,"&lt;"&amp;C380,$AH$8:$AH$507,1)+COUNTIFS($C$8:$C$507,C380,$A$8:$A$507,"&lt;="&amp;A380,$AH$8:$AH$507,1))</x:f>
      </x:c>
      <x:c r="AG380" s="20" t="str">
        <x:f>IF(AH380&lt;&gt;1,"",SUMIFS($AC$8:$AC$507,$C$8:$C$507,"&lt;"&amp;C380,$AH$8:$AH$507,1)+SUMIFS($AC$8:$AC$507,$C$8:$C$507,C380,$A$8:$A$507,"&lt;="&amp;A380,$AH$8:$AH$507,1))</x:f>
      </x:c>
      <x:c r="AH380" s="22" t="str">
        <x:f>IF(A380="","",IF(AND(J380="Chiuso",AQ380="OK",ISNUMBER(AC380)),1,0))</x:f>
      </x:c>
      <x:c r="AI380" s="20" t="str">
        <x:f>IF(AH380&lt;&gt;1,"",MAX(0,_xlfn.MAXIFS($AG$8:$AG$507,$AF$8:$AF$507,"&lt;="&amp;AF380,$AH$8:$AH$507,1)))</x:f>
      </x:c>
      <x:c r="AJ380" s="20" t="str">
        <x:f>IF(AH380&lt;&gt;1,"",MAX(0,AI380-AG380))</x:f>
      </x:c>
      <x:c r="AK380" s="21" t="str">
        <x:f>IF(OR(AH380&lt;&gt;1,NOT(ISNUMBER('Impostazioni'!$B$6)),'Impostazioni'!$B$6+AI380&lt;=0),"",AJ380/('Impostazioni'!$B$6+AI380))</x:f>
      </x:c>
      <x:c r="AL380" s="22" t="str">
        <x:f>IF(AH380&lt;&gt;1,"",IF(AC380&gt;0,AF380-_xlfn.MAXIFS($AF$8:$AF$507,$AF$8:$AF$507,"&lt;="&amp;AF380,$AC$8:$AC$507,"&lt;=0",$AH$8:$AH$507,1),0))</x:f>
      </x:c>
      <x:c r="AM380" s="22" t="str">
        <x:f>IF(AH380&lt;&gt;1,"",IF(AC380&lt;0,AF380-_xlfn.MAXIFS($AF$8:$AF$507,$AF$8:$AF$507,"&lt;="&amp;AF380,$AC$8:$AC$507,"&gt;=0",$AH$8:$AH$507,1),0))</x:f>
      </x:c>
      <x:c r="AN380" s="20" t="str">
        <x:f>IF(OR(A380="",NOT(ISNUMBER(B380)),NOT(ISNUMBER('Impostazioni'!$B$6))),"",'Impostazioni'!$B$6+SUMIFS($AC$8:$AC$507,$C$8:$C$507,"&lt;"&amp;B380,$AH$8:$AH$507,1)+SUMIFS('Cassa'!$F$8:$F$307,'Cassa'!$A$8:$A$307,"&lt;="&amp;B380,'Cassa'!$G$8:$G$307,"OK"))</x:f>
      </x:c>
      <x:c r="AO380" s="21" t="str">
        <x:f>IF(AND(ISNUMBER(Z380),ISNUMBER(AN380),AN380&gt;0),Z380/AN380,"")</x:f>
      </x:c>
      <x:c r="AP380" s="18" t="str">
        <x:f>IF(NOT(ISNUMBER(AO380)),"",IF(AO380&gt;'Impostazioni'!$B$7,"Oltre soglia personale","Nella soglia personale"))</x:f>
      </x:c>
      <x:c r="AQ380" s="18" t="str">
        <x:f>IF(A380="",IF(COUNTA(B380:V380)=0,"","Inserisci ID"),IF(COUNTIFS($A$8:$A$507,A380)&lt;&gt;1,"ID duplicato",IF(OR(NOT(ISNUMBER(B380)),D380="",E380="",F380="",G380="",H380="",COUNTIFS('Impostazioni'!$J$6:$J$25,F380)&lt;&gt;1),"Completa dati / elenchi",IF(OR(AND(I380&lt;&gt;"Lordo manuale",I380&lt;&gt;"Netto manuale",I380&lt;&gt;"Esecuzioni"),AND(J380&lt;&gt;"Aperto",J380&lt;&gt;"Chiuso",J380&lt;&gt;"Annullato")),"Modalità / stato mancanti",IF(AND(J380&lt;&gt;"Aperto",OR(NOT(ISNUMBER(C380)),C380&lt;B380)),"Correggi data chiusura",IF(OR(AND(Q380&lt;&gt;"",OR(NOT(ISNUMBER(Q380)),Q380&lt;0)),AND(R380&lt;&gt;"",OR(NOT(ISNUMBER(R380)),R380&lt;0,R380&gt;1))),"Commissione non valida",IF(J380="Annullato","OK",IF(OR(NOT(ISNUMBER(Z380)),Z380&lt;0,AND(O380&lt;&gt;"",NOT(ISNUMBER(O380)))),"Inserisci rischio",IF(AND(I380="Esecuzioni",OR(W380=0,COUNTIFS('Esecuzioni'!$A$8:$A$1007,A380,'Esecuzioni'!$Q$8:$Q$1007,"&lt;&gt;OK")&gt;0)),"Correggi esecuzioni",IF(J380="Aperto","OK",IF(AND(I380="Esecuzioni",S380="Coperto",ABS(X380-Y380)&gt;'Impostazioni'!$B$11),"Copertura residua",IF(NOT(ISNUMBER(AC380)),"Completa risultato / esito",IF(AND(Z380=0,AC380&lt;&gt;0),"Rischio nullo con P/L","OK")))))))))))))</x:f>
      </x:c>
      <x:c r="AR380" s="20" t="str">
        <x:f>IF(OR(A380="",J380&lt;&gt;"Aperto",AQ380&lt;&gt;"OK"),"",IF(I380="Esecuzioni",SUMIFS('Esecuzioni'!$P$8:$P$1007,'Esecuzioni'!$A$8:$A$1007,A380,'Esecuzioni'!$B$8:$B$1007,_xlfn.MAXIFS('Esecuzioni'!$B$8:$B$1007,'Esecuzioni'!$A$8:$A$1007,A380)),IF(LEFT(U380,8)="FREEBET:",0,Z380)))</x:f>
      </x:c>
      <x:c r="AS380" s="48" t="str">
        <x:f>IF(OR(A380="",E380=""),"",IF(COUNTIFS($E$8:E380,E380)=1,COUNT($AS$7:AS379)+1,""))</x:f>
      </x:c>
    </x:row>
    <x:row r="381" ht="22" customHeight="1">
      <x:c r="A381" s="7"/>
      <x:c r="B381" s="19"/>
      <x:c r="C381" s="19"/>
      <x:c r="D381" s="7"/>
      <x:c r="E381" s="7"/>
      <x:c r="F381" s="7"/>
      <x:c r="G381" s="7"/>
      <x:c r="H381" s="7"/>
      <x:c r="I381" s="7"/>
      <x:c r="J381" s="7"/>
      <x:c r="K381" s="10"/>
      <x:c r="L381" s="7"/>
      <x:c r="M381" s="10"/>
      <x:c r="N381" s="7"/>
      <x:c r="O381" s="8"/>
      <x:c r="P381" s="8"/>
      <x:c r="Q381" s="8"/>
      <x:c r="R381" s="9"/>
      <x:c r="S381" s="7"/>
      <x:c r="T381" s="7"/>
      <x:c r="U381" s="7"/>
      <x:c r="V381" s="7"/>
      <x:c r="W381" s="22" t="str">
        <x:f>IF(A381="","",COUNTIFS('Esecuzioni'!$A$8:$A$1007,A381,'Esecuzioni'!$Q$8:$Q$1007,"OK"))</x:f>
      </x:c>
      <x:c r="X381" s="20" t="str">
        <x:f>IF(OR(A381="",I381&lt;&gt;"Esecuzioni",W381=0),"",SUMIFS('Esecuzioni'!$L$8:$L$1007,'Esecuzioni'!$A$8:$A$1007,A381))</x:f>
      </x:c>
      <x:c r="Y381" s="20" t="str">
        <x:f>IF(OR(A381="",I381&lt;&gt;"Esecuzioni",W381=0),"",SUMIFS('Esecuzioni'!$M$8:$M$1007,'Esecuzioni'!$A$8:$A$1007,A381))</x:f>
      </x:c>
      <x:c r="Z381" s="20" t="str">
        <x:f>IF(A381="","",IF(J381="Annullato",0,IF(ISNUMBER(O381),O381,IF(AND(I381="Esecuzioni",W381&gt;0),_xlfn.MAXIFS('Esecuzioni'!$P$8:$P$1007,'Esecuzioni'!$A$8:$A$1007,A381),""))))</x:f>
      </x:c>
      <x:c r="AA381" s="20" t="str">
        <x:f>IF(OR(A381="",J381="Aperto"),"",IF(J381="Annullato",0,IF(I381="Lordo manuale",IF(ISNUMBER(P381),P381,""),IF(I381="Netto manuale",IF(AND(ISNUMBER(P381),ISNUMBER(Q381)),P381+Q381,""),IF(OR(W381=0,COUNTIFS('Esecuzioni'!$A$8:$A$1007,A381,'Esecuzioni'!$Q$8:$Q$1007,"&lt;&gt;OK")&gt;0),"",IF(S381="Vince",X381,IF(S381="Perde",Y381,IF(AND(S381="Coperto",ABS(X381-Y381)&lt;='Impostazioni'!$B$11),ROUND((X381+Y381)/2,2),""))))))))</x:f>
      </x:c>
      <x:c r="AB381" s="20" t="str">
        <x:f>IF(NOT(ISNUMBER(AA381)),"",IF(J381="Annullato",0,IF(ISNUMBER(Q381),Q381,ROUND(MAX(0,AA381)*IF(ISNUMBER(R381),R381,'Impostazioni'!$B$8),2))))</x:f>
      </x:c>
      <x:c r="AC381" s="20" t="str">
        <x:f>IF(AND(ISNUMBER(AA381),ISNUMBER(AB381)),ROUND(AA381-AB381,2),"")</x:f>
      </x:c>
      <x:c r="AD381" s="18" t="str">
        <x:f>IF(A381="","",IF(AQ381&lt;&gt;"OK","Incompleto",IF(J381="Aperto","Aperto",IF(J381="Annullato","Annullato",IF(AC381&gt;0,"Green",IF(AC381&lt;0,"Red","Flat"))))))</x:f>
      </x:c>
      <x:c r="AE381" s="21" t="str">
        <x:f>IF(AND(AH381=1,Z381&gt;0),AC381/Z381,"")</x:f>
      </x:c>
      <x:c r="AF381" s="22" t="str">
        <x:f>IF(AH381&lt;&gt;1,"",COUNTIFS($C$8:$C$507,"&lt;"&amp;C381,$AH$8:$AH$507,1)+COUNTIFS($C$8:$C$507,C381,$A$8:$A$507,"&lt;="&amp;A381,$AH$8:$AH$507,1))</x:f>
      </x:c>
      <x:c r="AG381" s="20" t="str">
        <x:f>IF(AH381&lt;&gt;1,"",SUMIFS($AC$8:$AC$507,$C$8:$C$507,"&lt;"&amp;C381,$AH$8:$AH$507,1)+SUMIFS($AC$8:$AC$507,$C$8:$C$507,C381,$A$8:$A$507,"&lt;="&amp;A381,$AH$8:$AH$507,1))</x:f>
      </x:c>
      <x:c r="AH381" s="22" t="str">
        <x:f>IF(A381="","",IF(AND(J381="Chiuso",AQ381="OK",ISNUMBER(AC381)),1,0))</x:f>
      </x:c>
      <x:c r="AI381" s="20" t="str">
        <x:f>IF(AH381&lt;&gt;1,"",MAX(0,_xlfn.MAXIFS($AG$8:$AG$507,$AF$8:$AF$507,"&lt;="&amp;AF381,$AH$8:$AH$507,1)))</x:f>
      </x:c>
      <x:c r="AJ381" s="20" t="str">
        <x:f>IF(AH381&lt;&gt;1,"",MAX(0,AI381-AG381))</x:f>
      </x:c>
      <x:c r="AK381" s="21" t="str">
        <x:f>IF(OR(AH381&lt;&gt;1,NOT(ISNUMBER('Impostazioni'!$B$6)),'Impostazioni'!$B$6+AI381&lt;=0),"",AJ381/('Impostazioni'!$B$6+AI381))</x:f>
      </x:c>
      <x:c r="AL381" s="22" t="str">
        <x:f>IF(AH381&lt;&gt;1,"",IF(AC381&gt;0,AF381-_xlfn.MAXIFS($AF$8:$AF$507,$AF$8:$AF$507,"&lt;="&amp;AF381,$AC$8:$AC$507,"&lt;=0",$AH$8:$AH$507,1),0))</x:f>
      </x:c>
      <x:c r="AM381" s="22" t="str">
        <x:f>IF(AH381&lt;&gt;1,"",IF(AC381&lt;0,AF381-_xlfn.MAXIFS($AF$8:$AF$507,$AF$8:$AF$507,"&lt;="&amp;AF381,$AC$8:$AC$507,"&gt;=0",$AH$8:$AH$507,1),0))</x:f>
      </x:c>
      <x:c r="AN381" s="20" t="str">
        <x:f>IF(OR(A381="",NOT(ISNUMBER(B381)),NOT(ISNUMBER('Impostazioni'!$B$6))),"",'Impostazioni'!$B$6+SUMIFS($AC$8:$AC$507,$C$8:$C$507,"&lt;"&amp;B381,$AH$8:$AH$507,1)+SUMIFS('Cassa'!$F$8:$F$307,'Cassa'!$A$8:$A$307,"&lt;="&amp;B381,'Cassa'!$G$8:$G$307,"OK"))</x:f>
      </x:c>
      <x:c r="AO381" s="21" t="str">
        <x:f>IF(AND(ISNUMBER(Z381),ISNUMBER(AN381),AN381&gt;0),Z381/AN381,"")</x:f>
      </x:c>
      <x:c r="AP381" s="18" t="str">
        <x:f>IF(NOT(ISNUMBER(AO381)),"",IF(AO381&gt;'Impostazioni'!$B$7,"Oltre soglia personale","Nella soglia personale"))</x:f>
      </x:c>
      <x:c r="AQ381" s="18" t="str">
        <x:f>IF(A381="",IF(COUNTA(B381:V381)=0,"","Inserisci ID"),IF(COUNTIFS($A$8:$A$507,A381)&lt;&gt;1,"ID duplicato",IF(OR(NOT(ISNUMBER(B381)),D381="",E381="",F381="",G381="",H381="",COUNTIFS('Impostazioni'!$J$6:$J$25,F381)&lt;&gt;1),"Completa dati / elenchi",IF(OR(AND(I381&lt;&gt;"Lordo manuale",I381&lt;&gt;"Netto manuale",I381&lt;&gt;"Esecuzioni"),AND(J381&lt;&gt;"Aperto",J381&lt;&gt;"Chiuso",J381&lt;&gt;"Annullato")),"Modalità / stato mancanti",IF(AND(J381&lt;&gt;"Aperto",OR(NOT(ISNUMBER(C381)),C381&lt;B381)),"Correggi data chiusura",IF(OR(AND(Q381&lt;&gt;"",OR(NOT(ISNUMBER(Q381)),Q381&lt;0)),AND(R381&lt;&gt;"",OR(NOT(ISNUMBER(R381)),R381&lt;0,R381&gt;1))),"Commissione non valida",IF(J381="Annullato","OK",IF(OR(NOT(ISNUMBER(Z381)),Z381&lt;0,AND(O381&lt;&gt;"",NOT(ISNUMBER(O381)))),"Inserisci rischio",IF(AND(I381="Esecuzioni",OR(W381=0,COUNTIFS('Esecuzioni'!$A$8:$A$1007,A381,'Esecuzioni'!$Q$8:$Q$1007,"&lt;&gt;OK")&gt;0)),"Correggi esecuzioni",IF(J381="Aperto","OK",IF(AND(I381="Esecuzioni",S381="Coperto",ABS(X381-Y381)&gt;'Impostazioni'!$B$11),"Copertura residua",IF(NOT(ISNUMBER(AC381)),"Completa risultato / esito",IF(AND(Z381=0,AC381&lt;&gt;0),"Rischio nullo con P/L","OK")))))))))))))</x:f>
      </x:c>
      <x:c r="AR381" s="20" t="str">
        <x:f>IF(OR(A381="",J381&lt;&gt;"Aperto",AQ381&lt;&gt;"OK"),"",IF(I381="Esecuzioni",SUMIFS('Esecuzioni'!$P$8:$P$1007,'Esecuzioni'!$A$8:$A$1007,A381,'Esecuzioni'!$B$8:$B$1007,_xlfn.MAXIFS('Esecuzioni'!$B$8:$B$1007,'Esecuzioni'!$A$8:$A$1007,A381)),IF(LEFT(U381,8)="FREEBET:",0,Z381)))</x:f>
      </x:c>
      <x:c r="AS381" s="48" t="str">
        <x:f>IF(OR(A381="",E381=""),"",IF(COUNTIFS($E$8:E381,E381)=1,COUNT($AS$7:AS380)+1,""))</x:f>
      </x:c>
    </x:row>
    <x:row r="382" ht="22" customHeight="1">
      <x:c r="A382" s="7"/>
      <x:c r="B382" s="19"/>
      <x:c r="C382" s="19"/>
      <x:c r="D382" s="7"/>
      <x:c r="E382" s="7"/>
      <x:c r="F382" s="7"/>
      <x:c r="G382" s="7"/>
      <x:c r="H382" s="7"/>
      <x:c r="I382" s="7"/>
      <x:c r="J382" s="7"/>
      <x:c r="K382" s="10"/>
      <x:c r="L382" s="7"/>
      <x:c r="M382" s="10"/>
      <x:c r="N382" s="7"/>
      <x:c r="O382" s="8"/>
      <x:c r="P382" s="8"/>
      <x:c r="Q382" s="8"/>
      <x:c r="R382" s="9"/>
      <x:c r="S382" s="7"/>
      <x:c r="T382" s="7"/>
      <x:c r="U382" s="7"/>
      <x:c r="V382" s="7"/>
      <x:c r="W382" s="22" t="str">
        <x:f>IF(A382="","",COUNTIFS('Esecuzioni'!$A$8:$A$1007,A382,'Esecuzioni'!$Q$8:$Q$1007,"OK"))</x:f>
      </x:c>
      <x:c r="X382" s="20" t="str">
        <x:f>IF(OR(A382="",I382&lt;&gt;"Esecuzioni",W382=0),"",SUMIFS('Esecuzioni'!$L$8:$L$1007,'Esecuzioni'!$A$8:$A$1007,A382))</x:f>
      </x:c>
      <x:c r="Y382" s="20" t="str">
        <x:f>IF(OR(A382="",I382&lt;&gt;"Esecuzioni",W382=0),"",SUMIFS('Esecuzioni'!$M$8:$M$1007,'Esecuzioni'!$A$8:$A$1007,A382))</x:f>
      </x:c>
      <x:c r="Z382" s="20" t="str">
        <x:f>IF(A382="","",IF(J382="Annullato",0,IF(ISNUMBER(O382),O382,IF(AND(I382="Esecuzioni",W382&gt;0),_xlfn.MAXIFS('Esecuzioni'!$P$8:$P$1007,'Esecuzioni'!$A$8:$A$1007,A382),""))))</x:f>
      </x:c>
      <x:c r="AA382" s="20" t="str">
        <x:f>IF(OR(A382="",J382="Aperto"),"",IF(J382="Annullato",0,IF(I382="Lordo manuale",IF(ISNUMBER(P382),P382,""),IF(I382="Netto manuale",IF(AND(ISNUMBER(P382),ISNUMBER(Q382)),P382+Q382,""),IF(OR(W382=0,COUNTIFS('Esecuzioni'!$A$8:$A$1007,A382,'Esecuzioni'!$Q$8:$Q$1007,"&lt;&gt;OK")&gt;0),"",IF(S382="Vince",X382,IF(S382="Perde",Y382,IF(AND(S382="Coperto",ABS(X382-Y382)&lt;='Impostazioni'!$B$11),ROUND((X382+Y382)/2,2),""))))))))</x:f>
      </x:c>
      <x:c r="AB382" s="20" t="str">
        <x:f>IF(NOT(ISNUMBER(AA382)),"",IF(J382="Annullato",0,IF(ISNUMBER(Q382),Q382,ROUND(MAX(0,AA382)*IF(ISNUMBER(R382),R382,'Impostazioni'!$B$8),2))))</x:f>
      </x:c>
      <x:c r="AC382" s="20" t="str">
        <x:f>IF(AND(ISNUMBER(AA382),ISNUMBER(AB382)),ROUND(AA382-AB382,2),"")</x:f>
      </x:c>
      <x:c r="AD382" s="18" t="str">
        <x:f>IF(A382="","",IF(AQ382&lt;&gt;"OK","Incompleto",IF(J382="Aperto","Aperto",IF(J382="Annullato","Annullato",IF(AC382&gt;0,"Green",IF(AC382&lt;0,"Red","Flat"))))))</x:f>
      </x:c>
      <x:c r="AE382" s="21" t="str">
        <x:f>IF(AND(AH382=1,Z382&gt;0),AC382/Z382,"")</x:f>
      </x:c>
      <x:c r="AF382" s="22" t="str">
        <x:f>IF(AH382&lt;&gt;1,"",COUNTIFS($C$8:$C$507,"&lt;"&amp;C382,$AH$8:$AH$507,1)+COUNTIFS($C$8:$C$507,C382,$A$8:$A$507,"&lt;="&amp;A382,$AH$8:$AH$507,1))</x:f>
      </x:c>
      <x:c r="AG382" s="20" t="str">
        <x:f>IF(AH382&lt;&gt;1,"",SUMIFS($AC$8:$AC$507,$C$8:$C$507,"&lt;"&amp;C382,$AH$8:$AH$507,1)+SUMIFS($AC$8:$AC$507,$C$8:$C$507,C382,$A$8:$A$507,"&lt;="&amp;A382,$AH$8:$AH$507,1))</x:f>
      </x:c>
      <x:c r="AH382" s="22" t="str">
        <x:f>IF(A382="","",IF(AND(J382="Chiuso",AQ382="OK",ISNUMBER(AC382)),1,0))</x:f>
      </x:c>
      <x:c r="AI382" s="20" t="str">
        <x:f>IF(AH382&lt;&gt;1,"",MAX(0,_xlfn.MAXIFS($AG$8:$AG$507,$AF$8:$AF$507,"&lt;="&amp;AF382,$AH$8:$AH$507,1)))</x:f>
      </x:c>
      <x:c r="AJ382" s="20" t="str">
        <x:f>IF(AH382&lt;&gt;1,"",MAX(0,AI382-AG382))</x:f>
      </x:c>
      <x:c r="AK382" s="21" t="str">
        <x:f>IF(OR(AH382&lt;&gt;1,NOT(ISNUMBER('Impostazioni'!$B$6)),'Impostazioni'!$B$6+AI382&lt;=0),"",AJ382/('Impostazioni'!$B$6+AI382))</x:f>
      </x:c>
      <x:c r="AL382" s="22" t="str">
        <x:f>IF(AH382&lt;&gt;1,"",IF(AC382&gt;0,AF382-_xlfn.MAXIFS($AF$8:$AF$507,$AF$8:$AF$507,"&lt;="&amp;AF382,$AC$8:$AC$507,"&lt;=0",$AH$8:$AH$507,1),0))</x:f>
      </x:c>
      <x:c r="AM382" s="22" t="str">
        <x:f>IF(AH382&lt;&gt;1,"",IF(AC382&lt;0,AF382-_xlfn.MAXIFS($AF$8:$AF$507,$AF$8:$AF$507,"&lt;="&amp;AF382,$AC$8:$AC$507,"&gt;=0",$AH$8:$AH$507,1),0))</x:f>
      </x:c>
      <x:c r="AN382" s="20" t="str">
        <x:f>IF(OR(A382="",NOT(ISNUMBER(B382)),NOT(ISNUMBER('Impostazioni'!$B$6))),"",'Impostazioni'!$B$6+SUMIFS($AC$8:$AC$507,$C$8:$C$507,"&lt;"&amp;B382,$AH$8:$AH$507,1)+SUMIFS('Cassa'!$F$8:$F$307,'Cassa'!$A$8:$A$307,"&lt;="&amp;B382,'Cassa'!$G$8:$G$307,"OK"))</x:f>
      </x:c>
      <x:c r="AO382" s="21" t="str">
        <x:f>IF(AND(ISNUMBER(Z382),ISNUMBER(AN382),AN382&gt;0),Z382/AN382,"")</x:f>
      </x:c>
      <x:c r="AP382" s="18" t="str">
        <x:f>IF(NOT(ISNUMBER(AO382)),"",IF(AO382&gt;'Impostazioni'!$B$7,"Oltre soglia personale","Nella soglia personale"))</x:f>
      </x:c>
      <x:c r="AQ382" s="18" t="str">
        <x:f>IF(A382="",IF(COUNTA(B382:V382)=0,"","Inserisci ID"),IF(COUNTIFS($A$8:$A$507,A382)&lt;&gt;1,"ID duplicato",IF(OR(NOT(ISNUMBER(B382)),D382="",E382="",F382="",G382="",H382="",COUNTIFS('Impostazioni'!$J$6:$J$25,F382)&lt;&gt;1),"Completa dati / elenchi",IF(OR(AND(I382&lt;&gt;"Lordo manuale",I382&lt;&gt;"Netto manuale",I382&lt;&gt;"Esecuzioni"),AND(J382&lt;&gt;"Aperto",J382&lt;&gt;"Chiuso",J382&lt;&gt;"Annullato")),"Modalità / stato mancanti",IF(AND(J382&lt;&gt;"Aperto",OR(NOT(ISNUMBER(C382)),C382&lt;B382)),"Correggi data chiusura",IF(OR(AND(Q382&lt;&gt;"",OR(NOT(ISNUMBER(Q382)),Q382&lt;0)),AND(R382&lt;&gt;"",OR(NOT(ISNUMBER(R382)),R382&lt;0,R382&gt;1))),"Commissione non valida",IF(J382="Annullato","OK",IF(OR(NOT(ISNUMBER(Z382)),Z382&lt;0,AND(O382&lt;&gt;"",NOT(ISNUMBER(O382)))),"Inserisci rischio",IF(AND(I382="Esecuzioni",OR(W382=0,COUNTIFS('Esecuzioni'!$A$8:$A$1007,A382,'Esecuzioni'!$Q$8:$Q$1007,"&lt;&gt;OK")&gt;0)),"Correggi esecuzioni",IF(J382="Aperto","OK",IF(AND(I382="Esecuzioni",S382="Coperto",ABS(X382-Y382)&gt;'Impostazioni'!$B$11),"Copertura residua",IF(NOT(ISNUMBER(AC382)),"Completa risultato / esito",IF(AND(Z382=0,AC382&lt;&gt;0),"Rischio nullo con P/L","OK")))))))))))))</x:f>
      </x:c>
      <x:c r="AR382" s="20" t="str">
        <x:f>IF(OR(A382="",J382&lt;&gt;"Aperto",AQ382&lt;&gt;"OK"),"",IF(I382="Esecuzioni",SUMIFS('Esecuzioni'!$P$8:$P$1007,'Esecuzioni'!$A$8:$A$1007,A382,'Esecuzioni'!$B$8:$B$1007,_xlfn.MAXIFS('Esecuzioni'!$B$8:$B$1007,'Esecuzioni'!$A$8:$A$1007,A382)),IF(LEFT(U382,8)="FREEBET:",0,Z382)))</x:f>
      </x:c>
      <x:c r="AS382" s="48" t="str">
        <x:f>IF(OR(A382="",E382=""),"",IF(COUNTIFS($E$8:E382,E382)=1,COUNT($AS$7:AS381)+1,""))</x:f>
      </x:c>
    </x:row>
    <x:row r="383" ht="22" customHeight="1">
      <x:c r="A383" s="7"/>
      <x:c r="B383" s="19"/>
      <x:c r="C383" s="19"/>
      <x:c r="D383" s="7"/>
      <x:c r="E383" s="7"/>
      <x:c r="F383" s="7"/>
      <x:c r="G383" s="7"/>
      <x:c r="H383" s="7"/>
      <x:c r="I383" s="7"/>
      <x:c r="J383" s="7"/>
      <x:c r="K383" s="10"/>
      <x:c r="L383" s="7"/>
      <x:c r="M383" s="10"/>
      <x:c r="N383" s="7"/>
      <x:c r="O383" s="8"/>
      <x:c r="P383" s="8"/>
      <x:c r="Q383" s="8"/>
      <x:c r="R383" s="9"/>
      <x:c r="S383" s="7"/>
      <x:c r="T383" s="7"/>
      <x:c r="U383" s="7"/>
      <x:c r="V383" s="7"/>
      <x:c r="W383" s="22" t="str">
        <x:f>IF(A383="","",COUNTIFS('Esecuzioni'!$A$8:$A$1007,A383,'Esecuzioni'!$Q$8:$Q$1007,"OK"))</x:f>
      </x:c>
      <x:c r="X383" s="20" t="str">
        <x:f>IF(OR(A383="",I383&lt;&gt;"Esecuzioni",W383=0),"",SUMIFS('Esecuzioni'!$L$8:$L$1007,'Esecuzioni'!$A$8:$A$1007,A383))</x:f>
      </x:c>
      <x:c r="Y383" s="20" t="str">
        <x:f>IF(OR(A383="",I383&lt;&gt;"Esecuzioni",W383=0),"",SUMIFS('Esecuzioni'!$M$8:$M$1007,'Esecuzioni'!$A$8:$A$1007,A383))</x:f>
      </x:c>
      <x:c r="Z383" s="20" t="str">
        <x:f>IF(A383="","",IF(J383="Annullato",0,IF(ISNUMBER(O383),O383,IF(AND(I383="Esecuzioni",W383&gt;0),_xlfn.MAXIFS('Esecuzioni'!$P$8:$P$1007,'Esecuzioni'!$A$8:$A$1007,A383),""))))</x:f>
      </x:c>
      <x:c r="AA383" s="20" t="str">
        <x:f>IF(OR(A383="",J383="Aperto"),"",IF(J383="Annullato",0,IF(I383="Lordo manuale",IF(ISNUMBER(P383),P383,""),IF(I383="Netto manuale",IF(AND(ISNUMBER(P383),ISNUMBER(Q383)),P383+Q383,""),IF(OR(W383=0,COUNTIFS('Esecuzioni'!$A$8:$A$1007,A383,'Esecuzioni'!$Q$8:$Q$1007,"&lt;&gt;OK")&gt;0),"",IF(S383="Vince",X383,IF(S383="Perde",Y383,IF(AND(S383="Coperto",ABS(X383-Y383)&lt;='Impostazioni'!$B$11),ROUND((X383+Y383)/2,2),""))))))))</x:f>
      </x:c>
      <x:c r="AB383" s="20" t="str">
        <x:f>IF(NOT(ISNUMBER(AA383)),"",IF(J383="Annullato",0,IF(ISNUMBER(Q383),Q383,ROUND(MAX(0,AA383)*IF(ISNUMBER(R383),R383,'Impostazioni'!$B$8),2))))</x:f>
      </x:c>
      <x:c r="AC383" s="20" t="str">
        <x:f>IF(AND(ISNUMBER(AA383),ISNUMBER(AB383)),ROUND(AA383-AB383,2),"")</x:f>
      </x:c>
      <x:c r="AD383" s="18" t="str">
        <x:f>IF(A383="","",IF(AQ383&lt;&gt;"OK","Incompleto",IF(J383="Aperto","Aperto",IF(J383="Annullato","Annullato",IF(AC383&gt;0,"Green",IF(AC383&lt;0,"Red","Flat"))))))</x:f>
      </x:c>
      <x:c r="AE383" s="21" t="str">
        <x:f>IF(AND(AH383=1,Z383&gt;0),AC383/Z383,"")</x:f>
      </x:c>
      <x:c r="AF383" s="22" t="str">
        <x:f>IF(AH383&lt;&gt;1,"",COUNTIFS($C$8:$C$507,"&lt;"&amp;C383,$AH$8:$AH$507,1)+COUNTIFS($C$8:$C$507,C383,$A$8:$A$507,"&lt;="&amp;A383,$AH$8:$AH$507,1))</x:f>
      </x:c>
      <x:c r="AG383" s="20" t="str">
        <x:f>IF(AH383&lt;&gt;1,"",SUMIFS($AC$8:$AC$507,$C$8:$C$507,"&lt;"&amp;C383,$AH$8:$AH$507,1)+SUMIFS($AC$8:$AC$507,$C$8:$C$507,C383,$A$8:$A$507,"&lt;="&amp;A383,$AH$8:$AH$507,1))</x:f>
      </x:c>
      <x:c r="AH383" s="22" t="str">
        <x:f>IF(A383="","",IF(AND(J383="Chiuso",AQ383="OK",ISNUMBER(AC383)),1,0))</x:f>
      </x:c>
      <x:c r="AI383" s="20" t="str">
        <x:f>IF(AH383&lt;&gt;1,"",MAX(0,_xlfn.MAXIFS($AG$8:$AG$507,$AF$8:$AF$507,"&lt;="&amp;AF383,$AH$8:$AH$507,1)))</x:f>
      </x:c>
      <x:c r="AJ383" s="20" t="str">
        <x:f>IF(AH383&lt;&gt;1,"",MAX(0,AI383-AG383))</x:f>
      </x:c>
      <x:c r="AK383" s="21" t="str">
        <x:f>IF(OR(AH383&lt;&gt;1,NOT(ISNUMBER('Impostazioni'!$B$6)),'Impostazioni'!$B$6+AI383&lt;=0),"",AJ383/('Impostazioni'!$B$6+AI383))</x:f>
      </x:c>
      <x:c r="AL383" s="22" t="str">
        <x:f>IF(AH383&lt;&gt;1,"",IF(AC383&gt;0,AF383-_xlfn.MAXIFS($AF$8:$AF$507,$AF$8:$AF$507,"&lt;="&amp;AF383,$AC$8:$AC$507,"&lt;=0",$AH$8:$AH$507,1),0))</x:f>
      </x:c>
      <x:c r="AM383" s="22" t="str">
        <x:f>IF(AH383&lt;&gt;1,"",IF(AC383&lt;0,AF383-_xlfn.MAXIFS($AF$8:$AF$507,$AF$8:$AF$507,"&lt;="&amp;AF383,$AC$8:$AC$507,"&gt;=0",$AH$8:$AH$507,1),0))</x:f>
      </x:c>
      <x:c r="AN383" s="20" t="str">
        <x:f>IF(OR(A383="",NOT(ISNUMBER(B383)),NOT(ISNUMBER('Impostazioni'!$B$6))),"",'Impostazioni'!$B$6+SUMIFS($AC$8:$AC$507,$C$8:$C$507,"&lt;"&amp;B383,$AH$8:$AH$507,1)+SUMIFS('Cassa'!$F$8:$F$307,'Cassa'!$A$8:$A$307,"&lt;="&amp;B383,'Cassa'!$G$8:$G$307,"OK"))</x:f>
      </x:c>
      <x:c r="AO383" s="21" t="str">
        <x:f>IF(AND(ISNUMBER(Z383),ISNUMBER(AN383),AN383&gt;0),Z383/AN383,"")</x:f>
      </x:c>
      <x:c r="AP383" s="18" t="str">
        <x:f>IF(NOT(ISNUMBER(AO383)),"",IF(AO383&gt;'Impostazioni'!$B$7,"Oltre soglia personale","Nella soglia personale"))</x:f>
      </x:c>
      <x:c r="AQ383" s="18" t="str">
        <x:f>IF(A383="",IF(COUNTA(B383:V383)=0,"","Inserisci ID"),IF(COUNTIFS($A$8:$A$507,A383)&lt;&gt;1,"ID duplicato",IF(OR(NOT(ISNUMBER(B383)),D383="",E383="",F383="",G383="",H383="",COUNTIFS('Impostazioni'!$J$6:$J$25,F383)&lt;&gt;1),"Completa dati / elenchi",IF(OR(AND(I383&lt;&gt;"Lordo manuale",I383&lt;&gt;"Netto manuale",I383&lt;&gt;"Esecuzioni"),AND(J383&lt;&gt;"Aperto",J383&lt;&gt;"Chiuso",J383&lt;&gt;"Annullato")),"Modalità / stato mancanti",IF(AND(J383&lt;&gt;"Aperto",OR(NOT(ISNUMBER(C383)),C383&lt;B383)),"Correggi data chiusura",IF(OR(AND(Q383&lt;&gt;"",OR(NOT(ISNUMBER(Q383)),Q383&lt;0)),AND(R383&lt;&gt;"",OR(NOT(ISNUMBER(R383)),R383&lt;0,R383&gt;1))),"Commissione non valida",IF(J383="Annullato","OK",IF(OR(NOT(ISNUMBER(Z383)),Z383&lt;0,AND(O383&lt;&gt;"",NOT(ISNUMBER(O383)))),"Inserisci rischio",IF(AND(I383="Esecuzioni",OR(W383=0,COUNTIFS('Esecuzioni'!$A$8:$A$1007,A383,'Esecuzioni'!$Q$8:$Q$1007,"&lt;&gt;OK")&gt;0)),"Correggi esecuzioni",IF(J383="Aperto","OK",IF(AND(I383="Esecuzioni",S383="Coperto",ABS(X383-Y383)&gt;'Impostazioni'!$B$11),"Copertura residua",IF(NOT(ISNUMBER(AC383)),"Completa risultato / esito",IF(AND(Z383=0,AC383&lt;&gt;0),"Rischio nullo con P/L","OK")))))))))))))</x:f>
      </x:c>
      <x:c r="AR383" s="20" t="str">
        <x:f>IF(OR(A383="",J383&lt;&gt;"Aperto",AQ383&lt;&gt;"OK"),"",IF(I383="Esecuzioni",SUMIFS('Esecuzioni'!$P$8:$P$1007,'Esecuzioni'!$A$8:$A$1007,A383,'Esecuzioni'!$B$8:$B$1007,_xlfn.MAXIFS('Esecuzioni'!$B$8:$B$1007,'Esecuzioni'!$A$8:$A$1007,A383)),IF(LEFT(U383,8)="FREEBET:",0,Z383)))</x:f>
      </x:c>
      <x:c r="AS383" s="48" t="str">
        <x:f>IF(OR(A383="",E383=""),"",IF(COUNTIFS($E$8:E383,E383)=1,COUNT($AS$7:AS382)+1,""))</x:f>
      </x:c>
    </x:row>
    <x:row r="384" ht="22" customHeight="1">
      <x:c r="A384" s="7"/>
      <x:c r="B384" s="19"/>
      <x:c r="C384" s="19"/>
      <x:c r="D384" s="7"/>
      <x:c r="E384" s="7"/>
      <x:c r="F384" s="7"/>
      <x:c r="G384" s="7"/>
      <x:c r="H384" s="7"/>
      <x:c r="I384" s="7"/>
      <x:c r="J384" s="7"/>
      <x:c r="K384" s="10"/>
      <x:c r="L384" s="7"/>
      <x:c r="M384" s="10"/>
      <x:c r="N384" s="7"/>
      <x:c r="O384" s="8"/>
      <x:c r="P384" s="8"/>
      <x:c r="Q384" s="8"/>
      <x:c r="R384" s="9"/>
      <x:c r="S384" s="7"/>
      <x:c r="T384" s="7"/>
      <x:c r="U384" s="7"/>
      <x:c r="V384" s="7"/>
      <x:c r="W384" s="22" t="str">
        <x:f>IF(A384="","",COUNTIFS('Esecuzioni'!$A$8:$A$1007,A384,'Esecuzioni'!$Q$8:$Q$1007,"OK"))</x:f>
      </x:c>
      <x:c r="X384" s="20" t="str">
        <x:f>IF(OR(A384="",I384&lt;&gt;"Esecuzioni",W384=0),"",SUMIFS('Esecuzioni'!$L$8:$L$1007,'Esecuzioni'!$A$8:$A$1007,A384))</x:f>
      </x:c>
      <x:c r="Y384" s="20" t="str">
        <x:f>IF(OR(A384="",I384&lt;&gt;"Esecuzioni",W384=0),"",SUMIFS('Esecuzioni'!$M$8:$M$1007,'Esecuzioni'!$A$8:$A$1007,A384))</x:f>
      </x:c>
      <x:c r="Z384" s="20" t="str">
        <x:f>IF(A384="","",IF(J384="Annullato",0,IF(ISNUMBER(O384),O384,IF(AND(I384="Esecuzioni",W384&gt;0),_xlfn.MAXIFS('Esecuzioni'!$P$8:$P$1007,'Esecuzioni'!$A$8:$A$1007,A384),""))))</x:f>
      </x:c>
      <x:c r="AA384" s="20" t="str">
        <x:f>IF(OR(A384="",J384="Aperto"),"",IF(J384="Annullato",0,IF(I384="Lordo manuale",IF(ISNUMBER(P384),P384,""),IF(I384="Netto manuale",IF(AND(ISNUMBER(P384),ISNUMBER(Q384)),P384+Q384,""),IF(OR(W384=0,COUNTIFS('Esecuzioni'!$A$8:$A$1007,A384,'Esecuzioni'!$Q$8:$Q$1007,"&lt;&gt;OK")&gt;0),"",IF(S384="Vince",X384,IF(S384="Perde",Y384,IF(AND(S384="Coperto",ABS(X384-Y384)&lt;='Impostazioni'!$B$11),ROUND((X384+Y384)/2,2),""))))))))</x:f>
      </x:c>
      <x:c r="AB384" s="20" t="str">
        <x:f>IF(NOT(ISNUMBER(AA384)),"",IF(J384="Annullato",0,IF(ISNUMBER(Q384),Q384,ROUND(MAX(0,AA384)*IF(ISNUMBER(R384),R384,'Impostazioni'!$B$8),2))))</x:f>
      </x:c>
      <x:c r="AC384" s="20" t="str">
        <x:f>IF(AND(ISNUMBER(AA384),ISNUMBER(AB384)),ROUND(AA384-AB384,2),"")</x:f>
      </x:c>
      <x:c r="AD384" s="18" t="str">
        <x:f>IF(A384="","",IF(AQ384&lt;&gt;"OK","Incompleto",IF(J384="Aperto","Aperto",IF(J384="Annullato","Annullato",IF(AC384&gt;0,"Green",IF(AC384&lt;0,"Red","Flat"))))))</x:f>
      </x:c>
      <x:c r="AE384" s="21" t="str">
        <x:f>IF(AND(AH384=1,Z384&gt;0),AC384/Z384,"")</x:f>
      </x:c>
      <x:c r="AF384" s="22" t="str">
        <x:f>IF(AH384&lt;&gt;1,"",COUNTIFS($C$8:$C$507,"&lt;"&amp;C384,$AH$8:$AH$507,1)+COUNTIFS($C$8:$C$507,C384,$A$8:$A$507,"&lt;="&amp;A384,$AH$8:$AH$507,1))</x:f>
      </x:c>
      <x:c r="AG384" s="20" t="str">
        <x:f>IF(AH384&lt;&gt;1,"",SUMIFS($AC$8:$AC$507,$C$8:$C$507,"&lt;"&amp;C384,$AH$8:$AH$507,1)+SUMIFS($AC$8:$AC$507,$C$8:$C$507,C384,$A$8:$A$507,"&lt;="&amp;A384,$AH$8:$AH$507,1))</x:f>
      </x:c>
      <x:c r="AH384" s="22" t="str">
        <x:f>IF(A384="","",IF(AND(J384="Chiuso",AQ384="OK",ISNUMBER(AC384)),1,0))</x:f>
      </x:c>
      <x:c r="AI384" s="20" t="str">
        <x:f>IF(AH384&lt;&gt;1,"",MAX(0,_xlfn.MAXIFS($AG$8:$AG$507,$AF$8:$AF$507,"&lt;="&amp;AF384,$AH$8:$AH$507,1)))</x:f>
      </x:c>
      <x:c r="AJ384" s="20" t="str">
        <x:f>IF(AH384&lt;&gt;1,"",MAX(0,AI384-AG384))</x:f>
      </x:c>
      <x:c r="AK384" s="21" t="str">
        <x:f>IF(OR(AH384&lt;&gt;1,NOT(ISNUMBER('Impostazioni'!$B$6)),'Impostazioni'!$B$6+AI384&lt;=0),"",AJ384/('Impostazioni'!$B$6+AI384))</x:f>
      </x:c>
      <x:c r="AL384" s="22" t="str">
        <x:f>IF(AH384&lt;&gt;1,"",IF(AC384&gt;0,AF384-_xlfn.MAXIFS($AF$8:$AF$507,$AF$8:$AF$507,"&lt;="&amp;AF384,$AC$8:$AC$507,"&lt;=0",$AH$8:$AH$507,1),0))</x:f>
      </x:c>
      <x:c r="AM384" s="22" t="str">
        <x:f>IF(AH384&lt;&gt;1,"",IF(AC384&lt;0,AF384-_xlfn.MAXIFS($AF$8:$AF$507,$AF$8:$AF$507,"&lt;="&amp;AF384,$AC$8:$AC$507,"&gt;=0",$AH$8:$AH$507,1),0))</x:f>
      </x:c>
      <x:c r="AN384" s="20" t="str">
        <x:f>IF(OR(A384="",NOT(ISNUMBER(B384)),NOT(ISNUMBER('Impostazioni'!$B$6))),"",'Impostazioni'!$B$6+SUMIFS($AC$8:$AC$507,$C$8:$C$507,"&lt;"&amp;B384,$AH$8:$AH$507,1)+SUMIFS('Cassa'!$F$8:$F$307,'Cassa'!$A$8:$A$307,"&lt;="&amp;B384,'Cassa'!$G$8:$G$307,"OK"))</x:f>
      </x:c>
      <x:c r="AO384" s="21" t="str">
        <x:f>IF(AND(ISNUMBER(Z384),ISNUMBER(AN384),AN384&gt;0),Z384/AN384,"")</x:f>
      </x:c>
      <x:c r="AP384" s="18" t="str">
        <x:f>IF(NOT(ISNUMBER(AO384)),"",IF(AO384&gt;'Impostazioni'!$B$7,"Oltre soglia personale","Nella soglia personale"))</x:f>
      </x:c>
      <x:c r="AQ384" s="18" t="str">
        <x:f>IF(A384="",IF(COUNTA(B384:V384)=0,"","Inserisci ID"),IF(COUNTIFS($A$8:$A$507,A384)&lt;&gt;1,"ID duplicato",IF(OR(NOT(ISNUMBER(B384)),D384="",E384="",F384="",G384="",H384="",COUNTIFS('Impostazioni'!$J$6:$J$25,F384)&lt;&gt;1),"Completa dati / elenchi",IF(OR(AND(I384&lt;&gt;"Lordo manuale",I384&lt;&gt;"Netto manuale",I384&lt;&gt;"Esecuzioni"),AND(J384&lt;&gt;"Aperto",J384&lt;&gt;"Chiuso",J384&lt;&gt;"Annullato")),"Modalità / stato mancanti",IF(AND(J384&lt;&gt;"Aperto",OR(NOT(ISNUMBER(C384)),C384&lt;B384)),"Correggi data chiusura",IF(OR(AND(Q384&lt;&gt;"",OR(NOT(ISNUMBER(Q384)),Q384&lt;0)),AND(R384&lt;&gt;"",OR(NOT(ISNUMBER(R384)),R384&lt;0,R384&gt;1))),"Commissione non valida",IF(J384="Annullato","OK",IF(OR(NOT(ISNUMBER(Z384)),Z384&lt;0,AND(O384&lt;&gt;"",NOT(ISNUMBER(O384)))),"Inserisci rischio",IF(AND(I384="Esecuzioni",OR(W384=0,COUNTIFS('Esecuzioni'!$A$8:$A$1007,A384,'Esecuzioni'!$Q$8:$Q$1007,"&lt;&gt;OK")&gt;0)),"Correggi esecuzioni",IF(J384="Aperto","OK",IF(AND(I384="Esecuzioni",S384="Coperto",ABS(X384-Y384)&gt;'Impostazioni'!$B$11),"Copertura residua",IF(NOT(ISNUMBER(AC384)),"Completa risultato / esito",IF(AND(Z384=0,AC384&lt;&gt;0),"Rischio nullo con P/L","OK")))))))))))))</x:f>
      </x:c>
      <x:c r="AR384" s="20" t="str">
        <x:f>IF(OR(A384="",J384&lt;&gt;"Aperto",AQ384&lt;&gt;"OK"),"",IF(I384="Esecuzioni",SUMIFS('Esecuzioni'!$P$8:$P$1007,'Esecuzioni'!$A$8:$A$1007,A384,'Esecuzioni'!$B$8:$B$1007,_xlfn.MAXIFS('Esecuzioni'!$B$8:$B$1007,'Esecuzioni'!$A$8:$A$1007,A384)),IF(LEFT(U384,8)="FREEBET:",0,Z384)))</x:f>
      </x:c>
      <x:c r="AS384" s="48" t="str">
        <x:f>IF(OR(A384="",E384=""),"",IF(COUNTIFS($E$8:E384,E384)=1,COUNT($AS$7:AS383)+1,""))</x:f>
      </x:c>
    </x:row>
    <x:row r="385" ht="22" customHeight="1">
      <x:c r="A385" s="7"/>
      <x:c r="B385" s="19"/>
      <x:c r="C385" s="19"/>
      <x:c r="D385" s="7"/>
      <x:c r="E385" s="7"/>
      <x:c r="F385" s="7"/>
      <x:c r="G385" s="7"/>
      <x:c r="H385" s="7"/>
      <x:c r="I385" s="7"/>
      <x:c r="J385" s="7"/>
      <x:c r="K385" s="10"/>
      <x:c r="L385" s="7"/>
      <x:c r="M385" s="10"/>
      <x:c r="N385" s="7"/>
      <x:c r="O385" s="8"/>
      <x:c r="P385" s="8"/>
      <x:c r="Q385" s="8"/>
      <x:c r="R385" s="9"/>
      <x:c r="S385" s="7"/>
      <x:c r="T385" s="7"/>
      <x:c r="U385" s="7"/>
      <x:c r="V385" s="7"/>
      <x:c r="W385" s="22" t="str">
        <x:f>IF(A385="","",COUNTIFS('Esecuzioni'!$A$8:$A$1007,A385,'Esecuzioni'!$Q$8:$Q$1007,"OK"))</x:f>
      </x:c>
      <x:c r="X385" s="20" t="str">
        <x:f>IF(OR(A385="",I385&lt;&gt;"Esecuzioni",W385=0),"",SUMIFS('Esecuzioni'!$L$8:$L$1007,'Esecuzioni'!$A$8:$A$1007,A385))</x:f>
      </x:c>
      <x:c r="Y385" s="20" t="str">
        <x:f>IF(OR(A385="",I385&lt;&gt;"Esecuzioni",W385=0),"",SUMIFS('Esecuzioni'!$M$8:$M$1007,'Esecuzioni'!$A$8:$A$1007,A385))</x:f>
      </x:c>
      <x:c r="Z385" s="20" t="str">
        <x:f>IF(A385="","",IF(J385="Annullato",0,IF(ISNUMBER(O385),O385,IF(AND(I385="Esecuzioni",W385&gt;0),_xlfn.MAXIFS('Esecuzioni'!$P$8:$P$1007,'Esecuzioni'!$A$8:$A$1007,A385),""))))</x:f>
      </x:c>
      <x:c r="AA385" s="20" t="str">
        <x:f>IF(OR(A385="",J385="Aperto"),"",IF(J385="Annullato",0,IF(I385="Lordo manuale",IF(ISNUMBER(P385),P385,""),IF(I385="Netto manuale",IF(AND(ISNUMBER(P385),ISNUMBER(Q385)),P385+Q385,""),IF(OR(W385=0,COUNTIFS('Esecuzioni'!$A$8:$A$1007,A385,'Esecuzioni'!$Q$8:$Q$1007,"&lt;&gt;OK")&gt;0),"",IF(S385="Vince",X385,IF(S385="Perde",Y385,IF(AND(S385="Coperto",ABS(X385-Y385)&lt;='Impostazioni'!$B$11),ROUND((X385+Y385)/2,2),""))))))))</x:f>
      </x:c>
      <x:c r="AB385" s="20" t="str">
        <x:f>IF(NOT(ISNUMBER(AA385)),"",IF(J385="Annullato",0,IF(ISNUMBER(Q385),Q385,ROUND(MAX(0,AA385)*IF(ISNUMBER(R385),R385,'Impostazioni'!$B$8),2))))</x:f>
      </x:c>
      <x:c r="AC385" s="20" t="str">
        <x:f>IF(AND(ISNUMBER(AA385),ISNUMBER(AB385)),ROUND(AA385-AB385,2),"")</x:f>
      </x:c>
      <x:c r="AD385" s="18" t="str">
        <x:f>IF(A385="","",IF(AQ385&lt;&gt;"OK","Incompleto",IF(J385="Aperto","Aperto",IF(J385="Annullato","Annullato",IF(AC385&gt;0,"Green",IF(AC385&lt;0,"Red","Flat"))))))</x:f>
      </x:c>
      <x:c r="AE385" s="21" t="str">
        <x:f>IF(AND(AH385=1,Z385&gt;0),AC385/Z385,"")</x:f>
      </x:c>
      <x:c r="AF385" s="22" t="str">
        <x:f>IF(AH385&lt;&gt;1,"",COUNTIFS($C$8:$C$507,"&lt;"&amp;C385,$AH$8:$AH$507,1)+COUNTIFS($C$8:$C$507,C385,$A$8:$A$507,"&lt;="&amp;A385,$AH$8:$AH$507,1))</x:f>
      </x:c>
      <x:c r="AG385" s="20" t="str">
        <x:f>IF(AH385&lt;&gt;1,"",SUMIFS($AC$8:$AC$507,$C$8:$C$507,"&lt;"&amp;C385,$AH$8:$AH$507,1)+SUMIFS($AC$8:$AC$507,$C$8:$C$507,C385,$A$8:$A$507,"&lt;="&amp;A385,$AH$8:$AH$507,1))</x:f>
      </x:c>
      <x:c r="AH385" s="22" t="str">
        <x:f>IF(A385="","",IF(AND(J385="Chiuso",AQ385="OK",ISNUMBER(AC385)),1,0))</x:f>
      </x:c>
      <x:c r="AI385" s="20" t="str">
        <x:f>IF(AH385&lt;&gt;1,"",MAX(0,_xlfn.MAXIFS($AG$8:$AG$507,$AF$8:$AF$507,"&lt;="&amp;AF385,$AH$8:$AH$507,1)))</x:f>
      </x:c>
      <x:c r="AJ385" s="20" t="str">
        <x:f>IF(AH385&lt;&gt;1,"",MAX(0,AI385-AG385))</x:f>
      </x:c>
      <x:c r="AK385" s="21" t="str">
        <x:f>IF(OR(AH385&lt;&gt;1,NOT(ISNUMBER('Impostazioni'!$B$6)),'Impostazioni'!$B$6+AI385&lt;=0),"",AJ385/('Impostazioni'!$B$6+AI385))</x:f>
      </x:c>
      <x:c r="AL385" s="22" t="str">
        <x:f>IF(AH385&lt;&gt;1,"",IF(AC385&gt;0,AF385-_xlfn.MAXIFS($AF$8:$AF$507,$AF$8:$AF$507,"&lt;="&amp;AF385,$AC$8:$AC$507,"&lt;=0",$AH$8:$AH$507,1),0))</x:f>
      </x:c>
      <x:c r="AM385" s="22" t="str">
        <x:f>IF(AH385&lt;&gt;1,"",IF(AC385&lt;0,AF385-_xlfn.MAXIFS($AF$8:$AF$507,$AF$8:$AF$507,"&lt;="&amp;AF385,$AC$8:$AC$507,"&gt;=0",$AH$8:$AH$507,1),0))</x:f>
      </x:c>
      <x:c r="AN385" s="20" t="str">
        <x:f>IF(OR(A385="",NOT(ISNUMBER(B385)),NOT(ISNUMBER('Impostazioni'!$B$6))),"",'Impostazioni'!$B$6+SUMIFS($AC$8:$AC$507,$C$8:$C$507,"&lt;"&amp;B385,$AH$8:$AH$507,1)+SUMIFS('Cassa'!$F$8:$F$307,'Cassa'!$A$8:$A$307,"&lt;="&amp;B385,'Cassa'!$G$8:$G$307,"OK"))</x:f>
      </x:c>
      <x:c r="AO385" s="21" t="str">
        <x:f>IF(AND(ISNUMBER(Z385),ISNUMBER(AN385),AN385&gt;0),Z385/AN385,"")</x:f>
      </x:c>
      <x:c r="AP385" s="18" t="str">
        <x:f>IF(NOT(ISNUMBER(AO385)),"",IF(AO385&gt;'Impostazioni'!$B$7,"Oltre soglia personale","Nella soglia personale"))</x:f>
      </x:c>
      <x:c r="AQ385" s="18" t="str">
        <x:f>IF(A385="",IF(COUNTA(B385:V385)=0,"","Inserisci ID"),IF(COUNTIFS($A$8:$A$507,A385)&lt;&gt;1,"ID duplicato",IF(OR(NOT(ISNUMBER(B385)),D385="",E385="",F385="",G385="",H385="",COUNTIFS('Impostazioni'!$J$6:$J$25,F385)&lt;&gt;1),"Completa dati / elenchi",IF(OR(AND(I385&lt;&gt;"Lordo manuale",I385&lt;&gt;"Netto manuale",I385&lt;&gt;"Esecuzioni"),AND(J385&lt;&gt;"Aperto",J385&lt;&gt;"Chiuso",J385&lt;&gt;"Annullato")),"Modalità / stato mancanti",IF(AND(J385&lt;&gt;"Aperto",OR(NOT(ISNUMBER(C385)),C385&lt;B385)),"Correggi data chiusura",IF(OR(AND(Q385&lt;&gt;"",OR(NOT(ISNUMBER(Q385)),Q385&lt;0)),AND(R385&lt;&gt;"",OR(NOT(ISNUMBER(R385)),R385&lt;0,R385&gt;1))),"Commissione non valida",IF(J385="Annullato","OK",IF(OR(NOT(ISNUMBER(Z385)),Z385&lt;0,AND(O385&lt;&gt;"",NOT(ISNUMBER(O385)))),"Inserisci rischio",IF(AND(I385="Esecuzioni",OR(W385=0,COUNTIFS('Esecuzioni'!$A$8:$A$1007,A385,'Esecuzioni'!$Q$8:$Q$1007,"&lt;&gt;OK")&gt;0)),"Correggi esecuzioni",IF(J385="Aperto","OK",IF(AND(I385="Esecuzioni",S385="Coperto",ABS(X385-Y385)&gt;'Impostazioni'!$B$11),"Copertura residua",IF(NOT(ISNUMBER(AC385)),"Completa risultato / esito",IF(AND(Z385=0,AC385&lt;&gt;0),"Rischio nullo con P/L","OK")))))))))))))</x:f>
      </x:c>
      <x:c r="AR385" s="20" t="str">
        <x:f>IF(OR(A385="",J385&lt;&gt;"Aperto",AQ385&lt;&gt;"OK"),"",IF(I385="Esecuzioni",SUMIFS('Esecuzioni'!$P$8:$P$1007,'Esecuzioni'!$A$8:$A$1007,A385,'Esecuzioni'!$B$8:$B$1007,_xlfn.MAXIFS('Esecuzioni'!$B$8:$B$1007,'Esecuzioni'!$A$8:$A$1007,A385)),IF(LEFT(U385,8)="FREEBET:",0,Z385)))</x:f>
      </x:c>
      <x:c r="AS385" s="48" t="str">
        <x:f>IF(OR(A385="",E385=""),"",IF(COUNTIFS($E$8:E385,E385)=1,COUNT($AS$7:AS384)+1,""))</x:f>
      </x:c>
    </x:row>
    <x:row r="386" ht="22" customHeight="1">
      <x:c r="A386" s="7"/>
      <x:c r="B386" s="19"/>
      <x:c r="C386" s="19"/>
      <x:c r="D386" s="7"/>
      <x:c r="E386" s="7"/>
      <x:c r="F386" s="7"/>
      <x:c r="G386" s="7"/>
      <x:c r="H386" s="7"/>
      <x:c r="I386" s="7"/>
      <x:c r="J386" s="7"/>
      <x:c r="K386" s="10"/>
      <x:c r="L386" s="7"/>
      <x:c r="M386" s="10"/>
      <x:c r="N386" s="7"/>
      <x:c r="O386" s="8"/>
      <x:c r="P386" s="8"/>
      <x:c r="Q386" s="8"/>
      <x:c r="R386" s="9"/>
      <x:c r="S386" s="7"/>
      <x:c r="T386" s="7"/>
      <x:c r="U386" s="7"/>
      <x:c r="V386" s="7"/>
      <x:c r="W386" s="22" t="str">
        <x:f>IF(A386="","",COUNTIFS('Esecuzioni'!$A$8:$A$1007,A386,'Esecuzioni'!$Q$8:$Q$1007,"OK"))</x:f>
      </x:c>
      <x:c r="X386" s="20" t="str">
        <x:f>IF(OR(A386="",I386&lt;&gt;"Esecuzioni",W386=0),"",SUMIFS('Esecuzioni'!$L$8:$L$1007,'Esecuzioni'!$A$8:$A$1007,A386))</x:f>
      </x:c>
      <x:c r="Y386" s="20" t="str">
        <x:f>IF(OR(A386="",I386&lt;&gt;"Esecuzioni",W386=0),"",SUMIFS('Esecuzioni'!$M$8:$M$1007,'Esecuzioni'!$A$8:$A$1007,A386))</x:f>
      </x:c>
      <x:c r="Z386" s="20" t="str">
        <x:f>IF(A386="","",IF(J386="Annullato",0,IF(ISNUMBER(O386),O386,IF(AND(I386="Esecuzioni",W386&gt;0),_xlfn.MAXIFS('Esecuzioni'!$P$8:$P$1007,'Esecuzioni'!$A$8:$A$1007,A386),""))))</x:f>
      </x:c>
      <x:c r="AA386" s="20" t="str">
        <x:f>IF(OR(A386="",J386="Aperto"),"",IF(J386="Annullato",0,IF(I386="Lordo manuale",IF(ISNUMBER(P386),P386,""),IF(I386="Netto manuale",IF(AND(ISNUMBER(P386),ISNUMBER(Q386)),P386+Q386,""),IF(OR(W386=0,COUNTIFS('Esecuzioni'!$A$8:$A$1007,A386,'Esecuzioni'!$Q$8:$Q$1007,"&lt;&gt;OK")&gt;0),"",IF(S386="Vince",X386,IF(S386="Perde",Y386,IF(AND(S386="Coperto",ABS(X386-Y386)&lt;='Impostazioni'!$B$11),ROUND((X386+Y386)/2,2),""))))))))</x:f>
      </x:c>
      <x:c r="AB386" s="20" t="str">
        <x:f>IF(NOT(ISNUMBER(AA386)),"",IF(J386="Annullato",0,IF(ISNUMBER(Q386),Q386,ROUND(MAX(0,AA386)*IF(ISNUMBER(R386),R386,'Impostazioni'!$B$8),2))))</x:f>
      </x:c>
      <x:c r="AC386" s="20" t="str">
        <x:f>IF(AND(ISNUMBER(AA386),ISNUMBER(AB386)),ROUND(AA386-AB386,2),"")</x:f>
      </x:c>
      <x:c r="AD386" s="18" t="str">
        <x:f>IF(A386="","",IF(AQ386&lt;&gt;"OK","Incompleto",IF(J386="Aperto","Aperto",IF(J386="Annullato","Annullato",IF(AC386&gt;0,"Green",IF(AC386&lt;0,"Red","Flat"))))))</x:f>
      </x:c>
      <x:c r="AE386" s="21" t="str">
        <x:f>IF(AND(AH386=1,Z386&gt;0),AC386/Z386,"")</x:f>
      </x:c>
      <x:c r="AF386" s="22" t="str">
        <x:f>IF(AH386&lt;&gt;1,"",COUNTIFS($C$8:$C$507,"&lt;"&amp;C386,$AH$8:$AH$507,1)+COUNTIFS($C$8:$C$507,C386,$A$8:$A$507,"&lt;="&amp;A386,$AH$8:$AH$507,1))</x:f>
      </x:c>
      <x:c r="AG386" s="20" t="str">
        <x:f>IF(AH386&lt;&gt;1,"",SUMIFS($AC$8:$AC$507,$C$8:$C$507,"&lt;"&amp;C386,$AH$8:$AH$507,1)+SUMIFS($AC$8:$AC$507,$C$8:$C$507,C386,$A$8:$A$507,"&lt;="&amp;A386,$AH$8:$AH$507,1))</x:f>
      </x:c>
      <x:c r="AH386" s="22" t="str">
        <x:f>IF(A386="","",IF(AND(J386="Chiuso",AQ386="OK",ISNUMBER(AC386)),1,0))</x:f>
      </x:c>
      <x:c r="AI386" s="20" t="str">
        <x:f>IF(AH386&lt;&gt;1,"",MAX(0,_xlfn.MAXIFS($AG$8:$AG$507,$AF$8:$AF$507,"&lt;="&amp;AF386,$AH$8:$AH$507,1)))</x:f>
      </x:c>
      <x:c r="AJ386" s="20" t="str">
        <x:f>IF(AH386&lt;&gt;1,"",MAX(0,AI386-AG386))</x:f>
      </x:c>
      <x:c r="AK386" s="21" t="str">
        <x:f>IF(OR(AH386&lt;&gt;1,NOT(ISNUMBER('Impostazioni'!$B$6)),'Impostazioni'!$B$6+AI386&lt;=0),"",AJ386/('Impostazioni'!$B$6+AI386))</x:f>
      </x:c>
      <x:c r="AL386" s="22" t="str">
        <x:f>IF(AH386&lt;&gt;1,"",IF(AC386&gt;0,AF386-_xlfn.MAXIFS($AF$8:$AF$507,$AF$8:$AF$507,"&lt;="&amp;AF386,$AC$8:$AC$507,"&lt;=0",$AH$8:$AH$507,1),0))</x:f>
      </x:c>
      <x:c r="AM386" s="22" t="str">
        <x:f>IF(AH386&lt;&gt;1,"",IF(AC386&lt;0,AF386-_xlfn.MAXIFS($AF$8:$AF$507,$AF$8:$AF$507,"&lt;="&amp;AF386,$AC$8:$AC$507,"&gt;=0",$AH$8:$AH$507,1),0))</x:f>
      </x:c>
      <x:c r="AN386" s="20" t="str">
        <x:f>IF(OR(A386="",NOT(ISNUMBER(B386)),NOT(ISNUMBER('Impostazioni'!$B$6))),"",'Impostazioni'!$B$6+SUMIFS($AC$8:$AC$507,$C$8:$C$507,"&lt;"&amp;B386,$AH$8:$AH$507,1)+SUMIFS('Cassa'!$F$8:$F$307,'Cassa'!$A$8:$A$307,"&lt;="&amp;B386,'Cassa'!$G$8:$G$307,"OK"))</x:f>
      </x:c>
      <x:c r="AO386" s="21" t="str">
        <x:f>IF(AND(ISNUMBER(Z386),ISNUMBER(AN386),AN386&gt;0),Z386/AN386,"")</x:f>
      </x:c>
      <x:c r="AP386" s="18" t="str">
        <x:f>IF(NOT(ISNUMBER(AO386)),"",IF(AO386&gt;'Impostazioni'!$B$7,"Oltre soglia personale","Nella soglia personale"))</x:f>
      </x:c>
      <x:c r="AQ386" s="18" t="str">
        <x:f>IF(A386="",IF(COUNTA(B386:V386)=0,"","Inserisci ID"),IF(COUNTIFS($A$8:$A$507,A386)&lt;&gt;1,"ID duplicato",IF(OR(NOT(ISNUMBER(B386)),D386="",E386="",F386="",G386="",H386="",COUNTIFS('Impostazioni'!$J$6:$J$25,F386)&lt;&gt;1),"Completa dati / elenchi",IF(OR(AND(I386&lt;&gt;"Lordo manuale",I386&lt;&gt;"Netto manuale",I386&lt;&gt;"Esecuzioni"),AND(J386&lt;&gt;"Aperto",J386&lt;&gt;"Chiuso",J386&lt;&gt;"Annullato")),"Modalità / stato mancanti",IF(AND(J386&lt;&gt;"Aperto",OR(NOT(ISNUMBER(C386)),C386&lt;B386)),"Correggi data chiusura",IF(OR(AND(Q386&lt;&gt;"",OR(NOT(ISNUMBER(Q386)),Q386&lt;0)),AND(R386&lt;&gt;"",OR(NOT(ISNUMBER(R386)),R386&lt;0,R386&gt;1))),"Commissione non valida",IF(J386="Annullato","OK",IF(OR(NOT(ISNUMBER(Z386)),Z386&lt;0,AND(O386&lt;&gt;"",NOT(ISNUMBER(O386)))),"Inserisci rischio",IF(AND(I386="Esecuzioni",OR(W386=0,COUNTIFS('Esecuzioni'!$A$8:$A$1007,A386,'Esecuzioni'!$Q$8:$Q$1007,"&lt;&gt;OK")&gt;0)),"Correggi esecuzioni",IF(J386="Aperto","OK",IF(AND(I386="Esecuzioni",S386="Coperto",ABS(X386-Y386)&gt;'Impostazioni'!$B$11),"Copertura residua",IF(NOT(ISNUMBER(AC386)),"Completa risultato / esito",IF(AND(Z386=0,AC386&lt;&gt;0),"Rischio nullo con P/L","OK")))))))))))))</x:f>
      </x:c>
      <x:c r="AR386" s="20" t="str">
        <x:f>IF(OR(A386="",J386&lt;&gt;"Aperto",AQ386&lt;&gt;"OK"),"",IF(I386="Esecuzioni",SUMIFS('Esecuzioni'!$P$8:$P$1007,'Esecuzioni'!$A$8:$A$1007,A386,'Esecuzioni'!$B$8:$B$1007,_xlfn.MAXIFS('Esecuzioni'!$B$8:$B$1007,'Esecuzioni'!$A$8:$A$1007,A386)),IF(LEFT(U386,8)="FREEBET:",0,Z386)))</x:f>
      </x:c>
      <x:c r="AS386" s="48" t="str">
        <x:f>IF(OR(A386="",E386=""),"",IF(COUNTIFS($E$8:E386,E386)=1,COUNT($AS$7:AS385)+1,""))</x:f>
      </x:c>
    </x:row>
    <x:row r="387" ht="22" customHeight="1">
      <x:c r="A387" s="7"/>
      <x:c r="B387" s="19"/>
      <x:c r="C387" s="19"/>
      <x:c r="D387" s="7"/>
      <x:c r="E387" s="7"/>
      <x:c r="F387" s="7"/>
      <x:c r="G387" s="7"/>
      <x:c r="H387" s="7"/>
      <x:c r="I387" s="7"/>
      <x:c r="J387" s="7"/>
      <x:c r="K387" s="10"/>
      <x:c r="L387" s="7"/>
      <x:c r="M387" s="10"/>
      <x:c r="N387" s="7"/>
      <x:c r="O387" s="8"/>
      <x:c r="P387" s="8"/>
      <x:c r="Q387" s="8"/>
      <x:c r="R387" s="9"/>
      <x:c r="S387" s="7"/>
      <x:c r="T387" s="7"/>
      <x:c r="U387" s="7"/>
      <x:c r="V387" s="7"/>
      <x:c r="W387" s="22" t="str">
        <x:f>IF(A387="","",COUNTIFS('Esecuzioni'!$A$8:$A$1007,A387,'Esecuzioni'!$Q$8:$Q$1007,"OK"))</x:f>
      </x:c>
      <x:c r="X387" s="20" t="str">
        <x:f>IF(OR(A387="",I387&lt;&gt;"Esecuzioni",W387=0),"",SUMIFS('Esecuzioni'!$L$8:$L$1007,'Esecuzioni'!$A$8:$A$1007,A387))</x:f>
      </x:c>
      <x:c r="Y387" s="20" t="str">
        <x:f>IF(OR(A387="",I387&lt;&gt;"Esecuzioni",W387=0),"",SUMIFS('Esecuzioni'!$M$8:$M$1007,'Esecuzioni'!$A$8:$A$1007,A387))</x:f>
      </x:c>
      <x:c r="Z387" s="20" t="str">
        <x:f>IF(A387="","",IF(J387="Annullato",0,IF(ISNUMBER(O387),O387,IF(AND(I387="Esecuzioni",W387&gt;0),_xlfn.MAXIFS('Esecuzioni'!$P$8:$P$1007,'Esecuzioni'!$A$8:$A$1007,A387),""))))</x:f>
      </x:c>
      <x:c r="AA387" s="20" t="str">
        <x:f>IF(OR(A387="",J387="Aperto"),"",IF(J387="Annullato",0,IF(I387="Lordo manuale",IF(ISNUMBER(P387),P387,""),IF(I387="Netto manuale",IF(AND(ISNUMBER(P387),ISNUMBER(Q387)),P387+Q387,""),IF(OR(W387=0,COUNTIFS('Esecuzioni'!$A$8:$A$1007,A387,'Esecuzioni'!$Q$8:$Q$1007,"&lt;&gt;OK")&gt;0),"",IF(S387="Vince",X387,IF(S387="Perde",Y387,IF(AND(S387="Coperto",ABS(X387-Y387)&lt;='Impostazioni'!$B$11),ROUND((X387+Y387)/2,2),""))))))))</x:f>
      </x:c>
      <x:c r="AB387" s="20" t="str">
        <x:f>IF(NOT(ISNUMBER(AA387)),"",IF(J387="Annullato",0,IF(ISNUMBER(Q387),Q387,ROUND(MAX(0,AA387)*IF(ISNUMBER(R387),R387,'Impostazioni'!$B$8),2))))</x:f>
      </x:c>
      <x:c r="AC387" s="20" t="str">
        <x:f>IF(AND(ISNUMBER(AA387),ISNUMBER(AB387)),ROUND(AA387-AB387,2),"")</x:f>
      </x:c>
      <x:c r="AD387" s="18" t="str">
        <x:f>IF(A387="","",IF(AQ387&lt;&gt;"OK","Incompleto",IF(J387="Aperto","Aperto",IF(J387="Annullato","Annullato",IF(AC387&gt;0,"Green",IF(AC387&lt;0,"Red","Flat"))))))</x:f>
      </x:c>
      <x:c r="AE387" s="21" t="str">
        <x:f>IF(AND(AH387=1,Z387&gt;0),AC387/Z387,"")</x:f>
      </x:c>
      <x:c r="AF387" s="22" t="str">
        <x:f>IF(AH387&lt;&gt;1,"",COUNTIFS($C$8:$C$507,"&lt;"&amp;C387,$AH$8:$AH$507,1)+COUNTIFS($C$8:$C$507,C387,$A$8:$A$507,"&lt;="&amp;A387,$AH$8:$AH$507,1))</x:f>
      </x:c>
      <x:c r="AG387" s="20" t="str">
        <x:f>IF(AH387&lt;&gt;1,"",SUMIFS($AC$8:$AC$507,$C$8:$C$507,"&lt;"&amp;C387,$AH$8:$AH$507,1)+SUMIFS($AC$8:$AC$507,$C$8:$C$507,C387,$A$8:$A$507,"&lt;="&amp;A387,$AH$8:$AH$507,1))</x:f>
      </x:c>
      <x:c r="AH387" s="22" t="str">
        <x:f>IF(A387="","",IF(AND(J387="Chiuso",AQ387="OK",ISNUMBER(AC387)),1,0))</x:f>
      </x:c>
      <x:c r="AI387" s="20" t="str">
        <x:f>IF(AH387&lt;&gt;1,"",MAX(0,_xlfn.MAXIFS($AG$8:$AG$507,$AF$8:$AF$507,"&lt;="&amp;AF387,$AH$8:$AH$507,1)))</x:f>
      </x:c>
      <x:c r="AJ387" s="20" t="str">
        <x:f>IF(AH387&lt;&gt;1,"",MAX(0,AI387-AG387))</x:f>
      </x:c>
      <x:c r="AK387" s="21" t="str">
        <x:f>IF(OR(AH387&lt;&gt;1,NOT(ISNUMBER('Impostazioni'!$B$6)),'Impostazioni'!$B$6+AI387&lt;=0),"",AJ387/('Impostazioni'!$B$6+AI387))</x:f>
      </x:c>
      <x:c r="AL387" s="22" t="str">
        <x:f>IF(AH387&lt;&gt;1,"",IF(AC387&gt;0,AF387-_xlfn.MAXIFS($AF$8:$AF$507,$AF$8:$AF$507,"&lt;="&amp;AF387,$AC$8:$AC$507,"&lt;=0",$AH$8:$AH$507,1),0))</x:f>
      </x:c>
      <x:c r="AM387" s="22" t="str">
        <x:f>IF(AH387&lt;&gt;1,"",IF(AC387&lt;0,AF387-_xlfn.MAXIFS($AF$8:$AF$507,$AF$8:$AF$507,"&lt;="&amp;AF387,$AC$8:$AC$507,"&gt;=0",$AH$8:$AH$507,1),0))</x:f>
      </x:c>
      <x:c r="AN387" s="20" t="str">
        <x:f>IF(OR(A387="",NOT(ISNUMBER(B387)),NOT(ISNUMBER('Impostazioni'!$B$6))),"",'Impostazioni'!$B$6+SUMIFS($AC$8:$AC$507,$C$8:$C$507,"&lt;"&amp;B387,$AH$8:$AH$507,1)+SUMIFS('Cassa'!$F$8:$F$307,'Cassa'!$A$8:$A$307,"&lt;="&amp;B387,'Cassa'!$G$8:$G$307,"OK"))</x:f>
      </x:c>
      <x:c r="AO387" s="21" t="str">
        <x:f>IF(AND(ISNUMBER(Z387),ISNUMBER(AN387),AN387&gt;0),Z387/AN387,"")</x:f>
      </x:c>
      <x:c r="AP387" s="18" t="str">
        <x:f>IF(NOT(ISNUMBER(AO387)),"",IF(AO387&gt;'Impostazioni'!$B$7,"Oltre soglia personale","Nella soglia personale"))</x:f>
      </x:c>
      <x:c r="AQ387" s="18" t="str">
        <x:f>IF(A387="",IF(COUNTA(B387:V387)=0,"","Inserisci ID"),IF(COUNTIFS($A$8:$A$507,A387)&lt;&gt;1,"ID duplicato",IF(OR(NOT(ISNUMBER(B387)),D387="",E387="",F387="",G387="",H387="",COUNTIFS('Impostazioni'!$J$6:$J$25,F387)&lt;&gt;1),"Completa dati / elenchi",IF(OR(AND(I387&lt;&gt;"Lordo manuale",I387&lt;&gt;"Netto manuale",I387&lt;&gt;"Esecuzioni"),AND(J387&lt;&gt;"Aperto",J387&lt;&gt;"Chiuso",J387&lt;&gt;"Annullato")),"Modalità / stato mancanti",IF(AND(J387&lt;&gt;"Aperto",OR(NOT(ISNUMBER(C387)),C387&lt;B387)),"Correggi data chiusura",IF(OR(AND(Q387&lt;&gt;"",OR(NOT(ISNUMBER(Q387)),Q387&lt;0)),AND(R387&lt;&gt;"",OR(NOT(ISNUMBER(R387)),R387&lt;0,R387&gt;1))),"Commissione non valida",IF(J387="Annullato","OK",IF(OR(NOT(ISNUMBER(Z387)),Z387&lt;0,AND(O387&lt;&gt;"",NOT(ISNUMBER(O387)))),"Inserisci rischio",IF(AND(I387="Esecuzioni",OR(W387=0,COUNTIFS('Esecuzioni'!$A$8:$A$1007,A387,'Esecuzioni'!$Q$8:$Q$1007,"&lt;&gt;OK")&gt;0)),"Correggi esecuzioni",IF(J387="Aperto","OK",IF(AND(I387="Esecuzioni",S387="Coperto",ABS(X387-Y387)&gt;'Impostazioni'!$B$11),"Copertura residua",IF(NOT(ISNUMBER(AC387)),"Completa risultato / esito",IF(AND(Z387=0,AC387&lt;&gt;0),"Rischio nullo con P/L","OK")))))))))))))</x:f>
      </x:c>
      <x:c r="AR387" s="20" t="str">
        <x:f>IF(OR(A387="",J387&lt;&gt;"Aperto",AQ387&lt;&gt;"OK"),"",IF(I387="Esecuzioni",SUMIFS('Esecuzioni'!$P$8:$P$1007,'Esecuzioni'!$A$8:$A$1007,A387,'Esecuzioni'!$B$8:$B$1007,_xlfn.MAXIFS('Esecuzioni'!$B$8:$B$1007,'Esecuzioni'!$A$8:$A$1007,A387)),IF(LEFT(U387,8)="FREEBET:",0,Z387)))</x:f>
      </x:c>
      <x:c r="AS387" s="48" t="str">
        <x:f>IF(OR(A387="",E387=""),"",IF(COUNTIFS($E$8:E387,E387)=1,COUNT($AS$7:AS386)+1,""))</x:f>
      </x:c>
    </x:row>
    <x:row r="388" ht="22" customHeight="1">
      <x:c r="A388" s="7"/>
      <x:c r="B388" s="19"/>
      <x:c r="C388" s="19"/>
      <x:c r="D388" s="7"/>
      <x:c r="E388" s="7"/>
      <x:c r="F388" s="7"/>
      <x:c r="G388" s="7"/>
      <x:c r="H388" s="7"/>
      <x:c r="I388" s="7"/>
      <x:c r="J388" s="7"/>
      <x:c r="K388" s="10"/>
      <x:c r="L388" s="7"/>
      <x:c r="M388" s="10"/>
      <x:c r="N388" s="7"/>
      <x:c r="O388" s="8"/>
      <x:c r="P388" s="8"/>
      <x:c r="Q388" s="8"/>
      <x:c r="R388" s="9"/>
      <x:c r="S388" s="7"/>
      <x:c r="T388" s="7"/>
      <x:c r="U388" s="7"/>
      <x:c r="V388" s="7"/>
      <x:c r="W388" s="22" t="str">
        <x:f>IF(A388="","",COUNTIFS('Esecuzioni'!$A$8:$A$1007,A388,'Esecuzioni'!$Q$8:$Q$1007,"OK"))</x:f>
      </x:c>
      <x:c r="X388" s="20" t="str">
        <x:f>IF(OR(A388="",I388&lt;&gt;"Esecuzioni",W388=0),"",SUMIFS('Esecuzioni'!$L$8:$L$1007,'Esecuzioni'!$A$8:$A$1007,A388))</x:f>
      </x:c>
      <x:c r="Y388" s="20" t="str">
        <x:f>IF(OR(A388="",I388&lt;&gt;"Esecuzioni",W388=0),"",SUMIFS('Esecuzioni'!$M$8:$M$1007,'Esecuzioni'!$A$8:$A$1007,A388))</x:f>
      </x:c>
      <x:c r="Z388" s="20" t="str">
        <x:f>IF(A388="","",IF(J388="Annullato",0,IF(ISNUMBER(O388),O388,IF(AND(I388="Esecuzioni",W388&gt;0),_xlfn.MAXIFS('Esecuzioni'!$P$8:$P$1007,'Esecuzioni'!$A$8:$A$1007,A388),""))))</x:f>
      </x:c>
      <x:c r="AA388" s="20" t="str">
        <x:f>IF(OR(A388="",J388="Aperto"),"",IF(J388="Annullato",0,IF(I388="Lordo manuale",IF(ISNUMBER(P388),P388,""),IF(I388="Netto manuale",IF(AND(ISNUMBER(P388),ISNUMBER(Q388)),P388+Q388,""),IF(OR(W388=0,COUNTIFS('Esecuzioni'!$A$8:$A$1007,A388,'Esecuzioni'!$Q$8:$Q$1007,"&lt;&gt;OK")&gt;0),"",IF(S388="Vince",X388,IF(S388="Perde",Y388,IF(AND(S388="Coperto",ABS(X388-Y388)&lt;='Impostazioni'!$B$11),ROUND((X388+Y388)/2,2),""))))))))</x:f>
      </x:c>
      <x:c r="AB388" s="20" t="str">
        <x:f>IF(NOT(ISNUMBER(AA388)),"",IF(J388="Annullato",0,IF(ISNUMBER(Q388),Q388,ROUND(MAX(0,AA388)*IF(ISNUMBER(R388),R388,'Impostazioni'!$B$8),2))))</x:f>
      </x:c>
      <x:c r="AC388" s="20" t="str">
        <x:f>IF(AND(ISNUMBER(AA388),ISNUMBER(AB388)),ROUND(AA388-AB388,2),"")</x:f>
      </x:c>
      <x:c r="AD388" s="18" t="str">
        <x:f>IF(A388="","",IF(AQ388&lt;&gt;"OK","Incompleto",IF(J388="Aperto","Aperto",IF(J388="Annullato","Annullato",IF(AC388&gt;0,"Green",IF(AC388&lt;0,"Red","Flat"))))))</x:f>
      </x:c>
      <x:c r="AE388" s="21" t="str">
        <x:f>IF(AND(AH388=1,Z388&gt;0),AC388/Z388,"")</x:f>
      </x:c>
      <x:c r="AF388" s="22" t="str">
        <x:f>IF(AH388&lt;&gt;1,"",COUNTIFS($C$8:$C$507,"&lt;"&amp;C388,$AH$8:$AH$507,1)+COUNTIFS($C$8:$C$507,C388,$A$8:$A$507,"&lt;="&amp;A388,$AH$8:$AH$507,1))</x:f>
      </x:c>
      <x:c r="AG388" s="20" t="str">
        <x:f>IF(AH388&lt;&gt;1,"",SUMIFS($AC$8:$AC$507,$C$8:$C$507,"&lt;"&amp;C388,$AH$8:$AH$507,1)+SUMIFS($AC$8:$AC$507,$C$8:$C$507,C388,$A$8:$A$507,"&lt;="&amp;A388,$AH$8:$AH$507,1))</x:f>
      </x:c>
      <x:c r="AH388" s="22" t="str">
        <x:f>IF(A388="","",IF(AND(J388="Chiuso",AQ388="OK",ISNUMBER(AC388)),1,0))</x:f>
      </x:c>
      <x:c r="AI388" s="20" t="str">
        <x:f>IF(AH388&lt;&gt;1,"",MAX(0,_xlfn.MAXIFS($AG$8:$AG$507,$AF$8:$AF$507,"&lt;="&amp;AF388,$AH$8:$AH$507,1)))</x:f>
      </x:c>
      <x:c r="AJ388" s="20" t="str">
        <x:f>IF(AH388&lt;&gt;1,"",MAX(0,AI388-AG388))</x:f>
      </x:c>
      <x:c r="AK388" s="21" t="str">
        <x:f>IF(OR(AH388&lt;&gt;1,NOT(ISNUMBER('Impostazioni'!$B$6)),'Impostazioni'!$B$6+AI388&lt;=0),"",AJ388/('Impostazioni'!$B$6+AI388))</x:f>
      </x:c>
      <x:c r="AL388" s="22" t="str">
        <x:f>IF(AH388&lt;&gt;1,"",IF(AC388&gt;0,AF388-_xlfn.MAXIFS($AF$8:$AF$507,$AF$8:$AF$507,"&lt;="&amp;AF388,$AC$8:$AC$507,"&lt;=0",$AH$8:$AH$507,1),0))</x:f>
      </x:c>
      <x:c r="AM388" s="22" t="str">
        <x:f>IF(AH388&lt;&gt;1,"",IF(AC388&lt;0,AF388-_xlfn.MAXIFS($AF$8:$AF$507,$AF$8:$AF$507,"&lt;="&amp;AF388,$AC$8:$AC$507,"&gt;=0",$AH$8:$AH$507,1),0))</x:f>
      </x:c>
      <x:c r="AN388" s="20" t="str">
        <x:f>IF(OR(A388="",NOT(ISNUMBER(B388)),NOT(ISNUMBER('Impostazioni'!$B$6))),"",'Impostazioni'!$B$6+SUMIFS($AC$8:$AC$507,$C$8:$C$507,"&lt;"&amp;B388,$AH$8:$AH$507,1)+SUMIFS('Cassa'!$F$8:$F$307,'Cassa'!$A$8:$A$307,"&lt;="&amp;B388,'Cassa'!$G$8:$G$307,"OK"))</x:f>
      </x:c>
      <x:c r="AO388" s="21" t="str">
        <x:f>IF(AND(ISNUMBER(Z388),ISNUMBER(AN388),AN388&gt;0),Z388/AN388,"")</x:f>
      </x:c>
      <x:c r="AP388" s="18" t="str">
        <x:f>IF(NOT(ISNUMBER(AO388)),"",IF(AO388&gt;'Impostazioni'!$B$7,"Oltre soglia personale","Nella soglia personale"))</x:f>
      </x:c>
      <x:c r="AQ388" s="18" t="str">
        <x:f>IF(A388="",IF(COUNTA(B388:V388)=0,"","Inserisci ID"),IF(COUNTIFS($A$8:$A$507,A388)&lt;&gt;1,"ID duplicato",IF(OR(NOT(ISNUMBER(B388)),D388="",E388="",F388="",G388="",H388="",COUNTIFS('Impostazioni'!$J$6:$J$25,F388)&lt;&gt;1),"Completa dati / elenchi",IF(OR(AND(I388&lt;&gt;"Lordo manuale",I388&lt;&gt;"Netto manuale",I388&lt;&gt;"Esecuzioni"),AND(J388&lt;&gt;"Aperto",J388&lt;&gt;"Chiuso",J388&lt;&gt;"Annullato")),"Modalità / stato mancanti",IF(AND(J388&lt;&gt;"Aperto",OR(NOT(ISNUMBER(C388)),C388&lt;B388)),"Correggi data chiusura",IF(OR(AND(Q388&lt;&gt;"",OR(NOT(ISNUMBER(Q388)),Q388&lt;0)),AND(R388&lt;&gt;"",OR(NOT(ISNUMBER(R388)),R388&lt;0,R388&gt;1))),"Commissione non valida",IF(J388="Annullato","OK",IF(OR(NOT(ISNUMBER(Z388)),Z388&lt;0,AND(O388&lt;&gt;"",NOT(ISNUMBER(O388)))),"Inserisci rischio",IF(AND(I388="Esecuzioni",OR(W388=0,COUNTIFS('Esecuzioni'!$A$8:$A$1007,A388,'Esecuzioni'!$Q$8:$Q$1007,"&lt;&gt;OK")&gt;0)),"Correggi esecuzioni",IF(J388="Aperto","OK",IF(AND(I388="Esecuzioni",S388="Coperto",ABS(X388-Y388)&gt;'Impostazioni'!$B$11),"Copertura residua",IF(NOT(ISNUMBER(AC388)),"Completa risultato / esito",IF(AND(Z388=0,AC388&lt;&gt;0),"Rischio nullo con P/L","OK")))))))))))))</x:f>
      </x:c>
      <x:c r="AR388" s="20" t="str">
        <x:f>IF(OR(A388="",J388&lt;&gt;"Aperto",AQ388&lt;&gt;"OK"),"",IF(I388="Esecuzioni",SUMIFS('Esecuzioni'!$P$8:$P$1007,'Esecuzioni'!$A$8:$A$1007,A388,'Esecuzioni'!$B$8:$B$1007,_xlfn.MAXIFS('Esecuzioni'!$B$8:$B$1007,'Esecuzioni'!$A$8:$A$1007,A388)),IF(LEFT(U388,8)="FREEBET:",0,Z388)))</x:f>
      </x:c>
      <x:c r="AS388" s="48" t="str">
        <x:f>IF(OR(A388="",E388=""),"",IF(COUNTIFS($E$8:E388,E388)=1,COUNT($AS$7:AS387)+1,""))</x:f>
      </x:c>
    </x:row>
    <x:row r="389" ht="22" customHeight="1">
      <x:c r="A389" s="7"/>
      <x:c r="B389" s="19"/>
      <x:c r="C389" s="19"/>
      <x:c r="D389" s="7"/>
      <x:c r="E389" s="7"/>
      <x:c r="F389" s="7"/>
      <x:c r="G389" s="7"/>
      <x:c r="H389" s="7"/>
      <x:c r="I389" s="7"/>
      <x:c r="J389" s="7"/>
      <x:c r="K389" s="10"/>
      <x:c r="L389" s="7"/>
      <x:c r="M389" s="10"/>
      <x:c r="N389" s="7"/>
      <x:c r="O389" s="8"/>
      <x:c r="P389" s="8"/>
      <x:c r="Q389" s="8"/>
      <x:c r="R389" s="9"/>
      <x:c r="S389" s="7"/>
      <x:c r="T389" s="7"/>
      <x:c r="U389" s="7"/>
      <x:c r="V389" s="7"/>
      <x:c r="W389" s="22" t="str">
        <x:f>IF(A389="","",COUNTIFS('Esecuzioni'!$A$8:$A$1007,A389,'Esecuzioni'!$Q$8:$Q$1007,"OK"))</x:f>
      </x:c>
      <x:c r="X389" s="20" t="str">
        <x:f>IF(OR(A389="",I389&lt;&gt;"Esecuzioni",W389=0),"",SUMIFS('Esecuzioni'!$L$8:$L$1007,'Esecuzioni'!$A$8:$A$1007,A389))</x:f>
      </x:c>
      <x:c r="Y389" s="20" t="str">
        <x:f>IF(OR(A389="",I389&lt;&gt;"Esecuzioni",W389=0),"",SUMIFS('Esecuzioni'!$M$8:$M$1007,'Esecuzioni'!$A$8:$A$1007,A389))</x:f>
      </x:c>
      <x:c r="Z389" s="20" t="str">
        <x:f>IF(A389="","",IF(J389="Annullato",0,IF(ISNUMBER(O389),O389,IF(AND(I389="Esecuzioni",W389&gt;0),_xlfn.MAXIFS('Esecuzioni'!$P$8:$P$1007,'Esecuzioni'!$A$8:$A$1007,A389),""))))</x:f>
      </x:c>
      <x:c r="AA389" s="20" t="str">
        <x:f>IF(OR(A389="",J389="Aperto"),"",IF(J389="Annullato",0,IF(I389="Lordo manuale",IF(ISNUMBER(P389),P389,""),IF(I389="Netto manuale",IF(AND(ISNUMBER(P389),ISNUMBER(Q389)),P389+Q389,""),IF(OR(W389=0,COUNTIFS('Esecuzioni'!$A$8:$A$1007,A389,'Esecuzioni'!$Q$8:$Q$1007,"&lt;&gt;OK")&gt;0),"",IF(S389="Vince",X389,IF(S389="Perde",Y389,IF(AND(S389="Coperto",ABS(X389-Y389)&lt;='Impostazioni'!$B$11),ROUND((X389+Y389)/2,2),""))))))))</x:f>
      </x:c>
      <x:c r="AB389" s="20" t="str">
        <x:f>IF(NOT(ISNUMBER(AA389)),"",IF(J389="Annullato",0,IF(ISNUMBER(Q389),Q389,ROUND(MAX(0,AA389)*IF(ISNUMBER(R389),R389,'Impostazioni'!$B$8),2))))</x:f>
      </x:c>
      <x:c r="AC389" s="20" t="str">
        <x:f>IF(AND(ISNUMBER(AA389),ISNUMBER(AB389)),ROUND(AA389-AB389,2),"")</x:f>
      </x:c>
      <x:c r="AD389" s="18" t="str">
        <x:f>IF(A389="","",IF(AQ389&lt;&gt;"OK","Incompleto",IF(J389="Aperto","Aperto",IF(J389="Annullato","Annullato",IF(AC389&gt;0,"Green",IF(AC389&lt;0,"Red","Flat"))))))</x:f>
      </x:c>
      <x:c r="AE389" s="21" t="str">
        <x:f>IF(AND(AH389=1,Z389&gt;0),AC389/Z389,"")</x:f>
      </x:c>
      <x:c r="AF389" s="22" t="str">
        <x:f>IF(AH389&lt;&gt;1,"",COUNTIFS($C$8:$C$507,"&lt;"&amp;C389,$AH$8:$AH$507,1)+COUNTIFS($C$8:$C$507,C389,$A$8:$A$507,"&lt;="&amp;A389,$AH$8:$AH$507,1))</x:f>
      </x:c>
      <x:c r="AG389" s="20" t="str">
        <x:f>IF(AH389&lt;&gt;1,"",SUMIFS($AC$8:$AC$507,$C$8:$C$507,"&lt;"&amp;C389,$AH$8:$AH$507,1)+SUMIFS($AC$8:$AC$507,$C$8:$C$507,C389,$A$8:$A$507,"&lt;="&amp;A389,$AH$8:$AH$507,1))</x:f>
      </x:c>
      <x:c r="AH389" s="22" t="str">
        <x:f>IF(A389="","",IF(AND(J389="Chiuso",AQ389="OK",ISNUMBER(AC389)),1,0))</x:f>
      </x:c>
      <x:c r="AI389" s="20" t="str">
        <x:f>IF(AH389&lt;&gt;1,"",MAX(0,_xlfn.MAXIFS($AG$8:$AG$507,$AF$8:$AF$507,"&lt;="&amp;AF389,$AH$8:$AH$507,1)))</x:f>
      </x:c>
      <x:c r="AJ389" s="20" t="str">
        <x:f>IF(AH389&lt;&gt;1,"",MAX(0,AI389-AG389))</x:f>
      </x:c>
      <x:c r="AK389" s="21" t="str">
        <x:f>IF(OR(AH389&lt;&gt;1,NOT(ISNUMBER('Impostazioni'!$B$6)),'Impostazioni'!$B$6+AI389&lt;=0),"",AJ389/('Impostazioni'!$B$6+AI389))</x:f>
      </x:c>
      <x:c r="AL389" s="22" t="str">
        <x:f>IF(AH389&lt;&gt;1,"",IF(AC389&gt;0,AF389-_xlfn.MAXIFS($AF$8:$AF$507,$AF$8:$AF$507,"&lt;="&amp;AF389,$AC$8:$AC$507,"&lt;=0",$AH$8:$AH$507,1),0))</x:f>
      </x:c>
      <x:c r="AM389" s="22" t="str">
        <x:f>IF(AH389&lt;&gt;1,"",IF(AC389&lt;0,AF389-_xlfn.MAXIFS($AF$8:$AF$507,$AF$8:$AF$507,"&lt;="&amp;AF389,$AC$8:$AC$507,"&gt;=0",$AH$8:$AH$507,1),0))</x:f>
      </x:c>
      <x:c r="AN389" s="20" t="str">
        <x:f>IF(OR(A389="",NOT(ISNUMBER(B389)),NOT(ISNUMBER('Impostazioni'!$B$6))),"",'Impostazioni'!$B$6+SUMIFS($AC$8:$AC$507,$C$8:$C$507,"&lt;"&amp;B389,$AH$8:$AH$507,1)+SUMIFS('Cassa'!$F$8:$F$307,'Cassa'!$A$8:$A$307,"&lt;="&amp;B389,'Cassa'!$G$8:$G$307,"OK"))</x:f>
      </x:c>
      <x:c r="AO389" s="21" t="str">
        <x:f>IF(AND(ISNUMBER(Z389),ISNUMBER(AN389),AN389&gt;0),Z389/AN389,"")</x:f>
      </x:c>
      <x:c r="AP389" s="18" t="str">
        <x:f>IF(NOT(ISNUMBER(AO389)),"",IF(AO389&gt;'Impostazioni'!$B$7,"Oltre soglia personale","Nella soglia personale"))</x:f>
      </x:c>
      <x:c r="AQ389" s="18" t="str">
        <x:f>IF(A389="",IF(COUNTA(B389:V389)=0,"","Inserisci ID"),IF(COUNTIFS($A$8:$A$507,A389)&lt;&gt;1,"ID duplicato",IF(OR(NOT(ISNUMBER(B389)),D389="",E389="",F389="",G389="",H389="",COUNTIFS('Impostazioni'!$J$6:$J$25,F389)&lt;&gt;1),"Completa dati / elenchi",IF(OR(AND(I389&lt;&gt;"Lordo manuale",I389&lt;&gt;"Netto manuale",I389&lt;&gt;"Esecuzioni"),AND(J389&lt;&gt;"Aperto",J389&lt;&gt;"Chiuso",J389&lt;&gt;"Annullato")),"Modalità / stato mancanti",IF(AND(J389&lt;&gt;"Aperto",OR(NOT(ISNUMBER(C389)),C389&lt;B389)),"Correggi data chiusura",IF(OR(AND(Q389&lt;&gt;"",OR(NOT(ISNUMBER(Q389)),Q389&lt;0)),AND(R389&lt;&gt;"",OR(NOT(ISNUMBER(R389)),R389&lt;0,R389&gt;1))),"Commissione non valida",IF(J389="Annullato","OK",IF(OR(NOT(ISNUMBER(Z389)),Z389&lt;0,AND(O389&lt;&gt;"",NOT(ISNUMBER(O389)))),"Inserisci rischio",IF(AND(I389="Esecuzioni",OR(W389=0,COUNTIFS('Esecuzioni'!$A$8:$A$1007,A389,'Esecuzioni'!$Q$8:$Q$1007,"&lt;&gt;OK")&gt;0)),"Correggi esecuzioni",IF(J389="Aperto","OK",IF(AND(I389="Esecuzioni",S389="Coperto",ABS(X389-Y389)&gt;'Impostazioni'!$B$11),"Copertura residua",IF(NOT(ISNUMBER(AC389)),"Completa risultato / esito",IF(AND(Z389=0,AC389&lt;&gt;0),"Rischio nullo con P/L","OK")))))))))))))</x:f>
      </x:c>
      <x:c r="AR389" s="20" t="str">
        <x:f>IF(OR(A389="",J389&lt;&gt;"Aperto",AQ389&lt;&gt;"OK"),"",IF(I389="Esecuzioni",SUMIFS('Esecuzioni'!$P$8:$P$1007,'Esecuzioni'!$A$8:$A$1007,A389,'Esecuzioni'!$B$8:$B$1007,_xlfn.MAXIFS('Esecuzioni'!$B$8:$B$1007,'Esecuzioni'!$A$8:$A$1007,A389)),IF(LEFT(U389,8)="FREEBET:",0,Z389)))</x:f>
      </x:c>
      <x:c r="AS389" s="48" t="str">
        <x:f>IF(OR(A389="",E389=""),"",IF(COUNTIFS($E$8:E389,E389)=1,COUNT($AS$7:AS388)+1,""))</x:f>
      </x:c>
    </x:row>
    <x:row r="390" ht="22" customHeight="1">
      <x:c r="A390" s="7"/>
      <x:c r="B390" s="19"/>
      <x:c r="C390" s="19"/>
      <x:c r="D390" s="7"/>
      <x:c r="E390" s="7"/>
      <x:c r="F390" s="7"/>
      <x:c r="G390" s="7"/>
      <x:c r="H390" s="7"/>
      <x:c r="I390" s="7"/>
      <x:c r="J390" s="7"/>
      <x:c r="K390" s="10"/>
      <x:c r="L390" s="7"/>
      <x:c r="M390" s="10"/>
      <x:c r="N390" s="7"/>
      <x:c r="O390" s="8"/>
      <x:c r="P390" s="8"/>
      <x:c r="Q390" s="8"/>
      <x:c r="R390" s="9"/>
      <x:c r="S390" s="7"/>
      <x:c r="T390" s="7"/>
      <x:c r="U390" s="7"/>
      <x:c r="V390" s="7"/>
      <x:c r="W390" s="22" t="str">
        <x:f>IF(A390="","",COUNTIFS('Esecuzioni'!$A$8:$A$1007,A390,'Esecuzioni'!$Q$8:$Q$1007,"OK"))</x:f>
      </x:c>
      <x:c r="X390" s="20" t="str">
        <x:f>IF(OR(A390="",I390&lt;&gt;"Esecuzioni",W390=0),"",SUMIFS('Esecuzioni'!$L$8:$L$1007,'Esecuzioni'!$A$8:$A$1007,A390))</x:f>
      </x:c>
      <x:c r="Y390" s="20" t="str">
        <x:f>IF(OR(A390="",I390&lt;&gt;"Esecuzioni",W390=0),"",SUMIFS('Esecuzioni'!$M$8:$M$1007,'Esecuzioni'!$A$8:$A$1007,A390))</x:f>
      </x:c>
      <x:c r="Z390" s="20" t="str">
        <x:f>IF(A390="","",IF(J390="Annullato",0,IF(ISNUMBER(O390),O390,IF(AND(I390="Esecuzioni",W390&gt;0),_xlfn.MAXIFS('Esecuzioni'!$P$8:$P$1007,'Esecuzioni'!$A$8:$A$1007,A390),""))))</x:f>
      </x:c>
      <x:c r="AA390" s="20" t="str">
        <x:f>IF(OR(A390="",J390="Aperto"),"",IF(J390="Annullato",0,IF(I390="Lordo manuale",IF(ISNUMBER(P390),P390,""),IF(I390="Netto manuale",IF(AND(ISNUMBER(P390),ISNUMBER(Q390)),P390+Q390,""),IF(OR(W390=0,COUNTIFS('Esecuzioni'!$A$8:$A$1007,A390,'Esecuzioni'!$Q$8:$Q$1007,"&lt;&gt;OK")&gt;0),"",IF(S390="Vince",X390,IF(S390="Perde",Y390,IF(AND(S390="Coperto",ABS(X390-Y390)&lt;='Impostazioni'!$B$11),ROUND((X390+Y390)/2,2),""))))))))</x:f>
      </x:c>
      <x:c r="AB390" s="20" t="str">
        <x:f>IF(NOT(ISNUMBER(AA390)),"",IF(J390="Annullato",0,IF(ISNUMBER(Q390),Q390,ROUND(MAX(0,AA390)*IF(ISNUMBER(R390),R390,'Impostazioni'!$B$8),2))))</x:f>
      </x:c>
      <x:c r="AC390" s="20" t="str">
        <x:f>IF(AND(ISNUMBER(AA390),ISNUMBER(AB390)),ROUND(AA390-AB390,2),"")</x:f>
      </x:c>
      <x:c r="AD390" s="18" t="str">
        <x:f>IF(A390="","",IF(AQ390&lt;&gt;"OK","Incompleto",IF(J390="Aperto","Aperto",IF(J390="Annullato","Annullato",IF(AC390&gt;0,"Green",IF(AC390&lt;0,"Red","Flat"))))))</x:f>
      </x:c>
      <x:c r="AE390" s="21" t="str">
        <x:f>IF(AND(AH390=1,Z390&gt;0),AC390/Z390,"")</x:f>
      </x:c>
      <x:c r="AF390" s="22" t="str">
        <x:f>IF(AH390&lt;&gt;1,"",COUNTIFS($C$8:$C$507,"&lt;"&amp;C390,$AH$8:$AH$507,1)+COUNTIFS($C$8:$C$507,C390,$A$8:$A$507,"&lt;="&amp;A390,$AH$8:$AH$507,1))</x:f>
      </x:c>
      <x:c r="AG390" s="20" t="str">
        <x:f>IF(AH390&lt;&gt;1,"",SUMIFS($AC$8:$AC$507,$C$8:$C$507,"&lt;"&amp;C390,$AH$8:$AH$507,1)+SUMIFS($AC$8:$AC$507,$C$8:$C$507,C390,$A$8:$A$507,"&lt;="&amp;A390,$AH$8:$AH$507,1))</x:f>
      </x:c>
      <x:c r="AH390" s="22" t="str">
        <x:f>IF(A390="","",IF(AND(J390="Chiuso",AQ390="OK",ISNUMBER(AC390)),1,0))</x:f>
      </x:c>
      <x:c r="AI390" s="20" t="str">
        <x:f>IF(AH390&lt;&gt;1,"",MAX(0,_xlfn.MAXIFS($AG$8:$AG$507,$AF$8:$AF$507,"&lt;="&amp;AF390,$AH$8:$AH$507,1)))</x:f>
      </x:c>
      <x:c r="AJ390" s="20" t="str">
        <x:f>IF(AH390&lt;&gt;1,"",MAX(0,AI390-AG390))</x:f>
      </x:c>
      <x:c r="AK390" s="21" t="str">
        <x:f>IF(OR(AH390&lt;&gt;1,NOT(ISNUMBER('Impostazioni'!$B$6)),'Impostazioni'!$B$6+AI390&lt;=0),"",AJ390/('Impostazioni'!$B$6+AI390))</x:f>
      </x:c>
      <x:c r="AL390" s="22" t="str">
        <x:f>IF(AH390&lt;&gt;1,"",IF(AC390&gt;0,AF390-_xlfn.MAXIFS($AF$8:$AF$507,$AF$8:$AF$507,"&lt;="&amp;AF390,$AC$8:$AC$507,"&lt;=0",$AH$8:$AH$507,1),0))</x:f>
      </x:c>
      <x:c r="AM390" s="22" t="str">
        <x:f>IF(AH390&lt;&gt;1,"",IF(AC390&lt;0,AF390-_xlfn.MAXIFS($AF$8:$AF$507,$AF$8:$AF$507,"&lt;="&amp;AF390,$AC$8:$AC$507,"&gt;=0",$AH$8:$AH$507,1),0))</x:f>
      </x:c>
      <x:c r="AN390" s="20" t="str">
        <x:f>IF(OR(A390="",NOT(ISNUMBER(B390)),NOT(ISNUMBER('Impostazioni'!$B$6))),"",'Impostazioni'!$B$6+SUMIFS($AC$8:$AC$507,$C$8:$C$507,"&lt;"&amp;B390,$AH$8:$AH$507,1)+SUMIFS('Cassa'!$F$8:$F$307,'Cassa'!$A$8:$A$307,"&lt;="&amp;B390,'Cassa'!$G$8:$G$307,"OK"))</x:f>
      </x:c>
      <x:c r="AO390" s="21" t="str">
        <x:f>IF(AND(ISNUMBER(Z390),ISNUMBER(AN390),AN390&gt;0),Z390/AN390,"")</x:f>
      </x:c>
      <x:c r="AP390" s="18" t="str">
        <x:f>IF(NOT(ISNUMBER(AO390)),"",IF(AO390&gt;'Impostazioni'!$B$7,"Oltre soglia personale","Nella soglia personale"))</x:f>
      </x:c>
      <x:c r="AQ390" s="18" t="str">
        <x:f>IF(A390="",IF(COUNTA(B390:V390)=0,"","Inserisci ID"),IF(COUNTIFS($A$8:$A$507,A390)&lt;&gt;1,"ID duplicato",IF(OR(NOT(ISNUMBER(B390)),D390="",E390="",F390="",G390="",H390="",COUNTIFS('Impostazioni'!$J$6:$J$25,F390)&lt;&gt;1),"Completa dati / elenchi",IF(OR(AND(I390&lt;&gt;"Lordo manuale",I390&lt;&gt;"Netto manuale",I390&lt;&gt;"Esecuzioni"),AND(J390&lt;&gt;"Aperto",J390&lt;&gt;"Chiuso",J390&lt;&gt;"Annullato")),"Modalità / stato mancanti",IF(AND(J390&lt;&gt;"Aperto",OR(NOT(ISNUMBER(C390)),C390&lt;B390)),"Correggi data chiusura",IF(OR(AND(Q390&lt;&gt;"",OR(NOT(ISNUMBER(Q390)),Q390&lt;0)),AND(R390&lt;&gt;"",OR(NOT(ISNUMBER(R390)),R390&lt;0,R390&gt;1))),"Commissione non valida",IF(J390="Annullato","OK",IF(OR(NOT(ISNUMBER(Z390)),Z390&lt;0,AND(O390&lt;&gt;"",NOT(ISNUMBER(O390)))),"Inserisci rischio",IF(AND(I390="Esecuzioni",OR(W390=0,COUNTIFS('Esecuzioni'!$A$8:$A$1007,A390,'Esecuzioni'!$Q$8:$Q$1007,"&lt;&gt;OK")&gt;0)),"Correggi esecuzioni",IF(J390="Aperto","OK",IF(AND(I390="Esecuzioni",S390="Coperto",ABS(X390-Y390)&gt;'Impostazioni'!$B$11),"Copertura residua",IF(NOT(ISNUMBER(AC390)),"Completa risultato / esito",IF(AND(Z390=0,AC390&lt;&gt;0),"Rischio nullo con P/L","OK")))))))))))))</x:f>
      </x:c>
      <x:c r="AR390" s="20" t="str">
        <x:f>IF(OR(A390="",J390&lt;&gt;"Aperto",AQ390&lt;&gt;"OK"),"",IF(I390="Esecuzioni",SUMIFS('Esecuzioni'!$P$8:$P$1007,'Esecuzioni'!$A$8:$A$1007,A390,'Esecuzioni'!$B$8:$B$1007,_xlfn.MAXIFS('Esecuzioni'!$B$8:$B$1007,'Esecuzioni'!$A$8:$A$1007,A390)),IF(LEFT(U390,8)="FREEBET:",0,Z390)))</x:f>
      </x:c>
      <x:c r="AS390" s="48" t="str">
        <x:f>IF(OR(A390="",E390=""),"",IF(COUNTIFS($E$8:E390,E390)=1,COUNT($AS$7:AS389)+1,""))</x:f>
      </x:c>
    </x:row>
    <x:row r="391" ht="22" customHeight="1">
      <x:c r="A391" s="7"/>
      <x:c r="B391" s="19"/>
      <x:c r="C391" s="19"/>
      <x:c r="D391" s="7"/>
      <x:c r="E391" s="7"/>
      <x:c r="F391" s="7"/>
      <x:c r="G391" s="7"/>
      <x:c r="H391" s="7"/>
      <x:c r="I391" s="7"/>
      <x:c r="J391" s="7"/>
      <x:c r="K391" s="10"/>
      <x:c r="L391" s="7"/>
      <x:c r="M391" s="10"/>
      <x:c r="N391" s="7"/>
      <x:c r="O391" s="8"/>
      <x:c r="P391" s="8"/>
      <x:c r="Q391" s="8"/>
      <x:c r="R391" s="9"/>
      <x:c r="S391" s="7"/>
      <x:c r="T391" s="7"/>
      <x:c r="U391" s="7"/>
      <x:c r="V391" s="7"/>
      <x:c r="W391" s="22" t="str">
        <x:f>IF(A391="","",COUNTIFS('Esecuzioni'!$A$8:$A$1007,A391,'Esecuzioni'!$Q$8:$Q$1007,"OK"))</x:f>
      </x:c>
      <x:c r="X391" s="20" t="str">
        <x:f>IF(OR(A391="",I391&lt;&gt;"Esecuzioni",W391=0),"",SUMIFS('Esecuzioni'!$L$8:$L$1007,'Esecuzioni'!$A$8:$A$1007,A391))</x:f>
      </x:c>
      <x:c r="Y391" s="20" t="str">
        <x:f>IF(OR(A391="",I391&lt;&gt;"Esecuzioni",W391=0),"",SUMIFS('Esecuzioni'!$M$8:$M$1007,'Esecuzioni'!$A$8:$A$1007,A391))</x:f>
      </x:c>
      <x:c r="Z391" s="20" t="str">
        <x:f>IF(A391="","",IF(J391="Annullato",0,IF(ISNUMBER(O391),O391,IF(AND(I391="Esecuzioni",W391&gt;0),_xlfn.MAXIFS('Esecuzioni'!$P$8:$P$1007,'Esecuzioni'!$A$8:$A$1007,A391),""))))</x:f>
      </x:c>
      <x:c r="AA391" s="20" t="str">
        <x:f>IF(OR(A391="",J391="Aperto"),"",IF(J391="Annullato",0,IF(I391="Lordo manuale",IF(ISNUMBER(P391),P391,""),IF(I391="Netto manuale",IF(AND(ISNUMBER(P391),ISNUMBER(Q391)),P391+Q391,""),IF(OR(W391=0,COUNTIFS('Esecuzioni'!$A$8:$A$1007,A391,'Esecuzioni'!$Q$8:$Q$1007,"&lt;&gt;OK")&gt;0),"",IF(S391="Vince",X391,IF(S391="Perde",Y391,IF(AND(S391="Coperto",ABS(X391-Y391)&lt;='Impostazioni'!$B$11),ROUND((X391+Y391)/2,2),""))))))))</x:f>
      </x:c>
      <x:c r="AB391" s="20" t="str">
        <x:f>IF(NOT(ISNUMBER(AA391)),"",IF(J391="Annullato",0,IF(ISNUMBER(Q391),Q391,ROUND(MAX(0,AA391)*IF(ISNUMBER(R391),R391,'Impostazioni'!$B$8),2))))</x:f>
      </x:c>
      <x:c r="AC391" s="20" t="str">
        <x:f>IF(AND(ISNUMBER(AA391),ISNUMBER(AB391)),ROUND(AA391-AB391,2),"")</x:f>
      </x:c>
      <x:c r="AD391" s="18" t="str">
        <x:f>IF(A391="","",IF(AQ391&lt;&gt;"OK","Incompleto",IF(J391="Aperto","Aperto",IF(J391="Annullato","Annullato",IF(AC391&gt;0,"Green",IF(AC391&lt;0,"Red","Flat"))))))</x:f>
      </x:c>
      <x:c r="AE391" s="21" t="str">
        <x:f>IF(AND(AH391=1,Z391&gt;0),AC391/Z391,"")</x:f>
      </x:c>
      <x:c r="AF391" s="22" t="str">
        <x:f>IF(AH391&lt;&gt;1,"",COUNTIFS($C$8:$C$507,"&lt;"&amp;C391,$AH$8:$AH$507,1)+COUNTIFS($C$8:$C$507,C391,$A$8:$A$507,"&lt;="&amp;A391,$AH$8:$AH$507,1))</x:f>
      </x:c>
      <x:c r="AG391" s="20" t="str">
        <x:f>IF(AH391&lt;&gt;1,"",SUMIFS($AC$8:$AC$507,$C$8:$C$507,"&lt;"&amp;C391,$AH$8:$AH$507,1)+SUMIFS($AC$8:$AC$507,$C$8:$C$507,C391,$A$8:$A$507,"&lt;="&amp;A391,$AH$8:$AH$507,1))</x:f>
      </x:c>
      <x:c r="AH391" s="22" t="str">
        <x:f>IF(A391="","",IF(AND(J391="Chiuso",AQ391="OK",ISNUMBER(AC391)),1,0))</x:f>
      </x:c>
      <x:c r="AI391" s="20" t="str">
        <x:f>IF(AH391&lt;&gt;1,"",MAX(0,_xlfn.MAXIFS($AG$8:$AG$507,$AF$8:$AF$507,"&lt;="&amp;AF391,$AH$8:$AH$507,1)))</x:f>
      </x:c>
      <x:c r="AJ391" s="20" t="str">
        <x:f>IF(AH391&lt;&gt;1,"",MAX(0,AI391-AG391))</x:f>
      </x:c>
      <x:c r="AK391" s="21" t="str">
        <x:f>IF(OR(AH391&lt;&gt;1,NOT(ISNUMBER('Impostazioni'!$B$6)),'Impostazioni'!$B$6+AI391&lt;=0),"",AJ391/('Impostazioni'!$B$6+AI391))</x:f>
      </x:c>
      <x:c r="AL391" s="22" t="str">
        <x:f>IF(AH391&lt;&gt;1,"",IF(AC391&gt;0,AF391-_xlfn.MAXIFS($AF$8:$AF$507,$AF$8:$AF$507,"&lt;="&amp;AF391,$AC$8:$AC$507,"&lt;=0",$AH$8:$AH$507,1),0))</x:f>
      </x:c>
      <x:c r="AM391" s="22" t="str">
        <x:f>IF(AH391&lt;&gt;1,"",IF(AC391&lt;0,AF391-_xlfn.MAXIFS($AF$8:$AF$507,$AF$8:$AF$507,"&lt;="&amp;AF391,$AC$8:$AC$507,"&gt;=0",$AH$8:$AH$507,1),0))</x:f>
      </x:c>
      <x:c r="AN391" s="20" t="str">
        <x:f>IF(OR(A391="",NOT(ISNUMBER(B391)),NOT(ISNUMBER('Impostazioni'!$B$6))),"",'Impostazioni'!$B$6+SUMIFS($AC$8:$AC$507,$C$8:$C$507,"&lt;"&amp;B391,$AH$8:$AH$507,1)+SUMIFS('Cassa'!$F$8:$F$307,'Cassa'!$A$8:$A$307,"&lt;="&amp;B391,'Cassa'!$G$8:$G$307,"OK"))</x:f>
      </x:c>
      <x:c r="AO391" s="21" t="str">
        <x:f>IF(AND(ISNUMBER(Z391),ISNUMBER(AN391),AN391&gt;0),Z391/AN391,"")</x:f>
      </x:c>
      <x:c r="AP391" s="18" t="str">
        <x:f>IF(NOT(ISNUMBER(AO391)),"",IF(AO391&gt;'Impostazioni'!$B$7,"Oltre soglia personale","Nella soglia personale"))</x:f>
      </x:c>
      <x:c r="AQ391" s="18" t="str">
        <x:f>IF(A391="",IF(COUNTA(B391:V391)=0,"","Inserisci ID"),IF(COUNTIFS($A$8:$A$507,A391)&lt;&gt;1,"ID duplicato",IF(OR(NOT(ISNUMBER(B391)),D391="",E391="",F391="",G391="",H391="",COUNTIFS('Impostazioni'!$J$6:$J$25,F391)&lt;&gt;1),"Completa dati / elenchi",IF(OR(AND(I391&lt;&gt;"Lordo manuale",I391&lt;&gt;"Netto manuale",I391&lt;&gt;"Esecuzioni"),AND(J391&lt;&gt;"Aperto",J391&lt;&gt;"Chiuso",J391&lt;&gt;"Annullato")),"Modalità / stato mancanti",IF(AND(J391&lt;&gt;"Aperto",OR(NOT(ISNUMBER(C391)),C391&lt;B391)),"Correggi data chiusura",IF(OR(AND(Q391&lt;&gt;"",OR(NOT(ISNUMBER(Q391)),Q391&lt;0)),AND(R391&lt;&gt;"",OR(NOT(ISNUMBER(R391)),R391&lt;0,R391&gt;1))),"Commissione non valida",IF(J391="Annullato","OK",IF(OR(NOT(ISNUMBER(Z391)),Z391&lt;0,AND(O391&lt;&gt;"",NOT(ISNUMBER(O391)))),"Inserisci rischio",IF(AND(I391="Esecuzioni",OR(W391=0,COUNTIFS('Esecuzioni'!$A$8:$A$1007,A391,'Esecuzioni'!$Q$8:$Q$1007,"&lt;&gt;OK")&gt;0)),"Correggi esecuzioni",IF(J391="Aperto","OK",IF(AND(I391="Esecuzioni",S391="Coperto",ABS(X391-Y391)&gt;'Impostazioni'!$B$11),"Copertura residua",IF(NOT(ISNUMBER(AC391)),"Completa risultato / esito",IF(AND(Z391=0,AC391&lt;&gt;0),"Rischio nullo con P/L","OK")))))))))))))</x:f>
      </x:c>
      <x:c r="AR391" s="20" t="str">
        <x:f>IF(OR(A391="",J391&lt;&gt;"Aperto",AQ391&lt;&gt;"OK"),"",IF(I391="Esecuzioni",SUMIFS('Esecuzioni'!$P$8:$P$1007,'Esecuzioni'!$A$8:$A$1007,A391,'Esecuzioni'!$B$8:$B$1007,_xlfn.MAXIFS('Esecuzioni'!$B$8:$B$1007,'Esecuzioni'!$A$8:$A$1007,A391)),IF(LEFT(U391,8)="FREEBET:",0,Z391)))</x:f>
      </x:c>
      <x:c r="AS391" s="48" t="str">
        <x:f>IF(OR(A391="",E391=""),"",IF(COUNTIFS($E$8:E391,E391)=1,COUNT($AS$7:AS390)+1,""))</x:f>
      </x:c>
    </x:row>
    <x:row r="392" ht="22" customHeight="1">
      <x:c r="A392" s="7"/>
      <x:c r="B392" s="19"/>
      <x:c r="C392" s="19"/>
      <x:c r="D392" s="7"/>
      <x:c r="E392" s="7"/>
      <x:c r="F392" s="7"/>
      <x:c r="G392" s="7"/>
      <x:c r="H392" s="7"/>
      <x:c r="I392" s="7"/>
      <x:c r="J392" s="7"/>
      <x:c r="K392" s="10"/>
      <x:c r="L392" s="7"/>
      <x:c r="M392" s="10"/>
      <x:c r="N392" s="7"/>
      <x:c r="O392" s="8"/>
      <x:c r="P392" s="8"/>
      <x:c r="Q392" s="8"/>
      <x:c r="R392" s="9"/>
      <x:c r="S392" s="7"/>
      <x:c r="T392" s="7"/>
      <x:c r="U392" s="7"/>
      <x:c r="V392" s="7"/>
      <x:c r="W392" s="22" t="str">
        <x:f>IF(A392="","",COUNTIFS('Esecuzioni'!$A$8:$A$1007,A392,'Esecuzioni'!$Q$8:$Q$1007,"OK"))</x:f>
      </x:c>
      <x:c r="X392" s="20" t="str">
        <x:f>IF(OR(A392="",I392&lt;&gt;"Esecuzioni",W392=0),"",SUMIFS('Esecuzioni'!$L$8:$L$1007,'Esecuzioni'!$A$8:$A$1007,A392))</x:f>
      </x:c>
      <x:c r="Y392" s="20" t="str">
        <x:f>IF(OR(A392="",I392&lt;&gt;"Esecuzioni",W392=0),"",SUMIFS('Esecuzioni'!$M$8:$M$1007,'Esecuzioni'!$A$8:$A$1007,A392))</x:f>
      </x:c>
      <x:c r="Z392" s="20" t="str">
        <x:f>IF(A392="","",IF(J392="Annullato",0,IF(ISNUMBER(O392),O392,IF(AND(I392="Esecuzioni",W392&gt;0),_xlfn.MAXIFS('Esecuzioni'!$P$8:$P$1007,'Esecuzioni'!$A$8:$A$1007,A392),""))))</x:f>
      </x:c>
      <x:c r="AA392" s="20" t="str">
        <x:f>IF(OR(A392="",J392="Aperto"),"",IF(J392="Annullato",0,IF(I392="Lordo manuale",IF(ISNUMBER(P392),P392,""),IF(I392="Netto manuale",IF(AND(ISNUMBER(P392),ISNUMBER(Q392)),P392+Q392,""),IF(OR(W392=0,COUNTIFS('Esecuzioni'!$A$8:$A$1007,A392,'Esecuzioni'!$Q$8:$Q$1007,"&lt;&gt;OK")&gt;0),"",IF(S392="Vince",X392,IF(S392="Perde",Y392,IF(AND(S392="Coperto",ABS(X392-Y392)&lt;='Impostazioni'!$B$11),ROUND((X392+Y392)/2,2),""))))))))</x:f>
      </x:c>
      <x:c r="AB392" s="20" t="str">
        <x:f>IF(NOT(ISNUMBER(AA392)),"",IF(J392="Annullato",0,IF(ISNUMBER(Q392),Q392,ROUND(MAX(0,AA392)*IF(ISNUMBER(R392),R392,'Impostazioni'!$B$8),2))))</x:f>
      </x:c>
      <x:c r="AC392" s="20" t="str">
        <x:f>IF(AND(ISNUMBER(AA392),ISNUMBER(AB392)),ROUND(AA392-AB392,2),"")</x:f>
      </x:c>
      <x:c r="AD392" s="18" t="str">
        <x:f>IF(A392="","",IF(AQ392&lt;&gt;"OK","Incompleto",IF(J392="Aperto","Aperto",IF(J392="Annullato","Annullato",IF(AC392&gt;0,"Green",IF(AC392&lt;0,"Red","Flat"))))))</x:f>
      </x:c>
      <x:c r="AE392" s="21" t="str">
        <x:f>IF(AND(AH392=1,Z392&gt;0),AC392/Z392,"")</x:f>
      </x:c>
      <x:c r="AF392" s="22" t="str">
        <x:f>IF(AH392&lt;&gt;1,"",COUNTIFS($C$8:$C$507,"&lt;"&amp;C392,$AH$8:$AH$507,1)+COUNTIFS($C$8:$C$507,C392,$A$8:$A$507,"&lt;="&amp;A392,$AH$8:$AH$507,1))</x:f>
      </x:c>
      <x:c r="AG392" s="20" t="str">
        <x:f>IF(AH392&lt;&gt;1,"",SUMIFS($AC$8:$AC$507,$C$8:$C$507,"&lt;"&amp;C392,$AH$8:$AH$507,1)+SUMIFS($AC$8:$AC$507,$C$8:$C$507,C392,$A$8:$A$507,"&lt;="&amp;A392,$AH$8:$AH$507,1))</x:f>
      </x:c>
      <x:c r="AH392" s="22" t="str">
        <x:f>IF(A392="","",IF(AND(J392="Chiuso",AQ392="OK",ISNUMBER(AC392)),1,0))</x:f>
      </x:c>
      <x:c r="AI392" s="20" t="str">
        <x:f>IF(AH392&lt;&gt;1,"",MAX(0,_xlfn.MAXIFS($AG$8:$AG$507,$AF$8:$AF$507,"&lt;="&amp;AF392,$AH$8:$AH$507,1)))</x:f>
      </x:c>
      <x:c r="AJ392" s="20" t="str">
        <x:f>IF(AH392&lt;&gt;1,"",MAX(0,AI392-AG392))</x:f>
      </x:c>
      <x:c r="AK392" s="21" t="str">
        <x:f>IF(OR(AH392&lt;&gt;1,NOT(ISNUMBER('Impostazioni'!$B$6)),'Impostazioni'!$B$6+AI392&lt;=0),"",AJ392/('Impostazioni'!$B$6+AI392))</x:f>
      </x:c>
      <x:c r="AL392" s="22" t="str">
        <x:f>IF(AH392&lt;&gt;1,"",IF(AC392&gt;0,AF392-_xlfn.MAXIFS($AF$8:$AF$507,$AF$8:$AF$507,"&lt;="&amp;AF392,$AC$8:$AC$507,"&lt;=0",$AH$8:$AH$507,1),0))</x:f>
      </x:c>
      <x:c r="AM392" s="22" t="str">
        <x:f>IF(AH392&lt;&gt;1,"",IF(AC392&lt;0,AF392-_xlfn.MAXIFS($AF$8:$AF$507,$AF$8:$AF$507,"&lt;="&amp;AF392,$AC$8:$AC$507,"&gt;=0",$AH$8:$AH$507,1),0))</x:f>
      </x:c>
      <x:c r="AN392" s="20" t="str">
        <x:f>IF(OR(A392="",NOT(ISNUMBER(B392)),NOT(ISNUMBER('Impostazioni'!$B$6))),"",'Impostazioni'!$B$6+SUMIFS($AC$8:$AC$507,$C$8:$C$507,"&lt;"&amp;B392,$AH$8:$AH$507,1)+SUMIFS('Cassa'!$F$8:$F$307,'Cassa'!$A$8:$A$307,"&lt;="&amp;B392,'Cassa'!$G$8:$G$307,"OK"))</x:f>
      </x:c>
      <x:c r="AO392" s="21" t="str">
        <x:f>IF(AND(ISNUMBER(Z392),ISNUMBER(AN392),AN392&gt;0),Z392/AN392,"")</x:f>
      </x:c>
      <x:c r="AP392" s="18" t="str">
        <x:f>IF(NOT(ISNUMBER(AO392)),"",IF(AO392&gt;'Impostazioni'!$B$7,"Oltre soglia personale","Nella soglia personale"))</x:f>
      </x:c>
      <x:c r="AQ392" s="18" t="str">
        <x:f>IF(A392="",IF(COUNTA(B392:V392)=0,"","Inserisci ID"),IF(COUNTIFS($A$8:$A$507,A392)&lt;&gt;1,"ID duplicato",IF(OR(NOT(ISNUMBER(B392)),D392="",E392="",F392="",G392="",H392="",COUNTIFS('Impostazioni'!$J$6:$J$25,F392)&lt;&gt;1),"Completa dati / elenchi",IF(OR(AND(I392&lt;&gt;"Lordo manuale",I392&lt;&gt;"Netto manuale",I392&lt;&gt;"Esecuzioni"),AND(J392&lt;&gt;"Aperto",J392&lt;&gt;"Chiuso",J392&lt;&gt;"Annullato")),"Modalità / stato mancanti",IF(AND(J392&lt;&gt;"Aperto",OR(NOT(ISNUMBER(C392)),C392&lt;B392)),"Correggi data chiusura",IF(OR(AND(Q392&lt;&gt;"",OR(NOT(ISNUMBER(Q392)),Q392&lt;0)),AND(R392&lt;&gt;"",OR(NOT(ISNUMBER(R392)),R392&lt;0,R392&gt;1))),"Commissione non valida",IF(J392="Annullato","OK",IF(OR(NOT(ISNUMBER(Z392)),Z392&lt;0,AND(O392&lt;&gt;"",NOT(ISNUMBER(O392)))),"Inserisci rischio",IF(AND(I392="Esecuzioni",OR(W392=0,COUNTIFS('Esecuzioni'!$A$8:$A$1007,A392,'Esecuzioni'!$Q$8:$Q$1007,"&lt;&gt;OK")&gt;0)),"Correggi esecuzioni",IF(J392="Aperto","OK",IF(AND(I392="Esecuzioni",S392="Coperto",ABS(X392-Y392)&gt;'Impostazioni'!$B$11),"Copertura residua",IF(NOT(ISNUMBER(AC392)),"Completa risultato / esito",IF(AND(Z392=0,AC392&lt;&gt;0),"Rischio nullo con P/L","OK")))))))))))))</x:f>
      </x:c>
      <x:c r="AR392" s="20" t="str">
        <x:f>IF(OR(A392="",J392&lt;&gt;"Aperto",AQ392&lt;&gt;"OK"),"",IF(I392="Esecuzioni",SUMIFS('Esecuzioni'!$P$8:$P$1007,'Esecuzioni'!$A$8:$A$1007,A392,'Esecuzioni'!$B$8:$B$1007,_xlfn.MAXIFS('Esecuzioni'!$B$8:$B$1007,'Esecuzioni'!$A$8:$A$1007,A392)),IF(LEFT(U392,8)="FREEBET:",0,Z392)))</x:f>
      </x:c>
      <x:c r="AS392" s="48" t="str">
        <x:f>IF(OR(A392="",E392=""),"",IF(COUNTIFS($E$8:E392,E392)=1,COUNT($AS$7:AS391)+1,""))</x:f>
      </x:c>
    </x:row>
    <x:row r="393" ht="22" customHeight="1">
      <x:c r="A393" s="7"/>
      <x:c r="B393" s="19"/>
      <x:c r="C393" s="19"/>
      <x:c r="D393" s="7"/>
      <x:c r="E393" s="7"/>
      <x:c r="F393" s="7"/>
      <x:c r="G393" s="7"/>
      <x:c r="H393" s="7"/>
      <x:c r="I393" s="7"/>
      <x:c r="J393" s="7"/>
      <x:c r="K393" s="10"/>
      <x:c r="L393" s="7"/>
      <x:c r="M393" s="10"/>
      <x:c r="N393" s="7"/>
      <x:c r="O393" s="8"/>
      <x:c r="P393" s="8"/>
      <x:c r="Q393" s="8"/>
      <x:c r="R393" s="9"/>
      <x:c r="S393" s="7"/>
      <x:c r="T393" s="7"/>
      <x:c r="U393" s="7"/>
      <x:c r="V393" s="7"/>
      <x:c r="W393" s="22" t="str">
        <x:f>IF(A393="","",COUNTIFS('Esecuzioni'!$A$8:$A$1007,A393,'Esecuzioni'!$Q$8:$Q$1007,"OK"))</x:f>
      </x:c>
      <x:c r="X393" s="20" t="str">
        <x:f>IF(OR(A393="",I393&lt;&gt;"Esecuzioni",W393=0),"",SUMIFS('Esecuzioni'!$L$8:$L$1007,'Esecuzioni'!$A$8:$A$1007,A393))</x:f>
      </x:c>
      <x:c r="Y393" s="20" t="str">
        <x:f>IF(OR(A393="",I393&lt;&gt;"Esecuzioni",W393=0),"",SUMIFS('Esecuzioni'!$M$8:$M$1007,'Esecuzioni'!$A$8:$A$1007,A393))</x:f>
      </x:c>
      <x:c r="Z393" s="20" t="str">
        <x:f>IF(A393="","",IF(J393="Annullato",0,IF(ISNUMBER(O393),O393,IF(AND(I393="Esecuzioni",W393&gt;0),_xlfn.MAXIFS('Esecuzioni'!$P$8:$P$1007,'Esecuzioni'!$A$8:$A$1007,A393),""))))</x:f>
      </x:c>
      <x:c r="AA393" s="20" t="str">
        <x:f>IF(OR(A393="",J393="Aperto"),"",IF(J393="Annullato",0,IF(I393="Lordo manuale",IF(ISNUMBER(P393),P393,""),IF(I393="Netto manuale",IF(AND(ISNUMBER(P393),ISNUMBER(Q393)),P393+Q393,""),IF(OR(W393=0,COUNTIFS('Esecuzioni'!$A$8:$A$1007,A393,'Esecuzioni'!$Q$8:$Q$1007,"&lt;&gt;OK")&gt;0),"",IF(S393="Vince",X393,IF(S393="Perde",Y393,IF(AND(S393="Coperto",ABS(X393-Y393)&lt;='Impostazioni'!$B$11),ROUND((X393+Y393)/2,2),""))))))))</x:f>
      </x:c>
      <x:c r="AB393" s="20" t="str">
        <x:f>IF(NOT(ISNUMBER(AA393)),"",IF(J393="Annullato",0,IF(ISNUMBER(Q393),Q393,ROUND(MAX(0,AA393)*IF(ISNUMBER(R393),R393,'Impostazioni'!$B$8),2))))</x:f>
      </x:c>
      <x:c r="AC393" s="20" t="str">
        <x:f>IF(AND(ISNUMBER(AA393),ISNUMBER(AB393)),ROUND(AA393-AB393,2),"")</x:f>
      </x:c>
      <x:c r="AD393" s="18" t="str">
        <x:f>IF(A393="","",IF(AQ393&lt;&gt;"OK","Incompleto",IF(J393="Aperto","Aperto",IF(J393="Annullato","Annullato",IF(AC393&gt;0,"Green",IF(AC393&lt;0,"Red","Flat"))))))</x:f>
      </x:c>
      <x:c r="AE393" s="21" t="str">
        <x:f>IF(AND(AH393=1,Z393&gt;0),AC393/Z393,"")</x:f>
      </x:c>
      <x:c r="AF393" s="22" t="str">
        <x:f>IF(AH393&lt;&gt;1,"",COUNTIFS($C$8:$C$507,"&lt;"&amp;C393,$AH$8:$AH$507,1)+COUNTIFS($C$8:$C$507,C393,$A$8:$A$507,"&lt;="&amp;A393,$AH$8:$AH$507,1))</x:f>
      </x:c>
      <x:c r="AG393" s="20" t="str">
        <x:f>IF(AH393&lt;&gt;1,"",SUMIFS($AC$8:$AC$507,$C$8:$C$507,"&lt;"&amp;C393,$AH$8:$AH$507,1)+SUMIFS($AC$8:$AC$507,$C$8:$C$507,C393,$A$8:$A$507,"&lt;="&amp;A393,$AH$8:$AH$507,1))</x:f>
      </x:c>
      <x:c r="AH393" s="22" t="str">
        <x:f>IF(A393="","",IF(AND(J393="Chiuso",AQ393="OK",ISNUMBER(AC393)),1,0))</x:f>
      </x:c>
      <x:c r="AI393" s="20" t="str">
        <x:f>IF(AH393&lt;&gt;1,"",MAX(0,_xlfn.MAXIFS($AG$8:$AG$507,$AF$8:$AF$507,"&lt;="&amp;AF393,$AH$8:$AH$507,1)))</x:f>
      </x:c>
      <x:c r="AJ393" s="20" t="str">
        <x:f>IF(AH393&lt;&gt;1,"",MAX(0,AI393-AG393))</x:f>
      </x:c>
      <x:c r="AK393" s="21" t="str">
        <x:f>IF(OR(AH393&lt;&gt;1,NOT(ISNUMBER('Impostazioni'!$B$6)),'Impostazioni'!$B$6+AI393&lt;=0),"",AJ393/('Impostazioni'!$B$6+AI393))</x:f>
      </x:c>
      <x:c r="AL393" s="22" t="str">
        <x:f>IF(AH393&lt;&gt;1,"",IF(AC393&gt;0,AF393-_xlfn.MAXIFS($AF$8:$AF$507,$AF$8:$AF$507,"&lt;="&amp;AF393,$AC$8:$AC$507,"&lt;=0",$AH$8:$AH$507,1),0))</x:f>
      </x:c>
      <x:c r="AM393" s="22" t="str">
        <x:f>IF(AH393&lt;&gt;1,"",IF(AC393&lt;0,AF393-_xlfn.MAXIFS($AF$8:$AF$507,$AF$8:$AF$507,"&lt;="&amp;AF393,$AC$8:$AC$507,"&gt;=0",$AH$8:$AH$507,1),0))</x:f>
      </x:c>
      <x:c r="AN393" s="20" t="str">
        <x:f>IF(OR(A393="",NOT(ISNUMBER(B393)),NOT(ISNUMBER('Impostazioni'!$B$6))),"",'Impostazioni'!$B$6+SUMIFS($AC$8:$AC$507,$C$8:$C$507,"&lt;"&amp;B393,$AH$8:$AH$507,1)+SUMIFS('Cassa'!$F$8:$F$307,'Cassa'!$A$8:$A$307,"&lt;="&amp;B393,'Cassa'!$G$8:$G$307,"OK"))</x:f>
      </x:c>
      <x:c r="AO393" s="21" t="str">
        <x:f>IF(AND(ISNUMBER(Z393),ISNUMBER(AN393),AN393&gt;0),Z393/AN393,"")</x:f>
      </x:c>
      <x:c r="AP393" s="18" t="str">
        <x:f>IF(NOT(ISNUMBER(AO393)),"",IF(AO393&gt;'Impostazioni'!$B$7,"Oltre soglia personale","Nella soglia personale"))</x:f>
      </x:c>
      <x:c r="AQ393" s="18" t="str">
        <x:f>IF(A393="",IF(COUNTA(B393:V393)=0,"","Inserisci ID"),IF(COUNTIFS($A$8:$A$507,A393)&lt;&gt;1,"ID duplicato",IF(OR(NOT(ISNUMBER(B393)),D393="",E393="",F393="",G393="",H393="",COUNTIFS('Impostazioni'!$J$6:$J$25,F393)&lt;&gt;1),"Completa dati / elenchi",IF(OR(AND(I393&lt;&gt;"Lordo manuale",I393&lt;&gt;"Netto manuale",I393&lt;&gt;"Esecuzioni"),AND(J393&lt;&gt;"Aperto",J393&lt;&gt;"Chiuso",J393&lt;&gt;"Annullato")),"Modalità / stato mancanti",IF(AND(J393&lt;&gt;"Aperto",OR(NOT(ISNUMBER(C393)),C393&lt;B393)),"Correggi data chiusura",IF(OR(AND(Q393&lt;&gt;"",OR(NOT(ISNUMBER(Q393)),Q393&lt;0)),AND(R393&lt;&gt;"",OR(NOT(ISNUMBER(R393)),R393&lt;0,R393&gt;1))),"Commissione non valida",IF(J393="Annullato","OK",IF(OR(NOT(ISNUMBER(Z393)),Z393&lt;0,AND(O393&lt;&gt;"",NOT(ISNUMBER(O393)))),"Inserisci rischio",IF(AND(I393="Esecuzioni",OR(W393=0,COUNTIFS('Esecuzioni'!$A$8:$A$1007,A393,'Esecuzioni'!$Q$8:$Q$1007,"&lt;&gt;OK")&gt;0)),"Correggi esecuzioni",IF(J393="Aperto","OK",IF(AND(I393="Esecuzioni",S393="Coperto",ABS(X393-Y393)&gt;'Impostazioni'!$B$11),"Copertura residua",IF(NOT(ISNUMBER(AC393)),"Completa risultato / esito",IF(AND(Z393=0,AC393&lt;&gt;0),"Rischio nullo con P/L","OK")))))))))))))</x:f>
      </x:c>
      <x:c r="AR393" s="20" t="str">
        <x:f>IF(OR(A393="",J393&lt;&gt;"Aperto",AQ393&lt;&gt;"OK"),"",IF(I393="Esecuzioni",SUMIFS('Esecuzioni'!$P$8:$P$1007,'Esecuzioni'!$A$8:$A$1007,A393,'Esecuzioni'!$B$8:$B$1007,_xlfn.MAXIFS('Esecuzioni'!$B$8:$B$1007,'Esecuzioni'!$A$8:$A$1007,A393)),IF(LEFT(U393,8)="FREEBET:",0,Z393)))</x:f>
      </x:c>
      <x:c r="AS393" s="48" t="str">
        <x:f>IF(OR(A393="",E393=""),"",IF(COUNTIFS($E$8:E393,E393)=1,COUNT($AS$7:AS392)+1,""))</x:f>
      </x:c>
    </x:row>
    <x:row r="394" ht="22" customHeight="1">
      <x:c r="A394" s="7"/>
      <x:c r="B394" s="19"/>
      <x:c r="C394" s="19"/>
      <x:c r="D394" s="7"/>
      <x:c r="E394" s="7"/>
      <x:c r="F394" s="7"/>
      <x:c r="G394" s="7"/>
      <x:c r="H394" s="7"/>
      <x:c r="I394" s="7"/>
      <x:c r="J394" s="7"/>
      <x:c r="K394" s="10"/>
      <x:c r="L394" s="7"/>
      <x:c r="M394" s="10"/>
      <x:c r="N394" s="7"/>
      <x:c r="O394" s="8"/>
      <x:c r="P394" s="8"/>
      <x:c r="Q394" s="8"/>
      <x:c r="R394" s="9"/>
      <x:c r="S394" s="7"/>
      <x:c r="T394" s="7"/>
      <x:c r="U394" s="7"/>
      <x:c r="V394" s="7"/>
      <x:c r="W394" s="22" t="str">
        <x:f>IF(A394="","",COUNTIFS('Esecuzioni'!$A$8:$A$1007,A394,'Esecuzioni'!$Q$8:$Q$1007,"OK"))</x:f>
      </x:c>
      <x:c r="X394" s="20" t="str">
        <x:f>IF(OR(A394="",I394&lt;&gt;"Esecuzioni",W394=0),"",SUMIFS('Esecuzioni'!$L$8:$L$1007,'Esecuzioni'!$A$8:$A$1007,A394))</x:f>
      </x:c>
      <x:c r="Y394" s="20" t="str">
        <x:f>IF(OR(A394="",I394&lt;&gt;"Esecuzioni",W394=0),"",SUMIFS('Esecuzioni'!$M$8:$M$1007,'Esecuzioni'!$A$8:$A$1007,A394))</x:f>
      </x:c>
      <x:c r="Z394" s="20" t="str">
        <x:f>IF(A394="","",IF(J394="Annullato",0,IF(ISNUMBER(O394),O394,IF(AND(I394="Esecuzioni",W394&gt;0),_xlfn.MAXIFS('Esecuzioni'!$P$8:$P$1007,'Esecuzioni'!$A$8:$A$1007,A394),""))))</x:f>
      </x:c>
      <x:c r="AA394" s="20" t="str">
        <x:f>IF(OR(A394="",J394="Aperto"),"",IF(J394="Annullato",0,IF(I394="Lordo manuale",IF(ISNUMBER(P394),P394,""),IF(I394="Netto manuale",IF(AND(ISNUMBER(P394),ISNUMBER(Q394)),P394+Q394,""),IF(OR(W394=0,COUNTIFS('Esecuzioni'!$A$8:$A$1007,A394,'Esecuzioni'!$Q$8:$Q$1007,"&lt;&gt;OK")&gt;0),"",IF(S394="Vince",X394,IF(S394="Perde",Y394,IF(AND(S394="Coperto",ABS(X394-Y394)&lt;='Impostazioni'!$B$11),ROUND((X394+Y394)/2,2),""))))))))</x:f>
      </x:c>
      <x:c r="AB394" s="20" t="str">
        <x:f>IF(NOT(ISNUMBER(AA394)),"",IF(J394="Annullato",0,IF(ISNUMBER(Q394),Q394,ROUND(MAX(0,AA394)*IF(ISNUMBER(R394),R394,'Impostazioni'!$B$8),2))))</x:f>
      </x:c>
      <x:c r="AC394" s="20" t="str">
        <x:f>IF(AND(ISNUMBER(AA394),ISNUMBER(AB394)),ROUND(AA394-AB394,2),"")</x:f>
      </x:c>
      <x:c r="AD394" s="18" t="str">
        <x:f>IF(A394="","",IF(AQ394&lt;&gt;"OK","Incompleto",IF(J394="Aperto","Aperto",IF(J394="Annullato","Annullato",IF(AC394&gt;0,"Green",IF(AC394&lt;0,"Red","Flat"))))))</x:f>
      </x:c>
      <x:c r="AE394" s="21" t="str">
        <x:f>IF(AND(AH394=1,Z394&gt;0),AC394/Z394,"")</x:f>
      </x:c>
      <x:c r="AF394" s="22" t="str">
        <x:f>IF(AH394&lt;&gt;1,"",COUNTIFS($C$8:$C$507,"&lt;"&amp;C394,$AH$8:$AH$507,1)+COUNTIFS($C$8:$C$507,C394,$A$8:$A$507,"&lt;="&amp;A394,$AH$8:$AH$507,1))</x:f>
      </x:c>
      <x:c r="AG394" s="20" t="str">
        <x:f>IF(AH394&lt;&gt;1,"",SUMIFS($AC$8:$AC$507,$C$8:$C$507,"&lt;"&amp;C394,$AH$8:$AH$507,1)+SUMIFS($AC$8:$AC$507,$C$8:$C$507,C394,$A$8:$A$507,"&lt;="&amp;A394,$AH$8:$AH$507,1))</x:f>
      </x:c>
      <x:c r="AH394" s="22" t="str">
        <x:f>IF(A394="","",IF(AND(J394="Chiuso",AQ394="OK",ISNUMBER(AC394)),1,0))</x:f>
      </x:c>
      <x:c r="AI394" s="20" t="str">
        <x:f>IF(AH394&lt;&gt;1,"",MAX(0,_xlfn.MAXIFS($AG$8:$AG$507,$AF$8:$AF$507,"&lt;="&amp;AF394,$AH$8:$AH$507,1)))</x:f>
      </x:c>
      <x:c r="AJ394" s="20" t="str">
        <x:f>IF(AH394&lt;&gt;1,"",MAX(0,AI394-AG394))</x:f>
      </x:c>
      <x:c r="AK394" s="21" t="str">
        <x:f>IF(OR(AH394&lt;&gt;1,NOT(ISNUMBER('Impostazioni'!$B$6)),'Impostazioni'!$B$6+AI394&lt;=0),"",AJ394/('Impostazioni'!$B$6+AI394))</x:f>
      </x:c>
      <x:c r="AL394" s="22" t="str">
        <x:f>IF(AH394&lt;&gt;1,"",IF(AC394&gt;0,AF394-_xlfn.MAXIFS($AF$8:$AF$507,$AF$8:$AF$507,"&lt;="&amp;AF394,$AC$8:$AC$507,"&lt;=0",$AH$8:$AH$507,1),0))</x:f>
      </x:c>
      <x:c r="AM394" s="22" t="str">
        <x:f>IF(AH394&lt;&gt;1,"",IF(AC394&lt;0,AF394-_xlfn.MAXIFS($AF$8:$AF$507,$AF$8:$AF$507,"&lt;="&amp;AF394,$AC$8:$AC$507,"&gt;=0",$AH$8:$AH$507,1),0))</x:f>
      </x:c>
      <x:c r="AN394" s="20" t="str">
        <x:f>IF(OR(A394="",NOT(ISNUMBER(B394)),NOT(ISNUMBER('Impostazioni'!$B$6))),"",'Impostazioni'!$B$6+SUMIFS($AC$8:$AC$507,$C$8:$C$507,"&lt;"&amp;B394,$AH$8:$AH$507,1)+SUMIFS('Cassa'!$F$8:$F$307,'Cassa'!$A$8:$A$307,"&lt;="&amp;B394,'Cassa'!$G$8:$G$307,"OK"))</x:f>
      </x:c>
      <x:c r="AO394" s="21" t="str">
        <x:f>IF(AND(ISNUMBER(Z394),ISNUMBER(AN394),AN394&gt;0),Z394/AN394,"")</x:f>
      </x:c>
      <x:c r="AP394" s="18" t="str">
        <x:f>IF(NOT(ISNUMBER(AO394)),"",IF(AO394&gt;'Impostazioni'!$B$7,"Oltre soglia personale","Nella soglia personale"))</x:f>
      </x:c>
      <x:c r="AQ394" s="18" t="str">
        <x:f>IF(A394="",IF(COUNTA(B394:V394)=0,"","Inserisci ID"),IF(COUNTIFS($A$8:$A$507,A394)&lt;&gt;1,"ID duplicato",IF(OR(NOT(ISNUMBER(B394)),D394="",E394="",F394="",G394="",H394="",COUNTIFS('Impostazioni'!$J$6:$J$25,F394)&lt;&gt;1),"Completa dati / elenchi",IF(OR(AND(I394&lt;&gt;"Lordo manuale",I394&lt;&gt;"Netto manuale",I394&lt;&gt;"Esecuzioni"),AND(J394&lt;&gt;"Aperto",J394&lt;&gt;"Chiuso",J394&lt;&gt;"Annullato")),"Modalità / stato mancanti",IF(AND(J394&lt;&gt;"Aperto",OR(NOT(ISNUMBER(C394)),C394&lt;B394)),"Correggi data chiusura",IF(OR(AND(Q394&lt;&gt;"",OR(NOT(ISNUMBER(Q394)),Q394&lt;0)),AND(R394&lt;&gt;"",OR(NOT(ISNUMBER(R394)),R394&lt;0,R394&gt;1))),"Commissione non valida",IF(J394="Annullato","OK",IF(OR(NOT(ISNUMBER(Z394)),Z394&lt;0,AND(O394&lt;&gt;"",NOT(ISNUMBER(O394)))),"Inserisci rischio",IF(AND(I394="Esecuzioni",OR(W394=0,COUNTIFS('Esecuzioni'!$A$8:$A$1007,A394,'Esecuzioni'!$Q$8:$Q$1007,"&lt;&gt;OK")&gt;0)),"Correggi esecuzioni",IF(J394="Aperto","OK",IF(AND(I394="Esecuzioni",S394="Coperto",ABS(X394-Y394)&gt;'Impostazioni'!$B$11),"Copertura residua",IF(NOT(ISNUMBER(AC394)),"Completa risultato / esito",IF(AND(Z394=0,AC394&lt;&gt;0),"Rischio nullo con P/L","OK")))))))))))))</x:f>
      </x:c>
      <x:c r="AR394" s="20" t="str">
        <x:f>IF(OR(A394="",J394&lt;&gt;"Aperto",AQ394&lt;&gt;"OK"),"",IF(I394="Esecuzioni",SUMIFS('Esecuzioni'!$P$8:$P$1007,'Esecuzioni'!$A$8:$A$1007,A394,'Esecuzioni'!$B$8:$B$1007,_xlfn.MAXIFS('Esecuzioni'!$B$8:$B$1007,'Esecuzioni'!$A$8:$A$1007,A394)),IF(LEFT(U394,8)="FREEBET:",0,Z394)))</x:f>
      </x:c>
      <x:c r="AS394" s="48" t="str">
        <x:f>IF(OR(A394="",E394=""),"",IF(COUNTIFS($E$8:E394,E394)=1,COUNT($AS$7:AS393)+1,""))</x:f>
      </x:c>
    </x:row>
    <x:row r="395" ht="22" customHeight="1">
      <x:c r="A395" s="7"/>
      <x:c r="B395" s="19"/>
      <x:c r="C395" s="19"/>
      <x:c r="D395" s="7"/>
      <x:c r="E395" s="7"/>
      <x:c r="F395" s="7"/>
      <x:c r="G395" s="7"/>
      <x:c r="H395" s="7"/>
      <x:c r="I395" s="7"/>
      <x:c r="J395" s="7"/>
      <x:c r="K395" s="10"/>
      <x:c r="L395" s="7"/>
      <x:c r="M395" s="10"/>
      <x:c r="N395" s="7"/>
      <x:c r="O395" s="8"/>
      <x:c r="P395" s="8"/>
      <x:c r="Q395" s="8"/>
      <x:c r="R395" s="9"/>
      <x:c r="S395" s="7"/>
      <x:c r="T395" s="7"/>
      <x:c r="U395" s="7"/>
      <x:c r="V395" s="7"/>
      <x:c r="W395" s="22" t="str">
        <x:f>IF(A395="","",COUNTIFS('Esecuzioni'!$A$8:$A$1007,A395,'Esecuzioni'!$Q$8:$Q$1007,"OK"))</x:f>
      </x:c>
      <x:c r="X395" s="20" t="str">
        <x:f>IF(OR(A395="",I395&lt;&gt;"Esecuzioni",W395=0),"",SUMIFS('Esecuzioni'!$L$8:$L$1007,'Esecuzioni'!$A$8:$A$1007,A395))</x:f>
      </x:c>
      <x:c r="Y395" s="20" t="str">
        <x:f>IF(OR(A395="",I395&lt;&gt;"Esecuzioni",W395=0),"",SUMIFS('Esecuzioni'!$M$8:$M$1007,'Esecuzioni'!$A$8:$A$1007,A395))</x:f>
      </x:c>
      <x:c r="Z395" s="20" t="str">
        <x:f>IF(A395="","",IF(J395="Annullato",0,IF(ISNUMBER(O395),O395,IF(AND(I395="Esecuzioni",W395&gt;0),_xlfn.MAXIFS('Esecuzioni'!$P$8:$P$1007,'Esecuzioni'!$A$8:$A$1007,A395),""))))</x:f>
      </x:c>
      <x:c r="AA395" s="20" t="str">
        <x:f>IF(OR(A395="",J395="Aperto"),"",IF(J395="Annullato",0,IF(I395="Lordo manuale",IF(ISNUMBER(P395),P395,""),IF(I395="Netto manuale",IF(AND(ISNUMBER(P395),ISNUMBER(Q395)),P395+Q395,""),IF(OR(W395=0,COUNTIFS('Esecuzioni'!$A$8:$A$1007,A395,'Esecuzioni'!$Q$8:$Q$1007,"&lt;&gt;OK")&gt;0),"",IF(S395="Vince",X395,IF(S395="Perde",Y395,IF(AND(S395="Coperto",ABS(X395-Y395)&lt;='Impostazioni'!$B$11),ROUND((X395+Y395)/2,2),""))))))))</x:f>
      </x:c>
      <x:c r="AB395" s="20" t="str">
        <x:f>IF(NOT(ISNUMBER(AA395)),"",IF(J395="Annullato",0,IF(ISNUMBER(Q395),Q395,ROUND(MAX(0,AA395)*IF(ISNUMBER(R395),R395,'Impostazioni'!$B$8),2))))</x:f>
      </x:c>
      <x:c r="AC395" s="20" t="str">
        <x:f>IF(AND(ISNUMBER(AA395),ISNUMBER(AB395)),ROUND(AA395-AB395,2),"")</x:f>
      </x:c>
      <x:c r="AD395" s="18" t="str">
        <x:f>IF(A395="","",IF(AQ395&lt;&gt;"OK","Incompleto",IF(J395="Aperto","Aperto",IF(J395="Annullato","Annullato",IF(AC395&gt;0,"Green",IF(AC395&lt;0,"Red","Flat"))))))</x:f>
      </x:c>
      <x:c r="AE395" s="21" t="str">
        <x:f>IF(AND(AH395=1,Z395&gt;0),AC395/Z395,"")</x:f>
      </x:c>
      <x:c r="AF395" s="22" t="str">
        <x:f>IF(AH395&lt;&gt;1,"",COUNTIFS($C$8:$C$507,"&lt;"&amp;C395,$AH$8:$AH$507,1)+COUNTIFS($C$8:$C$507,C395,$A$8:$A$507,"&lt;="&amp;A395,$AH$8:$AH$507,1))</x:f>
      </x:c>
      <x:c r="AG395" s="20" t="str">
        <x:f>IF(AH395&lt;&gt;1,"",SUMIFS($AC$8:$AC$507,$C$8:$C$507,"&lt;"&amp;C395,$AH$8:$AH$507,1)+SUMIFS($AC$8:$AC$507,$C$8:$C$507,C395,$A$8:$A$507,"&lt;="&amp;A395,$AH$8:$AH$507,1))</x:f>
      </x:c>
      <x:c r="AH395" s="22" t="str">
        <x:f>IF(A395="","",IF(AND(J395="Chiuso",AQ395="OK",ISNUMBER(AC395)),1,0))</x:f>
      </x:c>
      <x:c r="AI395" s="20" t="str">
        <x:f>IF(AH395&lt;&gt;1,"",MAX(0,_xlfn.MAXIFS($AG$8:$AG$507,$AF$8:$AF$507,"&lt;="&amp;AF395,$AH$8:$AH$507,1)))</x:f>
      </x:c>
      <x:c r="AJ395" s="20" t="str">
        <x:f>IF(AH395&lt;&gt;1,"",MAX(0,AI395-AG395))</x:f>
      </x:c>
      <x:c r="AK395" s="21" t="str">
        <x:f>IF(OR(AH395&lt;&gt;1,NOT(ISNUMBER('Impostazioni'!$B$6)),'Impostazioni'!$B$6+AI395&lt;=0),"",AJ395/('Impostazioni'!$B$6+AI395))</x:f>
      </x:c>
      <x:c r="AL395" s="22" t="str">
        <x:f>IF(AH395&lt;&gt;1,"",IF(AC395&gt;0,AF395-_xlfn.MAXIFS($AF$8:$AF$507,$AF$8:$AF$507,"&lt;="&amp;AF395,$AC$8:$AC$507,"&lt;=0",$AH$8:$AH$507,1),0))</x:f>
      </x:c>
      <x:c r="AM395" s="22" t="str">
        <x:f>IF(AH395&lt;&gt;1,"",IF(AC395&lt;0,AF395-_xlfn.MAXIFS($AF$8:$AF$507,$AF$8:$AF$507,"&lt;="&amp;AF395,$AC$8:$AC$507,"&gt;=0",$AH$8:$AH$507,1),0))</x:f>
      </x:c>
      <x:c r="AN395" s="20" t="str">
        <x:f>IF(OR(A395="",NOT(ISNUMBER(B395)),NOT(ISNUMBER('Impostazioni'!$B$6))),"",'Impostazioni'!$B$6+SUMIFS($AC$8:$AC$507,$C$8:$C$507,"&lt;"&amp;B395,$AH$8:$AH$507,1)+SUMIFS('Cassa'!$F$8:$F$307,'Cassa'!$A$8:$A$307,"&lt;="&amp;B395,'Cassa'!$G$8:$G$307,"OK"))</x:f>
      </x:c>
      <x:c r="AO395" s="21" t="str">
        <x:f>IF(AND(ISNUMBER(Z395),ISNUMBER(AN395),AN395&gt;0),Z395/AN395,"")</x:f>
      </x:c>
      <x:c r="AP395" s="18" t="str">
        <x:f>IF(NOT(ISNUMBER(AO395)),"",IF(AO395&gt;'Impostazioni'!$B$7,"Oltre soglia personale","Nella soglia personale"))</x:f>
      </x:c>
      <x:c r="AQ395" s="18" t="str">
        <x:f>IF(A395="",IF(COUNTA(B395:V395)=0,"","Inserisci ID"),IF(COUNTIFS($A$8:$A$507,A395)&lt;&gt;1,"ID duplicato",IF(OR(NOT(ISNUMBER(B395)),D395="",E395="",F395="",G395="",H395="",COUNTIFS('Impostazioni'!$J$6:$J$25,F395)&lt;&gt;1),"Completa dati / elenchi",IF(OR(AND(I395&lt;&gt;"Lordo manuale",I395&lt;&gt;"Netto manuale",I395&lt;&gt;"Esecuzioni"),AND(J395&lt;&gt;"Aperto",J395&lt;&gt;"Chiuso",J395&lt;&gt;"Annullato")),"Modalità / stato mancanti",IF(AND(J395&lt;&gt;"Aperto",OR(NOT(ISNUMBER(C395)),C395&lt;B395)),"Correggi data chiusura",IF(OR(AND(Q395&lt;&gt;"",OR(NOT(ISNUMBER(Q395)),Q395&lt;0)),AND(R395&lt;&gt;"",OR(NOT(ISNUMBER(R395)),R395&lt;0,R395&gt;1))),"Commissione non valida",IF(J395="Annullato","OK",IF(OR(NOT(ISNUMBER(Z395)),Z395&lt;0,AND(O395&lt;&gt;"",NOT(ISNUMBER(O395)))),"Inserisci rischio",IF(AND(I395="Esecuzioni",OR(W395=0,COUNTIFS('Esecuzioni'!$A$8:$A$1007,A395,'Esecuzioni'!$Q$8:$Q$1007,"&lt;&gt;OK")&gt;0)),"Correggi esecuzioni",IF(J395="Aperto","OK",IF(AND(I395="Esecuzioni",S395="Coperto",ABS(X395-Y395)&gt;'Impostazioni'!$B$11),"Copertura residua",IF(NOT(ISNUMBER(AC395)),"Completa risultato / esito",IF(AND(Z395=0,AC395&lt;&gt;0),"Rischio nullo con P/L","OK")))))))))))))</x:f>
      </x:c>
      <x:c r="AR395" s="20" t="str">
        <x:f>IF(OR(A395="",J395&lt;&gt;"Aperto",AQ395&lt;&gt;"OK"),"",IF(I395="Esecuzioni",SUMIFS('Esecuzioni'!$P$8:$P$1007,'Esecuzioni'!$A$8:$A$1007,A395,'Esecuzioni'!$B$8:$B$1007,_xlfn.MAXIFS('Esecuzioni'!$B$8:$B$1007,'Esecuzioni'!$A$8:$A$1007,A395)),IF(LEFT(U395,8)="FREEBET:",0,Z395)))</x:f>
      </x:c>
      <x:c r="AS395" s="48" t="str">
        <x:f>IF(OR(A395="",E395=""),"",IF(COUNTIFS($E$8:E395,E395)=1,COUNT($AS$7:AS394)+1,""))</x:f>
      </x:c>
    </x:row>
    <x:row r="396" ht="22" customHeight="1">
      <x:c r="A396" s="7"/>
      <x:c r="B396" s="19"/>
      <x:c r="C396" s="19"/>
      <x:c r="D396" s="7"/>
      <x:c r="E396" s="7"/>
      <x:c r="F396" s="7"/>
      <x:c r="G396" s="7"/>
      <x:c r="H396" s="7"/>
      <x:c r="I396" s="7"/>
      <x:c r="J396" s="7"/>
      <x:c r="K396" s="10"/>
      <x:c r="L396" s="7"/>
      <x:c r="M396" s="10"/>
      <x:c r="N396" s="7"/>
      <x:c r="O396" s="8"/>
      <x:c r="P396" s="8"/>
      <x:c r="Q396" s="8"/>
      <x:c r="R396" s="9"/>
      <x:c r="S396" s="7"/>
      <x:c r="T396" s="7"/>
      <x:c r="U396" s="7"/>
      <x:c r="V396" s="7"/>
      <x:c r="W396" s="22" t="str">
        <x:f>IF(A396="","",COUNTIFS('Esecuzioni'!$A$8:$A$1007,A396,'Esecuzioni'!$Q$8:$Q$1007,"OK"))</x:f>
      </x:c>
      <x:c r="X396" s="20" t="str">
        <x:f>IF(OR(A396="",I396&lt;&gt;"Esecuzioni",W396=0),"",SUMIFS('Esecuzioni'!$L$8:$L$1007,'Esecuzioni'!$A$8:$A$1007,A396))</x:f>
      </x:c>
      <x:c r="Y396" s="20" t="str">
        <x:f>IF(OR(A396="",I396&lt;&gt;"Esecuzioni",W396=0),"",SUMIFS('Esecuzioni'!$M$8:$M$1007,'Esecuzioni'!$A$8:$A$1007,A396))</x:f>
      </x:c>
      <x:c r="Z396" s="20" t="str">
        <x:f>IF(A396="","",IF(J396="Annullato",0,IF(ISNUMBER(O396),O396,IF(AND(I396="Esecuzioni",W396&gt;0),_xlfn.MAXIFS('Esecuzioni'!$P$8:$P$1007,'Esecuzioni'!$A$8:$A$1007,A396),""))))</x:f>
      </x:c>
      <x:c r="AA396" s="20" t="str">
        <x:f>IF(OR(A396="",J396="Aperto"),"",IF(J396="Annullato",0,IF(I396="Lordo manuale",IF(ISNUMBER(P396),P396,""),IF(I396="Netto manuale",IF(AND(ISNUMBER(P396),ISNUMBER(Q396)),P396+Q396,""),IF(OR(W396=0,COUNTIFS('Esecuzioni'!$A$8:$A$1007,A396,'Esecuzioni'!$Q$8:$Q$1007,"&lt;&gt;OK")&gt;0),"",IF(S396="Vince",X396,IF(S396="Perde",Y396,IF(AND(S396="Coperto",ABS(X396-Y396)&lt;='Impostazioni'!$B$11),ROUND((X396+Y396)/2,2),""))))))))</x:f>
      </x:c>
      <x:c r="AB396" s="20" t="str">
        <x:f>IF(NOT(ISNUMBER(AA396)),"",IF(J396="Annullato",0,IF(ISNUMBER(Q396),Q396,ROUND(MAX(0,AA396)*IF(ISNUMBER(R396),R396,'Impostazioni'!$B$8),2))))</x:f>
      </x:c>
      <x:c r="AC396" s="20" t="str">
        <x:f>IF(AND(ISNUMBER(AA396),ISNUMBER(AB396)),ROUND(AA396-AB396,2),"")</x:f>
      </x:c>
      <x:c r="AD396" s="18" t="str">
        <x:f>IF(A396="","",IF(AQ396&lt;&gt;"OK","Incompleto",IF(J396="Aperto","Aperto",IF(J396="Annullato","Annullato",IF(AC396&gt;0,"Green",IF(AC396&lt;0,"Red","Flat"))))))</x:f>
      </x:c>
      <x:c r="AE396" s="21" t="str">
        <x:f>IF(AND(AH396=1,Z396&gt;0),AC396/Z396,"")</x:f>
      </x:c>
      <x:c r="AF396" s="22" t="str">
        <x:f>IF(AH396&lt;&gt;1,"",COUNTIFS($C$8:$C$507,"&lt;"&amp;C396,$AH$8:$AH$507,1)+COUNTIFS($C$8:$C$507,C396,$A$8:$A$507,"&lt;="&amp;A396,$AH$8:$AH$507,1))</x:f>
      </x:c>
      <x:c r="AG396" s="20" t="str">
        <x:f>IF(AH396&lt;&gt;1,"",SUMIFS($AC$8:$AC$507,$C$8:$C$507,"&lt;"&amp;C396,$AH$8:$AH$507,1)+SUMIFS($AC$8:$AC$507,$C$8:$C$507,C396,$A$8:$A$507,"&lt;="&amp;A396,$AH$8:$AH$507,1))</x:f>
      </x:c>
      <x:c r="AH396" s="22" t="str">
        <x:f>IF(A396="","",IF(AND(J396="Chiuso",AQ396="OK",ISNUMBER(AC396)),1,0))</x:f>
      </x:c>
      <x:c r="AI396" s="20" t="str">
        <x:f>IF(AH396&lt;&gt;1,"",MAX(0,_xlfn.MAXIFS($AG$8:$AG$507,$AF$8:$AF$507,"&lt;="&amp;AF396,$AH$8:$AH$507,1)))</x:f>
      </x:c>
      <x:c r="AJ396" s="20" t="str">
        <x:f>IF(AH396&lt;&gt;1,"",MAX(0,AI396-AG396))</x:f>
      </x:c>
      <x:c r="AK396" s="21" t="str">
        <x:f>IF(OR(AH396&lt;&gt;1,NOT(ISNUMBER('Impostazioni'!$B$6)),'Impostazioni'!$B$6+AI396&lt;=0),"",AJ396/('Impostazioni'!$B$6+AI396))</x:f>
      </x:c>
      <x:c r="AL396" s="22" t="str">
        <x:f>IF(AH396&lt;&gt;1,"",IF(AC396&gt;0,AF396-_xlfn.MAXIFS($AF$8:$AF$507,$AF$8:$AF$507,"&lt;="&amp;AF396,$AC$8:$AC$507,"&lt;=0",$AH$8:$AH$507,1),0))</x:f>
      </x:c>
      <x:c r="AM396" s="22" t="str">
        <x:f>IF(AH396&lt;&gt;1,"",IF(AC396&lt;0,AF396-_xlfn.MAXIFS($AF$8:$AF$507,$AF$8:$AF$507,"&lt;="&amp;AF396,$AC$8:$AC$507,"&gt;=0",$AH$8:$AH$507,1),0))</x:f>
      </x:c>
      <x:c r="AN396" s="20" t="str">
        <x:f>IF(OR(A396="",NOT(ISNUMBER(B396)),NOT(ISNUMBER('Impostazioni'!$B$6))),"",'Impostazioni'!$B$6+SUMIFS($AC$8:$AC$507,$C$8:$C$507,"&lt;"&amp;B396,$AH$8:$AH$507,1)+SUMIFS('Cassa'!$F$8:$F$307,'Cassa'!$A$8:$A$307,"&lt;="&amp;B396,'Cassa'!$G$8:$G$307,"OK"))</x:f>
      </x:c>
      <x:c r="AO396" s="21" t="str">
        <x:f>IF(AND(ISNUMBER(Z396),ISNUMBER(AN396),AN396&gt;0),Z396/AN396,"")</x:f>
      </x:c>
      <x:c r="AP396" s="18" t="str">
        <x:f>IF(NOT(ISNUMBER(AO396)),"",IF(AO396&gt;'Impostazioni'!$B$7,"Oltre soglia personale","Nella soglia personale"))</x:f>
      </x:c>
      <x:c r="AQ396" s="18" t="str">
        <x:f>IF(A396="",IF(COUNTA(B396:V396)=0,"","Inserisci ID"),IF(COUNTIFS($A$8:$A$507,A396)&lt;&gt;1,"ID duplicato",IF(OR(NOT(ISNUMBER(B396)),D396="",E396="",F396="",G396="",H396="",COUNTIFS('Impostazioni'!$J$6:$J$25,F396)&lt;&gt;1),"Completa dati / elenchi",IF(OR(AND(I396&lt;&gt;"Lordo manuale",I396&lt;&gt;"Netto manuale",I396&lt;&gt;"Esecuzioni"),AND(J396&lt;&gt;"Aperto",J396&lt;&gt;"Chiuso",J396&lt;&gt;"Annullato")),"Modalità / stato mancanti",IF(AND(J396&lt;&gt;"Aperto",OR(NOT(ISNUMBER(C396)),C396&lt;B396)),"Correggi data chiusura",IF(OR(AND(Q396&lt;&gt;"",OR(NOT(ISNUMBER(Q396)),Q396&lt;0)),AND(R396&lt;&gt;"",OR(NOT(ISNUMBER(R396)),R396&lt;0,R396&gt;1))),"Commissione non valida",IF(J396="Annullato","OK",IF(OR(NOT(ISNUMBER(Z396)),Z396&lt;0,AND(O396&lt;&gt;"",NOT(ISNUMBER(O396)))),"Inserisci rischio",IF(AND(I396="Esecuzioni",OR(W396=0,COUNTIFS('Esecuzioni'!$A$8:$A$1007,A396,'Esecuzioni'!$Q$8:$Q$1007,"&lt;&gt;OK")&gt;0)),"Correggi esecuzioni",IF(J396="Aperto","OK",IF(AND(I396="Esecuzioni",S396="Coperto",ABS(X396-Y396)&gt;'Impostazioni'!$B$11),"Copertura residua",IF(NOT(ISNUMBER(AC396)),"Completa risultato / esito",IF(AND(Z396=0,AC396&lt;&gt;0),"Rischio nullo con P/L","OK")))))))))))))</x:f>
      </x:c>
      <x:c r="AR396" s="20" t="str">
        <x:f>IF(OR(A396="",J396&lt;&gt;"Aperto",AQ396&lt;&gt;"OK"),"",IF(I396="Esecuzioni",SUMIFS('Esecuzioni'!$P$8:$P$1007,'Esecuzioni'!$A$8:$A$1007,A396,'Esecuzioni'!$B$8:$B$1007,_xlfn.MAXIFS('Esecuzioni'!$B$8:$B$1007,'Esecuzioni'!$A$8:$A$1007,A396)),IF(LEFT(U396,8)="FREEBET:",0,Z396)))</x:f>
      </x:c>
      <x:c r="AS396" s="48" t="str">
        <x:f>IF(OR(A396="",E396=""),"",IF(COUNTIFS($E$8:E396,E396)=1,COUNT($AS$7:AS395)+1,""))</x:f>
      </x:c>
    </x:row>
    <x:row r="397" ht="22" customHeight="1">
      <x:c r="A397" s="7"/>
      <x:c r="B397" s="19"/>
      <x:c r="C397" s="19"/>
      <x:c r="D397" s="7"/>
      <x:c r="E397" s="7"/>
      <x:c r="F397" s="7"/>
      <x:c r="G397" s="7"/>
      <x:c r="H397" s="7"/>
      <x:c r="I397" s="7"/>
      <x:c r="J397" s="7"/>
      <x:c r="K397" s="10"/>
      <x:c r="L397" s="7"/>
      <x:c r="M397" s="10"/>
      <x:c r="N397" s="7"/>
      <x:c r="O397" s="8"/>
      <x:c r="P397" s="8"/>
      <x:c r="Q397" s="8"/>
      <x:c r="R397" s="9"/>
      <x:c r="S397" s="7"/>
      <x:c r="T397" s="7"/>
      <x:c r="U397" s="7"/>
      <x:c r="V397" s="7"/>
      <x:c r="W397" s="22" t="str">
        <x:f>IF(A397="","",COUNTIFS('Esecuzioni'!$A$8:$A$1007,A397,'Esecuzioni'!$Q$8:$Q$1007,"OK"))</x:f>
      </x:c>
      <x:c r="X397" s="20" t="str">
        <x:f>IF(OR(A397="",I397&lt;&gt;"Esecuzioni",W397=0),"",SUMIFS('Esecuzioni'!$L$8:$L$1007,'Esecuzioni'!$A$8:$A$1007,A397))</x:f>
      </x:c>
      <x:c r="Y397" s="20" t="str">
        <x:f>IF(OR(A397="",I397&lt;&gt;"Esecuzioni",W397=0),"",SUMIFS('Esecuzioni'!$M$8:$M$1007,'Esecuzioni'!$A$8:$A$1007,A397))</x:f>
      </x:c>
      <x:c r="Z397" s="20" t="str">
        <x:f>IF(A397="","",IF(J397="Annullato",0,IF(ISNUMBER(O397),O397,IF(AND(I397="Esecuzioni",W397&gt;0),_xlfn.MAXIFS('Esecuzioni'!$P$8:$P$1007,'Esecuzioni'!$A$8:$A$1007,A397),""))))</x:f>
      </x:c>
      <x:c r="AA397" s="20" t="str">
        <x:f>IF(OR(A397="",J397="Aperto"),"",IF(J397="Annullato",0,IF(I397="Lordo manuale",IF(ISNUMBER(P397),P397,""),IF(I397="Netto manuale",IF(AND(ISNUMBER(P397),ISNUMBER(Q397)),P397+Q397,""),IF(OR(W397=0,COUNTIFS('Esecuzioni'!$A$8:$A$1007,A397,'Esecuzioni'!$Q$8:$Q$1007,"&lt;&gt;OK")&gt;0),"",IF(S397="Vince",X397,IF(S397="Perde",Y397,IF(AND(S397="Coperto",ABS(X397-Y397)&lt;='Impostazioni'!$B$11),ROUND((X397+Y397)/2,2),""))))))))</x:f>
      </x:c>
      <x:c r="AB397" s="20" t="str">
        <x:f>IF(NOT(ISNUMBER(AA397)),"",IF(J397="Annullato",0,IF(ISNUMBER(Q397),Q397,ROUND(MAX(0,AA397)*IF(ISNUMBER(R397),R397,'Impostazioni'!$B$8),2))))</x:f>
      </x:c>
      <x:c r="AC397" s="20" t="str">
        <x:f>IF(AND(ISNUMBER(AA397),ISNUMBER(AB397)),ROUND(AA397-AB397,2),"")</x:f>
      </x:c>
      <x:c r="AD397" s="18" t="str">
        <x:f>IF(A397="","",IF(AQ397&lt;&gt;"OK","Incompleto",IF(J397="Aperto","Aperto",IF(J397="Annullato","Annullato",IF(AC397&gt;0,"Green",IF(AC397&lt;0,"Red","Flat"))))))</x:f>
      </x:c>
      <x:c r="AE397" s="21" t="str">
        <x:f>IF(AND(AH397=1,Z397&gt;0),AC397/Z397,"")</x:f>
      </x:c>
      <x:c r="AF397" s="22" t="str">
        <x:f>IF(AH397&lt;&gt;1,"",COUNTIFS($C$8:$C$507,"&lt;"&amp;C397,$AH$8:$AH$507,1)+COUNTIFS($C$8:$C$507,C397,$A$8:$A$507,"&lt;="&amp;A397,$AH$8:$AH$507,1))</x:f>
      </x:c>
      <x:c r="AG397" s="20" t="str">
        <x:f>IF(AH397&lt;&gt;1,"",SUMIFS($AC$8:$AC$507,$C$8:$C$507,"&lt;"&amp;C397,$AH$8:$AH$507,1)+SUMIFS($AC$8:$AC$507,$C$8:$C$507,C397,$A$8:$A$507,"&lt;="&amp;A397,$AH$8:$AH$507,1))</x:f>
      </x:c>
      <x:c r="AH397" s="22" t="str">
        <x:f>IF(A397="","",IF(AND(J397="Chiuso",AQ397="OK",ISNUMBER(AC397)),1,0))</x:f>
      </x:c>
      <x:c r="AI397" s="20" t="str">
        <x:f>IF(AH397&lt;&gt;1,"",MAX(0,_xlfn.MAXIFS($AG$8:$AG$507,$AF$8:$AF$507,"&lt;="&amp;AF397,$AH$8:$AH$507,1)))</x:f>
      </x:c>
      <x:c r="AJ397" s="20" t="str">
        <x:f>IF(AH397&lt;&gt;1,"",MAX(0,AI397-AG397))</x:f>
      </x:c>
      <x:c r="AK397" s="21" t="str">
        <x:f>IF(OR(AH397&lt;&gt;1,NOT(ISNUMBER('Impostazioni'!$B$6)),'Impostazioni'!$B$6+AI397&lt;=0),"",AJ397/('Impostazioni'!$B$6+AI397))</x:f>
      </x:c>
      <x:c r="AL397" s="22" t="str">
        <x:f>IF(AH397&lt;&gt;1,"",IF(AC397&gt;0,AF397-_xlfn.MAXIFS($AF$8:$AF$507,$AF$8:$AF$507,"&lt;="&amp;AF397,$AC$8:$AC$507,"&lt;=0",$AH$8:$AH$507,1),0))</x:f>
      </x:c>
      <x:c r="AM397" s="22" t="str">
        <x:f>IF(AH397&lt;&gt;1,"",IF(AC397&lt;0,AF397-_xlfn.MAXIFS($AF$8:$AF$507,$AF$8:$AF$507,"&lt;="&amp;AF397,$AC$8:$AC$507,"&gt;=0",$AH$8:$AH$507,1),0))</x:f>
      </x:c>
      <x:c r="AN397" s="20" t="str">
        <x:f>IF(OR(A397="",NOT(ISNUMBER(B397)),NOT(ISNUMBER('Impostazioni'!$B$6))),"",'Impostazioni'!$B$6+SUMIFS($AC$8:$AC$507,$C$8:$C$507,"&lt;"&amp;B397,$AH$8:$AH$507,1)+SUMIFS('Cassa'!$F$8:$F$307,'Cassa'!$A$8:$A$307,"&lt;="&amp;B397,'Cassa'!$G$8:$G$307,"OK"))</x:f>
      </x:c>
      <x:c r="AO397" s="21" t="str">
        <x:f>IF(AND(ISNUMBER(Z397),ISNUMBER(AN397),AN397&gt;0),Z397/AN397,"")</x:f>
      </x:c>
      <x:c r="AP397" s="18" t="str">
        <x:f>IF(NOT(ISNUMBER(AO397)),"",IF(AO397&gt;'Impostazioni'!$B$7,"Oltre soglia personale","Nella soglia personale"))</x:f>
      </x:c>
      <x:c r="AQ397" s="18" t="str">
        <x:f>IF(A397="",IF(COUNTA(B397:V397)=0,"","Inserisci ID"),IF(COUNTIFS($A$8:$A$507,A397)&lt;&gt;1,"ID duplicato",IF(OR(NOT(ISNUMBER(B397)),D397="",E397="",F397="",G397="",H397="",COUNTIFS('Impostazioni'!$J$6:$J$25,F397)&lt;&gt;1),"Completa dati / elenchi",IF(OR(AND(I397&lt;&gt;"Lordo manuale",I397&lt;&gt;"Netto manuale",I397&lt;&gt;"Esecuzioni"),AND(J397&lt;&gt;"Aperto",J397&lt;&gt;"Chiuso",J397&lt;&gt;"Annullato")),"Modalità / stato mancanti",IF(AND(J397&lt;&gt;"Aperto",OR(NOT(ISNUMBER(C397)),C397&lt;B397)),"Correggi data chiusura",IF(OR(AND(Q397&lt;&gt;"",OR(NOT(ISNUMBER(Q397)),Q397&lt;0)),AND(R397&lt;&gt;"",OR(NOT(ISNUMBER(R397)),R397&lt;0,R397&gt;1))),"Commissione non valida",IF(J397="Annullato","OK",IF(OR(NOT(ISNUMBER(Z397)),Z397&lt;0,AND(O397&lt;&gt;"",NOT(ISNUMBER(O397)))),"Inserisci rischio",IF(AND(I397="Esecuzioni",OR(W397=0,COUNTIFS('Esecuzioni'!$A$8:$A$1007,A397,'Esecuzioni'!$Q$8:$Q$1007,"&lt;&gt;OK")&gt;0)),"Correggi esecuzioni",IF(J397="Aperto","OK",IF(AND(I397="Esecuzioni",S397="Coperto",ABS(X397-Y397)&gt;'Impostazioni'!$B$11),"Copertura residua",IF(NOT(ISNUMBER(AC397)),"Completa risultato / esito",IF(AND(Z397=0,AC397&lt;&gt;0),"Rischio nullo con P/L","OK")))))))))))))</x:f>
      </x:c>
      <x:c r="AR397" s="20" t="str">
        <x:f>IF(OR(A397="",J397&lt;&gt;"Aperto",AQ397&lt;&gt;"OK"),"",IF(I397="Esecuzioni",SUMIFS('Esecuzioni'!$P$8:$P$1007,'Esecuzioni'!$A$8:$A$1007,A397,'Esecuzioni'!$B$8:$B$1007,_xlfn.MAXIFS('Esecuzioni'!$B$8:$B$1007,'Esecuzioni'!$A$8:$A$1007,A397)),IF(LEFT(U397,8)="FREEBET:",0,Z397)))</x:f>
      </x:c>
      <x:c r="AS397" s="48" t="str">
        <x:f>IF(OR(A397="",E397=""),"",IF(COUNTIFS($E$8:E397,E397)=1,COUNT($AS$7:AS396)+1,""))</x:f>
      </x:c>
    </x:row>
    <x:row r="398" ht="22" customHeight="1">
      <x:c r="A398" s="7"/>
      <x:c r="B398" s="19"/>
      <x:c r="C398" s="19"/>
      <x:c r="D398" s="7"/>
      <x:c r="E398" s="7"/>
      <x:c r="F398" s="7"/>
      <x:c r="G398" s="7"/>
      <x:c r="H398" s="7"/>
      <x:c r="I398" s="7"/>
      <x:c r="J398" s="7"/>
      <x:c r="K398" s="10"/>
      <x:c r="L398" s="7"/>
      <x:c r="M398" s="10"/>
      <x:c r="N398" s="7"/>
      <x:c r="O398" s="8"/>
      <x:c r="P398" s="8"/>
      <x:c r="Q398" s="8"/>
      <x:c r="R398" s="9"/>
      <x:c r="S398" s="7"/>
      <x:c r="T398" s="7"/>
      <x:c r="U398" s="7"/>
      <x:c r="V398" s="7"/>
      <x:c r="W398" s="22" t="str">
        <x:f>IF(A398="","",COUNTIFS('Esecuzioni'!$A$8:$A$1007,A398,'Esecuzioni'!$Q$8:$Q$1007,"OK"))</x:f>
      </x:c>
      <x:c r="X398" s="20" t="str">
        <x:f>IF(OR(A398="",I398&lt;&gt;"Esecuzioni",W398=0),"",SUMIFS('Esecuzioni'!$L$8:$L$1007,'Esecuzioni'!$A$8:$A$1007,A398))</x:f>
      </x:c>
      <x:c r="Y398" s="20" t="str">
        <x:f>IF(OR(A398="",I398&lt;&gt;"Esecuzioni",W398=0),"",SUMIFS('Esecuzioni'!$M$8:$M$1007,'Esecuzioni'!$A$8:$A$1007,A398))</x:f>
      </x:c>
      <x:c r="Z398" s="20" t="str">
        <x:f>IF(A398="","",IF(J398="Annullato",0,IF(ISNUMBER(O398),O398,IF(AND(I398="Esecuzioni",W398&gt;0),_xlfn.MAXIFS('Esecuzioni'!$P$8:$P$1007,'Esecuzioni'!$A$8:$A$1007,A398),""))))</x:f>
      </x:c>
      <x:c r="AA398" s="20" t="str">
        <x:f>IF(OR(A398="",J398="Aperto"),"",IF(J398="Annullato",0,IF(I398="Lordo manuale",IF(ISNUMBER(P398),P398,""),IF(I398="Netto manuale",IF(AND(ISNUMBER(P398),ISNUMBER(Q398)),P398+Q398,""),IF(OR(W398=0,COUNTIFS('Esecuzioni'!$A$8:$A$1007,A398,'Esecuzioni'!$Q$8:$Q$1007,"&lt;&gt;OK")&gt;0),"",IF(S398="Vince",X398,IF(S398="Perde",Y398,IF(AND(S398="Coperto",ABS(X398-Y398)&lt;='Impostazioni'!$B$11),ROUND((X398+Y398)/2,2),""))))))))</x:f>
      </x:c>
      <x:c r="AB398" s="20" t="str">
        <x:f>IF(NOT(ISNUMBER(AA398)),"",IF(J398="Annullato",0,IF(ISNUMBER(Q398),Q398,ROUND(MAX(0,AA398)*IF(ISNUMBER(R398),R398,'Impostazioni'!$B$8),2))))</x:f>
      </x:c>
      <x:c r="AC398" s="20" t="str">
        <x:f>IF(AND(ISNUMBER(AA398),ISNUMBER(AB398)),ROUND(AA398-AB398,2),"")</x:f>
      </x:c>
      <x:c r="AD398" s="18" t="str">
        <x:f>IF(A398="","",IF(AQ398&lt;&gt;"OK","Incompleto",IF(J398="Aperto","Aperto",IF(J398="Annullato","Annullato",IF(AC398&gt;0,"Green",IF(AC398&lt;0,"Red","Flat"))))))</x:f>
      </x:c>
      <x:c r="AE398" s="21" t="str">
        <x:f>IF(AND(AH398=1,Z398&gt;0),AC398/Z398,"")</x:f>
      </x:c>
      <x:c r="AF398" s="22" t="str">
        <x:f>IF(AH398&lt;&gt;1,"",COUNTIFS($C$8:$C$507,"&lt;"&amp;C398,$AH$8:$AH$507,1)+COUNTIFS($C$8:$C$507,C398,$A$8:$A$507,"&lt;="&amp;A398,$AH$8:$AH$507,1))</x:f>
      </x:c>
      <x:c r="AG398" s="20" t="str">
        <x:f>IF(AH398&lt;&gt;1,"",SUMIFS($AC$8:$AC$507,$C$8:$C$507,"&lt;"&amp;C398,$AH$8:$AH$507,1)+SUMIFS($AC$8:$AC$507,$C$8:$C$507,C398,$A$8:$A$507,"&lt;="&amp;A398,$AH$8:$AH$507,1))</x:f>
      </x:c>
      <x:c r="AH398" s="22" t="str">
        <x:f>IF(A398="","",IF(AND(J398="Chiuso",AQ398="OK",ISNUMBER(AC398)),1,0))</x:f>
      </x:c>
      <x:c r="AI398" s="20" t="str">
        <x:f>IF(AH398&lt;&gt;1,"",MAX(0,_xlfn.MAXIFS($AG$8:$AG$507,$AF$8:$AF$507,"&lt;="&amp;AF398,$AH$8:$AH$507,1)))</x:f>
      </x:c>
      <x:c r="AJ398" s="20" t="str">
        <x:f>IF(AH398&lt;&gt;1,"",MAX(0,AI398-AG398))</x:f>
      </x:c>
      <x:c r="AK398" s="21" t="str">
        <x:f>IF(OR(AH398&lt;&gt;1,NOT(ISNUMBER('Impostazioni'!$B$6)),'Impostazioni'!$B$6+AI398&lt;=0),"",AJ398/('Impostazioni'!$B$6+AI398))</x:f>
      </x:c>
      <x:c r="AL398" s="22" t="str">
        <x:f>IF(AH398&lt;&gt;1,"",IF(AC398&gt;0,AF398-_xlfn.MAXIFS($AF$8:$AF$507,$AF$8:$AF$507,"&lt;="&amp;AF398,$AC$8:$AC$507,"&lt;=0",$AH$8:$AH$507,1),0))</x:f>
      </x:c>
      <x:c r="AM398" s="22" t="str">
        <x:f>IF(AH398&lt;&gt;1,"",IF(AC398&lt;0,AF398-_xlfn.MAXIFS($AF$8:$AF$507,$AF$8:$AF$507,"&lt;="&amp;AF398,$AC$8:$AC$507,"&gt;=0",$AH$8:$AH$507,1),0))</x:f>
      </x:c>
      <x:c r="AN398" s="20" t="str">
        <x:f>IF(OR(A398="",NOT(ISNUMBER(B398)),NOT(ISNUMBER('Impostazioni'!$B$6))),"",'Impostazioni'!$B$6+SUMIFS($AC$8:$AC$507,$C$8:$C$507,"&lt;"&amp;B398,$AH$8:$AH$507,1)+SUMIFS('Cassa'!$F$8:$F$307,'Cassa'!$A$8:$A$307,"&lt;="&amp;B398,'Cassa'!$G$8:$G$307,"OK"))</x:f>
      </x:c>
      <x:c r="AO398" s="21" t="str">
        <x:f>IF(AND(ISNUMBER(Z398),ISNUMBER(AN398),AN398&gt;0),Z398/AN398,"")</x:f>
      </x:c>
      <x:c r="AP398" s="18" t="str">
        <x:f>IF(NOT(ISNUMBER(AO398)),"",IF(AO398&gt;'Impostazioni'!$B$7,"Oltre soglia personale","Nella soglia personale"))</x:f>
      </x:c>
      <x:c r="AQ398" s="18" t="str">
        <x:f>IF(A398="",IF(COUNTA(B398:V398)=0,"","Inserisci ID"),IF(COUNTIFS($A$8:$A$507,A398)&lt;&gt;1,"ID duplicato",IF(OR(NOT(ISNUMBER(B398)),D398="",E398="",F398="",G398="",H398="",COUNTIFS('Impostazioni'!$J$6:$J$25,F398)&lt;&gt;1),"Completa dati / elenchi",IF(OR(AND(I398&lt;&gt;"Lordo manuale",I398&lt;&gt;"Netto manuale",I398&lt;&gt;"Esecuzioni"),AND(J398&lt;&gt;"Aperto",J398&lt;&gt;"Chiuso",J398&lt;&gt;"Annullato")),"Modalità / stato mancanti",IF(AND(J398&lt;&gt;"Aperto",OR(NOT(ISNUMBER(C398)),C398&lt;B398)),"Correggi data chiusura",IF(OR(AND(Q398&lt;&gt;"",OR(NOT(ISNUMBER(Q398)),Q398&lt;0)),AND(R398&lt;&gt;"",OR(NOT(ISNUMBER(R398)),R398&lt;0,R398&gt;1))),"Commissione non valida",IF(J398="Annullato","OK",IF(OR(NOT(ISNUMBER(Z398)),Z398&lt;0,AND(O398&lt;&gt;"",NOT(ISNUMBER(O398)))),"Inserisci rischio",IF(AND(I398="Esecuzioni",OR(W398=0,COUNTIFS('Esecuzioni'!$A$8:$A$1007,A398,'Esecuzioni'!$Q$8:$Q$1007,"&lt;&gt;OK")&gt;0)),"Correggi esecuzioni",IF(J398="Aperto","OK",IF(AND(I398="Esecuzioni",S398="Coperto",ABS(X398-Y398)&gt;'Impostazioni'!$B$11),"Copertura residua",IF(NOT(ISNUMBER(AC398)),"Completa risultato / esito",IF(AND(Z398=0,AC398&lt;&gt;0),"Rischio nullo con P/L","OK")))))))))))))</x:f>
      </x:c>
      <x:c r="AR398" s="20" t="str">
        <x:f>IF(OR(A398="",J398&lt;&gt;"Aperto",AQ398&lt;&gt;"OK"),"",IF(I398="Esecuzioni",SUMIFS('Esecuzioni'!$P$8:$P$1007,'Esecuzioni'!$A$8:$A$1007,A398,'Esecuzioni'!$B$8:$B$1007,_xlfn.MAXIFS('Esecuzioni'!$B$8:$B$1007,'Esecuzioni'!$A$8:$A$1007,A398)),IF(LEFT(U398,8)="FREEBET:",0,Z398)))</x:f>
      </x:c>
      <x:c r="AS398" s="48" t="str">
        <x:f>IF(OR(A398="",E398=""),"",IF(COUNTIFS($E$8:E398,E398)=1,COUNT($AS$7:AS397)+1,""))</x:f>
      </x:c>
    </x:row>
    <x:row r="399" ht="22" customHeight="1">
      <x:c r="A399" s="7"/>
      <x:c r="B399" s="19"/>
      <x:c r="C399" s="19"/>
      <x:c r="D399" s="7"/>
      <x:c r="E399" s="7"/>
      <x:c r="F399" s="7"/>
      <x:c r="G399" s="7"/>
      <x:c r="H399" s="7"/>
      <x:c r="I399" s="7"/>
      <x:c r="J399" s="7"/>
      <x:c r="K399" s="10"/>
      <x:c r="L399" s="7"/>
      <x:c r="M399" s="10"/>
      <x:c r="N399" s="7"/>
      <x:c r="O399" s="8"/>
      <x:c r="P399" s="8"/>
      <x:c r="Q399" s="8"/>
      <x:c r="R399" s="9"/>
      <x:c r="S399" s="7"/>
      <x:c r="T399" s="7"/>
      <x:c r="U399" s="7"/>
      <x:c r="V399" s="7"/>
      <x:c r="W399" s="22" t="str">
        <x:f>IF(A399="","",COUNTIFS('Esecuzioni'!$A$8:$A$1007,A399,'Esecuzioni'!$Q$8:$Q$1007,"OK"))</x:f>
      </x:c>
      <x:c r="X399" s="20" t="str">
        <x:f>IF(OR(A399="",I399&lt;&gt;"Esecuzioni",W399=0),"",SUMIFS('Esecuzioni'!$L$8:$L$1007,'Esecuzioni'!$A$8:$A$1007,A399))</x:f>
      </x:c>
      <x:c r="Y399" s="20" t="str">
        <x:f>IF(OR(A399="",I399&lt;&gt;"Esecuzioni",W399=0),"",SUMIFS('Esecuzioni'!$M$8:$M$1007,'Esecuzioni'!$A$8:$A$1007,A399))</x:f>
      </x:c>
      <x:c r="Z399" s="20" t="str">
        <x:f>IF(A399="","",IF(J399="Annullato",0,IF(ISNUMBER(O399),O399,IF(AND(I399="Esecuzioni",W399&gt;0),_xlfn.MAXIFS('Esecuzioni'!$P$8:$P$1007,'Esecuzioni'!$A$8:$A$1007,A399),""))))</x:f>
      </x:c>
      <x:c r="AA399" s="20" t="str">
        <x:f>IF(OR(A399="",J399="Aperto"),"",IF(J399="Annullato",0,IF(I399="Lordo manuale",IF(ISNUMBER(P399),P399,""),IF(I399="Netto manuale",IF(AND(ISNUMBER(P399),ISNUMBER(Q399)),P399+Q399,""),IF(OR(W399=0,COUNTIFS('Esecuzioni'!$A$8:$A$1007,A399,'Esecuzioni'!$Q$8:$Q$1007,"&lt;&gt;OK")&gt;0),"",IF(S399="Vince",X399,IF(S399="Perde",Y399,IF(AND(S399="Coperto",ABS(X399-Y399)&lt;='Impostazioni'!$B$11),ROUND((X399+Y399)/2,2),""))))))))</x:f>
      </x:c>
      <x:c r="AB399" s="20" t="str">
        <x:f>IF(NOT(ISNUMBER(AA399)),"",IF(J399="Annullato",0,IF(ISNUMBER(Q399),Q399,ROUND(MAX(0,AA399)*IF(ISNUMBER(R399),R399,'Impostazioni'!$B$8),2))))</x:f>
      </x:c>
      <x:c r="AC399" s="20" t="str">
        <x:f>IF(AND(ISNUMBER(AA399),ISNUMBER(AB399)),ROUND(AA399-AB399,2),"")</x:f>
      </x:c>
      <x:c r="AD399" s="18" t="str">
        <x:f>IF(A399="","",IF(AQ399&lt;&gt;"OK","Incompleto",IF(J399="Aperto","Aperto",IF(J399="Annullato","Annullato",IF(AC399&gt;0,"Green",IF(AC399&lt;0,"Red","Flat"))))))</x:f>
      </x:c>
      <x:c r="AE399" s="21" t="str">
        <x:f>IF(AND(AH399=1,Z399&gt;0),AC399/Z399,"")</x:f>
      </x:c>
      <x:c r="AF399" s="22" t="str">
        <x:f>IF(AH399&lt;&gt;1,"",COUNTIFS($C$8:$C$507,"&lt;"&amp;C399,$AH$8:$AH$507,1)+COUNTIFS($C$8:$C$507,C399,$A$8:$A$507,"&lt;="&amp;A399,$AH$8:$AH$507,1))</x:f>
      </x:c>
      <x:c r="AG399" s="20" t="str">
        <x:f>IF(AH399&lt;&gt;1,"",SUMIFS($AC$8:$AC$507,$C$8:$C$507,"&lt;"&amp;C399,$AH$8:$AH$507,1)+SUMIFS($AC$8:$AC$507,$C$8:$C$507,C399,$A$8:$A$507,"&lt;="&amp;A399,$AH$8:$AH$507,1))</x:f>
      </x:c>
      <x:c r="AH399" s="22" t="str">
        <x:f>IF(A399="","",IF(AND(J399="Chiuso",AQ399="OK",ISNUMBER(AC399)),1,0))</x:f>
      </x:c>
      <x:c r="AI399" s="20" t="str">
        <x:f>IF(AH399&lt;&gt;1,"",MAX(0,_xlfn.MAXIFS($AG$8:$AG$507,$AF$8:$AF$507,"&lt;="&amp;AF399,$AH$8:$AH$507,1)))</x:f>
      </x:c>
      <x:c r="AJ399" s="20" t="str">
        <x:f>IF(AH399&lt;&gt;1,"",MAX(0,AI399-AG399))</x:f>
      </x:c>
      <x:c r="AK399" s="21" t="str">
        <x:f>IF(OR(AH399&lt;&gt;1,NOT(ISNUMBER('Impostazioni'!$B$6)),'Impostazioni'!$B$6+AI399&lt;=0),"",AJ399/('Impostazioni'!$B$6+AI399))</x:f>
      </x:c>
      <x:c r="AL399" s="22" t="str">
        <x:f>IF(AH399&lt;&gt;1,"",IF(AC399&gt;0,AF399-_xlfn.MAXIFS($AF$8:$AF$507,$AF$8:$AF$507,"&lt;="&amp;AF399,$AC$8:$AC$507,"&lt;=0",$AH$8:$AH$507,1),0))</x:f>
      </x:c>
      <x:c r="AM399" s="22" t="str">
        <x:f>IF(AH399&lt;&gt;1,"",IF(AC399&lt;0,AF399-_xlfn.MAXIFS($AF$8:$AF$507,$AF$8:$AF$507,"&lt;="&amp;AF399,$AC$8:$AC$507,"&gt;=0",$AH$8:$AH$507,1),0))</x:f>
      </x:c>
      <x:c r="AN399" s="20" t="str">
        <x:f>IF(OR(A399="",NOT(ISNUMBER(B399)),NOT(ISNUMBER('Impostazioni'!$B$6))),"",'Impostazioni'!$B$6+SUMIFS($AC$8:$AC$507,$C$8:$C$507,"&lt;"&amp;B399,$AH$8:$AH$507,1)+SUMIFS('Cassa'!$F$8:$F$307,'Cassa'!$A$8:$A$307,"&lt;="&amp;B399,'Cassa'!$G$8:$G$307,"OK"))</x:f>
      </x:c>
      <x:c r="AO399" s="21" t="str">
        <x:f>IF(AND(ISNUMBER(Z399),ISNUMBER(AN399),AN399&gt;0),Z399/AN399,"")</x:f>
      </x:c>
      <x:c r="AP399" s="18" t="str">
        <x:f>IF(NOT(ISNUMBER(AO399)),"",IF(AO399&gt;'Impostazioni'!$B$7,"Oltre soglia personale","Nella soglia personale"))</x:f>
      </x:c>
      <x:c r="AQ399" s="18" t="str">
        <x:f>IF(A399="",IF(COUNTA(B399:V399)=0,"","Inserisci ID"),IF(COUNTIFS($A$8:$A$507,A399)&lt;&gt;1,"ID duplicato",IF(OR(NOT(ISNUMBER(B399)),D399="",E399="",F399="",G399="",H399="",COUNTIFS('Impostazioni'!$J$6:$J$25,F399)&lt;&gt;1),"Completa dati / elenchi",IF(OR(AND(I399&lt;&gt;"Lordo manuale",I399&lt;&gt;"Netto manuale",I399&lt;&gt;"Esecuzioni"),AND(J399&lt;&gt;"Aperto",J399&lt;&gt;"Chiuso",J399&lt;&gt;"Annullato")),"Modalità / stato mancanti",IF(AND(J399&lt;&gt;"Aperto",OR(NOT(ISNUMBER(C399)),C399&lt;B399)),"Correggi data chiusura",IF(OR(AND(Q399&lt;&gt;"",OR(NOT(ISNUMBER(Q399)),Q399&lt;0)),AND(R399&lt;&gt;"",OR(NOT(ISNUMBER(R399)),R399&lt;0,R399&gt;1))),"Commissione non valida",IF(J399="Annullato","OK",IF(OR(NOT(ISNUMBER(Z399)),Z399&lt;0,AND(O399&lt;&gt;"",NOT(ISNUMBER(O399)))),"Inserisci rischio",IF(AND(I399="Esecuzioni",OR(W399=0,COUNTIFS('Esecuzioni'!$A$8:$A$1007,A399,'Esecuzioni'!$Q$8:$Q$1007,"&lt;&gt;OK")&gt;0)),"Correggi esecuzioni",IF(J399="Aperto","OK",IF(AND(I399="Esecuzioni",S399="Coperto",ABS(X399-Y399)&gt;'Impostazioni'!$B$11),"Copertura residua",IF(NOT(ISNUMBER(AC399)),"Completa risultato / esito",IF(AND(Z399=0,AC399&lt;&gt;0),"Rischio nullo con P/L","OK")))))))))))))</x:f>
      </x:c>
      <x:c r="AR399" s="20" t="str">
        <x:f>IF(OR(A399="",J399&lt;&gt;"Aperto",AQ399&lt;&gt;"OK"),"",IF(I399="Esecuzioni",SUMIFS('Esecuzioni'!$P$8:$P$1007,'Esecuzioni'!$A$8:$A$1007,A399,'Esecuzioni'!$B$8:$B$1007,_xlfn.MAXIFS('Esecuzioni'!$B$8:$B$1007,'Esecuzioni'!$A$8:$A$1007,A399)),IF(LEFT(U399,8)="FREEBET:",0,Z399)))</x:f>
      </x:c>
      <x:c r="AS399" s="48" t="str">
        <x:f>IF(OR(A399="",E399=""),"",IF(COUNTIFS($E$8:E399,E399)=1,COUNT($AS$7:AS398)+1,""))</x:f>
      </x:c>
    </x:row>
    <x:row r="400" ht="22" customHeight="1">
      <x:c r="A400" s="7"/>
      <x:c r="B400" s="19"/>
      <x:c r="C400" s="19"/>
      <x:c r="D400" s="7"/>
      <x:c r="E400" s="7"/>
      <x:c r="F400" s="7"/>
      <x:c r="G400" s="7"/>
      <x:c r="H400" s="7"/>
      <x:c r="I400" s="7"/>
      <x:c r="J400" s="7"/>
      <x:c r="K400" s="10"/>
      <x:c r="L400" s="7"/>
      <x:c r="M400" s="10"/>
      <x:c r="N400" s="7"/>
      <x:c r="O400" s="8"/>
      <x:c r="P400" s="8"/>
      <x:c r="Q400" s="8"/>
      <x:c r="R400" s="9"/>
      <x:c r="S400" s="7"/>
      <x:c r="T400" s="7"/>
      <x:c r="U400" s="7"/>
      <x:c r="V400" s="7"/>
      <x:c r="W400" s="22" t="str">
        <x:f>IF(A400="","",COUNTIFS('Esecuzioni'!$A$8:$A$1007,A400,'Esecuzioni'!$Q$8:$Q$1007,"OK"))</x:f>
      </x:c>
      <x:c r="X400" s="20" t="str">
        <x:f>IF(OR(A400="",I400&lt;&gt;"Esecuzioni",W400=0),"",SUMIFS('Esecuzioni'!$L$8:$L$1007,'Esecuzioni'!$A$8:$A$1007,A400))</x:f>
      </x:c>
      <x:c r="Y400" s="20" t="str">
        <x:f>IF(OR(A400="",I400&lt;&gt;"Esecuzioni",W400=0),"",SUMIFS('Esecuzioni'!$M$8:$M$1007,'Esecuzioni'!$A$8:$A$1007,A400))</x:f>
      </x:c>
      <x:c r="Z400" s="20" t="str">
        <x:f>IF(A400="","",IF(J400="Annullato",0,IF(ISNUMBER(O400),O400,IF(AND(I400="Esecuzioni",W400&gt;0),_xlfn.MAXIFS('Esecuzioni'!$P$8:$P$1007,'Esecuzioni'!$A$8:$A$1007,A400),""))))</x:f>
      </x:c>
      <x:c r="AA400" s="20" t="str">
        <x:f>IF(OR(A400="",J400="Aperto"),"",IF(J400="Annullato",0,IF(I400="Lordo manuale",IF(ISNUMBER(P400),P400,""),IF(I400="Netto manuale",IF(AND(ISNUMBER(P400),ISNUMBER(Q400)),P400+Q400,""),IF(OR(W400=0,COUNTIFS('Esecuzioni'!$A$8:$A$1007,A400,'Esecuzioni'!$Q$8:$Q$1007,"&lt;&gt;OK")&gt;0),"",IF(S400="Vince",X400,IF(S400="Perde",Y400,IF(AND(S400="Coperto",ABS(X400-Y400)&lt;='Impostazioni'!$B$11),ROUND((X400+Y400)/2,2),""))))))))</x:f>
      </x:c>
      <x:c r="AB400" s="20" t="str">
        <x:f>IF(NOT(ISNUMBER(AA400)),"",IF(J400="Annullato",0,IF(ISNUMBER(Q400),Q400,ROUND(MAX(0,AA400)*IF(ISNUMBER(R400),R400,'Impostazioni'!$B$8),2))))</x:f>
      </x:c>
      <x:c r="AC400" s="20" t="str">
        <x:f>IF(AND(ISNUMBER(AA400),ISNUMBER(AB400)),ROUND(AA400-AB400,2),"")</x:f>
      </x:c>
      <x:c r="AD400" s="18" t="str">
        <x:f>IF(A400="","",IF(AQ400&lt;&gt;"OK","Incompleto",IF(J400="Aperto","Aperto",IF(J400="Annullato","Annullato",IF(AC400&gt;0,"Green",IF(AC400&lt;0,"Red","Flat"))))))</x:f>
      </x:c>
      <x:c r="AE400" s="21" t="str">
        <x:f>IF(AND(AH400=1,Z400&gt;0),AC400/Z400,"")</x:f>
      </x:c>
      <x:c r="AF400" s="22" t="str">
        <x:f>IF(AH400&lt;&gt;1,"",COUNTIFS($C$8:$C$507,"&lt;"&amp;C400,$AH$8:$AH$507,1)+COUNTIFS($C$8:$C$507,C400,$A$8:$A$507,"&lt;="&amp;A400,$AH$8:$AH$507,1))</x:f>
      </x:c>
      <x:c r="AG400" s="20" t="str">
        <x:f>IF(AH400&lt;&gt;1,"",SUMIFS($AC$8:$AC$507,$C$8:$C$507,"&lt;"&amp;C400,$AH$8:$AH$507,1)+SUMIFS($AC$8:$AC$507,$C$8:$C$507,C400,$A$8:$A$507,"&lt;="&amp;A400,$AH$8:$AH$507,1))</x:f>
      </x:c>
      <x:c r="AH400" s="22" t="str">
        <x:f>IF(A400="","",IF(AND(J400="Chiuso",AQ400="OK",ISNUMBER(AC400)),1,0))</x:f>
      </x:c>
      <x:c r="AI400" s="20" t="str">
        <x:f>IF(AH400&lt;&gt;1,"",MAX(0,_xlfn.MAXIFS($AG$8:$AG$507,$AF$8:$AF$507,"&lt;="&amp;AF400,$AH$8:$AH$507,1)))</x:f>
      </x:c>
      <x:c r="AJ400" s="20" t="str">
        <x:f>IF(AH400&lt;&gt;1,"",MAX(0,AI400-AG400))</x:f>
      </x:c>
      <x:c r="AK400" s="21" t="str">
        <x:f>IF(OR(AH400&lt;&gt;1,NOT(ISNUMBER('Impostazioni'!$B$6)),'Impostazioni'!$B$6+AI400&lt;=0),"",AJ400/('Impostazioni'!$B$6+AI400))</x:f>
      </x:c>
      <x:c r="AL400" s="22" t="str">
        <x:f>IF(AH400&lt;&gt;1,"",IF(AC400&gt;0,AF400-_xlfn.MAXIFS($AF$8:$AF$507,$AF$8:$AF$507,"&lt;="&amp;AF400,$AC$8:$AC$507,"&lt;=0",$AH$8:$AH$507,1),0))</x:f>
      </x:c>
      <x:c r="AM400" s="22" t="str">
        <x:f>IF(AH400&lt;&gt;1,"",IF(AC400&lt;0,AF400-_xlfn.MAXIFS($AF$8:$AF$507,$AF$8:$AF$507,"&lt;="&amp;AF400,$AC$8:$AC$507,"&gt;=0",$AH$8:$AH$507,1),0))</x:f>
      </x:c>
      <x:c r="AN400" s="20" t="str">
        <x:f>IF(OR(A400="",NOT(ISNUMBER(B400)),NOT(ISNUMBER('Impostazioni'!$B$6))),"",'Impostazioni'!$B$6+SUMIFS($AC$8:$AC$507,$C$8:$C$507,"&lt;"&amp;B400,$AH$8:$AH$507,1)+SUMIFS('Cassa'!$F$8:$F$307,'Cassa'!$A$8:$A$307,"&lt;="&amp;B400,'Cassa'!$G$8:$G$307,"OK"))</x:f>
      </x:c>
      <x:c r="AO400" s="21" t="str">
        <x:f>IF(AND(ISNUMBER(Z400),ISNUMBER(AN400),AN400&gt;0),Z400/AN400,"")</x:f>
      </x:c>
      <x:c r="AP400" s="18" t="str">
        <x:f>IF(NOT(ISNUMBER(AO400)),"",IF(AO400&gt;'Impostazioni'!$B$7,"Oltre soglia personale","Nella soglia personale"))</x:f>
      </x:c>
      <x:c r="AQ400" s="18" t="str">
        <x:f>IF(A400="",IF(COUNTA(B400:V400)=0,"","Inserisci ID"),IF(COUNTIFS($A$8:$A$507,A400)&lt;&gt;1,"ID duplicato",IF(OR(NOT(ISNUMBER(B400)),D400="",E400="",F400="",G400="",H400="",COUNTIFS('Impostazioni'!$J$6:$J$25,F400)&lt;&gt;1),"Completa dati / elenchi",IF(OR(AND(I400&lt;&gt;"Lordo manuale",I400&lt;&gt;"Netto manuale",I400&lt;&gt;"Esecuzioni"),AND(J400&lt;&gt;"Aperto",J400&lt;&gt;"Chiuso",J400&lt;&gt;"Annullato")),"Modalità / stato mancanti",IF(AND(J400&lt;&gt;"Aperto",OR(NOT(ISNUMBER(C400)),C400&lt;B400)),"Correggi data chiusura",IF(OR(AND(Q400&lt;&gt;"",OR(NOT(ISNUMBER(Q400)),Q400&lt;0)),AND(R400&lt;&gt;"",OR(NOT(ISNUMBER(R400)),R400&lt;0,R400&gt;1))),"Commissione non valida",IF(J400="Annullato","OK",IF(OR(NOT(ISNUMBER(Z400)),Z400&lt;0,AND(O400&lt;&gt;"",NOT(ISNUMBER(O400)))),"Inserisci rischio",IF(AND(I400="Esecuzioni",OR(W400=0,COUNTIFS('Esecuzioni'!$A$8:$A$1007,A400,'Esecuzioni'!$Q$8:$Q$1007,"&lt;&gt;OK")&gt;0)),"Correggi esecuzioni",IF(J400="Aperto","OK",IF(AND(I400="Esecuzioni",S400="Coperto",ABS(X400-Y400)&gt;'Impostazioni'!$B$11),"Copertura residua",IF(NOT(ISNUMBER(AC400)),"Completa risultato / esito",IF(AND(Z400=0,AC400&lt;&gt;0),"Rischio nullo con P/L","OK")))))))))))))</x:f>
      </x:c>
      <x:c r="AR400" s="20" t="str">
        <x:f>IF(OR(A400="",J400&lt;&gt;"Aperto",AQ400&lt;&gt;"OK"),"",IF(I400="Esecuzioni",SUMIFS('Esecuzioni'!$P$8:$P$1007,'Esecuzioni'!$A$8:$A$1007,A400,'Esecuzioni'!$B$8:$B$1007,_xlfn.MAXIFS('Esecuzioni'!$B$8:$B$1007,'Esecuzioni'!$A$8:$A$1007,A400)),IF(LEFT(U400,8)="FREEBET:",0,Z400)))</x:f>
      </x:c>
      <x:c r="AS400" s="48" t="str">
        <x:f>IF(OR(A400="",E400=""),"",IF(COUNTIFS($E$8:E400,E400)=1,COUNT($AS$7:AS399)+1,""))</x:f>
      </x:c>
    </x:row>
    <x:row r="401" ht="22" customHeight="1">
      <x:c r="A401" s="7"/>
      <x:c r="B401" s="19"/>
      <x:c r="C401" s="19"/>
      <x:c r="D401" s="7"/>
      <x:c r="E401" s="7"/>
      <x:c r="F401" s="7"/>
      <x:c r="G401" s="7"/>
      <x:c r="H401" s="7"/>
      <x:c r="I401" s="7"/>
      <x:c r="J401" s="7"/>
      <x:c r="K401" s="10"/>
      <x:c r="L401" s="7"/>
      <x:c r="M401" s="10"/>
      <x:c r="N401" s="7"/>
      <x:c r="O401" s="8"/>
      <x:c r="P401" s="8"/>
      <x:c r="Q401" s="8"/>
      <x:c r="R401" s="9"/>
      <x:c r="S401" s="7"/>
      <x:c r="T401" s="7"/>
      <x:c r="U401" s="7"/>
      <x:c r="V401" s="7"/>
      <x:c r="W401" s="22" t="str">
        <x:f>IF(A401="","",COUNTIFS('Esecuzioni'!$A$8:$A$1007,A401,'Esecuzioni'!$Q$8:$Q$1007,"OK"))</x:f>
      </x:c>
      <x:c r="X401" s="20" t="str">
        <x:f>IF(OR(A401="",I401&lt;&gt;"Esecuzioni",W401=0),"",SUMIFS('Esecuzioni'!$L$8:$L$1007,'Esecuzioni'!$A$8:$A$1007,A401))</x:f>
      </x:c>
      <x:c r="Y401" s="20" t="str">
        <x:f>IF(OR(A401="",I401&lt;&gt;"Esecuzioni",W401=0),"",SUMIFS('Esecuzioni'!$M$8:$M$1007,'Esecuzioni'!$A$8:$A$1007,A401))</x:f>
      </x:c>
      <x:c r="Z401" s="20" t="str">
        <x:f>IF(A401="","",IF(J401="Annullato",0,IF(ISNUMBER(O401),O401,IF(AND(I401="Esecuzioni",W401&gt;0),_xlfn.MAXIFS('Esecuzioni'!$P$8:$P$1007,'Esecuzioni'!$A$8:$A$1007,A401),""))))</x:f>
      </x:c>
      <x:c r="AA401" s="20" t="str">
        <x:f>IF(OR(A401="",J401="Aperto"),"",IF(J401="Annullato",0,IF(I401="Lordo manuale",IF(ISNUMBER(P401),P401,""),IF(I401="Netto manuale",IF(AND(ISNUMBER(P401),ISNUMBER(Q401)),P401+Q401,""),IF(OR(W401=0,COUNTIFS('Esecuzioni'!$A$8:$A$1007,A401,'Esecuzioni'!$Q$8:$Q$1007,"&lt;&gt;OK")&gt;0),"",IF(S401="Vince",X401,IF(S401="Perde",Y401,IF(AND(S401="Coperto",ABS(X401-Y401)&lt;='Impostazioni'!$B$11),ROUND((X401+Y401)/2,2),""))))))))</x:f>
      </x:c>
      <x:c r="AB401" s="20" t="str">
        <x:f>IF(NOT(ISNUMBER(AA401)),"",IF(J401="Annullato",0,IF(ISNUMBER(Q401),Q401,ROUND(MAX(0,AA401)*IF(ISNUMBER(R401),R401,'Impostazioni'!$B$8),2))))</x:f>
      </x:c>
      <x:c r="AC401" s="20" t="str">
        <x:f>IF(AND(ISNUMBER(AA401),ISNUMBER(AB401)),ROUND(AA401-AB401,2),"")</x:f>
      </x:c>
      <x:c r="AD401" s="18" t="str">
        <x:f>IF(A401="","",IF(AQ401&lt;&gt;"OK","Incompleto",IF(J401="Aperto","Aperto",IF(J401="Annullato","Annullato",IF(AC401&gt;0,"Green",IF(AC401&lt;0,"Red","Flat"))))))</x:f>
      </x:c>
      <x:c r="AE401" s="21" t="str">
        <x:f>IF(AND(AH401=1,Z401&gt;0),AC401/Z401,"")</x:f>
      </x:c>
      <x:c r="AF401" s="22" t="str">
        <x:f>IF(AH401&lt;&gt;1,"",COUNTIFS($C$8:$C$507,"&lt;"&amp;C401,$AH$8:$AH$507,1)+COUNTIFS($C$8:$C$507,C401,$A$8:$A$507,"&lt;="&amp;A401,$AH$8:$AH$507,1))</x:f>
      </x:c>
      <x:c r="AG401" s="20" t="str">
        <x:f>IF(AH401&lt;&gt;1,"",SUMIFS($AC$8:$AC$507,$C$8:$C$507,"&lt;"&amp;C401,$AH$8:$AH$507,1)+SUMIFS($AC$8:$AC$507,$C$8:$C$507,C401,$A$8:$A$507,"&lt;="&amp;A401,$AH$8:$AH$507,1))</x:f>
      </x:c>
      <x:c r="AH401" s="22" t="str">
        <x:f>IF(A401="","",IF(AND(J401="Chiuso",AQ401="OK",ISNUMBER(AC401)),1,0))</x:f>
      </x:c>
      <x:c r="AI401" s="20" t="str">
        <x:f>IF(AH401&lt;&gt;1,"",MAX(0,_xlfn.MAXIFS($AG$8:$AG$507,$AF$8:$AF$507,"&lt;="&amp;AF401,$AH$8:$AH$507,1)))</x:f>
      </x:c>
      <x:c r="AJ401" s="20" t="str">
        <x:f>IF(AH401&lt;&gt;1,"",MAX(0,AI401-AG401))</x:f>
      </x:c>
      <x:c r="AK401" s="21" t="str">
        <x:f>IF(OR(AH401&lt;&gt;1,NOT(ISNUMBER('Impostazioni'!$B$6)),'Impostazioni'!$B$6+AI401&lt;=0),"",AJ401/('Impostazioni'!$B$6+AI401))</x:f>
      </x:c>
      <x:c r="AL401" s="22" t="str">
        <x:f>IF(AH401&lt;&gt;1,"",IF(AC401&gt;0,AF401-_xlfn.MAXIFS($AF$8:$AF$507,$AF$8:$AF$507,"&lt;="&amp;AF401,$AC$8:$AC$507,"&lt;=0",$AH$8:$AH$507,1),0))</x:f>
      </x:c>
      <x:c r="AM401" s="22" t="str">
        <x:f>IF(AH401&lt;&gt;1,"",IF(AC401&lt;0,AF401-_xlfn.MAXIFS($AF$8:$AF$507,$AF$8:$AF$507,"&lt;="&amp;AF401,$AC$8:$AC$507,"&gt;=0",$AH$8:$AH$507,1),0))</x:f>
      </x:c>
      <x:c r="AN401" s="20" t="str">
        <x:f>IF(OR(A401="",NOT(ISNUMBER(B401)),NOT(ISNUMBER('Impostazioni'!$B$6))),"",'Impostazioni'!$B$6+SUMIFS($AC$8:$AC$507,$C$8:$C$507,"&lt;"&amp;B401,$AH$8:$AH$507,1)+SUMIFS('Cassa'!$F$8:$F$307,'Cassa'!$A$8:$A$307,"&lt;="&amp;B401,'Cassa'!$G$8:$G$307,"OK"))</x:f>
      </x:c>
      <x:c r="AO401" s="21" t="str">
        <x:f>IF(AND(ISNUMBER(Z401),ISNUMBER(AN401),AN401&gt;0),Z401/AN401,"")</x:f>
      </x:c>
      <x:c r="AP401" s="18" t="str">
        <x:f>IF(NOT(ISNUMBER(AO401)),"",IF(AO401&gt;'Impostazioni'!$B$7,"Oltre soglia personale","Nella soglia personale"))</x:f>
      </x:c>
      <x:c r="AQ401" s="18" t="str">
        <x:f>IF(A401="",IF(COUNTA(B401:V401)=0,"","Inserisci ID"),IF(COUNTIFS($A$8:$A$507,A401)&lt;&gt;1,"ID duplicato",IF(OR(NOT(ISNUMBER(B401)),D401="",E401="",F401="",G401="",H401="",COUNTIFS('Impostazioni'!$J$6:$J$25,F401)&lt;&gt;1),"Completa dati / elenchi",IF(OR(AND(I401&lt;&gt;"Lordo manuale",I401&lt;&gt;"Netto manuale",I401&lt;&gt;"Esecuzioni"),AND(J401&lt;&gt;"Aperto",J401&lt;&gt;"Chiuso",J401&lt;&gt;"Annullato")),"Modalità / stato mancanti",IF(AND(J401&lt;&gt;"Aperto",OR(NOT(ISNUMBER(C401)),C401&lt;B401)),"Correggi data chiusura",IF(OR(AND(Q401&lt;&gt;"",OR(NOT(ISNUMBER(Q401)),Q401&lt;0)),AND(R401&lt;&gt;"",OR(NOT(ISNUMBER(R401)),R401&lt;0,R401&gt;1))),"Commissione non valida",IF(J401="Annullato","OK",IF(OR(NOT(ISNUMBER(Z401)),Z401&lt;0,AND(O401&lt;&gt;"",NOT(ISNUMBER(O401)))),"Inserisci rischio",IF(AND(I401="Esecuzioni",OR(W401=0,COUNTIFS('Esecuzioni'!$A$8:$A$1007,A401,'Esecuzioni'!$Q$8:$Q$1007,"&lt;&gt;OK")&gt;0)),"Correggi esecuzioni",IF(J401="Aperto","OK",IF(AND(I401="Esecuzioni",S401="Coperto",ABS(X401-Y401)&gt;'Impostazioni'!$B$11),"Copertura residua",IF(NOT(ISNUMBER(AC401)),"Completa risultato / esito",IF(AND(Z401=0,AC401&lt;&gt;0),"Rischio nullo con P/L","OK")))))))))))))</x:f>
      </x:c>
      <x:c r="AR401" s="20" t="str">
        <x:f>IF(OR(A401="",J401&lt;&gt;"Aperto",AQ401&lt;&gt;"OK"),"",IF(I401="Esecuzioni",SUMIFS('Esecuzioni'!$P$8:$P$1007,'Esecuzioni'!$A$8:$A$1007,A401,'Esecuzioni'!$B$8:$B$1007,_xlfn.MAXIFS('Esecuzioni'!$B$8:$B$1007,'Esecuzioni'!$A$8:$A$1007,A401)),IF(LEFT(U401,8)="FREEBET:",0,Z401)))</x:f>
      </x:c>
      <x:c r="AS401" s="48" t="str">
        <x:f>IF(OR(A401="",E401=""),"",IF(COUNTIFS($E$8:E401,E401)=1,COUNT($AS$7:AS400)+1,""))</x:f>
      </x:c>
    </x:row>
    <x:row r="402" ht="22" customHeight="1">
      <x:c r="A402" s="7"/>
      <x:c r="B402" s="19"/>
      <x:c r="C402" s="19"/>
      <x:c r="D402" s="7"/>
      <x:c r="E402" s="7"/>
      <x:c r="F402" s="7"/>
      <x:c r="G402" s="7"/>
      <x:c r="H402" s="7"/>
      <x:c r="I402" s="7"/>
      <x:c r="J402" s="7"/>
      <x:c r="K402" s="10"/>
      <x:c r="L402" s="7"/>
      <x:c r="M402" s="10"/>
      <x:c r="N402" s="7"/>
      <x:c r="O402" s="8"/>
      <x:c r="P402" s="8"/>
      <x:c r="Q402" s="8"/>
      <x:c r="R402" s="9"/>
      <x:c r="S402" s="7"/>
      <x:c r="T402" s="7"/>
      <x:c r="U402" s="7"/>
      <x:c r="V402" s="7"/>
      <x:c r="W402" s="22" t="str">
        <x:f>IF(A402="","",COUNTIFS('Esecuzioni'!$A$8:$A$1007,A402,'Esecuzioni'!$Q$8:$Q$1007,"OK"))</x:f>
      </x:c>
      <x:c r="X402" s="20" t="str">
        <x:f>IF(OR(A402="",I402&lt;&gt;"Esecuzioni",W402=0),"",SUMIFS('Esecuzioni'!$L$8:$L$1007,'Esecuzioni'!$A$8:$A$1007,A402))</x:f>
      </x:c>
      <x:c r="Y402" s="20" t="str">
        <x:f>IF(OR(A402="",I402&lt;&gt;"Esecuzioni",W402=0),"",SUMIFS('Esecuzioni'!$M$8:$M$1007,'Esecuzioni'!$A$8:$A$1007,A402))</x:f>
      </x:c>
      <x:c r="Z402" s="20" t="str">
        <x:f>IF(A402="","",IF(J402="Annullato",0,IF(ISNUMBER(O402),O402,IF(AND(I402="Esecuzioni",W402&gt;0),_xlfn.MAXIFS('Esecuzioni'!$P$8:$P$1007,'Esecuzioni'!$A$8:$A$1007,A402),""))))</x:f>
      </x:c>
      <x:c r="AA402" s="20" t="str">
        <x:f>IF(OR(A402="",J402="Aperto"),"",IF(J402="Annullato",0,IF(I402="Lordo manuale",IF(ISNUMBER(P402),P402,""),IF(I402="Netto manuale",IF(AND(ISNUMBER(P402),ISNUMBER(Q402)),P402+Q402,""),IF(OR(W402=0,COUNTIFS('Esecuzioni'!$A$8:$A$1007,A402,'Esecuzioni'!$Q$8:$Q$1007,"&lt;&gt;OK")&gt;0),"",IF(S402="Vince",X402,IF(S402="Perde",Y402,IF(AND(S402="Coperto",ABS(X402-Y402)&lt;='Impostazioni'!$B$11),ROUND((X402+Y402)/2,2),""))))))))</x:f>
      </x:c>
      <x:c r="AB402" s="20" t="str">
        <x:f>IF(NOT(ISNUMBER(AA402)),"",IF(J402="Annullato",0,IF(ISNUMBER(Q402),Q402,ROUND(MAX(0,AA402)*IF(ISNUMBER(R402),R402,'Impostazioni'!$B$8),2))))</x:f>
      </x:c>
      <x:c r="AC402" s="20" t="str">
        <x:f>IF(AND(ISNUMBER(AA402),ISNUMBER(AB402)),ROUND(AA402-AB402,2),"")</x:f>
      </x:c>
      <x:c r="AD402" s="18" t="str">
        <x:f>IF(A402="","",IF(AQ402&lt;&gt;"OK","Incompleto",IF(J402="Aperto","Aperto",IF(J402="Annullato","Annullato",IF(AC402&gt;0,"Green",IF(AC402&lt;0,"Red","Flat"))))))</x:f>
      </x:c>
      <x:c r="AE402" s="21" t="str">
        <x:f>IF(AND(AH402=1,Z402&gt;0),AC402/Z402,"")</x:f>
      </x:c>
      <x:c r="AF402" s="22" t="str">
        <x:f>IF(AH402&lt;&gt;1,"",COUNTIFS($C$8:$C$507,"&lt;"&amp;C402,$AH$8:$AH$507,1)+COUNTIFS($C$8:$C$507,C402,$A$8:$A$507,"&lt;="&amp;A402,$AH$8:$AH$507,1))</x:f>
      </x:c>
      <x:c r="AG402" s="20" t="str">
        <x:f>IF(AH402&lt;&gt;1,"",SUMIFS($AC$8:$AC$507,$C$8:$C$507,"&lt;"&amp;C402,$AH$8:$AH$507,1)+SUMIFS($AC$8:$AC$507,$C$8:$C$507,C402,$A$8:$A$507,"&lt;="&amp;A402,$AH$8:$AH$507,1))</x:f>
      </x:c>
      <x:c r="AH402" s="22" t="str">
        <x:f>IF(A402="","",IF(AND(J402="Chiuso",AQ402="OK",ISNUMBER(AC402)),1,0))</x:f>
      </x:c>
      <x:c r="AI402" s="20" t="str">
        <x:f>IF(AH402&lt;&gt;1,"",MAX(0,_xlfn.MAXIFS($AG$8:$AG$507,$AF$8:$AF$507,"&lt;="&amp;AF402,$AH$8:$AH$507,1)))</x:f>
      </x:c>
      <x:c r="AJ402" s="20" t="str">
        <x:f>IF(AH402&lt;&gt;1,"",MAX(0,AI402-AG402))</x:f>
      </x:c>
      <x:c r="AK402" s="21" t="str">
        <x:f>IF(OR(AH402&lt;&gt;1,NOT(ISNUMBER('Impostazioni'!$B$6)),'Impostazioni'!$B$6+AI402&lt;=0),"",AJ402/('Impostazioni'!$B$6+AI402))</x:f>
      </x:c>
      <x:c r="AL402" s="22" t="str">
        <x:f>IF(AH402&lt;&gt;1,"",IF(AC402&gt;0,AF402-_xlfn.MAXIFS($AF$8:$AF$507,$AF$8:$AF$507,"&lt;="&amp;AF402,$AC$8:$AC$507,"&lt;=0",$AH$8:$AH$507,1),0))</x:f>
      </x:c>
      <x:c r="AM402" s="22" t="str">
        <x:f>IF(AH402&lt;&gt;1,"",IF(AC402&lt;0,AF402-_xlfn.MAXIFS($AF$8:$AF$507,$AF$8:$AF$507,"&lt;="&amp;AF402,$AC$8:$AC$507,"&gt;=0",$AH$8:$AH$507,1),0))</x:f>
      </x:c>
      <x:c r="AN402" s="20" t="str">
        <x:f>IF(OR(A402="",NOT(ISNUMBER(B402)),NOT(ISNUMBER('Impostazioni'!$B$6))),"",'Impostazioni'!$B$6+SUMIFS($AC$8:$AC$507,$C$8:$C$507,"&lt;"&amp;B402,$AH$8:$AH$507,1)+SUMIFS('Cassa'!$F$8:$F$307,'Cassa'!$A$8:$A$307,"&lt;="&amp;B402,'Cassa'!$G$8:$G$307,"OK"))</x:f>
      </x:c>
      <x:c r="AO402" s="21" t="str">
        <x:f>IF(AND(ISNUMBER(Z402),ISNUMBER(AN402),AN402&gt;0),Z402/AN402,"")</x:f>
      </x:c>
      <x:c r="AP402" s="18" t="str">
        <x:f>IF(NOT(ISNUMBER(AO402)),"",IF(AO402&gt;'Impostazioni'!$B$7,"Oltre soglia personale","Nella soglia personale"))</x:f>
      </x:c>
      <x:c r="AQ402" s="18" t="str">
        <x:f>IF(A402="",IF(COUNTA(B402:V402)=0,"","Inserisci ID"),IF(COUNTIFS($A$8:$A$507,A402)&lt;&gt;1,"ID duplicato",IF(OR(NOT(ISNUMBER(B402)),D402="",E402="",F402="",G402="",H402="",COUNTIFS('Impostazioni'!$J$6:$J$25,F402)&lt;&gt;1),"Completa dati / elenchi",IF(OR(AND(I402&lt;&gt;"Lordo manuale",I402&lt;&gt;"Netto manuale",I402&lt;&gt;"Esecuzioni"),AND(J402&lt;&gt;"Aperto",J402&lt;&gt;"Chiuso",J402&lt;&gt;"Annullato")),"Modalità / stato mancanti",IF(AND(J402&lt;&gt;"Aperto",OR(NOT(ISNUMBER(C402)),C402&lt;B402)),"Correggi data chiusura",IF(OR(AND(Q402&lt;&gt;"",OR(NOT(ISNUMBER(Q402)),Q402&lt;0)),AND(R402&lt;&gt;"",OR(NOT(ISNUMBER(R402)),R402&lt;0,R402&gt;1))),"Commissione non valida",IF(J402="Annullato","OK",IF(OR(NOT(ISNUMBER(Z402)),Z402&lt;0,AND(O402&lt;&gt;"",NOT(ISNUMBER(O402)))),"Inserisci rischio",IF(AND(I402="Esecuzioni",OR(W402=0,COUNTIFS('Esecuzioni'!$A$8:$A$1007,A402,'Esecuzioni'!$Q$8:$Q$1007,"&lt;&gt;OK")&gt;0)),"Correggi esecuzioni",IF(J402="Aperto","OK",IF(AND(I402="Esecuzioni",S402="Coperto",ABS(X402-Y402)&gt;'Impostazioni'!$B$11),"Copertura residua",IF(NOT(ISNUMBER(AC402)),"Completa risultato / esito",IF(AND(Z402=0,AC402&lt;&gt;0),"Rischio nullo con P/L","OK")))))))))))))</x:f>
      </x:c>
      <x:c r="AR402" s="20" t="str">
        <x:f>IF(OR(A402="",J402&lt;&gt;"Aperto",AQ402&lt;&gt;"OK"),"",IF(I402="Esecuzioni",SUMIFS('Esecuzioni'!$P$8:$P$1007,'Esecuzioni'!$A$8:$A$1007,A402,'Esecuzioni'!$B$8:$B$1007,_xlfn.MAXIFS('Esecuzioni'!$B$8:$B$1007,'Esecuzioni'!$A$8:$A$1007,A402)),IF(LEFT(U402,8)="FREEBET:",0,Z402)))</x:f>
      </x:c>
      <x:c r="AS402" s="48" t="str">
        <x:f>IF(OR(A402="",E402=""),"",IF(COUNTIFS($E$8:E402,E402)=1,COUNT($AS$7:AS401)+1,""))</x:f>
      </x:c>
    </x:row>
    <x:row r="403" ht="22" customHeight="1">
      <x:c r="A403" s="7"/>
      <x:c r="B403" s="19"/>
      <x:c r="C403" s="19"/>
      <x:c r="D403" s="7"/>
      <x:c r="E403" s="7"/>
      <x:c r="F403" s="7"/>
      <x:c r="G403" s="7"/>
      <x:c r="H403" s="7"/>
      <x:c r="I403" s="7"/>
      <x:c r="J403" s="7"/>
      <x:c r="K403" s="10"/>
      <x:c r="L403" s="7"/>
      <x:c r="M403" s="10"/>
      <x:c r="N403" s="7"/>
      <x:c r="O403" s="8"/>
      <x:c r="P403" s="8"/>
      <x:c r="Q403" s="8"/>
      <x:c r="R403" s="9"/>
      <x:c r="S403" s="7"/>
      <x:c r="T403" s="7"/>
      <x:c r="U403" s="7"/>
      <x:c r="V403" s="7"/>
      <x:c r="W403" s="22" t="str">
        <x:f>IF(A403="","",COUNTIFS('Esecuzioni'!$A$8:$A$1007,A403,'Esecuzioni'!$Q$8:$Q$1007,"OK"))</x:f>
      </x:c>
      <x:c r="X403" s="20" t="str">
        <x:f>IF(OR(A403="",I403&lt;&gt;"Esecuzioni",W403=0),"",SUMIFS('Esecuzioni'!$L$8:$L$1007,'Esecuzioni'!$A$8:$A$1007,A403))</x:f>
      </x:c>
      <x:c r="Y403" s="20" t="str">
        <x:f>IF(OR(A403="",I403&lt;&gt;"Esecuzioni",W403=0),"",SUMIFS('Esecuzioni'!$M$8:$M$1007,'Esecuzioni'!$A$8:$A$1007,A403))</x:f>
      </x:c>
      <x:c r="Z403" s="20" t="str">
        <x:f>IF(A403="","",IF(J403="Annullato",0,IF(ISNUMBER(O403),O403,IF(AND(I403="Esecuzioni",W403&gt;0),_xlfn.MAXIFS('Esecuzioni'!$P$8:$P$1007,'Esecuzioni'!$A$8:$A$1007,A403),""))))</x:f>
      </x:c>
      <x:c r="AA403" s="20" t="str">
        <x:f>IF(OR(A403="",J403="Aperto"),"",IF(J403="Annullato",0,IF(I403="Lordo manuale",IF(ISNUMBER(P403),P403,""),IF(I403="Netto manuale",IF(AND(ISNUMBER(P403),ISNUMBER(Q403)),P403+Q403,""),IF(OR(W403=0,COUNTIFS('Esecuzioni'!$A$8:$A$1007,A403,'Esecuzioni'!$Q$8:$Q$1007,"&lt;&gt;OK")&gt;0),"",IF(S403="Vince",X403,IF(S403="Perde",Y403,IF(AND(S403="Coperto",ABS(X403-Y403)&lt;='Impostazioni'!$B$11),ROUND((X403+Y403)/2,2),""))))))))</x:f>
      </x:c>
      <x:c r="AB403" s="20" t="str">
        <x:f>IF(NOT(ISNUMBER(AA403)),"",IF(J403="Annullato",0,IF(ISNUMBER(Q403),Q403,ROUND(MAX(0,AA403)*IF(ISNUMBER(R403),R403,'Impostazioni'!$B$8),2))))</x:f>
      </x:c>
      <x:c r="AC403" s="20" t="str">
        <x:f>IF(AND(ISNUMBER(AA403),ISNUMBER(AB403)),ROUND(AA403-AB403,2),"")</x:f>
      </x:c>
      <x:c r="AD403" s="18" t="str">
        <x:f>IF(A403="","",IF(AQ403&lt;&gt;"OK","Incompleto",IF(J403="Aperto","Aperto",IF(J403="Annullato","Annullato",IF(AC403&gt;0,"Green",IF(AC403&lt;0,"Red","Flat"))))))</x:f>
      </x:c>
      <x:c r="AE403" s="21" t="str">
        <x:f>IF(AND(AH403=1,Z403&gt;0),AC403/Z403,"")</x:f>
      </x:c>
      <x:c r="AF403" s="22" t="str">
        <x:f>IF(AH403&lt;&gt;1,"",COUNTIFS($C$8:$C$507,"&lt;"&amp;C403,$AH$8:$AH$507,1)+COUNTIFS($C$8:$C$507,C403,$A$8:$A$507,"&lt;="&amp;A403,$AH$8:$AH$507,1))</x:f>
      </x:c>
      <x:c r="AG403" s="20" t="str">
        <x:f>IF(AH403&lt;&gt;1,"",SUMIFS($AC$8:$AC$507,$C$8:$C$507,"&lt;"&amp;C403,$AH$8:$AH$507,1)+SUMIFS($AC$8:$AC$507,$C$8:$C$507,C403,$A$8:$A$507,"&lt;="&amp;A403,$AH$8:$AH$507,1))</x:f>
      </x:c>
      <x:c r="AH403" s="22" t="str">
        <x:f>IF(A403="","",IF(AND(J403="Chiuso",AQ403="OK",ISNUMBER(AC403)),1,0))</x:f>
      </x:c>
      <x:c r="AI403" s="20" t="str">
        <x:f>IF(AH403&lt;&gt;1,"",MAX(0,_xlfn.MAXIFS($AG$8:$AG$507,$AF$8:$AF$507,"&lt;="&amp;AF403,$AH$8:$AH$507,1)))</x:f>
      </x:c>
      <x:c r="AJ403" s="20" t="str">
        <x:f>IF(AH403&lt;&gt;1,"",MAX(0,AI403-AG403))</x:f>
      </x:c>
      <x:c r="AK403" s="21" t="str">
        <x:f>IF(OR(AH403&lt;&gt;1,NOT(ISNUMBER('Impostazioni'!$B$6)),'Impostazioni'!$B$6+AI403&lt;=0),"",AJ403/('Impostazioni'!$B$6+AI403))</x:f>
      </x:c>
      <x:c r="AL403" s="22" t="str">
        <x:f>IF(AH403&lt;&gt;1,"",IF(AC403&gt;0,AF403-_xlfn.MAXIFS($AF$8:$AF$507,$AF$8:$AF$507,"&lt;="&amp;AF403,$AC$8:$AC$507,"&lt;=0",$AH$8:$AH$507,1),0))</x:f>
      </x:c>
      <x:c r="AM403" s="22" t="str">
        <x:f>IF(AH403&lt;&gt;1,"",IF(AC403&lt;0,AF403-_xlfn.MAXIFS($AF$8:$AF$507,$AF$8:$AF$507,"&lt;="&amp;AF403,$AC$8:$AC$507,"&gt;=0",$AH$8:$AH$507,1),0))</x:f>
      </x:c>
      <x:c r="AN403" s="20" t="str">
        <x:f>IF(OR(A403="",NOT(ISNUMBER(B403)),NOT(ISNUMBER('Impostazioni'!$B$6))),"",'Impostazioni'!$B$6+SUMIFS($AC$8:$AC$507,$C$8:$C$507,"&lt;"&amp;B403,$AH$8:$AH$507,1)+SUMIFS('Cassa'!$F$8:$F$307,'Cassa'!$A$8:$A$307,"&lt;="&amp;B403,'Cassa'!$G$8:$G$307,"OK"))</x:f>
      </x:c>
      <x:c r="AO403" s="21" t="str">
        <x:f>IF(AND(ISNUMBER(Z403),ISNUMBER(AN403),AN403&gt;0),Z403/AN403,"")</x:f>
      </x:c>
      <x:c r="AP403" s="18" t="str">
        <x:f>IF(NOT(ISNUMBER(AO403)),"",IF(AO403&gt;'Impostazioni'!$B$7,"Oltre soglia personale","Nella soglia personale"))</x:f>
      </x:c>
      <x:c r="AQ403" s="18" t="str">
        <x:f>IF(A403="",IF(COUNTA(B403:V403)=0,"","Inserisci ID"),IF(COUNTIFS($A$8:$A$507,A403)&lt;&gt;1,"ID duplicato",IF(OR(NOT(ISNUMBER(B403)),D403="",E403="",F403="",G403="",H403="",COUNTIFS('Impostazioni'!$J$6:$J$25,F403)&lt;&gt;1),"Completa dati / elenchi",IF(OR(AND(I403&lt;&gt;"Lordo manuale",I403&lt;&gt;"Netto manuale",I403&lt;&gt;"Esecuzioni"),AND(J403&lt;&gt;"Aperto",J403&lt;&gt;"Chiuso",J403&lt;&gt;"Annullato")),"Modalità / stato mancanti",IF(AND(J403&lt;&gt;"Aperto",OR(NOT(ISNUMBER(C403)),C403&lt;B403)),"Correggi data chiusura",IF(OR(AND(Q403&lt;&gt;"",OR(NOT(ISNUMBER(Q403)),Q403&lt;0)),AND(R403&lt;&gt;"",OR(NOT(ISNUMBER(R403)),R403&lt;0,R403&gt;1))),"Commissione non valida",IF(J403="Annullato","OK",IF(OR(NOT(ISNUMBER(Z403)),Z403&lt;0,AND(O403&lt;&gt;"",NOT(ISNUMBER(O403)))),"Inserisci rischio",IF(AND(I403="Esecuzioni",OR(W403=0,COUNTIFS('Esecuzioni'!$A$8:$A$1007,A403,'Esecuzioni'!$Q$8:$Q$1007,"&lt;&gt;OK")&gt;0)),"Correggi esecuzioni",IF(J403="Aperto","OK",IF(AND(I403="Esecuzioni",S403="Coperto",ABS(X403-Y403)&gt;'Impostazioni'!$B$11),"Copertura residua",IF(NOT(ISNUMBER(AC403)),"Completa risultato / esito",IF(AND(Z403=0,AC403&lt;&gt;0),"Rischio nullo con P/L","OK")))))))))))))</x:f>
      </x:c>
      <x:c r="AR403" s="20" t="str">
        <x:f>IF(OR(A403="",J403&lt;&gt;"Aperto",AQ403&lt;&gt;"OK"),"",IF(I403="Esecuzioni",SUMIFS('Esecuzioni'!$P$8:$P$1007,'Esecuzioni'!$A$8:$A$1007,A403,'Esecuzioni'!$B$8:$B$1007,_xlfn.MAXIFS('Esecuzioni'!$B$8:$B$1007,'Esecuzioni'!$A$8:$A$1007,A403)),IF(LEFT(U403,8)="FREEBET:",0,Z403)))</x:f>
      </x:c>
      <x:c r="AS403" s="48" t="str">
        <x:f>IF(OR(A403="",E403=""),"",IF(COUNTIFS($E$8:E403,E403)=1,COUNT($AS$7:AS402)+1,""))</x:f>
      </x:c>
    </x:row>
    <x:row r="404" ht="22" customHeight="1">
      <x:c r="A404" s="7"/>
      <x:c r="B404" s="19"/>
      <x:c r="C404" s="19"/>
      <x:c r="D404" s="7"/>
      <x:c r="E404" s="7"/>
      <x:c r="F404" s="7"/>
      <x:c r="G404" s="7"/>
      <x:c r="H404" s="7"/>
      <x:c r="I404" s="7"/>
      <x:c r="J404" s="7"/>
      <x:c r="K404" s="10"/>
      <x:c r="L404" s="7"/>
      <x:c r="M404" s="10"/>
      <x:c r="N404" s="7"/>
      <x:c r="O404" s="8"/>
      <x:c r="P404" s="8"/>
      <x:c r="Q404" s="8"/>
      <x:c r="R404" s="9"/>
      <x:c r="S404" s="7"/>
      <x:c r="T404" s="7"/>
      <x:c r="U404" s="7"/>
      <x:c r="V404" s="7"/>
      <x:c r="W404" s="22" t="str">
        <x:f>IF(A404="","",COUNTIFS('Esecuzioni'!$A$8:$A$1007,A404,'Esecuzioni'!$Q$8:$Q$1007,"OK"))</x:f>
      </x:c>
      <x:c r="X404" s="20" t="str">
        <x:f>IF(OR(A404="",I404&lt;&gt;"Esecuzioni",W404=0),"",SUMIFS('Esecuzioni'!$L$8:$L$1007,'Esecuzioni'!$A$8:$A$1007,A404))</x:f>
      </x:c>
      <x:c r="Y404" s="20" t="str">
        <x:f>IF(OR(A404="",I404&lt;&gt;"Esecuzioni",W404=0),"",SUMIFS('Esecuzioni'!$M$8:$M$1007,'Esecuzioni'!$A$8:$A$1007,A404))</x:f>
      </x:c>
      <x:c r="Z404" s="20" t="str">
        <x:f>IF(A404="","",IF(J404="Annullato",0,IF(ISNUMBER(O404),O404,IF(AND(I404="Esecuzioni",W404&gt;0),_xlfn.MAXIFS('Esecuzioni'!$P$8:$P$1007,'Esecuzioni'!$A$8:$A$1007,A404),""))))</x:f>
      </x:c>
      <x:c r="AA404" s="20" t="str">
        <x:f>IF(OR(A404="",J404="Aperto"),"",IF(J404="Annullato",0,IF(I404="Lordo manuale",IF(ISNUMBER(P404),P404,""),IF(I404="Netto manuale",IF(AND(ISNUMBER(P404),ISNUMBER(Q404)),P404+Q404,""),IF(OR(W404=0,COUNTIFS('Esecuzioni'!$A$8:$A$1007,A404,'Esecuzioni'!$Q$8:$Q$1007,"&lt;&gt;OK")&gt;0),"",IF(S404="Vince",X404,IF(S404="Perde",Y404,IF(AND(S404="Coperto",ABS(X404-Y404)&lt;='Impostazioni'!$B$11),ROUND((X404+Y404)/2,2),""))))))))</x:f>
      </x:c>
      <x:c r="AB404" s="20" t="str">
        <x:f>IF(NOT(ISNUMBER(AA404)),"",IF(J404="Annullato",0,IF(ISNUMBER(Q404),Q404,ROUND(MAX(0,AA404)*IF(ISNUMBER(R404),R404,'Impostazioni'!$B$8),2))))</x:f>
      </x:c>
      <x:c r="AC404" s="20" t="str">
        <x:f>IF(AND(ISNUMBER(AA404),ISNUMBER(AB404)),ROUND(AA404-AB404,2),"")</x:f>
      </x:c>
      <x:c r="AD404" s="18" t="str">
        <x:f>IF(A404="","",IF(AQ404&lt;&gt;"OK","Incompleto",IF(J404="Aperto","Aperto",IF(J404="Annullato","Annullato",IF(AC404&gt;0,"Green",IF(AC404&lt;0,"Red","Flat"))))))</x:f>
      </x:c>
      <x:c r="AE404" s="21" t="str">
        <x:f>IF(AND(AH404=1,Z404&gt;0),AC404/Z404,"")</x:f>
      </x:c>
      <x:c r="AF404" s="22" t="str">
        <x:f>IF(AH404&lt;&gt;1,"",COUNTIFS($C$8:$C$507,"&lt;"&amp;C404,$AH$8:$AH$507,1)+COUNTIFS($C$8:$C$507,C404,$A$8:$A$507,"&lt;="&amp;A404,$AH$8:$AH$507,1))</x:f>
      </x:c>
      <x:c r="AG404" s="20" t="str">
        <x:f>IF(AH404&lt;&gt;1,"",SUMIFS($AC$8:$AC$507,$C$8:$C$507,"&lt;"&amp;C404,$AH$8:$AH$507,1)+SUMIFS($AC$8:$AC$507,$C$8:$C$507,C404,$A$8:$A$507,"&lt;="&amp;A404,$AH$8:$AH$507,1))</x:f>
      </x:c>
      <x:c r="AH404" s="22" t="str">
        <x:f>IF(A404="","",IF(AND(J404="Chiuso",AQ404="OK",ISNUMBER(AC404)),1,0))</x:f>
      </x:c>
      <x:c r="AI404" s="20" t="str">
        <x:f>IF(AH404&lt;&gt;1,"",MAX(0,_xlfn.MAXIFS($AG$8:$AG$507,$AF$8:$AF$507,"&lt;="&amp;AF404,$AH$8:$AH$507,1)))</x:f>
      </x:c>
      <x:c r="AJ404" s="20" t="str">
        <x:f>IF(AH404&lt;&gt;1,"",MAX(0,AI404-AG404))</x:f>
      </x:c>
      <x:c r="AK404" s="21" t="str">
        <x:f>IF(OR(AH404&lt;&gt;1,NOT(ISNUMBER('Impostazioni'!$B$6)),'Impostazioni'!$B$6+AI404&lt;=0),"",AJ404/('Impostazioni'!$B$6+AI404))</x:f>
      </x:c>
      <x:c r="AL404" s="22" t="str">
        <x:f>IF(AH404&lt;&gt;1,"",IF(AC404&gt;0,AF404-_xlfn.MAXIFS($AF$8:$AF$507,$AF$8:$AF$507,"&lt;="&amp;AF404,$AC$8:$AC$507,"&lt;=0",$AH$8:$AH$507,1),0))</x:f>
      </x:c>
      <x:c r="AM404" s="22" t="str">
        <x:f>IF(AH404&lt;&gt;1,"",IF(AC404&lt;0,AF404-_xlfn.MAXIFS($AF$8:$AF$507,$AF$8:$AF$507,"&lt;="&amp;AF404,$AC$8:$AC$507,"&gt;=0",$AH$8:$AH$507,1),0))</x:f>
      </x:c>
      <x:c r="AN404" s="20" t="str">
        <x:f>IF(OR(A404="",NOT(ISNUMBER(B404)),NOT(ISNUMBER('Impostazioni'!$B$6))),"",'Impostazioni'!$B$6+SUMIFS($AC$8:$AC$507,$C$8:$C$507,"&lt;"&amp;B404,$AH$8:$AH$507,1)+SUMIFS('Cassa'!$F$8:$F$307,'Cassa'!$A$8:$A$307,"&lt;="&amp;B404,'Cassa'!$G$8:$G$307,"OK"))</x:f>
      </x:c>
      <x:c r="AO404" s="21" t="str">
        <x:f>IF(AND(ISNUMBER(Z404),ISNUMBER(AN404),AN404&gt;0),Z404/AN404,"")</x:f>
      </x:c>
      <x:c r="AP404" s="18" t="str">
        <x:f>IF(NOT(ISNUMBER(AO404)),"",IF(AO404&gt;'Impostazioni'!$B$7,"Oltre soglia personale","Nella soglia personale"))</x:f>
      </x:c>
      <x:c r="AQ404" s="18" t="str">
        <x:f>IF(A404="",IF(COUNTA(B404:V404)=0,"","Inserisci ID"),IF(COUNTIFS($A$8:$A$507,A404)&lt;&gt;1,"ID duplicato",IF(OR(NOT(ISNUMBER(B404)),D404="",E404="",F404="",G404="",H404="",COUNTIFS('Impostazioni'!$J$6:$J$25,F404)&lt;&gt;1),"Completa dati / elenchi",IF(OR(AND(I404&lt;&gt;"Lordo manuale",I404&lt;&gt;"Netto manuale",I404&lt;&gt;"Esecuzioni"),AND(J404&lt;&gt;"Aperto",J404&lt;&gt;"Chiuso",J404&lt;&gt;"Annullato")),"Modalità / stato mancanti",IF(AND(J404&lt;&gt;"Aperto",OR(NOT(ISNUMBER(C404)),C404&lt;B404)),"Correggi data chiusura",IF(OR(AND(Q404&lt;&gt;"",OR(NOT(ISNUMBER(Q404)),Q404&lt;0)),AND(R404&lt;&gt;"",OR(NOT(ISNUMBER(R404)),R404&lt;0,R404&gt;1))),"Commissione non valida",IF(J404="Annullato","OK",IF(OR(NOT(ISNUMBER(Z404)),Z404&lt;0,AND(O404&lt;&gt;"",NOT(ISNUMBER(O404)))),"Inserisci rischio",IF(AND(I404="Esecuzioni",OR(W404=0,COUNTIFS('Esecuzioni'!$A$8:$A$1007,A404,'Esecuzioni'!$Q$8:$Q$1007,"&lt;&gt;OK")&gt;0)),"Correggi esecuzioni",IF(J404="Aperto","OK",IF(AND(I404="Esecuzioni",S404="Coperto",ABS(X404-Y404)&gt;'Impostazioni'!$B$11),"Copertura residua",IF(NOT(ISNUMBER(AC404)),"Completa risultato / esito",IF(AND(Z404=0,AC404&lt;&gt;0),"Rischio nullo con P/L","OK")))))))))))))</x:f>
      </x:c>
      <x:c r="AR404" s="20" t="str">
        <x:f>IF(OR(A404="",J404&lt;&gt;"Aperto",AQ404&lt;&gt;"OK"),"",IF(I404="Esecuzioni",SUMIFS('Esecuzioni'!$P$8:$P$1007,'Esecuzioni'!$A$8:$A$1007,A404,'Esecuzioni'!$B$8:$B$1007,_xlfn.MAXIFS('Esecuzioni'!$B$8:$B$1007,'Esecuzioni'!$A$8:$A$1007,A404)),IF(LEFT(U404,8)="FREEBET:",0,Z404)))</x:f>
      </x:c>
      <x:c r="AS404" s="48" t="str">
        <x:f>IF(OR(A404="",E404=""),"",IF(COUNTIFS($E$8:E404,E404)=1,COUNT($AS$7:AS403)+1,""))</x:f>
      </x:c>
    </x:row>
    <x:row r="405" ht="22" customHeight="1">
      <x:c r="A405" s="7"/>
      <x:c r="B405" s="19"/>
      <x:c r="C405" s="19"/>
      <x:c r="D405" s="7"/>
      <x:c r="E405" s="7"/>
      <x:c r="F405" s="7"/>
      <x:c r="G405" s="7"/>
      <x:c r="H405" s="7"/>
      <x:c r="I405" s="7"/>
      <x:c r="J405" s="7"/>
      <x:c r="K405" s="10"/>
      <x:c r="L405" s="7"/>
      <x:c r="M405" s="10"/>
      <x:c r="N405" s="7"/>
      <x:c r="O405" s="8"/>
      <x:c r="P405" s="8"/>
      <x:c r="Q405" s="8"/>
      <x:c r="R405" s="9"/>
      <x:c r="S405" s="7"/>
      <x:c r="T405" s="7"/>
      <x:c r="U405" s="7"/>
      <x:c r="V405" s="7"/>
      <x:c r="W405" s="22" t="str">
        <x:f>IF(A405="","",COUNTIFS('Esecuzioni'!$A$8:$A$1007,A405,'Esecuzioni'!$Q$8:$Q$1007,"OK"))</x:f>
      </x:c>
      <x:c r="X405" s="20" t="str">
        <x:f>IF(OR(A405="",I405&lt;&gt;"Esecuzioni",W405=0),"",SUMIFS('Esecuzioni'!$L$8:$L$1007,'Esecuzioni'!$A$8:$A$1007,A405))</x:f>
      </x:c>
      <x:c r="Y405" s="20" t="str">
        <x:f>IF(OR(A405="",I405&lt;&gt;"Esecuzioni",W405=0),"",SUMIFS('Esecuzioni'!$M$8:$M$1007,'Esecuzioni'!$A$8:$A$1007,A405))</x:f>
      </x:c>
      <x:c r="Z405" s="20" t="str">
        <x:f>IF(A405="","",IF(J405="Annullato",0,IF(ISNUMBER(O405),O405,IF(AND(I405="Esecuzioni",W405&gt;0),_xlfn.MAXIFS('Esecuzioni'!$P$8:$P$1007,'Esecuzioni'!$A$8:$A$1007,A405),""))))</x:f>
      </x:c>
      <x:c r="AA405" s="20" t="str">
        <x:f>IF(OR(A405="",J405="Aperto"),"",IF(J405="Annullato",0,IF(I405="Lordo manuale",IF(ISNUMBER(P405),P405,""),IF(I405="Netto manuale",IF(AND(ISNUMBER(P405),ISNUMBER(Q405)),P405+Q405,""),IF(OR(W405=0,COUNTIFS('Esecuzioni'!$A$8:$A$1007,A405,'Esecuzioni'!$Q$8:$Q$1007,"&lt;&gt;OK")&gt;0),"",IF(S405="Vince",X405,IF(S405="Perde",Y405,IF(AND(S405="Coperto",ABS(X405-Y405)&lt;='Impostazioni'!$B$11),ROUND((X405+Y405)/2,2),""))))))))</x:f>
      </x:c>
      <x:c r="AB405" s="20" t="str">
        <x:f>IF(NOT(ISNUMBER(AA405)),"",IF(J405="Annullato",0,IF(ISNUMBER(Q405),Q405,ROUND(MAX(0,AA405)*IF(ISNUMBER(R405),R405,'Impostazioni'!$B$8),2))))</x:f>
      </x:c>
      <x:c r="AC405" s="20" t="str">
        <x:f>IF(AND(ISNUMBER(AA405),ISNUMBER(AB405)),ROUND(AA405-AB405,2),"")</x:f>
      </x:c>
      <x:c r="AD405" s="18" t="str">
        <x:f>IF(A405="","",IF(AQ405&lt;&gt;"OK","Incompleto",IF(J405="Aperto","Aperto",IF(J405="Annullato","Annullato",IF(AC405&gt;0,"Green",IF(AC405&lt;0,"Red","Flat"))))))</x:f>
      </x:c>
      <x:c r="AE405" s="21" t="str">
        <x:f>IF(AND(AH405=1,Z405&gt;0),AC405/Z405,"")</x:f>
      </x:c>
      <x:c r="AF405" s="22" t="str">
        <x:f>IF(AH405&lt;&gt;1,"",COUNTIFS($C$8:$C$507,"&lt;"&amp;C405,$AH$8:$AH$507,1)+COUNTIFS($C$8:$C$507,C405,$A$8:$A$507,"&lt;="&amp;A405,$AH$8:$AH$507,1))</x:f>
      </x:c>
      <x:c r="AG405" s="20" t="str">
        <x:f>IF(AH405&lt;&gt;1,"",SUMIFS($AC$8:$AC$507,$C$8:$C$507,"&lt;"&amp;C405,$AH$8:$AH$507,1)+SUMIFS($AC$8:$AC$507,$C$8:$C$507,C405,$A$8:$A$507,"&lt;="&amp;A405,$AH$8:$AH$507,1))</x:f>
      </x:c>
      <x:c r="AH405" s="22" t="str">
        <x:f>IF(A405="","",IF(AND(J405="Chiuso",AQ405="OK",ISNUMBER(AC405)),1,0))</x:f>
      </x:c>
      <x:c r="AI405" s="20" t="str">
        <x:f>IF(AH405&lt;&gt;1,"",MAX(0,_xlfn.MAXIFS($AG$8:$AG$507,$AF$8:$AF$507,"&lt;="&amp;AF405,$AH$8:$AH$507,1)))</x:f>
      </x:c>
      <x:c r="AJ405" s="20" t="str">
        <x:f>IF(AH405&lt;&gt;1,"",MAX(0,AI405-AG405))</x:f>
      </x:c>
      <x:c r="AK405" s="21" t="str">
        <x:f>IF(OR(AH405&lt;&gt;1,NOT(ISNUMBER('Impostazioni'!$B$6)),'Impostazioni'!$B$6+AI405&lt;=0),"",AJ405/('Impostazioni'!$B$6+AI405))</x:f>
      </x:c>
      <x:c r="AL405" s="22" t="str">
        <x:f>IF(AH405&lt;&gt;1,"",IF(AC405&gt;0,AF405-_xlfn.MAXIFS($AF$8:$AF$507,$AF$8:$AF$507,"&lt;="&amp;AF405,$AC$8:$AC$507,"&lt;=0",$AH$8:$AH$507,1),0))</x:f>
      </x:c>
      <x:c r="AM405" s="22" t="str">
        <x:f>IF(AH405&lt;&gt;1,"",IF(AC405&lt;0,AF405-_xlfn.MAXIFS($AF$8:$AF$507,$AF$8:$AF$507,"&lt;="&amp;AF405,$AC$8:$AC$507,"&gt;=0",$AH$8:$AH$507,1),0))</x:f>
      </x:c>
      <x:c r="AN405" s="20" t="str">
        <x:f>IF(OR(A405="",NOT(ISNUMBER(B405)),NOT(ISNUMBER('Impostazioni'!$B$6))),"",'Impostazioni'!$B$6+SUMIFS($AC$8:$AC$507,$C$8:$C$507,"&lt;"&amp;B405,$AH$8:$AH$507,1)+SUMIFS('Cassa'!$F$8:$F$307,'Cassa'!$A$8:$A$307,"&lt;="&amp;B405,'Cassa'!$G$8:$G$307,"OK"))</x:f>
      </x:c>
      <x:c r="AO405" s="21" t="str">
        <x:f>IF(AND(ISNUMBER(Z405),ISNUMBER(AN405),AN405&gt;0),Z405/AN405,"")</x:f>
      </x:c>
      <x:c r="AP405" s="18" t="str">
        <x:f>IF(NOT(ISNUMBER(AO405)),"",IF(AO405&gt;'Impostazioni'!$B$7,"Oltre soglia personale","Nella soglia personale"))</x:f>
      </x:c>
      <x:c r="AQ405" s="18" t="str">
        <x:f>IF(A405="",IF(COUNTA(B405:V405)=0,"","Inserisci ID"),IF(COUNTIFS($A$8:$A$507,A405)&lt;&gt;1,"ID duplicato",IF(OR(NOT(ISNUMBER(B405)),D405="",E405="",F405="",G405="",H405="",COUNTIFS('Impostazioni'!$J$6:$J$25,F405)&lt;&gt;1),"Completa dati / elenchi",IF(OR(AND(I405&lt;&gt;"Lordo manuale",I405&lt;&gt;"Netto manuale",I405&lt;&gt;"Esecuzioni"),AND(J405&lt;&gt;"Aperto",J405&lt;&gt;"Chiuso",J405&lt;&gt;"Annullato")),"Modalità / stato mancanti",IF(AND(J405&lt;&gt;"Aperto",OR(NOT(ISNUMBER(C405)),C405&lt;B405)),"Correggi data chiusura",IF(OR(AND(Q405&lt;&gt;"",OR(NOT(ISNUMBER(Q405)),Q405&lt;0)),AND(R405&lt;&gt;"",OR(NOT(ISNUMBER(R405)),R405&lt;0,R405&gt;1))),"Commissione non valida",IF(J405="Annullato","OK",IF(OR(NOT(ISNUMBER(Z405)),Z405&lt;0,AND(O405&lt;&gt;"",NOT(ISNUMBER(O405)))),"Inserisci rischio",IF(AND(I405="Esecuzioni",OR(W405=0,COUNTIFS('Esecuzioni'!$A$8:$A$1007,A405,'Esecuzioni'!$Q$8:$Q$1007,"&lt;&gt;OK")&gt;0)),"Correggi esecuzioni",IF(J405="Aperto","OK",IF(AND(I405="Esecuzioni",S405="Coperto",ABS(X405-Y405)&gt;'Impostazioni'!$B$11),"Copertura residua",IF(NOT(ISNUMBER(AC405)),"Completa risultato / esito",IF(AND(Z405=0,AC405&lt;&gt;0),"Rischio nullo con P/L","OK")))))))))))))</x:f>
      </x:c>
      <x:c r="AR405" s="20" t="str">
        <x:f>IF(OR(A405="",J405&lt;&gt;"Aperto",AQ405&lt;&gt;"OK"),"",IF(I405="Esecuzioni",SUMIFS('Esecuzioni'!$P$8:$P$1007,'Esecuzioni'!$A$8:$A$1007,A405,'Esecuzioni'!$B$8:$B$1007,_xlfn.MAXIFS('Esecuzioni'!$B$8:$B$1007,'Esecuzioni'!$A$8:$A$1007,A405)),IF(LEFT(U405,8)="FREEBET:",0,Z405)))</x:f>
      </x:c>
      <x:c r="AS405" s="48" t="str">
        <x:f>IF(OR(A405="",E405=""),"",IF(COUNTIFS($E$8:E405,E405)=1,COUNT($AS$7:AS404)+1,""))</x:f>
      </x:c>
    </x:row>
    <x:row r="406" ht="22" customHeight="1">
      <x:c r="A406" s="7"/>
      <x:c r="B406" s="19"/>
      <x:c r="C406" s="19"/>
      <x:c r="D406" s="7"/>
      <x:c r="E406" s="7"/>
      <x:c r="F406" s="7"/>
      <x:c r="G406" s="7"/>
      <x:c r="H406" s="7"/>
      <x:c r="I406" s="7"/>
      <x:c r="J406" s="7"/>
      <x:c r="K406" s="10"/>
      <x:c r="L406" s="7"/>
      <x:c r="M406" s="10"/>
      <x:c r="N406" s="7"/>
      <x:c r="O406" s="8"/>
      <x:c r="P406" s="8"/>
      <x:c r="Q406" s="8"/>
      <x:c r="R406" s="9"/>
      <x:c r="S406" s="7"/>
      <x:c r="T406" s="7"/>
      <x:c r="U406" s="7"/>
      <x:c r="V406" s="7"/>
      <x:c r="W406" s="22" t="str">
        <x:f>IF(A406="","",COUNTIFS('Esecuzioni'!$A$8:$A$1007,A406,'Esecuzioni'!$Q$8:$Q$1007,"OK"))</x:f>
      </x:c>
      <x:c r="X406" s="20" t="str">
        <x:f>IF(OR(A406="",I406&lt;&gt;"Esecuzioni",W406=0),"",SUMIFS('Esecuzioni'!$L$8:$L$1007,'Esecuzioni'!$A$8:$A$1007,A406))</x:f>
      </x:c>
      <x:c r="Y406" s="20" t="str">
        <x:f>IF(OR(A406="",I406&lt;&gt;"Esecuzioni",W406=0),"",SUMIFS('Esecuzioni'!$M$8:$M$1007,'Esecuzioni'!$A$8:$A$1007,A406))</x:f>
      </x:c>
      <x:c r="Z406" s="20" t="str">
        <x:f>IF(A406="","",IF(J406="Annullato",0,IF(ISNUMBER(O406),O406,IF(AND(I406="Esecuzioni",W406&gt;0),_xlfn.MAXIFS('Esecuzioni'!$P$8:$P$1007,'Esecuzioni'!$A$8:$A$1007,A406),""))))</x:f>
      </x:c>
      <x:c r="AA406" s="20" t="str">
        <x:f>IF(OR(A406="",J406="Aperto"),"",IF(J406="Annullato",0,IF(I406="Lordo manuale",IF(ISNUMBER(P406),P406,""),IF(I406="Netto manuale",IF(AND(ISNUMBER(P406),ISNUMBER(Q406)),P406+Q406,""),IF(OR(W406=0,COUNTIFS('Esecuzioni'!$A$8:$A$1007,A406,'Esecuzioni'!$Q$8:$Q$1007,"&lt;&gt;OK")&gt;0),"",IF(S406="Vince",X406,IF(S406="Perde",Y406,IF(AND(S406="Coperto",ABS(X406-Y406)&lt;='Impostazioni'!$B$11),ROUND((X406+Y406)/2,2),""))))))))</x:f>
      </x:c>
      <x:c r="AB406" s="20" t="str">
        <x:f>IF(NOT(ISNUMBER(AA406)),"",IF(J406="Annullato",0,IF(ISNUMBER(Q406),Q406,ROUND(MAX(0,AA406)*IF(ISNUMBER(R406),R406,'Impostazioni'!$B$8),2))))</x:f>
      </x:c>
      <x:c r="AC406" s="20" t="str">
        <x:f>IF(AND(ISNUMBER(AA406),ISNUMBER(AB406)),ROUND(AA406-AB406,2),"")</x:f>
      </x:c>
      <x:c r="AD406" s="18" t="str">
        <x:f>IF(A406="","",IF(AQ406&lt;&gt;"OK","Incompleto",IF(J406="Aperto","Aperto",IF(J406="Annullato","Annullato",IF(AC406&gt;0,"Green",IF(AC406&lt;0,"Red","Flat"))))))</x:f>
      </x:c>
      <x:c r="AE406" s="21" t="str">
        <x:f>IF(AND(AH406=1,Z406&gt;0),AC406/Z406,"")</x:f>
      </x:c>
      <x:c r="AF406" s="22" t="str">
        <x:f>IF(AH406&lt;&gt;1,"",COUNTIFS($C$8:$C$507,"&lt;"&amp;C406,$AH$8:$AH$507,1)+COUNTIFS($C$8:$C$507,C406,$A$8:$A$507,"&lt;="&amp;A406,$AH$8:$AH$507,1))</x:f>
      </x:c>
      <x:c r="AG406" s="20" t="str">
        <x:f>IF(AH406&lt;&gt;1,"",SUMIFS($AC$8:$AC$507,$C$8:$C$507,"&lt;"&amp;C406,$AH$8:$AH$507,1)+SUMIFS($AC$8:$AC$507,$C$8:$C$507,C406,$A$8:$A$507,"&lt;="&amp;A406,$AH$8:$AH$507,1))</x:f>
      </x:c>
      <x:c r="AH406" s="22" t="str">
        <x:f>IF(A406="","",IF(AND(J406="Chiuso",AQ406="OK",ISNUMBER(AC406)),1,0))</x:f>
      </x:c>
      <x:c r="AI406" s="20" t="str">
        <x:f>IF(AH406&lt;&gt;1,"",MAX(0,_xlfn.MAXIFS($AG$8:$AG$507,$AF$8:$AF$507,"&lt;="&amp;AF406,$AH$8:$AH$507,1)))</x:f>
      </x:c>
      <x:c r="AJ406" s="20" t="str">
        <x:f>IF(AH406&lt;&gt;1,"",MAX(0,AI406-AG406))</x:f>
      </x:c>
      <x:c r="AK406" s="21" t="str">
        <x:f>IF(OR(AH406&lt;&gt;1,NOT(ISNUMBER('Impostazioni'!$B$6)),'Impostazioni'!$B$6+AI406&lt;=0),"",AJ406/('Impostazioni'!$B$6+AI406))</x:f>
      </x:c>
      <x:c r="AL406" s="22" t="str">
        <x:f>IF(AH406&lt;&gt;1,"",IF(AC406&gt;0,AF406-_xlfn.MAXIFS($AF$8:$AF$507,$AF$8:$AF$507,"&lt;="&amp;AF406,$AC$8:$AC$507,"&lt;=0",$AH$8:$AH$507,1),0))</x:f>
      </x:c>
      <x:c r="AM406" s="22" t="str">
        <x:f>IF(AH406&lt;&gt;1,"",IF(AC406&lt;0,AF406-_xlfn.MAXIFS($AF$8:$AF$507,$AF$8:$AF$507,"&lt;="&amp;AF406,$AC$8:$AC$507,"&gt;=0",$AH$8:$AH$507,1),0))</x:f>
      </x:c>
      <x:c r="AN406" s="20" t="str">
        <x:f>IF(OR(A406="",NOT(ISNUMBER(B406)),NOT(ISNUMBER('Impostazioni'!$B$6))),"",'Impostazioni'!$B$6+SUMIFS($AC$8:$AC$507,$C$8:$C$507,"&lt;"&amp;B406,$AH$8:$AH$507,1)+SUMIFS('Cassa'!$F$8:$F$307,'Cassa'!$A$8:$A$307,"&lt;="&amp;B406,'Cassa'!$G$8:$G$307,"OK"))</x:f>
      </x:c>
      <x:c r="AO406" s="21" t="str">
        <x:f>IF(AND(ISNUMBER(Z406),ISNUMBER(AN406),AN406&gt;0),Z406/AN406,"")</x:f>
      </x:c>
      <x:c r="AP406" s="18" t="str">
        <x:f>IF(NOT(ISNUMBER(AO406)),"",IF(AO406&gt;'Impostazioni'!$B$7,"Oltre soglia personale","Nella soglia personale"))</x:f>
      </x:c>
      <x:c r="AQ406" s="18" t="str">
        <x:f>IF(A406="",IF(COUNTA(B406:V406)=0,"","Inserisci ID"),IF(COUNTIFS($A$8:$A$507,A406)&lt;&gt;1,"ID duplicato",IF(OR(NOT(ISNUMBER(B406)),D406="",E406="",F406="",G406="",H406="",COUNTIFS('Impostazioni'!$J$6:$J$25,F406)&lt;&gt;1),"Completa dati / elenchi",IF(OR(AND(I406&lt;&gt;"Lordo manuale",I406&lt;&gt;"Netto manuale",I406&lt;&gt;"Esecuzioni"),AND(J406&lt;&gt;"Aperto",J406&lt;&gt;"Chiuso",J406&lt;&gt;"Annullato")),"Modalità / stato mancanti",IF(AND(J406&lt;&gt;"Aperto",OR(NOT(ISNUMBER(C406)),C406&lt;B406)),"Correggi data chiusura",IF(OR(AND(Q406&lt;&gt;"",OR(NOT(ISNUMBER(Q406)),Q406&lt;0)),AND(R406&lt;&gt;"",OR(NOT(ISNUMBER(R406)),R406&lt;0,R406&gt;1))),"Commissione non valida",IF(J406="Annullato","OK",IF(OR(NOT(ISNUMBER(Z406)),Z406&lt;0,AND(O406&lt;&gt;"",NOT(ISNUMBER(O406)))),"Inserisci rischio",IF(AND(I406="Esecuzioni",OR(W406=0,COUNTIFS('Esecuzioni'!$A$8:$A$1007,A406,'Esecuzioni'!$Q$8:$Q$1007,"&lt;&gt;OK")&gt;0)),"Correggi esecuzioni",IF(J406="Aperto","OK",IF(AND(I406="Esecuzioni",S406="Coperto",ABS(X406-Y406)&gt;'Impostazioni'!$B$11),"Copertura residua",IF(NOT(ISNUMBER(AC406)),"Completa risultato / esito",IF(AND(Z406=0,AC406&lt;&gt;0),"Rischio nullo con P/L","OK")))))))))))))</x:f>
      </x:c>
      <x:c r="AR406" s="20" t="str">
        <x:f>IF(OR(A406="",J406&lt;&gt;"Aperto",AQ406&lt;&gt;"OK"),"",IF(I406="Esecuzioni",SUMIFS('Esecuzioni'!$P$8:$P$1007,'Esecuzioni'!$A$8:$A$1007,A406,'Esecuzioni'!$B$8:$B$1007,_xlfn.MAXIFS('Esecuzioni'!$B$8:$B$1007,'Esecuzioni'!$A$8:$A$1007,A406)),IF(LEFT(U406,8)="FREEBET:",0,Z406)))</x:f>
      </x:c>
      <x:c r="AS406" s="48" t="str">
        <x:f>IF(OR(A406="",E406=""),"",IF(COUNTIFS($E$8:E406,E406)=1,COUNT($AS$7:AS405)+1,""))</x:f>
      </x:c>
    </x:row>
    <x:row r="407" ht="22" customHeight="1">
      <x:c r="A407" s="7"/>
      <x:c r="B407" s="19"/>
      <x:c r="C407" s="19"/>
      <x:c r="D407" s="7"/>
      <x:c r="E407" s="7"/>
      <x:c r="F407" s="7"/>
      <x:c r="G407" s="7"/>
      <x:c r="H407" s="7"/>
      <x:c r="I407" s="7"/>
      <x:c r="J407" s="7"/>
      <x:c r="K407" s="10"/>
      <x:c r="L407" s="7"/>
      <x:c r="M407" s="10"/>
      <x:c r="N407" s="7"/>
      <x:c r="O407" s="8"/>
      <x:c r="P407" s="8"/>
      <x:c r="Q407" s="8"/>
      <x:c r="R407" s="9"/>
      <x:c r="S407" s="7"/>
      <x:c r="T407" s="7"/>
      <x:c r="U407" s="7"/>
      <x:c r="V407" s="7"/>
      <x:c r="W407" s="22" t="str">
        <x:f>IF(A407="","",COUNTIFS('Esecuzioni'!$A$8:$A$1007,A407,'Esecuzioni'!$Q$8:$Q$1007,"OK"))</x:f>
      </x:c>
      <x:c r="X407" s="20" t="str">
        <x:f>IF(OR(A407="",I407&lt;&gt;"Esecuzioni",W407=0),"",SUMIFS('Esecuzioni'!$L$8:$L$1007,'Esecuzioni'!$A$8:$A$1007,A407))</x:f>
      </x:c>
      <x:c r="Y407" s="20" t="str">
        <x:f>IF(OR(A407="",I407&lt;&gt;"Esecuzioni",W407=0),"",SUMIFS('Esecuzioni'!$M$8:$M$1007,'Esecuzioni'!$A$8:$A$1007,A407))</x:f>
      </x:c>
      <x:c r="Z407" s="20" t="str">
        <x:f>IF(A407="","",IF(J407="Annullato",0,IF(ISNUMBER(O407),O407,IF(AND(I407="Esecuzioni",W407&gt;0),_xlfn.MAXIFS('Esecuzioni'!$P$8:$P$1007,'Esecuzioni'!$A$8:$A$1007,A407),""))))</x:f>
      </x:c>
      <x:c r="AA407" s="20" t="str">
        <x:f>IF(OR(A407="",J407="Aperto"),"",IF(J407="Annullato",0,IF(I407="Lordo manuale",IF(ISNUMBER(P407),P407,""),IF(I407="Netto manuale",IF(AND(ISNUMBER(P407),ISNUMBER(Q407)),P407+Q407,""),IF(OR(W407=0,COUNTIFS('Esecuzioni'!$A$8:$A$1007,A407,'Esecuzioni'!$Q$8:$Q$1007,"&lt;&gt;OK")&gt;0),"",IF(S407="Vince",X407,IF(S407="Perde",Y407,IF(AND(S407="Coperto",ABS(X407-Y407)&lt;='Impostazioni'!$B$11),ROUND((X407+Y407)/2,2),""))))))))</x:f>
      </x:c>
      <x:c r="AB407" s="20" t="str">
        <x:f>IF(NOT(ISNUMBER(AA407)),"",IF(J407="Annullato",0,IF(ISNUMBER(Q407),Q407,ROUND(MAX(0,AA407)*IF(ISNUMBER(R407),R407,'Impostazioni'!$B$8),2))))</x:f>
      </x:c>
      <x:c r="AC407" s="20" t="str">
        <x:f>IF(AND(ISNUMBER(AA407),ISNUMBER(AB407)),ROUND(AA407-AB407,2),"")</x:f>
      </x:c>
      <x:c r="AD407" s="18" t="str">
        <x:f>IF(A407="","",IF(AQ407&lt;&gt;"OK","Incompleto",IF(J407="Aperto","Aperto",IF(J407="Annullato","Annullato",IF(AC407&gt;0,"Green",IF(AC407&lt;0,"Red","Flat"))))))</x:f>
      </x:c>
      <x:c r="AE407" s="21" t="str">
        <x:f>IF(AND(AH407=1,Z407&gt;0),AC407/Z407,"")</x:f>
      </x:c>
      <x:c r="AF407" s="22" t="str">
        <x:f>IF(AH407&lt;&gt;1,"",COUNTIFS($C$8:$C$507,"&lt;"&amp;C407,$AH$8:$AH$507,1)+COUNTIFS($C$8:$C$507,C407,$A$8:$A$507,"&lt;="&amp;A407,$AH$8:$AH$507,1))</x:f>
      </x:c>
      <x:c r="AG407" s="20" t="str">
        <x:f>IF(AH407&lt;&gt;1,"",SUMIFS($AC$8:$AC$507,$C$8:$C$507,"&lt;"&amp;C407,$AH$8:$AH$507,1)+SUMIFS($AC$8:$AC$507,$C$8:$C$507,C407,$A$8:$A$507,"&lt;="&amp;A407,$AH$8:$AH$507,1))</x:f>
      </x:c>
      <x:c r="AH407" s="22" t="str">
        <x:f>IF(A407="","",IF(AND(J407="Chiuso",AQ407="OK",ISNUMBER(AC407)),1,0))</x:f>
      </x:c>
      <x:c r="AI407" s="20" t="str">
        <x:f>IF(AH407&lt;&gt;1,"",MAX(0,_xlfn.MAXIFS($AG$8:$AG$507,$AF$8:$AF$507,"&lt;="&amp;AF407,$AH$8:$AH$507,1)))</x:f>
      </x:c>
      <x:c r="AJ407" s="20" t="str">
        <x:f>IF(AH407&lt;&gt;1,"",MAX(0,AI407-AG407))</x:f>
      </x:c>
      <x:c r="AK407" s="21" t="str">
        <x:f>IF(OR(AH407&lt;&gt;1,NOT(ISNUMBER('Impostazioni'!$B$6)),'Impostazioni'!$B$6+AI407&lt;=0),"",AJ407/('Impostazioni'!$B$6+AI407))</x:f>
      </x:c>
      <x:c r="AL407" s="22" t="str">
        <x:f>IF(AH407&lt;&gt;1,"",IF(AC407&gt;0,AF407-_xlfn.MAXIFS($AF$8:$AF$507,$AF$8:$AF$507,"&lt;="&amp;AF407,$AC$8:$AC$507,"&lt;=0",$AH$8:$AH$507,1),0))</x:f>
      </x:c>
      <x:c r="AM407" s="22" t="str">
        <x:f>IF(AH407&lt;&gt;1,"",IF(AC407&lt;0,AF407-_xlfn.MAXIFS($AF$8:$AF$507,$AF$8:$AF$507,"&lt;="&amp;AF407,$AC$8:$AC$507,"&gt;=0",$AH$8:$AH$507,1),0))</x:f>
      </x:c>
      <x:c r="AN407" s="20" t="str">
        <x:f>IF(OR(A407="",NOT(ISNUMBER(B407)),NOT(ISNUMBER('Impostazioni'!$B$6))),"",'Impostazioni'!$B$6+SUMIFS($AC$8:$AC$507,$C$8:$C$507,"&lt;"&amp;B407,$AH$8:$AH$507,1)+SUMIFS('Cassa'!$F$8:$F$307,'Cassa'!$A$8:$A$307,"&lt;="&amp;B407,'Cassa'!$G$8:$G$307,"OK"))</x:f>
      </x:c>
      <x:c r="AO407" s="21" t="str">
        <x:f>IF(AND(ISNUMBER(Z407),ISNUMBER(AN407),AN407&gt;0),Z407/AN407,"")</x:f>
      </x:c>
      <x:c r="AP407" s="18" t="str">
        <x:f>IF(NOT(ISNUMBER(AO407)),"",IF(AO407&gt;'Impostazioni'!$B$7,"Oltre soglia personale","Nella soglia personale"))</x:f>
      </x:c>
      <x:c r="AQ407" s="18" t="str">
        <x:f>IF(A407="",IF(COUNTA(B407:V407)=0,"","Inserisci ID"),IF(COUNTIFS($A$8:$A$507,A407)&lt;&gt;1,"ID duplicato",IF(OR(NOT(ISNUMBER(B407)),D407="",E407="",F407="",G407="",H407="",COUNTIFS('Impostazioni'!$J$6:$J$25,F407)&lt;&gt;1),"Completa dati / elenchi",IF(OR(AND(I407&lt;&gt;"Lordo manuale",I407&lt;&gt;"Netto manuale",I407&lt;&gt;"Esecuzioni"),AND(J407&lt;&gt;"Aperto",J407&lt;&gt;"Chiuso",J407&lt;&gt;"Annullato")),"Modalità / stato mancanti",IF(AND(J407&lt;&gt;"Aperto",OR(NOT(ISNUMBER(C407)),C407&lt;B407)),"Correggi data chiusura",IF(OR(AND(Q407&lt;&gt;"",OR(NOT(ISNUMBER(Q407)),Q407&lt;0)),AND(R407&lt;&gt;"",OR(NOT(ISNUMBER(R407)),R407&lt;0,R407&gt;1))),"Commissione non valida",IF(J407="Annullato","OK",IF(OR(NOT(ISNUMBER(Z407)),Z407&lt;0,AND(O407&lt;&gt;"",NOT(ISNUMBER(O407)))),"Inserisci rischio",IF(AND(I407="Esecuzioni",OR(W407=0,COUNTIFS('Esecuzioni'!$A$8:$A$1007,A407,'Esecuzioni'!$Q$8:$Q$1007,"&lt;&gt;OK")&gt;0)),"Correggi esecuzioni",IF(J407="Aperto","OK",IF(AND(I407="Esecuzioni",S407="Coperto",ABS(X407-Y407)&gt;'Impostazioni'!$B$11),"Copertura residua",IF(NOT(ISNUMBER(AC407)),"Completa risultato / esito",IF(AND(Z407=0,AC407&lt;&gt;0),"Rischio nullo con P/L","OK")))))))))))))</x:f>
      </x:c>
      <x:c r="AR407" s="20" t="str">
        <x:f>IF(OR(A407="",J407&lt;&gt;"Aperto",AQ407&lt;&gt;"OK"),"",IF(I407="Esecuzioni",SUMIFS('Esecuzioni'!$P$8:$P$1007,'Esecuzioni'!$A$8:$A$1007,A407,'Esecuzioni'!$B$8:$B$1007,_xlfn.MAXIFS('Esecuzioni'!$B$8:$B$1007,'Esecuzioni'!$A$8:$A$1007,A407)),IF(LEFT(U407,8)="FREEBET:",0,Z407)))</x:f>
      </x:c>
      <x:c r="AS407" s="48" t="str">
        <x:f>IF(OR(A407="",E407=""),"",IF(COUNTIFS($E$8:E407,E407)=1,COUNT($AS$7:AS406)+1,""))</x:f>
      </x:c>
    </x:row>
    <x:row r="408" ht="22" customHeight="1">
      <x:c r="A408" s="7"/>
      <x:c r="B408" s="19"/>
      <x:c r="C408" s="19"/>
      <x:c r="D408" s="7"/>
      <x:c r="E408" s="7"/>
      <x:c r="F408" s="7"/>
      <x:c r="G408" s="7"/>
      <x:c r="H408" s="7"/>
      <x:c r="I408" s="7"/>
      <x:c r="J408" s="7"/>
      <x:c r="K408" s="10"/>
      <x:c r="L408" s="7"/>
      <x:c r="M408" s="10"/>
      <x:c r="N408" s="7"/>
      <x:c r="O408" s="8"/>
      <x:c r="P408" s="8"/>
      <x:c r="Q408" s="8"/>
      <x:c r="R408" s="9"/>
      <x:c r="S408" s="7"/>
      <x:c r="T408" s="7"/>
      <x:c r="U408" s="7"/>
      <x:c r="V408" s="7"/>
      <x:c r="W408" s="22" t="str">
        <x:f>IF(A408="","",COUNTIFS('Esecuzioni'!$A$8:$A$1007,A408,'Esecuzioni'!$Q$8:$Q$1007,"OK"))</x:f>
      </x:c>
      <x:c r="X408" s="20" t="str">
        <x:f>IF(OR(A408="",I408&lt;&gt;"Esecuzioni",W408=0),"",SUMIFS('Esecuzioni'!$L$8:$L$1007,'Esecuzioni'!$A$8:$A$1007,A408))</x:f>
      </x:c>
      <x:c r="Y408" s="20" t="str">
        <x:f>IF(OR(A408="",I408&lt;&gt;"Esecuzioni",W408=0),"",SUMIFS('Esecuzioni'!$M$8:$M$1007,'Esecuzioni'!$A$8:$A$1007,A408))</x:f>
      </x:c>
      <x:c r="Z408" s="20" t="str">
        <x:f>IF(A408="","",IF(J408="Annullato",0,IF(ISNUMBER(O408),O408,IF(AND(I408="Esecuzioni",W408&gt;0),_xlfn.MAXIFS('Esecuzioni'!$P$8:$P$1007,'Esecuzioni'!$A$8:$A$1007,A408),""))))</x:f>
      </x:c>
      <x:c r="AA408" s="20" t="str">
        <x:f>IF(OR(A408="",J408="Aperto"),"",IF(J408="Annullato",0,IF(I408="Lordo manuale",IF(ISNUMBER(P408),P408,""),IF(I408="Netto manuale",IF(AND(ISNUMBER(P408),ISNUMBER(Q408)),P408+Q408,""),IF(OR(W408=0,COUNTIFS('Esecuzioni'!$A$8:$A$1007,A408,'Esecuzioni'!$Q$8:$Q$1007,"&lt;&gt;OK")&gt;0),"",IF(S408="Vince",X408,IF(S408="Perde",Y408,IF(AND(S408="Coperto",ABS(X408-Y408)&lt;='Impostazioni'!$B$11),ROUND((X408+Y408)/2,2),""))))))))</x:f>
      </x:c>
      <x:c r="AB408" s="20" t="str">
        <x:f>IF(NOT(ISNUMBER(AA408)),"",IF(J408="Annullato",0,IF(ISNUMBER(Q408),Q408,ROUND(MAX(0,AA408)*IF(ISNUMBER(R408),R408,'Impostazioni'!$B$8),2))))</x:f>
      </x:c>
      <x:c r="AC408" s="20" t="str">
        <x:f>IF(AND(ISNUMBER(AA408),ISNUMBER(AB408)),ROUND(AA408-AB408,2),"")</x:f>
      </x:c>
      <x:c r="AD408" s="18" t="str">
        <x:f>IF(A408="","",IF(AQ408&lt;&gt;"OK","Incompleto",IF(J408="Aperto","Aperto",IF(J408="Annullato","Annullato",IF(AC408&gt;0,"Green",IF(AC408&lt;0,"Red","Flat"))))))</x:f>
      </x:c>
      <x:c r="AE408" s="21" t="str">
        <x:f>IF(AND(AH408=1,Z408&gt;0),AC408/Z408,"")</x:f>
      </x:c>
      <x:c r="AF408" s="22" t="str">
        <x:f>IF(AH408&lt;&gt;1,"",COUNTIFS($C$8:$C$507,"&lt;"&amp;C408,$AH$8:$AH$507,1)+COUNTIFS($C$8:$C$507,C408,$A$8:$A$507,"&lt;="&amp;A408,$AH$8:$AH$507,1))</x:f>
      </x:c>
      <x:c r="AG408" s="20" t="str">
        <x:f>IF(AH408&lt;&gt;1,"",SUMIFS($AC$8:$AC$507,$C$8:$C$507,"&lt;"&amp;C408,$AH$8:$AH$507,1)+SUMIFS($AC$8:$AC$507,$C$8:$C$507,C408,$A$8:$A$507,"&lt;="&amp;A408,$AH$8:$AH$507,1))</x:f>
      </x:c>
      <x:c r="AH408" s="22" t="str">
        <x:f>IF(A408="","",IF(AND(J408="Chiuso",AQ408="OK",ISNUMBER(AC408)),1,0))</x:f>
      </x:c>
      <x:c r="AI408" s="20" t="str">
        <x:f>IF(AH408&lt;&gt;1,"",MAX(0,_xlfn.MAXIFS($AG$8:$AG$507,$AF$8:$AF$507,"&lt;="&amp;AF408,$AH$8:$AH$507,1)))</x:f>
      </x:c>
      <x:c r="AJ408" s="20" t="str">
        <x:f>IF(AH408&lt;&gt;1,"",MAX(0,AI408-AG408))</x:f>
      </x:c>
      <x:c r="AK408" s="21" t="str">
        <x:f>IF(OR(AH408&lt;&gt;1,NOT(ISNUMBER('Impostazioni'!$B$6)),'Impostazioni'!$B$6+AI408&lt;=0),"",AJ408/('Impostazioni'!$B$6+AI408))</x:f>
      </x:c>
      <x:c r="AL408" s="22" t="str">
        <x:f>IF(AH408&lt;&gt;1,"",IF(AC408&gt;0,AF408-_xlfn.MAXIFS($AF$8:$AF$507,$AF$8:$AF$507,"&lt;="&amp;AF408,$AC$8:$AC$507,"&lt;=0",$AH$8:$AH$507,1),0))</x:f>
      </x:c>
      <x:c r="AM408" s="22" t="str">
        <x:f>IF(AH408&lt;&gt;1,"",IF(AC408&lt;0,AF408-_xlfn.MAXIFS($AF$8:$AF$507,$AF$8:$AF$507,"&lt;="&amp;AF408,$AC$8:$AC$507,"&gt;=0",$AH$8:$AH$507,1),0))</x:f>
      </x:c>
      <x:c r="AN408" s="20" t="str">
        <x:f>IF(OR(A408="",NOT(ISNUMBER(B408)),NOT(ISNUMBER('Impostazioni'!$B$6))),"",'Impostazioni'!$B$6+SUMIFS($AC$8:$AC$507,$C$8:$C$507,"&lt;"&amp;B408,$AH$8:$AH$507,1)+SUMIFS('Cassa'!$F$8:$F$307,'Cassa'!$A$8:$A$307,"&lt;="&amp;B408,'Cassa'!$G$8:$G$307,"OK"))</x:f>
      </x:c>
      <x:c r="AO408" s="21" t="str">
        <x:f>IF(AND(ISNUMBER(Z408),ISNUMBER(AN408),AN408&gt;0),Z408/AN408,"")</x:f>
      </x:c>
      <x:c r="AP408" s="18" t="str">
        <x:f>IF(NOT(ISNUMBER(AO408)),"",IF(AO408&gt;'Impostazioni'!$B$7,"Oltre soglia personale","Nella soglia personale"))</x:f>
      </x:c>
      <x:c r="AQ408" s="18" t="str">
        <x:f>IF(A408="",IF(COUNTA(B408:V408)=0,"","Inserisci ID"),IF(COUNTIFS($A$8:$A$507,A408)&lt;&gt;1,"ID duplicato",IF(OR(NOT(ISNUMBER(B408)),D408="",E408="",F408="",G408="",H408="",COUNTIFS('Impostazioni'!$J$6:$J$25,F408)&lt;&gt;1),"Completa dati / elenchi",IF(OR(AND(I408&lt;&gt;"Lordo manuale",I408&lt;&gt;"Netto manuale",I408&lt;&gt;"Esecuzioni"),AND(J408&lt;&gt;"Aperto",J408&lt;&gt;"Chiuso",J408&lt;&gt;"Annullato")),"Modalità / stato mancanti",IF(AND(J408&lt;&gt;"Aperto",OR(NOT(ISNUMBER(C408)),C408&lt;B408)),"Correggi data chiusura",IF(OR(AND(Q408&lt;&gt;"",OR(NOT(ISNUMBER(Q408)),Q408&lt;0)),AND(R408&lt;&gt;"",OR(NOT(ISNUMBER(R408)),R408&lt;0,R408&gt;1))),"Commissione non valida",IF(J408="Annullato","OK",IF(OR(NOT(ISNUMBER(Z408)),Z408&lt;0,AND(O408&lt;&gt;"",NOT(ISNUMBER(O408)))),"Inserisci rischio",IF(AND(I408="Esecuzioni",OR(W408=0,COUNTIFS('Esecuzioni'!$A$8:$A$1007,A408,'Esecuzioni'!$Q$8:$Q$1007,"&lt;&gt;OK")&gt;0)),"Correggi esecuzioni",IF(J408="Aperto","OK",IF(AND(I408="Esecuzioni",S408="Coperto",ABS(X408-Y408)&gt;'Impostazioni'!$B$11),"Copertura residua",IF(NOT(ISNUMBER(AC408)),"Completa risultato / esito",IF(AND(Z408=0,AC408&lt;&gt;0),"Rischio nullo con P/L","OK")))))))))))))</x:f>
      </x:c>
      <x:c r="AR408" s="20" t="str">
        <x:f>IF(OR(A408="",J408&lt;&gt;"Aperto",AQ408&lt;&gt;"OK"),"",IF(I408="Esecuzioni",SUMIFS('Esecuzioni'!$P$8:$P$1007,'Esecuzioni'!$A$8:$A$1007,A408,'Esecuzioni'!$B$8:$B$1007,_xlfn.MAXIFS('Esecuzioni'!$B$8:$B$1007,'Esecuzioni'!$A$8:$A$1007,A408)),IF(LEFT(U408,8)="FREEBET:",0,Z408)))</x:f>
      </x:c>
      <x:c r="AS408" s="48" t="str">
        <x:f>IF(OR(A408="",E408=""),"",IF(COUNTIFS($E$8:E408,E408)=1,COUNT($AS$7:AS407)+1,""))</x:f>
      </x:c>
    </x:row>
    <x:row r="409" ht="22" customHeight="1">
      <x:c r="A409" s="7"/>
      <x:c r="B409" s="19"/>
      <x:c r="C409" s="19"/>
      <x:c r="D409" s="7"/>
      <x:c r="E409" s="7"/>
      <x:c r="F409" s="7"/>
      <x:c r="G409" s="7"/>
      <x:c r="H409" s="7"/>
      <x:c r="I409" s="7"/>
      <x:c r="J409" s="7"/>
      <x:c r="K409" s="10"/>
      <x:c r="L409" s="7"/>
      <x:c r="M409" s="10"/>
      <x:c r="N409" s="7"/>
      <x:c r="O409" s="8"/>
      <x:c r="P409" s="8"/>
      <x:c r="Q409" s="8"/>
      <x:c r="R409" s="9"/>
      <x:c r="S409" s="7"/>
      <x:c r="T409" s="7"/>
      <x:c r="U409" s="7"/>
      <x:c r="V409" s="7"/>
      <x:c r="W409" s="22" t="str">
        <x:f>IF(A409="","",COUNTIFS('Esecuzioni'!$A$8:$A$1007,A409,'Esecuzioni'!$Q$8:$Q$1007,"OK"))</x:f>
      </x:c>
      <x:c r="X409" s="20" t="str">
        <x:f>IF(OR(A409="",I409&lt;&gt;"Esecuzioni",W409=0),"",SUMIFS('Esecuzioni'!$L$8:$L$1007,'Esecuzioni'!$A$8:$A$1007,A409))</x:f>
      </x:c>
      <x:c r="Y409" s="20" t="str">
        <x:f>IF(OR(A409="",I409&lt;&gt;"Esecuzioni",W409=0),"",SUMIFS('Esecuzioni'!$M$8:$M$1007,'Esecuzioni'!$A$8:$A$1007,A409))</x:f>
      </x:c>
      <x:c r="Z409" s="20" t="str">
        <x:f>IF(A409="","",IF(J409="Annullato",0,IF(ISNUMBER(O409),O409,IF(AND(I409="Esecuzioni",W409&gt;0),_xlfn.MAXIFS('Esecuzioni'!$P$8:$P$1007,'Esecuzioni'!$A$8:$A$1007,A409),""))))</x:f>
      </x:c>
      <x:c r="AA409" s="20" t="str">
        <x:f>IF(OR(A409="",J409="Aperto"),"",IF(J409="Annullato",0,IF(I409="Lordo manuale",IF(ISNUMBER(P409),P409,""),IF(I409="Netto manuale",IF(AND(ISNUMBER(P409),ISNUMBER(Q409)),P409+Q409,""),IF(OR(W409=0,COUNTIFS('Esecuzioni'!$A$8:$A$1007,A409,'Esecuzioni'!$Q$8:$Q$1007,"&lt;&gt;OK")&gt;0),"",IF(S409="Vince",X409,IF(S409="Perde",Y409,IF(AND(S409="Coperto",ABS(X409-Y409)&lt;='Impostazioni'!$B$11),ROUND((X409+Y409)/2,2),""))))))))</x:f>
      </x:c>
      <x:c r="AB409" s="20" t="str">
        <x:f>IF(NOT(ISNUMBER(AA409)),"",IF(J409="Annullato",0,IF(ISNUMBER(Q409),Q409,ROUND(MAX(0,AA409)*IF(ISNUMBER(R409),R409,'Impostazioni'!$B$8),2))))</x:f>
      </x:c>
      <x:c r="AC409" s="20" t="str">
        <x:f>IF(AND(ISNUMBER(AA409),ISNUMBER(AB409)),ROUND(AA409-AB409,2),"")</x:f>
      </x:c>
      <x:c r="AD409" s="18" t="str">
        <x:f>IF(A409="","",IF(AQ409&lt;&gt;"OK","Incompleto",IF(J409="Aperto","Aperto",IF(J409="Annullato","Annullato",IF(AC409&gt;0,"Green",IF(AC409&lt;0,"Red","Flat"))))))</x:f>
      </x:c>
      <x:c r="AE409" s="21" t="str">
        <x:f>IF(AND(AH409=1,Z409&gt;0),AC409/Z409,"")</x:f>
      </x:c>
      <x:c r="AF409" s="22" t="str">
        <x:f>IF(AH409&lt;&gt;1,"",COUNTIFS($C$8:$C$507,"&lt;"&amp;C409,$AH$8:$AH$507,1)+COUNTIFS($C$8:$C$507,C409,$A$8:$A$507,"&lt;="&amp;A409,$AH$8:$AH$507,1))</x:f>
      </x:c>
      <x:c r="AG409" s="20" t="str">
        <x:f>IF(AH409&lt;&gt;1,"",SUMIFS($AC$8:$AC$507,$C$8:$C$507,"&lt;"&amp;C409,$AH$8:$AH$507,1)+SUMIFS($AC$8:$AC$507,$C$8:$C$507,C409,$A$8:$A$507,"&lt;="&amp;A409,$AH$8:$AH$507,1))</x:f>
      </x:c>
      <x:c r="AH409" s="22" t="str">
        <x:f>IF(A409="","",IF(AND(J409="Chiuso",AQ409="OK",ISNUMBER(AC409)),1,0))</x:f>
      </x:c>
      <x:c r="AI409" s="20" t="str">
        <x:f>IF(AH409&lt;&gt;1,"",MAX(0,_xlfn.MAXIFS($AG$8:$AG$507,$AF$8:$AF$507,"&lt;="&amp;AF409,$AH$8:$AH$507,1)))</x:f>
      </x:c>
      <x:c r="AJ409" s="20" t="str">
        <x:f>IF(AH409&lt;&gt;1,"",MAX(0,AI409-AG409))</x:f>
      </x:c>
      <x:c r="AK409" s="21" t="str">
        <x:f>IF(OR(AH409&lt;&gt;1,NOT(ISNUMBER('Impostazioni'!$B$6)),'Impostazioni'!$B$6+AI409&lt;=0),"",AJ409/('Impostazioni'!$B$6+AI409))</x:f>
      </x:c>
      <x:c r="AL409" s="22" t="str">
        <x:f>IF(AH409&lt;&gt;1,"",IF(AC409&gt;0,AF409-_xlfn.MAXIFS($AF$8:$AF$507,$AF$8:$AF$507,"&lt;="&amp;AF409,$AC$8:$AC$507,"&lt;=0",$AH$8:$AH$507,1),0))</x:f>
      </x:c>
      <x:c r="AM409" s="22" t="str">
        <x:f>IF(AH409&lt;&gt;1,"",IF(AC409&lt;0,AF409-_xlfn.MAXIFS($AF$8:$AF$507,$AF$8:$AF$507,"&lt;="&amp;AF409,$AC$8:$AC$507,"&gt;=0",$AH$8:$AH$507,1),0))</x:f>
      </x:c>
      <x:c r="AN409" s="20" t="str">
        <x:f>IF(OR(A409="",NOT(ISNUMBER(B409)),NOT(ISNUMBER('Impostazioni'!$B$6))),"",'Impostazioni'!$B$6+SUMIFS($AC$8:$AC$507,$C$8:$C$507,"&lt;"&amp;B409,$AH$8:$AH$507,1)+SUMIFS('Cassa'!$F$8:$F$307,'Cassa'!$A$8:$A$307,"&lt;="&amp;B409,'Cassa'!$G$8:$G$307,"OK"))</x:f>
      </x:c>
      <x:c r="AO409" s="21" t="str">
        <x:f>IF(AND(ISNUMBER(Z409),ISNUMBER(AN409),AN409&gt;0),Z409/AN409,"")</x:f>
      </x:c>
      <x:c r="AP409" s="18" t="str">
        <x:f>IF(NOT(ISNUMBER(AO409)),"",IF(AO409&gt;'Impostazioni'!$B$7,"Oltre soglia personale","Nella soglia personale"))</x:f>
      </x:c>
      <x:c r="AQ409" s="18" t="str">
        <x:f>IF(A409="",IF(COUNTA(B409:V409)=0,"","Inserisci ID"),IF(COUNTIFS($A$8:$A$507,A409)&lt;&gt;1,"ID duplicato",IF(OR(NOT(ISNUMBER(B409)),D409="",E409="",F409="",G409="",H409="",COUNTIFS('Impostazioni'!$J$6:$J$25,F409)&lt;&gt;1),"Completa dati / elenchi",IF(OR(AND(I409&lt;&gt;"Lordo manuale",I409&lt;&gt;"Netto manuale",I409&lt;&gt;"Esecuzioni"),AND(J409&lt;&gt;"Aperto",J409&lt;&gt;"Chiuso",J409&lt;&gt;"Annullato")),"Modalità / stato mancanti",IF(AND(J409&lt;&gt;"Aperto",OR(NOT(ISNUMBER(C409)),C409&lt;B409)),"Correggi data chiusura",IF(OR(AND(Q409&lt;&gt;"",OR(NOT(ISNUMBER(Q409)),Q409&lt;0)),AND(R409&lt;&gt;"",OR(NOT(ISNUMBER(R409)),R409&lt;0,R409&gt;1))),"Commissione non valida",IF(J409="Annullato","OK",IF(OR(NOT(ISNUMBER(Z409)),Z409&lt;0,AND(O409&lt;&gt;"",NOT(ISNUMBER(O409)))),"Inserisci rischio",IF(AND(I409="Esecuzioni",OR(W409=0,COUNTIFS('Esecuzioni'!$A$8:$A$1007,A409,'Esecuzioni'!$Q$8:$Q$1007,"&lt;&gt;OK")&gt;0)),"Correggi esecuzioni",IF(J409="Aperto","OK",IF(AND(I409="Esecuzioni",S409="Coperto",ABS(X409-Y409)&gt;'Impostazioni'!$B$11),"Copertura residua",IF(NOT(ISNUMBER(AC409)),"Completa risultato / esito",IF(AND(Z409=0,AC409&lt;&gt;0),"Rischio nullo con P/L","OK")))))))))))))</x:f>
      </x:c>
      <x:c r="AR409" s="20" t="str">
        <x:f>IF(OR(A409="",J409&lt;&gt;"Aperto",AQ409&lt;&gt;"OK"),"",IF(I409="Esecuzioni",SUMIFS('Esecuzioni'!$P$8:$P$1007,'Esecuzioni'!$A$8:$A$1007,A409,'Esecuzioni'!$B$8:$B$1007,_xlfn.MAXIFS('Esecuzioni'!$B$8:$B$1007,'Esecuzioni'!$A$8:$A$1007,A409)),IF(LEFT(U409,8)="FREEBET:",0,Z409)))</x:f>
      </x:c>
      <x:c r="AS409" s="48" t="str">
        <x:f>IF(OR(A409="",E409=""),"",IF(COUNTIFS($E$8:E409,E409)=1,COUNT($AS$7:AS408)+1,""))</x:f>
      </x:c>
    </x:row>
    <x:row r="410" ht="22" customHeight="1">
      <x:c r="A410" s="7"/>
      <x:c r="B410" s="19"/>
      <x:c r="C410" s="19"/>
      <x:c r="D410" s="7"/>
      <x:c r="E410" s="7"/>
      <x:c r="F410" s="7"/>
      <x:c r="G410" s="7"/>
      <x:c r="H410" s="7"/>
      <x:c r="I410" s="7"/>
      <x:c r="J410" s="7"/>
      <x:c r="K410" s="10"/>
      <x:c r="L410" s="7"/>
      <x:c r="M410" s="10"/>
      <x:c r="N410" s="7"/>
      <x:c r="O410" s="8"/>
      <x:c r="P410" s="8"/>
      <x:c r="Q410" s="8"/>
      <x:c r="R410" s="9"/>
      <x:c r="S410" s="7"/>
      <x:c r="T410" s="7"/>
      <x:c r="U410" s="7"/>
      <x:c r="V410" s="7"/>
      <x:c r="W410" s="22" t="str">
        <x:f>IF(A410="","",COUNTIFS('Esecuzioni'!$A$8:$A$1007,A410,'Esecuzioni'!$Q$8:$Q$1007,"OK"))</x:f>
      </x:c>
      <x:c r="X410" s="20" t="str">
        <x:f>IF(OR(A410="",I410&lt;&gt;"Esecuzioni",W410=0),"",SUMIFS('Esecuzioni'!$L$8:$L$1007,'Esecuzioni'!$A$8:$A$1007,A410))</x:f>
      </x:c>
      <x:c r="Y410" s="20" t="str">
        <x:f>IF(OR(A410="",I410&lt;&gt;"Esecuzioni",W410=0),"",SUMIFS('Esecuzioni'!$M$8:$M$1007,'Esecuzioni'!$A$8:$A$1007,A410))</x:f>
      </x:c>
      <x:c r="Z410" s="20" t="str">
        <x:f>IF(A410="","",IF(J410="Annullato",0,IF(ISNUMBER(O410),O410,IF(AND(I410="Esecuzioni",W410&gt;0),_xlfn.MAXIFS('Esecuzioni'!$P$8:$P$1007,'Esecuzioni'!$A$8:$A$1007,A410),""))))</x:f>
      </x:c>
      <x:c r="AA410" s="20" t="str">
        <x:f>IF(OR(A410="",J410="Aperto"),"",IF(J410="Annullato",0,IF(I410="Lordo manuale",IF(ISNUMBER(P410),P410,""),IF(I410="Netto manuale",IF(AND(ISNUMBER(P410),ISNUMBER(Q410)),P410+Q410,""),IF(OR(W410=0,COUNTIFS('Esecuzioni'!$A$8:$A$1007,A410,'Esecuzioni'!$Q$8:$Q$1007,"&lt;&gt;OK")&gt;0),"",IF(S410="Vince",X410,IF(S410="Perde",Y410,IF(AND(S410="Coperto",ABS(X410-Y410)&lt;='Impostazioni'!$B$11),ROUND((X410+Y410)/2,2),""))))))))</x:f>
      </x:c>
      <x:c r="AB410" s="20" t="str">
        <x:f>IF(NOT(ISNUMBER(AA410)),"",IF(J410="Annullato",0,IF(ISNUMBER(Q410),Q410,ROUND(MAX(0,AA410)*IF(ISNUMBER(R410),R410,'Impostazioni'!$B$8),2))))</x:f>
      </x:c>
      <x:c r="AC410" s="20" t="str">
        <x:f>IF(AND(ISNUMBER(AA410),ISNUMBER(AB410)),ROUND(AA410-AB410,2),"")</x:f>
      </x:c>
      <x:c r="AD410" s="18" t="str">
        <x:f>IF(A410="","",IF(AQ410&lt;&gt;"OK","Incompleto",IF(J410="Aperto","Aperto",IF(J410="Annullato","Annullato",IF(AC410&gt;0,"Green",IF(AC410&lt;0,"Red","Flat"))))))</x:f>
      </x:c>
      <x:c r="AE410" s="21" t="str">
        <x:f>IF(AND(AH410=1,Z410&gt;0),AC410/Z410,"")</x:f>
      </x:c>
      <x:c r="AF410" s="22" t="str">
        <x:f>IF(AH410&lt;&gt;1,"",COUNTIFS($C$8:$C$507,"&lt;"&amp;C410,$AH$8:$AH$507,1)+COUNTIFS($C$8:$C$507,C410,$A$8:$A$507,"&lt;="&amp;A410,$AH$8:$AH$507,1))</x:f>
      </x:c>
      <x:c r="AG410" s="20" t="str">
        <x:f>IF(AH410&lt;&gt;1,"",SUMIFS($AC$8:$AC$507,$C$8:$C$507,"&lt;"&amp;C410,$AH$8:$AH$507,1)+SUMIFS($AC$8:$AC$507,$C$8:$C$507,C410,$A$8:$A$507,"&lt;="&amp;A410,$AH$8:$AH$507,1))</x:f>
      </x:c>
      <x:c r="AH410" s="22" t="str">
        <x:f>IF(A410="","",IF(AND(J410="Chiuso",AQ410="OK",ISNUMBER(AC410)),1,0))</x:f>
      </x:c>
      <x:c r="AI410" s="20" t="str">
        <x:f>IF(AH410&lt;&gt;1,"",MAX(0,_xlfn.MAXIFS($AG$8:$AG$507,$AF$8:$AF$507,"&lt;="&amp;AF410,$AH$8:$AH$507,1)))</x:f>
      </x:c>
      <x:c r="AJ410" s="20" t="str">
        <x:f>IF(AH410&lt;&gt;1,"",MAX(0,AI410-AG410))</x:f>
      </x:c>
      <x:c r="AK410" s="21" t="str">
        <x:f>IF(OR(AH410&lt;&gt;1,NOT(ISNUMBER('Impostazioni'!$B$6)),'Impostazioni'!$B$6+AI410&lt;=0),"",AJ410/('Impostazioni'!$B$6+AI410))</x:f>
      </x:c>
      <x:c r="AL410" s="22" t="str">
        <x:f>IF(AH410&lt;&gt;1,"",IF(AC410&gt;0,AF410-_xlfn.MAXIFS($AF$8:$AF$507,$AF$8:$AF$507,"&lt;="&amp;AF410,$AC$8:$AC$507,"&lt;=0",$AH$8:$AH$507,1),0))</x:f>
      </x:c>
      <x:c r="AM410" s="22" t="str">
        <x:f>IF(AH410&lt;&gt;1,"",IF(AC410&lt;0,AF410-_xlfn.MAXIFS($AF$8:$AF$507,$AF$8:$AF$507,"&lt;="&amp;AF410,$AC$8:$AC$507,"&gt;=0",$AH$8:$AH$507,1),0))</x:f>
      </x:c>
      <x:c r="AN410" s="20" t="str">
        <x:f>IF(OR(A410="",NOT(ISNUMBER(B410)),NOT(ISNUMBER('Impostazioni'!$B$6))),"",'Impostazioni'!$B$6+SUMIFS($AC$8:$AC$507,$C$8:$C$507,"&lt;"&amp;B410,$AH$8:$AH$507,1)+SUMIFS('Cassa'!$F$8:$F$307,'Cassa'!$A$8:$A$307,"&lt;="&amp;B410,'Cassa'!$G$8:$G$307,"OK"))</x:f>
      </x:c>
      <x:c r="AO410" s="21" t="str">
        <x:f>IF(AND(ISNUMBER(Z410),ISNUMBER(AN410),AN410&gt;0),Z410/AN410,"")</x:f>
      </x:c>
      <x:c r="AP410" s="18" t="str">
        <x:f>IF(NOT(ISNUMBER(AO410)),"",IF(AO410&gt;'Impostazioni'!$B$7,"Oltre soglia personale","Nella soglia personale"))</x:f>
      </x:c>
      <x:c r="AQ410" s="18" t="str">
        <x:f>IF(A410="",IF(COUNTA(B410:V410)=0,"","Inserisci ID"),IF(COUNTIFS($A$8:$A$507,A410)&lt;&gt;1,"ID duplicato",IF(OR(NOT(ISNUMBER(B410)),D410="",E410="",F410="",G410="",H410="",COUNTIFS('Impostazioni'!$J$6:$J$25,F410)&lt;&gt;1),"Completa dati / elenchi",IF(OR(AND(I410&lt;&gt;"Lordo manuale",I410&lt;&gt;"Netto manuale",I410&lt;&gt;"Esecuzioni"),AND(J410&lt;&gt;"Aperto",J410&lt;&gt;"Chiuso",J410&lt;&gt;"Annullato")),"Modalità / stato mancanti",IF(AND(J410&lt;&gt;"Aperto",OR(NOT(ISNUMBER(C410)),C410&lt;B410)),"Correggi data chiusura",IF(OR(AND(Q410&lt;&gt;"",OR(NOT(ISNUMBER(Q410)),Q410&lt;0)),AND(R410&lt;&gt;"",OR(NOT(ISNUMBER(R410)),R410&lt;0,R410&gt;1))),"Commissione non valida",IF(J410="Annullato","OK",IF(OR(NOT(ISNUMBER(Z410)),Z410&lt;0,AND(O410&lt;&gt;"",NOT(ISNUMBER(O410)))),"Inserisci rischio",IF(AND(I410="Esecuzioni",OR(W410=0,COUNTIFS('Esecuzioni'!$A$8:$A$1007,A410,'Esecuzioni'!$Q$8:$Q$1007,"&lt;&gt;OK")&gt;0)),"Correggi esecuzioni",IF(J410="Aperto","OK",IF(AND(I410="Esecuzioni",S410="Coperto",ABS(X410-Y410)&gt;'Impostazioni'!$B$11),"Copertura residua",IF(NOT(ISNUMBER(AC410)),"Completa risultato / esito",IF(AND(Z410=0,AC410&lt;&gt;0),"Rischio nullo con P/L","OK")))))))))))))</x:f>
      </x:c>
      <x:c r="AR410" s="20" t="str">
        <x:f>IF(OR(A410="",J410&lt;&gt;"Aperto",AQ410&lt;&gt;"OK"),"",IF(I410="Esecuzioni",SUMIFS('Esecuzioni'!$P$8:$P$1007,'Esecuzioni'!$A$8:$A$1007,A410,'Esecuzioni'!$B$8:$B$1007,_xlfn.MAXIFS('Esecuzioni'!$B$8:$B$1007,'Esecuzioni'!$A$8:$A$1007,A410)),IF(LEFT(U410,8)="FREEBET:",0,Z410)))</x:f>
      </x:c>
      <x:c r="AS410" s="48" t="str">
        <x:f>IF(OR(A410="",E410=""),"",IF(COUNTIFS($E$8:E410,E410)=1,COUNT($AS$7:AS409)+1,""))</x:f>
      </x:c>
    </x:row>
    <x:row r="411" ht="22" customHeight="1">
      <x:c r="A411" s="7"/>
      <x:c r="B411" s="19"/>
      <x:c r="C411" s="19"/>
      <x:c r="D411" s="7"/>
      <x:c r="E411" s="7"/>
      <x:c r="F411" s="7"/>
      <x:c r="G411" s="7"/>
      <x:c r="H411" s="7"/>
      <x:c r="I411" s="7"/>
      <x:c r="J411" s="7"/>
      <x:c r="K411" s="10"/>
      <x:c r="L411" s="7"/>
      <x:c r="M411" s="10"/>
      <x:c r="N411" s="7"/>
      <x:c r="O411" s="8"/>
      <x:c r="P411" s="8"/>
      <x:c r="Q411" s="8"/>
      <x:c r="R411" s="9"/>
      <x:c r="S411" s="7"/>
      <x:c r="T411" s="7"/>
      <x:c r="U411" s="7"/>
      <x:c r="V411" s="7"/>
      <x:c r="W411" s="22" t="str">
        <x:f>IF(A411="","",COUNTIFS('Esecuzioni'!$A$8:$A$1007,A411,'Esecuzioni'!$Q$8:$Q$1007,"OK"))</x:f>
      </x:c>
      <x:c r="X411" s="20" t="str">
        <x:f>IF(OR(A411="",I411&lt;&gt;"Esecuzioni",W411=0),"",SUMIFS('Esecuzioni'!$L$8:$L$1007,'Esecuzioni'!$A$8:$A$1007,A411))</x:f>
      </x:c>
      <x:c r="Y411" s="20" t="str">
        <x:f>IF(OR(A411="",I411&lt;&gt;"Esecuzioni",W411=0),"",SUMIFS('Esecuzioni'!$M$8:$M$1007,'Esecuzioni'!$A$8:$A$1007,A411))</x:f>
      </x:c>
      <x:c r="Z411" s="20" t="str">
        <x:f>IF(A411="","",IF(J411="Annullato",0,IF(ISNUMBER(O411),O411,IF(AND(I411="Esecuzioni",W411&gt;0),_xlfn.MAXIFS('Esecuzioni'!$P$8:$P$1007,'Esecuzioni'!$A$8:$A$1007,A411),""))))</x:f>
      </x:c>
      <x:c r="AA411" s="20" t="str">
        <x:f>IF(OR(A411="",J411="Aperto"),"",IF(J411="Annullato",0,IF(I411="Lordo manuale",IF(ISNUMBER(P411),P411,""),IF(I411="Netto manuale",IF(AND(ISNUMBER(P411),ISNUMBER(Q411)),P411+Q411,""),IF(OR(W411=0,COUNTIFS('Esecuzioni'!$A$8:$A$1007,A411,'Esecuzioni'!$Q$8:$Q$1007,"&lt;&gt;OK")&gt;0),"",IF(S411="Vince",X411,IF(S411="Perde",Y411,IF(AND(S411="Coperto",ABS(X411-Y411)&lt;='Impostazioni'!$B$11),ROUND((X411+Y411)/2,2),""))))))))</x:f>
      </x:c>
      <x:c r="AB411" s="20" t="str">
        <x:f>IF(NOT(ISNUMBER(AA411)),"",IF(J411="Annullato",0,IF(ISNUMBER(Q411),Q411,ROUND(MAX(0,AA411)*IF(ISNUMBER(R411),R411,'Impostazioni'!$B$8),2))))</x:f>
      </x:c>
      <x:c r="AC411" s="20" t="str">
        <x:f>IF(AND(ISNUMBER(AA411),ISNUMBER(AB411)),ROUND(AA411-AB411,2),"")</x:f>
      </x:c>
      <x:c r="AD411" s="18" t="str">
        <x:f>IF(A411="","",IF(AQ411&lt;&gt;"OK","Incompleto",IF(J411="Aperto","Aperto",IF(J411="Annullato","Annullato",IF(AC411&gt;0,"Green",IF(AC411&lt;0,"Red","Flat"))))))</x:f>
      </x:c>
      <x:c r="AE411" s="21" t="str">
        <x:f>IF(AND(AH411=1,Z411&gt;0),AC411/Z411,"")</x:f>
      </x:c>
      <x:c r="AF411" s="22" t="str">
        <x:f>IF(AH411&lt;&gt;1,"",COUNTIFS($C$8:$C$507,"&lt;"&amp;C411,$AH$8:$AH$507,1)+COUNTIFS($C$8:$C$507,C411,$A$8:$A$507,"&lt;="&amp;A411,$AH$8:$AH$507,1))</x:f>
      </x:c>
      <x:c r="AG411" s="20" t="str">
        <x:f>IF(AH411&lt;&gt;1,"",SUMIFS($AC$8:$AC$507,$C$8:$C$507,"&lt;"&amp;C411,$AH$8:$AH$507,1)+SUMIFS($AC$8:$AC$507,$C$8:$C$507,C411,$A$8:$A$507,"&lt;="&amp;A411,$AH$8:$AH$507,1))</x:f>
      </x:c>
      <x:c r="AH411" s="22" t="str">
        <x:f>IF(A411="","",IF(AND(J411="Chiuso",AQ411="OK",ISNUMBER(AC411)),1,0))</x:f>
      </x:c>
      <x:c r="AI411" s="20" t="str">
        <x:f>IF(AH411&lt;&gt;1,"",MAX(0,_xlfn.MAXIFS($AG$8:$AG$507,$AF$8:$AF$507,"&lt;="&amp;AF411,$AH$8:$AH$507,1)))</x:f>
      </x:c>
      <x:c r="AJ411" s="20" t="str">
        <x:f>IF(AH411&lt;&gt;1,"",MAX(0,AI411-AG411))</x:f>
      </x:c>
      <x:c r="AK411" s="21" t="str">
        <x:f>IF(OR(AH411&lt;&gt;1,NOT(ISNUMBER('Impostazioni'!$B$6)),'Impostazioni'!$B$6+AI411&lt;=0),"",AJ411/('Impostazioni'!$B$6+AI411))</x:f>
      </x:c>
      <x:c r="AL411" s="22" t="str">
        <x:f>IF(AH411&lt;&gt;1,"",IF(AC411&gt;0,AF411-_xlfn.MAXIFS($AF$8:$AF$507,$AF$8:$AF$507,"&lt;="&amp;AF411,$AC$8:$AC$507,"&lt;=0",$AH$8:$AH$507,1),0))</x:f>
      </x:c>
      <x:c r="AM411" s="22" t="str">
        <x:f>IF(AH411&lt;&gt;1,"",IF(AC411&lt;0,AF411-_xlfn.MAXIFS($AF$8:$AF$507,$AF$8:$AF$507,"&lt;="&amp;AF411,$AC$8:$AC$507,"&gt;=0",$AH$8:$AH$507,1),0))</x:f>
      </x:c>
      <x:c r="AN411" s="20" t="str">
        <x:f>IF(OR(A411="",NOT(ISNUMBER(B411)),NOT(ISNUMBER('Impostazioni'!$B$6))),"",'Impostazioni'!$B$6+SUMIFS($AC$8:$AC$507,$C$8:$C$507,"&lt;"&amp;B411,$AH$8:$AH$507,1)+SUMIFS('Cassa'!$F$8:$F$307,'Cassa'!$A$8:$A$307,"&lt;="&amp;B411,'Cassa'!$G$8:$G$307,"OK"))</x:f>
      </x:c>
      <x:c r="AO411" s="21" t="str">
        <x:f>IF(AND(ISNUMBER(Z411),ISNUMBER(AN411),AN411&gt;0),Z411/AN411,"")</x:f>
      </x:c>
      <x:c r="AP411" s="18" t="str">
        <x:f>IF(NOT(ISNUMBER(AO411)),"",IF(AO411&gt;'Impostazioni'!$B$7,"Oltre soglia personale","Nella soglia personale"))</x:f>
      </x:c>
      <x:c r="AQ411" s="18" t="str">
        <x:f>IF(A411="",IF(COUNTA(B411:V411)=0,"","Inserisci ID"),IF(COUNTIFS($A$8:$A$507,A411)&lt;&gt;1,"ID duplicato",IF(OR(NOT(ISNUMBER(B411)),D411="",E411="",F411="",G411="",H411="",COUNTIFS('Impostazioni'!$J$6:$J$25,F411)&lt;&gt;1),"Completa dati / elenchi",IF(OR(AND(I411&lt;&gt;"Lordo manuale",I411&lt;&gt;"Netto manuale",I411&lt;&gt;"Esecuzioni"),AND(J411&lt;&gt;"Aperto",J411&lt;&gt;"Chiuso",J411&lt;&gt;"Annullato")),"Modalità / stato mancanti",IF(AND(J411&lt;&gt;"Aperto",OR(NOT(ISNUMBER(C411)),C411&lt;B411)),"Correggi data chiusura",IF(OR(AND(Q411&lt;&gt;"",OR(NOT(ISNUMBER(Q411)),Q411&lt;0)),AND(R411&lt;&gt;"",OR(NOT(ISNUMBER(R411)),R411&lt;0,R411&gt;1))),"Commissione non valida",IF(J411="Annullato","OK",IF(OR(NOT(ISNUMBER(Z411)),Z411&lt;0,AND(O411&lt;&gt;"",NOT(ISNUMBER(O411)))),"Inserisci rischio",IF(AND(I411="Esecuzioni",OR(W411=0,COUNTIFS('Esecuzioni'!$A$8:$A$1007,A411,'Esecuzioni'!$Q$8:$Q$1007,"&lt;&gt;OK")&gt;0)),"Correggi esecuzioni",IF(J411="Aperto","OK",IF(AND(I411="Esecuzioni",S411="Coperto",ABS(X411-Y411)&gt;'Impostazioni'!$B$11),"Copertura residua",IF(NOT(ISNUMBER(AC411)),"Completa risultato / esito",IF(AND(Z411=0,AC411&lt;&gt;0),"Rischio nullo con P/L","OK")))))))))))))</x:f>
      </x:c>
      <x:c r="AR411" s="20" t="str">
        <x:f>IF(OR(A411="",J411&lt;&gt;"Aperto",AQ411&lt;&gt;"OK"),"",IF(I411="Esecuzioni",SUMIFS('Esecuzioni'!$P$8:$P$1007,'Esecuzioni'!$A$8:$A$1007,A411,'Esecuzioni'!$B$8:$B$1007,_xlfn.MAXIFS('Esecuzioni'!$B$8:$B$1007,'Esecuzioni'!$A$8:$A$1007,A411)),IF(LEFT(U411,8)="FREEBET:",0,Z411)))</x:f>
      </x:c>
      <x:c r="AS411" s="48" t="str">
        <x:f>IF(OR(A411="",E411=""),"",IF(COUNTIFS($E$8:E411,E411)=1,COUNT($AS$7:AS410)+1,""))</x:f>
      </x:c>
    </x:row>
    <x:row r="412" ht="22" customHeight="1">
      <x:c r="A412" s="7"/>
      <x:c r="B412" s="19"/>
      <x:c r="C412" s="19"/>
      <x:c r="D412" s="7"/>
      <x:c r="E412" s="7"/>
      <x:c r="F412" s="7"/>
      <x:c r="G412" s="7"/>
      <x:c r="H412" s="7"/>
      <x:c r="I412" s="7"/>
      <x:c r="J412" s="7"/>
      <x:c r="K412" s="10"/>
      <x:c r="L412" s="7"/>
      <x:c r="M412" s="10"/>
      <x:c r="N412" s="7"/>
      <x:c r="O412" s="8"/>
      <x:c r="P412" s="8"/>
      <x:c r="Q412" s="8"/>
      <x:c r="R412" s="9"/>
      <x:c r="S412" s="7"/>
      <x:c r="T412" s="7"/>
      <x:c r="U412" s="7"/>
      <x:c r="V412" s="7"/>
      <x:c r="W412" s="22" t="str">
        <x:f>IF(A412="","",COUNTIFS('Esecuzioni'!$A$8:$A$1007,A412,'Esecuzioni'!$Q$8:$Q$1007,"OK"))</x:f>
      </x:c>
      <x:c r="X412" s="20" t="str">
        <x:f>IF(OR(A412="",I412&lt;&gt;"Esecuzioni",W412=0),"",SUMIFS('Esecuzioni'!$L$8:$L$1007,'Esecuzioni'!$A$8:$A$1007,A412))</x:f>
      </x:c>
      <x:c r="Y412" s="20" t="str">
        <x:f>IF(OR(A412="",I412&lt;&gt;"Esecuzioni",W412=0),"",SUMIFS('Esecuzioni'!$M$8:$M$1007,'Esecuzioni'!$A$8:$A$1007,A412))</x:f>
      </x:c>
      <x:c r="Z412" s="20" t="str">
        <x:f>IF(A412="","",IF(J412="Annullato",0,IF(ISNUMBER(O412),O412,IF(AND(I412="Esecuzioni",W412&gt;0),_xlfn.MAXIFS('Esecuzioni'!$P$8:$P$1007,'Esecuzioni'!$A$8:$A$1007,A412),""))))</x:f>
      </x:c>
      <x:c r="AA412" s="20" t="str">
        <x:f>IF(OR(A412="",J412="Aperto"),"",IF(J412="Annullato",0,IF(I412="Lordo manuale",IF(ISNUMBER(P412),P412,""),IF(I412="Netto manuale",IF(AND(ISNUMBER(P412),ISNUMBER(Q412)),P412+Q412,""),IF(OR(W412=0,COUNTIFS('Esecuzioni'!$A$8:$A$1007,A412,'Esecuzioni'!$Q$8:$Q$1007,"&lt;&gt;OK")&gt;0),"",IF(S412="Vince",X412,IF(S412="Perde",Y412,IF(AND(S412="Coperto",ABS(X412-Y412)&lt;='Impostazioni'!$B$11),ROUND((X412+Y412)/2,2),""))))))))</x:f>
      </x:c>
      <x:c r="AB412" s="20" t="str">
        <x:f>IF(NOT(ISNUMBER(AA412)),"",IF(J412="Annullato",0,IF(ISNUMBER(Q412),Q412,ROUND(MAX(0,AA412)*IF(ISNUMBER(R412),R412,'Impostazioni'!$B$8),2))))</x:f>
      </x:c>
      <x:c r="AC412" s="20" t="str">
        <x:f>IF(AND(ISNUMBER(AA412),ISNUMBER(AB412)),ROUND(AA412-AB412,2),"")</x:f>
      </x:c>
      <x:c r="AD412" s="18" t="str">
        <x:f>IF(A412="","",IF(AQ412&lt;&gt;"OK","Incompleto",IF(J412="Aperto","Aperto",IF(J412="Annullato","Annullato",IF(AC412&gt;0,"Green",IF(AC412&lt;0,"Red","Flat"))))))</x:f>
      </x:c>
      <x:c r="AE412" s="21" t="str">
        <x:f>IF(AND(AH412=1,Z412&gt;0),AC412/Z412,"")</x:f>
      </x:c>
      <x:c r="AF412" s="22" t="str">
        <x:f>IF(AH412&lt;&gt;1,"",COUNTIFS($C$8:$C$507,"&lt;"&amp;C412,$AH$8:$AH$507,1)+COUNTIFS($C$8:$C$507,C412,$A$8:$A$507,"&lt;="&amp;A412,$AH$8:$AH$507,1))</x:f>
      </x:c>
      <x:c r="AG412" s="20" t="str">
        <x:f>IF(AH412&lt;&gt;1,"",SUMIFS($AC$8:$AC$507,$C$8:$C$507,"&lt;"&amp;C412,$AH$8:$AH$507,1)+SUMIFS($AC$8:$AC$507,$C$8:$C$507,C412,$A$8:$A$507,"&lt;="&amp;A412,$AH$8:$AH$507,1))</x:f>
      </x:c>
      <x:c r="AH412" s="22" t="str">
        <x:f>IF(A412="","",IF(AND(J412="Chiuso",AQ412="OK",ISNUMBER(AC412)),1,0))</x:f>
      </x:c>
      <x:c r="AI412" s="20" t="str">
        <x:f>IF(AH412&lt;&gt;1,"",MAX(0,_xlfn.MAXIFS($AG$8:$AG$507,$AF$8:$AF$507,"&lt;="&amp;AF412,$AH$8:$AH$507,1)))</x:f>
      </x:c>
      <x:c r="AJ412" s="20" t="str">
        <x:f>IF(AH412&lt;&gt;1,"",MAX(0,AI412-AG412))</x:f>
      </x:c>
      <x:c r="AK412" s="21" t="str">
        <x:f>IF(OR(AH412&lt;&gt;1,NOT(ISNUMBER('Impostazioni'!$B$6)),'Impostazioni'!$B$6+AI412&lt;=0),"",AJ412/('Impostazioni'!$B$6+AI412))</x:f>
      </x:c>
      <x:c r="AL412" s="22" t="str">
        <x:f>IF(AH412&lt;&gt;1,"",IF(AC412&gt;0,AF412-_xlfn.MAXIFS($AF$8:$AF$507,$AF$8:$AF$507,"&lt;="&amp;AF412,$AC$8:$AC$507,"&lt;=0",$AH$8:$AH$507,1),0))</x:f>
      </x:c>
      <x:c r="AM412" s="22" t="str">
        <x:f>IF(AH412&lt;&gt;1,"",IF(AC412&lt;0,AF412-_xlfn.MAXIFS($AF$8:$AF$507,$AF$8:$AF$507,"&lt;="&amp;AF412,$AC$8:$AC$507,"&gt;=0",$AH$8:$AH$507,1),0))</x:f>
      </x:c>
      <x:c r="AN412" s="20" t="str">
        <x:f>IF(OR(A412="",NOT(ISNUMBER(B412)),NOT(ISNUMBER('Impostazioni'!$B$6))),"",'Impostazioni'!$B$6+SUMIFS($AC$8:$AC$507,$C$8:$C$507,"&lt;"&amp;B412,$AH$8:$AH$507,1)+SUMIFS('Cassa'!$F$8:$F$307,'Cassa'!$A$8:$A$307,"&lt;="&amp;B412,'Cassa'!$G$8:$G$307,"OK"))</x:f>
      </x:c>
      <x:c r="AO412" s="21" t="str">
        <x:f>IF(AND(ISNUMBER(Z412),ISNUMBER(AN412),AN412&gt;0),Z412/AN412,"")</x:f>
      </x:c>
      <x:c r="AP412" s="18" t="str">
        <x:f>IF(NOT(ISNUMBER(AO412)),"",IF(AO412&gt;'Impostazioni'!$B$7,"Oltre soglia personale","Nella soglia personale"))</x:f>
      </x:c>
      <x:c r="AQ412" s="18" t="str">
        <x:f>IF(A412="",IF(COUNTA(B412:V412)=0,"","Inserisci ID"),IF(COUNTIFS($A$8:$A$507,A412)&lt;&gt;1,"ID duplicato",IF(OR(NOT(ISNUMBER(B412)),D412="",E412="",F412="",G412="",H412="",COUNTIFS('Impostazioni'!$J$6:$J$25,F412)&lt;&gt;1),"Completa dati / elenchi",IF(OR(AND(I412&lt;&gt;"Lordo manuale",I412&lt;&gt;"Netto manuale",I412&lt;&gt;"Esecuzioni"),AND(J412&lt;&gt;"Aperto",J412&lt;&gt;"Chiuso",J412&lt;&gt;"Annullato")),"Modalità / stato mancanti",IF(AND(J412&lt;&gt;"Aperto",OR(NOT(ISNUMBER(C412)),C412&lt;B412)),"Correggi data chiusura",IF(OR(AND(Q412&lt;&gt;"",OR(NOT(ISNUMBER(Q412)),Q412&lt;0)),AND(R412&lt;&gt;"",OR(NOT(ISNUMBER(R412)),R412&lt;0,R412&gt;1))),"Commissione non valida",IF(J412="Annullato","OK",IF(OR(NOT(ISNUMBER(Z412)),Z412&lt;0,AND(O412&lt;&gt;"",NOT(ISNUMBER(O412)))),"Inserisci rischio",IF(AND(I412="Esecuzioni",OR(W412=0,COUNTIFS('Esecuzioni'!$A$8:$A$1007,A412,'Esecuzioni'!$Q$8:$Q$1007,"&lt;&gt;OK")&gt;0)),"Correggi esecuzioni",IF(J412="Aperto","OK",IF(AND(I412="Esecuzioni",S412="Coperto",ABS(X412-Y412)&gt;'Impostazioni'!$B$11),"Copertura residua",IF(NOT(ISNUMBER(AC412)),"Completa risultato / esito",IF(AND(Z412=0,AC412&lt;&gt;0),"Rischio nullo con P/L","OK")))))))))))))</x:f>
      </x:c>
      <x:c r="AR412" s="20" t="str">
        <x:f>IF(OR(A412="",J412&lt;&gt;"Aperto",AQ412&lt;&gt;"OK"),"",IF(I412="Esecuzioni",SUMIFS('Esecuzioni'!$P$8:$P$1007,'Esecuzioni'!$A$8:$A$1007,A412,'Esecuzioni'!$B$8:$B$1007,_xlfn.MAXIFS('Esecuzioni'!$B$8:$B$1007,'Esecuzioni'!$A$8:$A$1007,A412)),IF(LEFT(U412,8)="FREEBET:",0,Z412)))</x:f>
      </x:c>
      <x:c r="AS412" s="48" t="str">
        <x:f>IF(OR(A412="",E412=""),"",IF(COUNTIFS($E$8:E412,E412)=1,COUNT($AS$7:AS411)+1,""))</x:f>
      </x:c>
    </x:row>
    <x:row r="413" ht="22" customHeight="1">
      <x:c r="A413" s="7"/>
      <x:c r="B413" s="19"/>
      <x:c r="C413" s="19"/>
      <x:c r="D413" s="7"/>
      <x:c r="E413" s="7"/>
      <x:c r="F413" s="7"/>
      <x:c r="G413" s="7"/>
      <x:c r="H413" s="7"/>
      <x:c r="I413" s="7"/>
      <x:c r="J413" s="7"/>
      <x:c r="K413" s="10"/>
      <x:c r="L413" s="7"/>
      <x:c r="M413" s="10"/>
      <x:c r="N413" s="7"/>
      <x:c r="O413" s="8"/>
      <x:c r="P413" s="8"/>
      <x:c r="Q413" s="8"/>
      <x:c r="R413" s="9"/>
      <x:c r="S413" s="7"/>
      <x:c r="T413" s="7"/>
      <x:c r="U413" s="7"/>
      <x:c r="V413" s="7"/>
      <x:c r="W413" s="22" t="str">
        <x:f>IF(A413="","",COUNTIFS('Esecuzioni'!$A$8:$A$1007,A413,'Esecuzioni'!$Q$8:$Q$1007,"OK"))</x:f>
      </x:c>
      <x:c r="X413" s="20" t="str">
        <x:f>IF(OR(A413="",I413&lt;&gt;"Esecuzioni",W413=0),"",SUMIFS('Esecuzioni'!$L$8:$L$1007,'Esecuzioni'!$A$8:$A$1007,A413))</x:f>
      </x:c>
      <x:c r="Y413" s="20" t="str">
        <x:f>IF(OR(A413="",I413&lt;&gt;"Esecuzioni",W413=0),"",SUMIFS('Esecuzioni'!$M$8:$M$1007,'Esecuzioni'!$A$8:$A$1007,A413))</x:f>
      </x:c>
      <x:c r="Z413" s="20" t="str">
        <x:f>IF(A413="","",IF(J413="Annullato",0,IF(ISNUMBER(O413),O413,IF(AND(I413="Esecuzioni",W413&gt;0),_xlfn.MAXIFS('Esecuzioni'!$P$8:$P$1007,'Esecuzioni'!$A$8:$A$1007,A413),""))))</x:f>
      </x:c>
      <x:c r="AA413" s="20" t="str">
        <x:f>IF(OR(A413="",J413="Aperto"),"",IF(J413="Annullato",0,IF(I413="Lordo manuale",IF(ISNUMBER(P413),P413,""),IF(I413="Netto manuale",IF(AND(ISNUMBER(P413),ISNUMBER(Q413)),P413+Q413,""),IF(OR(W413=0,COUNTIFS('Esecuzioni'!$A$8:$A$1007,A413,'Esecuzioni'!$Q$8:$Q$1007,"&lt;&gt;OK")&gt;0),"",IF(S413="Vince",X413,IF(S413="Perde",Y413,IF(AND(S413="Coperto",ABS(X413-Y413)&lt;='Impostazioni'!$B$11),ROUND((X413+Y413)/2,2),""))))))))</x:f>
      </x:c>
      <x:c r="AB413" s="20" t="str">
        <x:f>IF(NOT(ISNUMBER(AA413)),"",IF(J413="Annullato",0,IF(ISNUMBER(Q413),Q413,ROUND(MAX(0,AA413)*IF(ISNUMBER(R413),R413,'Impostazioni'!$B$8),2))))</x:f>
      </x:c>
      <x:c r="AC413" s="20" t="str">
        <x:f>IF(AND(ISNUMBER(AA413),ISNUMBER(AB413)),ROUND(AA413-AB413,2),"")</x:f>
      </x:c>
      <x:c r="AD413" s="18" t="str">
        <x:f>IF(A413="","",IF(AQ413&lt;&gt;"OK","Incompleto",IF(J413="Aperto","Aperto",IF(J413="Annullato","Annullato",IF(AC413&gt;0,"Green",IF(AC413&lt;0,"Red","Flat"))))))</x:f>
      </x:c>
      <x:c r="AE413" s="21" t="str">
        <x:f>IF(AND(AH413=1,Z413&gt;0),AC413/Z413,"")</x:f>
      </x:c>
      <x:c r="AF413" s="22" t="str">
        <x:f>IF(AH413&lt;&gt;1,"",COUNTIFS($C$8:$C$507,"&lt;"&amp;C413,$AH$8:$AH$507,1)+COUNTIFS($C$8:$C$507,C413,$A$8:$A$507,"&lt;="&amp;A413,$AH$8:$AH$507,1))</x:f>
      </x:c>
      <x:c r="AG413" s="20" t="str">
        <x:f>IF(AH413&lt;&gt;1,"",SUMIFS($AC$8:$AC$507,$C$8:$C$507,"&lt;"&amp;C413,$AH$8:$AH$507,1)+SUMIFS($AC$8:$AC$507,$C$8:$C$507,C413,$A$8:$A$507,"&lt;="&amp;A413,$AH$8:$AH$507,1))</x:f>
      </x:c>
      <x:c r="AH413" s="22" t="str">
        <x:f>IF(A413="","",IF(AND(J413="Chiuso",AQ413="OK",ISNUMBER(AC413)),1,0))</x:f>
      </x:c>
      <x:c r="AI413" s="20" t="str">
        <x:f>IF(AH413&lt;&gt;1,"",MAX(0,_xlfn.MAXIFS($AG$8:$AG$507,$AF$8:$AF$507,"&lt;="&amp;AF413,$AH$8:$AH$507,1)))</x:f>
      </x:c>
      <x:c r="AJ413" s="20" t="str">
        <x:f>IF(AH413&lt;&gt;1,"",MAX(0,AI413-AG413))</x:f>
      </x:c>
      <x:c r="AK413" s="21" t="str">
        <x:f>IF(OR(AH413&lt;&gt;1,NOT(ISNUMBER('Impostazioni'!$B$6)),'Impostazioni'!$B$6+AI413&lt;=0),"",AJ413/('Impostazioni'!$B$6+AI413))</x:f>
      </x:c>
      <x:c r="AL413" s="22" t="str">
        <x:f>IF(AH413&lt;&gt;1,"",IF(AC413&gt;0,AF413-_xlfn.MAXIFS($AF$8:$AF$507,$AF$8:$AF$507,"&lt;="&amp;AF413,$AC$8:$AC$507,"&lt;=0",$AH$8:$AH$507,1),0))</x:f>
      </x:c>
      <x:c r="AM413" s="22" t="str">
        <x:f>IF(AH413&lt;&gt;1,"",IF(AC413&lt;0,AF413-_xlfn.MAXIFS($AF$8:$AF$507,$AF$8:$AF$507,"&lt;="&amp;AF413,$AC$8:$AC$507,"&gt;=0",$AH$8:$AH$507,1),0))</x:f>
      </x:c>
      <x:c r="AN413" s="20" t="str">
        <x:f>IF(OR(A413="",NOT(ISNUMBER(B413)),NOT(ISNUMBER('Impostazioni'!$B$6))),"",'Impostazioni'!$B$6+SUMIFS($AC$8:$AC$507,$C$8:$C$507,"&lt;"&amp;B413,$AH$8:$AH$507,1)+SUMIFS('Cassa'!$F$8:$F$307,'Cassa'!$A$8:$A$307,"&lt;="&amp;B413,'Cassa'!$G$8:$G$307,"OK"))</x:f>
      </x:c>
      <x:c r="AO413" s="21" t="str">
        <x:f>IF(AND(ISNUMBER(Z413),ISNUMBER(AN413),AN413&gt;0),Z413/AN413,"")</x:f>
      </x:c>
      <x:c r="AP413" s="18" t="str">
        <x:f>IF(NOT(ISNUMBER(AO413)),"",IF(AO413&gt;'Impostazioni'!$B$7,"Oltre soglia personale","Nella soglia personale"))</x:f>
      </x:c>
      <x:c r="AQ413" s="18" t="str">
        <x:f>IF(A413="",IF(COUNTA(B413:V413)=0,"","Inserisci ID"),IF(COUNTIFS($A$8:$A$507,A413)&lt;&gt;1,"ID duplicato",IF(OR(NOT(ISNUMBER(B413)),D413="",E413="",F413="",G413="",H413="",COUNTIFS('Impostazioni'!$J$6:$J$25,F413)&lt;&gt;1),"Completa dati / elenchi",IF(OR(AND(I413&lt;&gt;"Lordo manuale",I413&lt;&gt;"Netto manuale",I413&lt;&gt;"Esecuzioni"),AND(J413&lt;&gt;"Aperto",J413&lt;&gt;"Chiuso",J413&lt;&gt;"Annullato")),"Modalità / stato mancanti",IF(AND(J413&lt;&gt;"Aperto",OR(NOT(ISNUMBER(C413)),C413&lt;B413)),"Correggi data chiusura",IF(OR(AND(Q413&lt;&gt;"",OR(NOT(ISNUMBER(Q413)),Q413&lt;0)),AND(R413&lt;&gt;"",OR(NOT(ISNUMBER(R413)),R413&lt;0,R413&gt;1))),"Commissione non valida",IF(J413="Annullato","OK",IF(OR(NOT(ISNUMBER(Z413)),Z413&lt;0,AND(O413&lt;&gt;"",NOT(ISNUMBER(O413)))),"Inserisci rischio",IF(AND(I413="Esecuzioni",OR(W413=0,COUNTIFS('Esecuzioni'!$A$8:$A$1007,A413,'Esecuzioni'!$Q$8:$Q$1007,"&lt;&gt;OK")&gt;0)),"Correggi esecuzioni",IF(J413="Aperto","OK",IF(AND(I413="Esecuzioni",S413="Coperto",ABS(X413-Y413)&gt;'Impostazioni'!$B$11),"Copertura residua",IF(NOT(ISNUMBER(AC413)),"Completa risultato / esito",IF(AND(Z413=0,AC413&lt;&gt;0),"Rischio nullo con P/L","OK")))))))))))))</x:f>
      </x:c>
      <x:c r="AR413" s="20" t="str">
        <x:f>IF(OR(A413="",J413&lt;&gt;"Aperto",AQ413&lt;&gt;"OK"),"",IF(I413="Esecuzioni",SUMIFS('Esecuzioni'!$P$8:$P$1007,'Esecuzioni'!$A$8:$A$1007,A413,'Esecuzioni'!$B$8:$B$1007,_xlfn.MAXIFS('Esecuzioni'!$B$8:$B$1007,'Esecuzioni'!$A$8:$A$1007,A413)),IF(LEFT(U413,8)="FREEBET:",0,Z413)))</x:f>
      </x:c>
      <x:c r="AS413" s="48" t="str">
        <x:f>IF(OR(A413="",E413=""),"",IF(COUNTIFS($E$8:E413,E413)=1,COUNT($AS$7:AS412)+1,""))</x:f>
      </x:c>
    </x:row>
    <x:row r="414" ht="22" customHeight="1">
      <x:c r="A414" s="7"/>
      <x:c r="B414" s="19"/>
      <x:c r="C414" s="19"/>
      <x:c r="D414" s="7"/>
      <x:c r="E414" s="7"/>
      <x:c r="F414" s="7"/>
      <x:c r="G414" s="7"/>
      <x:c r="H414" s="7"/>
      <x:c r="I414" s="7"/>
      <x:c r="J414" s="7"/>
      <x:c r="K414" s="10"/>
      <x:c r="L414" s="7"/>
      <x:c r="M414" s="10"/>
      <x:c r="N414" s="7"/>
      <x:c r="O414" s="8"/>
      <x:c r="P414" s="8"/>
      <x:c r="Q414" s="8"/>
      <x:c r="R414" s="9"/>
      <x:c r="S414" s="7"/>
      <x:c r="T414" s="7"/>
      <x:c r="U414" s="7"/>
      <x:c r="V414" s="7"/>
      <x:c r="W414" s="22" t="str">
        <x:f>IF(A414="","",COUNTIFS('Esecuzioni'!$A$8:$A$1007,A414,'Esecuzioni'!$Q$8:$Q$1007,"OK"))</x:f>
      </x:c>
      <x:c r="X414" s="20" t="str">
        <x:f>IF(OR(A414="",I414&lt;&gt;"Esecuzioni",W414=0),"",SUMIFS('Esecuzioni'!$L$8:$L$1007,'Esecuzioni'!$A$8:$A$1007,A414))</x:f>
      </x:c>
      <x:c r="Y414" s="20" t="str">
        <x:f>IF(OR(A414="",I414&lt;&gt;"Esecuzioni",W414=0),"",SUMIFS('Esecuzioni'!$M$8:$M$1007,'Esecuzioni'!$A$8:$A$1007,A414))</x:f>
      </x:c>
      <x:c r="Z414" s="20" t="str">
        <x:f>IF(A414="","",IF(J414="Annullato",0,IF(ISNUMBER(O414),O414,IF(AND(I414="Esecuzioni",W414&gt;0),_xlfn.MAXIFS('Esecuzioni'!$P$8:$P$1007,'Esecuzioni'!$A$8:$A$1007,A414),""))))</x:f>
      </x:c>
      <x:c r="AA414" s="20" t="str">
        <x:f>IF(OR(A414="",J414="Aperto"),"",IF(J414="Annullato",0,IF(I414="Lordo manuale",IF(ISNUMBER(P414),P414,""),IF(I414="Netto manuale",IF(AND(ISNUMBER(P414),ISNUMBER(Q414)),P414+Q414,""),IF(OR(W414=0,COUNTIFS('Esecuzioni'!$A$8:$A$1007,A414,'Esecuzioni'!$Q$8:$Q$1007,"&lt;&gt;OK")&gt;0),"",IF(S414="Vince",X414,IF(S414="Perde",Y414,IF(AND(S414="Coperto",ABS(X414-Y414)&lt;='Impostazioni'!$B$11),ROUND((X414+Y414)/2,2),""))))))))</x:f>
      </x:c>
      <x:c r="AB414" s="20" t="str">
        <x:f>IF(NOT(ISNUMBER(AA414)),"",IF(J414="Annullato",0,IF(ISNUMBER(Q414),Q414,ROUND(MAX(0,AA414)*IF(ISNUMBER(R414),R414,'Impostazioni'!$B$8),2))))</x:f>
      </x:c>
      <x:c r="AC414" s="20" t="str">
        <x:f>IF(AND(ISNUMBER(AA414),ISNUMBER(AB414)),ROUND(AA414-AB414,2),"")</x:f>
      </x:c>
      <x:c r="AD414" s="18" t="str">
        <x:f>IF(A414="","",IF(AQ414&lt;&gt;"OK","Incompleto",IF(J414="Aperto","Aperto",IF(J414="Annullato","Annullato",IF(AC414&gt;0,"Green",IF(AC414&lt;0,"Red","Flat"))))))</x:f>
      </x:c>
      <x:c r="AE414" s="21" t="str">
        <x:f>IF(AND(AH414=1,Z414&gt;0),AC414/Z414,"")</x:f>
      </x:c>
      <x:c r="AF414" s="22" t="str">
        <x:f>IF(AH414&lt;&gt;1,"",COUNTIFS($C$8:$C$507,"&lt;"&amp;C414,$AH$8:$AH$507,1)+COUNTIFS($C$8:$C$507,C414,$A$8:$A$507,"&lt;="&amp;A414,$AH$8:$AH$507,1))</x:f>
      </x:c>
      <x:c r="AG414" s="20" t="str">
        <x:f>IF(AH414&lt;&gt;1,"",SUMIFS($AC$8:$AC$507,$C$8:$C$507,"&lt;"&amp;C414,$AH$8:$AH$507,1)+SUMIFS($AC$8:$AC$507,$C$8:$C$507,C414,$A$8:$A$507,"&lt;="&amp;A414,$AH$8:$AH$507,1))</x:f>
      </x:c>
      <x:c r="AH414" s="22" t="str">
        <x:f>IF(A414="","",IF(AND(J414="Chiuso",AQ414="OK",ISNUMBER(AC414)),1,0))</x:f>
      </x:c>
      <x:c r="AI414" s="20" t="str">
        <x:f>IF(AH414&lt;&gt;1,"",MAX(0,_xlfn.MAXIFS($AG$8:$AG$507,$AF$8:$AF$507,"&lt;="&amp;AF414,$AH$8:$AH$507,1)))</x:f>
      </x:c>
      <x:c r="AJ414" s="20" t="str">
        <x:f>IF(AH414&lt;&gt;1,"",MAX(0,AI414-AG414))</x:f>
      </x:c>
      <x:c r="AK414" s="21" t="str">
        <x:f>IF(OR(AH414&lt;&gt;1,NOT(ISNUMBER('Impostazioni'!$B$6)),'Impostazioni'!$B$6+AI414&lt;=0),"",AJ414/('Impostazioni'!$B$6+AI414))</x:f>
      </x:c>
      <x:c r="AL414" s="22" t="str">
        <x:f>IF(AH414&lt;&gt;1,"",IF(AC414&gt;0,AF414-_xlfn.MAXIFS($AF$8:$AF$507,$AF$8:$AF$507,"&lt;="&amp;AF414,$AC$8:$AC$507,"&lt;=0",$AH$8:$AH$507,1),0))</x:f>
      </x:c>
      <x:c r="AM414" s="22" t="str">
        <x:f>IF(AH414&lt;&gt;1,"",IF(AC414&lt;0,AF414-_xlfn.MAXIFS($AF$8:$AF$507,$AF$8:$AF$507,"&lt;="&amp;AF414,$AC$8:$AC$507,"&gt;=0",$AH$8:$AH$507,1),0))</x:f>
      </x:c>
      <x:c r="AN414" s="20" t="str">
        <x:f>IF(OR(A414="",NOT(ISNUMBER(B414)),NOT(ISNUMBER('Impostazioni'!$B$6))),"",'Impostazioni'!$B$6+SUMIFS($AC$8:$AC$507,$C$8:$C$507,"&lt;"&amp;B414,$AH$8:$AH$507,1)+SUMIFS('Cassa'!$F$8:$F$307,'Cassa'!$A$8:$A$307,"&lt;="&amp;B414,'Cassa'!$G$8:$G$307,"OK"))</x:f>
      </x:c>
      <x:c r="AO414" s="21" t="str">
        <x:f>IF(AND(ISNUMBER(Z414),ISNUMBER(AN414),AN414&gt;0),Z414/AN414,"")</x:f>
      </x:c>
      <x:c r="AP414" s="18" t="str">
        <x:f>IF(NOT(ISNUMBER(AO414)),"",IF(AO414&gt;'Impostazioni'!$B$7,"Oltre soglia personale","Nella soglia personale"))</x:f>
      </x:c>
      <x:c r="AQ414" s="18" t="str">
        <x:f>IF(A414="",IF(COUNTA(B414:V414)=0,"","Inserisci ID"),IF(COUNTIFS($A$8:$A$507,A414)&lt;&gt;1,"ID duplicato",IF(OR(NOT(ISNUMBER(B414)),D414="",E414="",F414="",G414="",H414="",COUNTIFS('Impostazioni'!$J$6:$J$25,F414)&lt;&gt;1),"Completa dati / elenchi",IF(OR(AND(I414&lt;&gt;"Lordo manuale",I414&lt;&gt;"Netto manuale",I414&lt;&gt;"Esecuzioni"),AND(J414&lt;&gt;"Aperto",J414&lt;&gt;"Chiuso",J414&lt;&gt;"Annullato")),"Modalità / stato mancanti",IF(AND(J414&lt;&gt;"Aperto",OR(NOT(ISNUMBER(C414)),C414&lt;B414)),"Correggi data chiusura",IF(OR(AND(Q414&lt;&gt;"",OR(NOT(ISNUMBER(Q414)),Q414&lt;0)),AND(R414&lt;&gt;"",OR(NOT(ISNUMBER(R414)),R414&lt;0,R414&gt;1))),"Commissione non valida",IF(J414="Annullato","OK",IF(OR(NOT(ISNUMBER(Z414)),Z414&lt;0,AND(O414&lt;&gt;"",NOT(ISNUMBER(O414)))),"Inserisci rischio",IF(AND(I414="Esecuzioni",OR(W414=0,COUNTIFS('Esecuzioni'!$A$8:$A$1007,A414,'Esecuzioni'!$Q$8:$Q$1007,"&lt;&gt;OK")&gt;0)),"Correggi esecuzioni",IF(J414="Aperto","OK",IF(AND(I414="Esecuzioni",S414="Coperto",ABS(X414-Y414)&gt;'Impostazioni'!$B$11),"Copertura residua",IF(NOT(ISNUMBER(AC414)),"Completa risultato / esito",IF(AND(Z414=0,AC414&lt;&gt;0),"Rischio nullo con P/L","OK")))))))))))))</x:f>
      </x:c>
      <x:c r="AR414" s="20" t="str">
        <x:f>IF(OR(A414="",J414&lt;&gt;"Aperto",AQ414&lt;&gt;"OK"),"",IF(I414="Esecuzioni",SUMIFS('Esecuzioni'!$P$8:$P$1007,'Esecuzioni'!$A$8:$A$1007,A414,'Esecuzioni'!$B$8:$B$1007,_xlfn.MAXIFS('Esecuzioni'!$B$8:$B$1007,'Esecuzioni'!$A$8:$A$1007,A414)),IF(LEFT(U414,8)="FREEBET:",0,Z414)))</x:f>
      </x:c>
      <x:c r="AS414" s="48" t="str">
        <x:f>IF(OR(A414="",E414=""),"",IF(COUNTIFS($E$8:E414,E414)=1,COUNT($AS$7:AS413)+1,""))</x:f>
      </x:c>
    </x:row>
    <x:row r="415" ht="22" customHeight="1">
      <x:c r="A415" s="7"/>
      <x:c r="B415" s="19"/>
      <x:c r="C415" s="19"/>
      <x:c r="D415" s="7"/>
      <x:c r="E415" s="7"/>
      <x:c r="F415" s="7"/>
      <x:c r="G415" s="7"/>
      <x:c r="H415" s="7"/>
      <x:c r="I415" s="7"/>
      <x:c r="J415" s="7"/>
      <x:c r="K415" s="10"/>
      <x:c r="L415" s="7"/>
      <x:c r="M415" s="10"/>
      <x:c r="N415" s="7"/>
      <x:c r="O415" s="8"/>
      <x:c r="P415" s="8"/>
      <x:c r="Q415" s="8"/>
      <x:c r="R415" s="9"/>
      <x:c r="S415" s="7"/>
      <x:c r="T415" s="7"/>
      <x:c r="U415" s="7"/>
      <x:c r="V415" s="7"/>
      <x:c r="W415" s="22" t="str">
        <x:f>IF(A415="","",COUNTIFS('Esecuzioni'!$A$8:$A$1007,A415,'Esecuzioni'!$Q$8:$Q$1007,"OK"))</x:f>
      </x:c>
      <x:c r="X415" s="20" t="str">
        <x:f>IF(OR(A415="",I415&lt;&gt;"Esecuzioni",W415=0),"",SUMIFS('Esecuzioni'!$L$8:$L$1007,'Esecuzioni'!$A$8:$A$1007,A415))</x:f>
      </x:c>
      <x:c r="Y415" s="20" t="str">
        <x:f>IF(OR(A415="",I415&lt;&gt;"Esecuzioni",W415=0),"",SUMIFS('Esecuzioni'!$M$8:$M$1007,'Esecuzioni'!$A$8:$A$1007,A415))</x:f>
      </x:c>
      <x:c r="Z415" s="20" t="str">
        <x:f>IF(A415="","",IF(J415="Annullato",0,IF(ISNUMBER(O415),O415,IF(AND(I415="Esecuzioni",W415&gt;0),_xlfn.MAXIFS('Esecuzioni'!$P$8:$P$1007,'Esecuzioni'!$A$8:$A$1007,A415),""))))</x:f>
      </x:c>
      <x:c r="AA415" s="20" t="str">
        <x:f>IF(OR(A415="",J415="Aperto"),"",IF(J415="Annullato",0,IF(I415="Lordo manuale",IF(ISNUMBER(P415),P415,""),IF(I415="Netto manuale",IF(AND(ISNUMBER(P415),ISNUMBER(Q415)),P415+Q415,""),IF(OR(W415=0,COUNTIFS('Esecuzioni'!$A$8:$A$1007,A415,'Esecuzioni'!$Q$8:$Q$1007,"&lt;&gt;OK")&gt;0),"",IF(S415="Vince",X415,IF(S415="Perde",Y415,IF(AND(S415="Coperto",ABS(X415-Y415)&lt;='Impostazioni'!$B$11),ROUND((X415+Y415)/2,2),""))))))))</x:f>
      </x:c>
      <x:c r="AB415" s="20" t="str">
        <x:f>IF(NOT(ISNUMBER(AA415)),"",IF(J415="Annullato",0,IF(ISNUMBER(Q415),Q415,ROUND(MAX(0,AA415)*IF(ISNUMBER(R415),R415,'Impostazioni'!$B$8),2))))</x:f>
      </x:c>
      <x:c r="AC415" s="20" t="str">
        <x:f>IF(AND(ISNUMBER(AA415),ISNUMBER(AB415)),ROUND(AA415-AB415,2),"")</x:f>
      </x:c>
      <x:c r="AD415" s="18" t="str">
        <x:f>IF(A415="","",IF(AQ415&lt;&gt;"OK","Incompleto",IF(J415="Aperto","Aperto",IF(J415="Annullato","Annullato",IF(AC415&gt;0,"Green",IF(AC415&lt;0,"Red","Flat"))))))</x:f>
      </x:c>
      <x:c r="AE415" s="21" t="str">
        <x:f>IF(AND(AH415=1,Z415&gt;0),AC415/Z415,"")</x:f>
      </x:c>
      <x:c r="AF415" s="22" t="str">
        <x:f>IF(AH415&lt;&gt;1,"",COUNTIFS($C$8:$C$507,"&lt;"&amp;C415,$AH$8:$AH$507,1)+COUNTIFS($C$8:$C$507,C415,$A$8:$A$507,"&lt;="&amp;A415,$AH$8:$AH$507,1))</x:f>
      </x:c>
      <x:c r="AG415" s="20" t="str">
        <x:f>IF(AH415&lt;&gt;1,"",SUMIFS($AC$8:$AC$507,$C$8:$C$507,"&lt;"&amp;C415,$AH$8:$AH$507,1)+SUMIFS($AC$8:$AC$507,$C$8:$C$507,C415,$A$8:$A$507,"&lt;="&amp;A415,$AH$8:$AH$507,1))</x:f>
      </x:c>
      <x:c r="AH415" s="22" t="str">
        <x:f>IF(A415="","",IF(AND(J415="Chiuso",AQ415="OK",ISNUMBER(AC415)),1,0))</x:f>
      </x:c>
      <x:c r="AI415" s="20" t="str">
        <x:f>IF(AH415&lt;&gt;1,"",MAX(0,_xlfn.MAXIFS($AG$8:$AG$507,$AF$8:$AF$507,"&lt;="&amp;AF415,$AH$8:$AH$507,1)))</x:f>
      </x:c>
      <x:c r="AJ415" s="20" t="str">
        <x:f>IF(AH415&lt;&gt;1,"",MAX(0,AI415-AG415))</x:f>
      </x:c>
      <x:c r="AK415" s="21" t="str">
        <x:f>IF(OR(AH415&lt;&gt;1,NOT(ISNUMBER('Impostazioni'!$B$6)),'Impostazioni'!$B$6+AI415&lt;=0),"",AJ415/('Impostazioni'!$B$6+AI415))</x:f>
      </x:c>
      <x:c r="AL415" s="22" t="str">
        <x:f>IF(AH415&lt;&gt;1,"",IF(AC415&gt;0,AF415-_xlfn.MAXIFS($AF$8:$AF$507,$AF$8:$AF$507,"&lt;="&amp;AF415,$AC$8:$AC$507,"&lt;=0",$AH$8:$AH$507,1),0))</x:f>
      </x:c>
      <x:c r="AM415" s="22" t="str">
        <x:f>IF(AH415&lt;&gt;1,"",IF(AC415&lt;0,AF415-_xlfn.MAXIFS($AF$8:$AF$507,$AF$8:$AF$507,"&lt;="&amp;AF415,$AC$8:$AC$507,"&gt;=0",$AH$8:$AH$507,1),0))</x:f>
      </x:c>
      <x:c r="AN415" s="20" t="str">
        <x:f>IF(OR(A415="",NOT(ISNUMBER(B415)),NOT(ISNUMBER('Impostazioni'!$B$6))),"",'Impostazioni'!$B$6+SUMIFS($AC$8:$AC$507,$C$8:$C$507,"&lt;"&amp;B415,$AH$8:$AH$507,1)+SUMIFS('Cassa'!$F$8:$F$307,'Cassa'!$A$8:$A$307,"&lt;="&amp;B415,'Cassa'!$G$8:$G$307,"OK"))</x:f>
      </x:c>
      <x:c r="AO415" s="21" t="str">
        <x:f>IF(AND(ISNUMBER(Z415),ISNUMBER(AN415),AN415&gt;0),Z415/AN415,"")</x:f>
      </x:c>
      <x:c r="AP415" s="18" t="str">
        <x:f>IF(NOT(ISNUMBER(AO415)),"",IF(AO415&gt;'Impostazioni'!$B$7,"Oltre soglia personale","Nella soglia personale"))</x:f>
      </x:c>
      <x:c r="AQ415" s="18" t="str">
        <x:f>IF(A415="",IF(COUNTA(B415:V415)=0,"","Inserisci ID"),IF(COUNTIFS($A$8:$A$507,A415)&lt;&gt;1,"ID duplicato",IF(OR(NOT(ISNUMBER(B415)),D415="",E415="",F415="",G415="",H415="",COUNTIFS('Impostazioni'!$J$6:$J$25,F415)&lt;&gt;1),"Completa dati / elenchi",IF(OR(AND(I415&lt;&gt;"Lordo manuale",I415&lt;&gt;"Netto manuale",I415&lt;&gt;"Esecuzioni"),AND(J415&lt;&gt;"Aperto",J415&lt;&gt;"Chiuso",J415&lt;&gt;"Annullato")),"Modalità / stato mancanti",IF(AND(J415&lt;&gt;"Aperto",OR(NOT(ISNUMBER(C415)),C415&lt;B415)),"Correggi data chiusura",IF(OR(AND(Q415&lt;&gt;"",OR(NOT(ISNUMBER(Q415)),Q415&lt;0)),AND(R415&lt;&gt;"",OR(NOT(ISNUMBER(R415)),R415&lt;0,R415&gt;1))),"Commissione non valida",IF(J415="Annullato","OK",IF(OR(NOT(ISNUMBER(Z415)),Z415&lt;0,AND(O415&lt;&gt;"",NOT(ISNUMBER(O415)))),"Inserisci rischio",IF(AND(I415="Esecuzioni",OR(W415=0,COUNTIFS('Esecuzioni'!$A$8:$A$1007,A415,'Esecuzioni'!$Q$8:$Q$1007,"&lt;&gt;OK")&gt;0)),"Correggi esecuzioni",IF(J415="Aperto","OK",IF(AND(I415="Esecuzioni",S415="Coperto",ABS(X415-Y415)&gt;'Impostazioni'!$B$11),"Copertura residua",IF(NOT(ISNUMBER(AC415)),"Completa risultato / esito",IF(AND(Z415=0,AC415&lt;&gt;0),"Rischio nullo con P/L","OK")))))))))))))</x:f>
      </x:c>
      <x:c r="AR415" s="20" t="str">
        <x:f>IF(OR(A415="",J415&lt;&gt;"Aperto",AQ415&lt;&gt;"OK"),"",IF(I415="Esecuzioni",SUMIFS('Esecuzioni'!$P$8:$P$1007,'Esecuzioni'!$A$8:$A$1007,A415,'Esecuzioni'!$B$8:$B$1007,_xlfn.MAXIFS('Esecuzioni'!$B$8:$B$1007,'Esecuzioni'!$A$8:$A$1007,A415)),IF(LEFT(U415,8)="FREEBET:",0,Z415)))</x:f>
      </x:c>
      <x:c r="AS415" s="48" t="str">
        <x:f>IF(OR(A415="",E415=""),"",IF(COUNTIFS($E$8:E415,E415)=1,COUNT($AS$7:AS414)+1,""))</x:f>
      </x:c>
    </x:row>
    <x:row r="416" ht="22" customHeight="1">
      <x:c r="A416" s="7"/>
      <x:c r="B416" s="19"/>
      <x:c r="C416" s="19"/>
      <x:c r="D416" s="7"/>
      <x:c r="E416" s="7"/>
      <x:c r="F416" s="7"/>
      <x:c r="G416" s="7"/>
      <x:c r="H416" s="7"/>
      <x:c r="I416" s="7"/>
      <x:c r="J416" s="7"/>
      <x:c r="K416" s="10"/>
      <x:c r="L416" s="7"/>
      <x:c r="M416" s="10"/>
      <x:c r="N416" s="7"/>
      <x:c r="O416" s="8"/>
      <x:c r="P416" s="8"/>
      <x:c r="Q416" s="8"/>
      <x:c r="R416" s="9"/>
      <x:c r="S416" s="7"/>
      <x:c r="T416" s="7"/>
      <x:c r="U416" s="7"/>
      <x:c r="V416" s="7"/>
      <x:c r="W416" s="22" t="str">
        <x:f>IF(A416="","",COUNTIFS('Esecuzioni'!$A$8:$A$1007,A416,'Esecuzioni'!$Q$8:$Q$1007,"OK"))</x:f>
      </x:c>
      <x:c r="X416" s="20" t="str">
        <x:f>IF(OR(A416="",I416&lt;&gt;"Esecuzioni",W416=0),"",SUMIFS('Esecuzioni'!$L$8:$L$1007,'Esecuzioni'!$A$8:$A$1007,A416))</x:f>
      </x:c>
      <x:c r="Y416" s="20" t="str">
        <x:f>IF(OR(A416="",I416&lt;&gt;"Esecuzioni",W416=0),"",SUMIFS('Esecuzioni'!$M$8:$M$1007,'Esecuzioni'!$A$8:$A$1007,A416))</x:f>
      </x:c>
      <x:c r="Z416" s="20" t="str">
        <x:f>IF(A416="","",IF(J416="Annullato",0,IF(ISNUMBER(O416),O416,IF(AND(I416="Esecuzioni",W416&gt;0),_xlfn.MAXIFS('Esecuzioni'!$P$8:$P$1007,'Esecuzioni'!$A$8:$A$1007,A416),""))))</x:f>
      </x:c>
      <x:c r="AA416" s="20" t="str">
        <x:f>IF(OR(A416="",J416="Aperto"),"",IF(J416="Annullato",0,IF(I416="Lordo manuale",IF(ISNUMBER(P416),P416,""),IF(I416="Netto manuale",IF(AND(ISNUMBER(P416),ISNUMBER(Q416)),P416+Q416,""),IF(OR(W416=0,COUNTIFS('Esecuzioni'!$A$8:$A$1007,A416,'Esecuzioni'!$Q$8:$Q$1007,"&lt;&gt;OK")&gt;0),"",IF(S416="Vince",X416,IF(S416="Perde",Y416,IF(AND(S416="Coperto",ABS(X416-Y416)&lt;='Impostazioni'!$B$11),ROUND((X416+Y416)/2,2),""))))))))</x:f>
      </x:c>
      <x:c r="AB416" s="20" t="str">
        <x:f>IF(NOT(ISNUMBER(AA416)),"",IF(J416="Annullato",0,IF(ISNUMBER(Q416),Q416,ROUND(MAX(0,AA416)*IF(ISNUMBER(R416),R416,'Impostazioni'!$B$8),2))))</x:f>
      </x:c>
      <x:c r="AC416" s="20" t="str">
        <x:f>IF(AND(ISNUMBER(AA416),ISNUMBER(AB416)),ROUND(AA416-AB416,2),"")</x:f>
      </x:c>
      <x:c r="AD416" s="18" t="str">
        <x:f>IF(A416="","",IF(AQ416&lt;&gt;"OK","Incompleto",IF(J416="Aperto","Aperto",IF(J416="Annullato","Annullato",IF(AC416&gt;0,"Green",IF(AC416&lt;0,"Red","Flat"))))))</x:f>
      </x:c>
      <x:c r="AE416" s="21" t="str">
        <x:f>IF(AND(AH416=1,Z416&gt;0),AC416/Z416,"")</x:f>
      </x:c>
      <x:c r="AF416" s="22" t="str">
        <x:f>IF(AH416&lt;&gt;1,"",COUNTIFS($C$8:$C$507,"&lt;"&amp;C416,$AH$8:$AH$507,1)+COUNTIFS($C$8:$C$507,C416,$A$8:$A$507,"&lt;="&amp;A416,$AH$8:$AH$507,1))</x:f>
      </x:c>
      <x:c r="AG416" s="20" t="str">
        <x:f>IF(AH416&lt;&gt;1,"",SUMIFS($AC$8:$AC$507,$C$8:$C$507,"&lt;"&amp;C416,$AH$8:$AH$507,1)+SUMIFS($AC$8:$AC$507,$C$8:$C$507,C416,$A$8:$A$507,"&lt;="&amp;A416,$AH$8:$AH$507,1))</x:f>
      </x:c>
      <x:c r="AH416" s="22" t="str">
        <x:f>IF(A416="","",IF(AND(J416="Chiuso",AQ416="OK",ISNUMBER(AC416)),1,0))</x:f>
      </x:c>
      <x:c r="AI416" s="20" t="str">
        <x:f>IF(AH416&lt;&gt;1,"",MAX(0,_xlfn.MAXIFS($AG$8:$AG$507,$AF$8:$AF$507,"&lt;="&amp;AF416,$AH$8:$AH$507,1)))</x:f>
      </x:c>
      <x:c r="AJ416" s="20" t="str">
        <x:f>IF(AH416&lt;&gt;1,"",MAX(0,AI416-AG416))</x:f>
      </x:c>
      <x:c r="AK416" s="21" t="str">
        <x:f>IF(OR(AH416&lt;&gt;1,NOT(ISNUMBER('Impostazioni'!$B$6)),'Impostazioni'!$B$6+AI416&lt;=0),"",AJ416/('Impostazioni'!$B$6+AI416))</x:f>
      </x:c>
      <x:c r="AL416" s="22" t="str">
        <x:f>IF(AH416&lt;&gt;1,"",IF(AC416&gt;0,AF416-_xlfn.MAXIFS($AF$8:$AF$507,$AF$8:$AF$507,"&lt;="&amp;AF416,$AC$8:$AC$507,"&lt;=0",$AH$8:$AH$507,1),0))</x:f>
      </x:c>
      <x:c r="AM416" s="22" t="str">
        <x:f>IF(AH416&lt;&gt;1,"",IF(AC416&lt;0,AF416-_xlfn.MAXIFS($AF$8:$AF$507,$AF$8:$AF$507,"&lt;="&amp;AF416,$AC$8:$AC$507,"&gt;=0",$AH$8:$AH$507,1),0))</x:f>
      </x:c>
      <x:c r="AN416" s="20" t="str">
        <x:f>IF(OR(A416="",NOT(ISNUMBER(B416)),NOT(ISNUMBER('Impostazioni'!$B$6))),"",'Impostazioni'!$B$6+SUMIFS($AC$8:$AC$507,$C$8:$C$507,"&lt;"&amp;B416,$AH$8:$AH$507,1)+SUMIFS('Cassa'!$F$8:$F$307,'Cassa'!$A$8:$A$307,"&lt;="&amp;B416,'Cassa'!$G$8:$G$307,"OK"))</x:f>
      </x:c>
      <x:c r="AO416" s="21" t="str">
        <x:f>IF(AND(ISNUMBER(Z416),ISNUMBER(AN416),AN416&gt;0),Z416/AN416,"")</x:f>
      </x:c>
      <x:c r="AP416" s="18" t="str">
        <x:f>IF(NOT(ISNUMBER(AO416)),"",IF(AO416&gt;'Impostazioni'!$B$7,"Oltre soglia personale","Nella soglia personale"))</x:f>
      </x:c>
      <x:c r="AQ416" s="18" t="str">
        <x:f>IF(A416="",IF(COUNTA(B416:V416)=0,"","Inserisci ID"),IF(COUNTIFS($A$8:$A$507,A416)&lt;&gt;1,"ID duplicato",IF(OR(NOT(ISNUMBER(B416)),D416="",E416="",F416="",G416="",H416="",COUNTIFS('Impostazioni'!$J$6:$J$25,F416)&lt;&gt;1),"Completa dati / elenchi",IF(OR(AND(I416&lt;&gt;"Lordo manuale",I416&lt;&gt;"Netto manuale",I416&lt;&gt;"Esecuzioni"),AND(J416&lt;&gt;"Aperto",J416&lt;&gt;"Chiuso",J416&lt;&gt;"Annullato")),"Modalità / stato mancanti",IF(AND(J416&lt;&gt;"Aperto",OR(NOT(ISNUMBER(C416)),C416&lt;B416)),"Correggi data chiusura",IF(OR(AND(Q416&lt;&gt;"",OR(NOT(ISNUMBER(Q416)),Q416&lt;0)),AND(R416&lt;&gt;"",OR(NOT(ISNUMBER(R416)),R416&lt;0,R416&gt;1))),"Commissione non valida",IF(J416="Annullato","OK",IF(OR(NOT(ISNUMBER(Z416)),Z416&lt;0,AND(O416&lt;&gt;"",NOT(ISNUMBER(O416)))),"Inserisci rischio",IF(AND(I416="Esecuzioni",OR(W416=0,COUNTIFS('Esecuzioni'!$A$8:$A$1007,A416,'Esecuzioni'!$Q$8:$Q$1007,"&lt;&gt;OK")&gt;0)),"Correggi esecuzioni",IF(J416="Aperto","OK",IF(AND(I416="Esecuzioni",S416="Coperto",ABS(X416-Y416)&gt;'Impostazioni'!$B$11),"Copertura residua",IF(NOT(ISNUMBER(AC416)),"Completa risultato / esito",IF(AND(Z416=0,AC416&lt;&gt;0),"Rischio nullo con P/L","OK")))))))))))))</x:f>
      </x:c>
      <x:c r="AR416" s="20" t="str">
        <x:f>IF(OR(A416="",J416&lt;&gt;"Aperto",AQ416&lt;&gt;"OK"),"",IF(I416="Esecuzioni",SUMIFS('Esecuzioni'!$P$8:$P$1007,'Esecuzioni'!$A$8:$A$1007,A416,'Esecuzioni'!$B$8:$B$1007,_xlfn.MAXIFS('Esecuzioni'!$B$8:$B$1007,'Esecuzioni'!$A$8:$A$1007,A416)),IF(LEFT(U416,8)="FREEBET:",0,Z416)))</x:f>
      </x:c>
      <x:c r="AS416" s="48" t="str">
        <x:f>IF(OR(A416="",E416=""),"",IF(COUNTIFS($E$8:E416,E416)=1,COUNT($AS$7:AS415)+1,""))</x:f>
      </x:c>
    </x:row>
    <x:row r="417" ht="22" customHeight="1">
      <x:c r="A417" s="7"/>
      <x:c r="B417" s="19"/>
      <x:c r="C417" s="19"/>
      <x:c r="D417" s="7"/>
      <x:c r="E417" s="7"/>
      <x:c r="F417" s="7"/>
      <x:c r="G417" s="7"/>
      <x:c r="H417" s="7"/>
      <x:c r="I417" s="7"/>
      <x:c r="J417" s="7"/>
      <x:c r="K417" s="10"/>
      <x:c r="L417" s="7"/>
      <x:c r="M417" s="10"/>
      <x:c r="N417" s="7"/>
      <x:c r="O417" s="8"/>
      <x:c r="P417" s="8"/>
      <x:c r="Q417" s="8"/>
      <x:c r="R417" s="9"/>
      <x:c r="S417" s="7"/>
      <x:c r="T417" s="7"/>
      <x:c r="U417" s="7"/>
      <x:c r="V417" s="7"/>
      <x:c r="W417" s="22" t="str">
        <x:f>IF(A417="","",COUNTIFS('Esecuzioni'!$A$8:$A$1007,A417,'Esecuzioni'!$Q$8:$Q$1007,"OK"))</x:f>
      </x:c>
      <x:c r="X417" s="20" t="str">
        <x:f>IF(OR(A417="",I417&lt;&gt;"Esecuzioni",W417=0),"",SUMIFS('Esecuzioni'!$L$8:$L$1007,'Esecuzioni'!$A$8:$A$1007,A417))</x:f>
      </x:c>
      <x:c r="Y417" s="20" t="str">
        <x:f>IF(OR(A417="",I417&lt;&gt;"Esecuzioni",W417=0),"",SUMIFS('Esecuzioni'!$M$8:$M$1007,'Esecuzioni'!$A$8:$A$1007,A417))</x:f>
      </x:c>
      <x:c r="Z417" s="20" t="str">
        <x:f>IF(A417="","",IF(J417="Annullato",0,IF(ISNUMBER(O417),O417,IF(AND(I417="Esecuzioni",W417&gt;0),_xlfn.MAXIFS('Esecuzioni'!$P$8:$P$1007,'Esecuzioni'!$A$8:$A$1007,A417),""))))</x:f>
      </x:c>
      <x:c r="AA417" s="20" t="str">
        <x:f>IF(OR(A417="",J417="Aperto"),"",IF(J417="Annullato",0,IF(I417="Lordo manuale",IF(ISNUMBER(P417),P417,""),IF(I417="Netto manuale",IF(AND(ISNUMBER(P417),ISNUMBER(Q417)),P417+Q417,""),IF(OR(W417=0,COUNTIFS('Esecuzioni'!$A$8:$A$1007,A417,'Esecuzioni'!$Q$8:$Q$1007,"&lt;&gt;OK")&gt;0),"",IF(S417="Vince",X417,IF(S417="Perde",Y417,IF(AND(S417="Coperto",ABS(X417-Y417)&lt;='Impostazioni'!$B$11),ROUND((X417+Y417)/2,2),""))))))))</x:f>
      </x:c>
      <x:c r="AB417" s="20" t="str">
        <x:f>IF(NOT(ISNUMBER(AA417)),"",IF(J417="Annullato",0,IF(ISNUMBER(Q417),Q417,ROUND(MAX(0,AA417)*IF(ISNUMBER(R417),R417,'Impostazioni'!$B$8),2))))</x:f>
      </x:c>
      <x:c r="AC417" s="20" t="str">
        <x:f>IF(AND(ISNUMBER(AA417),ISNUMBER(AB417)),ROUND(AA417-AB417,2),"")</x:f>
      </x:c>
      <x:c r="AD417" s="18" t="str">
        <x:f>IF(A417="","",IF(AQ417&lt;&gt;"OK","Incompleto",IF(J417="Aperto","Aperto",IF(J417="Annullato","Annullato",IF(AC417&gt;0,"Green",IF(AC417&lt;0,"Red","Flat"))))))</x:f>
      </x:c>
      <x:c r="AE417" s="21" t="str">
        <x:f>IF(AND(AH417=1,Z417&gt;0),AC417/Z417,"")</x:f>
      </x:c>
      <x:c r="AF417" s="22" t="str">
        <x:f>IF(AH417&lt;&gt;1,"",COUNTIFS($C$8:$C$507,"&lt;"&amp;C417,$AH$8:$AH$507,1)+COUNTIFS($C$8:$C$507,C417,$A$8:$A$507,"&lt;="&amp;A417,$AH$8:$AH$507,1))</x:f>
      </x:c>
      <x:c r="AG417" s="20" t="str">
        <x:f>IF(AH417&lt;&gt;1,"",SUMIFS($AC$8:$AC$507,$C$8:$C$507,"&lt;"&amp;C417,$AH$8:$AH$507,1)+SUMIFS($AC$8:$AC$507,$C$8:$C$507,C417,$A$8:$A$507,"&lt;="&amp;A417,$AH$8:$AH$507,1))</x:f>
      </x:c>
      <x:c r="AH417" s="22" t="str">
        <x:f>IF(A417="","",IF(AND(J417="Chiuso",AQ417="OK",ISNUMBER(AC417)),1,0))</x:f>
      </x:c>
      <x:c r="AI417" s="20" t="str">
        <x:f>IF(AH417&lt;&gt;1,"",MAX(0,_xlfn.MAXIFS($AG$8:$AG$507,$AF$8:$AF$507,"&lt;="&amp;AF417,$AH$8:$AH$507,1)))</x:f>
      </x:c>
      <x:c r="AJ417" s="20" t="str">
        <x:f>IF(AH417&lt;&gt;1,"",MAX(0,AI417-AG417))</x:f>
      </x:c>
      <x:c r="AK417" s="21" t="str">
        <x:f>IF(OR(AH417&lt;&gt;1,NOT(ISNUMBER('Impostazioni'!$B$6)),'Impostazioni'!$B$6+AI417&lt;=0),"",AJ417/('Impostazioni'!$B$6+AI417))</x:f>
      </x:c>
      <x:c r="AL417" s="22" t="str">
        <x:f>IF(AH417&lt;&gt;1,"",IF(AC417&gt;0,AF417-_xlfn.MAXIFS($AF$8:$AF$507,$AF$8:$AF$507,"&lt;="&amp;AF417,$AC$8:$AC$507,"&lt;=0",$AH$8:$AH$507,1),0))</x:f>
      </x:c>
      <x:c r="AM417" s="22" t="str">
        <x:f>IF(AH417&lt;&gt;1,"",IF(AC417&lt;0,AF417-_xlfn.MAXIFS($AF$8:$AF$507,$AF$8:$AF$507,"&lt;="&amp;AF417,$AC$8:$AC$507,"&gt;=0",$AH$8:$AH$507,1),0))</x:f>
      </x:c>
      <x:c r="AN417" s="20" t="str">
        <x:f>IF(OR(A417="",NOT(ISNUMBER(B417)),NOT(ISNUMBER('Impostazioni'!$B$6))),"",'Impostazioni'!$B$6+SUMIFS($AC$8:$AC$507,$C$8:$C$507,"&lt;"&amp;B417,$AH$8:$AH$507,1)+SUMIFS('Cassa'!$F$8:$F$307,'Cassa'!$A$8:$A$307,"&lt;="&amp;B417,'Cassa'!$G$8:$G$307,"OK"))</x:f>
      </x:c>
      <x:c r="AO417" s="21" t="str">
        <x:f>IF(AND(ISNUMBER(Z417),ISNUMBER(AN417),AN417&gt;0),Z417/AN417,"")</x:f>
      </x:c>
      <x:c r="AP417" s="18" t="str">
        <x:f>IF(NOT(ISNUMBER(AO417)),"",IF(AO417&gt;'Impostazioni'!$B$7,"Oltre soglia personale","Nella soglia personale"))</x:f>
      </x:c>
      <x:c r="AQ417" s="18" t="str">
        <x:f>IF(A417="",IF(COUNTA(B417:V417)=0,"","Inserisci ID"),IF(COUNTIFS($A$8:$A$507,A417)&lt;&gt;1,"ID duplicato",IF(OR(NOT(ISNUMBER(B417)),D417="",E417="",F417="",G417="",H417="",COUNTIFS('Impostazioni'!$J$6:$J$25,F417)&lt;&gt;1),"Completa dati / elenchi",IF(OR(AND(I417&lt;&gt;"Lordo manuale",I417&lt;&gt;"Netto manuale",I417&lt;&gt;"Esecuzioni"),AND(J417&lt;&gt;"Aperto",J417&lt;&gt;"Chiuso",J417&lt;&gt;"Annullato")),"Modalità / stato mancanti",IF(AND(J417&lt;&gt;"Aperto",OR(NOT(ISNUMBER(C417)),C417&lt;B417)),"Correggi data chiusura",IF(OR(AND(Q417&lt;&gt;"",OR(NOT(ISNUMBER(Q417)),Q417&lt;0)),AND(R417&lt;&gt;"",OR(NOT(ISNUMBER(R417)),R417&lt;0,R417&gt;1))),"Commissione non valida",IF(J417="Annullato","OK",IF(OR(NOT(ISNUMBER(Z417)),Z417&lt;0,AND(O417&lt;&gt;"",NOT(ISNUMBER(O417)))),"Inserisci rischio",IF(AND(I417="Esecuzioni",OR(W417=0,COUNTIFS('Esecuzioni'!$A$8:$A$1007,A417,'Esecuzioni'!$Q$8:$Q$1007,"&lt;&gt;OK")&gt;0)),"Correggi esecuzioni",IF(J417="Aperto","OK",IF(AND(I417="Esecuzioni",S417="Coperto",ABS(X417-Y417)&gt;'Impostazioni'!$B$11),"Copertura residua",IF(NOT(ISNUMBER(AC417)),"Completa risultato / esito",IF(AND(Z417=0,AC417&lt;&gt;0),"Rischio nullo con P/L","OK")))))))))))))</x:f>
      </x:c>
      <x:c r="AR417" s="20" t="str">
        <x:f>IF(OR(A417="",J417&lt;&gt;"Aperto",AQ417&lt;&gt;"OK"),"",IF(I417="Esecuzioni",SUMIFS('Esecuzioni'!$P$8:$P$1007,'Esecuzioni'!$A$8:$A$1007,A417,'Esecuzioni'!$B$8:$B$1007,_xlfn.MAXIFS('Esecuzioni'!$B$8:$B$1007,'Esecuzioni'!$A$8:$A$1007,A417)),IF(LEFT(U417,8)="FREEBET:",0,Z417)))</x:f>
      </x:c>
      <x:c r="AS417" s="48" t="str">
        <x:f>IF(OR(A417="",E417=""),"",IF(COUNTIFS($E$8:E417,E417)=1,COUNT($AS$7:AS416)+1,""))</x:f>
      </x:c>
    </x:row>
    <x:row r="418" ht="22" customHeight="1">
      <x:c r="A418" s="7"/>
      <x:c r="B418" s="19"/>
      <x:c r="C418" s="19"/>
      <x:c r="D418" s="7"/>
      <x:c r="E418" s="7"/>
      <x:c r="F418" s="7"/>
      <x:c r="G418" s="7"/>
      <x:c r="H418" s="7"/>
      <x:c r="I418" s="7"/>
      <x:c r="J418" s="7"/>
      <x:c r="K418" s="10"/>
      <x:c r="L418" s="7"/>
      <x:c r="M418" s="10"/>
      <x:c r="N418" s="7"/>
      <x:c r="O418" s="8"/>
      <x:c r="P418" s="8"/>
      <x:c r="Q418" s="8"/>
      <x:c r="R418" s="9"/>
      <x:c r="S418" s="7"/>
      <x:c r="T418" s="7"/>
      <x:c r="U418" s="7"/>
      <x:c r="V418" s="7"/>
      <x:c r="W418" s="22" t="str">
        <x:f>IF(A418="","",COUNTIFS('Esecuzioni'!$A$8:$A$1007,A418,'Esecuzioni'!$Q$8:$Q$1007,"OK"))</x:f>
      </x:c>
      <x:c r="X418" s="20" t="str">
        <x:f>IF(OR(A418="",I418&lt;&gt;"Esecuzioni",W418=0),"",SUMIFS('Esecuzioni'!$L$8:$L$1007,'Esecuzioni'!$A$8:$A$1007,A418))</x:f>
      </x:c>
      <x:c r="Y418" s="20" t="str">
        <x:f>IF(OR(A418="",I418&lt;&gt;"Esecuzioni",W418=0),"",SUMIFS('Esecuzioni'!$M$8:$M$1007,'Esecuzioni'!$A$8:$A$1007,A418))</x:f>
      </x:c>
      <x:c r="Z418" s="20" t="str">
        <x:f>IF(A418="","",IF(J418="Annullato",0,IF(ISNUMBER(O418),O418,IF(AND(I418="Esecuzioni",W418&gt;0),_xlfn.MAXIFS('Esecuzioni'!$P$8:$P$1007,'Esecuzioni'!$A$8:$A$1007,A418),""))))</x:f>
      </x:c>
      <x:c r="AA418" s="20" t="str">
        <x:f>IF(OR(A418="",J418="Aperto"),"",IF(J418="Annullato",0,IF(I418="Lordo manuale",IF(ISNUMBER(P418),P418,""),IF(I418="Netto manuale",IF(AND(ISNUMBER(P418),ISNUMBER(Q418)),P418+Q418,""),IF(OR(W418=0,COUNTIFS('Esecuzioni'!$A$8:$A$1007,A418,'Esecuzioni'!$Q$8:$Q$1007,"&lt;&gt;OK")&gt;0),"",IF(S418="Vince",X418,IF(S418="Perde",Y418,IF(AND(S418="Coperto",ABS(X418-Y418)&lt;='Impostazioni'!$B$11),ROUND((X418+Y418)/2,2),""))))))))</x:f>
      </x:c>
      <x:c r="AB418" s="20" t="str">
        <x:f>IF(NOT(ISNUMBER(AA418)),"",IF(J418="Annullato",0,IF(ISNUMBER(Q418),Q418,ROUND(MAX(0,AA418)*IF(ISNUMBER(R418),R418,'Impostazioni'!$B$8),2))))</x:f>
      </x:c>
      <x:c r="AC418" s="20" t="str">
        <x:f>IF(AND(ISNUMBER(AA418),ISNUMBER(AB418)),ROUND(AA418-AB418,2),"")</x:f>
      </x:c>
      <x:c r="AD418" s="18" t="str">
        <x:f>IF(A418="","",IF(AQ418&lt;&gt;"OK","Incompleto",IF(J418="Aperto","Aperto",IF(J418="Annullato","Annullato",IF(AC418&gt;0,"Green",IF(AC418&lt;0,"Red","Flat"))))))</x:f>
      </x:c>
      <x:c r="AE418" s="21" t="str">
        <x:f>IF(AND(AH418=1,Z418&gt;0),AC418/Z418,"")</x:f>
      </x:c>
      <x:c r="AF418" s="22" t="str">
        <x:f>IF(AH418&lt;&gt;1,"",COUNTIFS($C$8:$C$507,"&lt;"&amp;C418,$AH$8:$AH$507,1)+COUNTIFS($C$8:$C$507,C418,$A$8:$A$507,"&lt;="&amp;A418,$AH$8:$AH$507,1))</x:f>
      </x:c>
      <x:c r="AG418" s="20" t="str">
        <x:f>IF(AH418&lt;&gt;1,"",SUMIFS($AC$8:$AC$507,$C$8:$C$507,"&lt;"&amp;C418,$AH$8:$AH$507,1)+SUMIFS($AC$8:$AC$507,$C$8:$C$507,C418,$A$8:$A$507,"&lt;="&amp;A418,$AH$8:$AH$507,1))</x:f>
      </x:c>
      <x:c r="AH418" s="22" t="str">
        <x:f>IF(A418="","",IF(AND(J418="Chiuso",AQ418="OK",ISNUMBER(AC418)),1,0))</x:f>
      </x:c>
      <x:c r="AI418" s="20" t="str">
        <x:f>IF(AH418&lt;&gt;1,"",MAX(0,_xlfn.MAXIFS($AG$8:$AG$507,$AF$8:$AF$507,"&lt;="&amp;AF418,$AH$8:$AH$507,1)))</x:f>
      </x:c>
      <x:c r="AJ418" s="20" t="str">
        <x:f>IF(AH418&lt;&gt;1,"",MAX(0,AI418-AG418))</x:f>
      </x:c>
      <x:c r="AK418" s="21" t="str">
        <x:f>IF(OR(AH418&lt;&gt;1,NOT(ISNUMBER('Impostazioni'!$B$6)),'Impostazioni'!$B$6+AI418&lt;=0),"",AJ418/('Impostazioni'!$B$6+AI418))</x:f>
      </x:c>
      <x:c r="AL418" s="22" t="str">
        <x:f>IF(AH418&lt;&gt;1,"",IF(AC418&gt;0,AF418-_xlfn.MAXIFS($AF$8:$AF$507,$AF$8:$AF$507,"&lt;="&amp;AF418,$AC$8:$AC$507,"&lt;=0",$AH$8:$AH$507,1),0))</x:f>
      </x:c>
      <x:c r="AM418" s="22" t="str">
        <x:f>IF(AH418&lt;&gt;1,"",IF(AC418&lt;0,AF418-_xlfn.MAXIFS($AF$8:$AF$507,$AF$8:$AF$507,"&lt;="&amp;AF418,$AC$8:$AC$507,"&gt;=0",$AH$8:$AH$507,1),0))</x:f>
      </x:c>
      <x:c r="AN418" s="20" t="str">
        <x:f>IF(OR(A418="",NOT(ISNUMBER(B418)),NOT(ISNUMBER('Impostazioni'!$B$6))),"",'Impostazioni'!$B$6+SUMIFS($AC$8:$AC$507,$C$8:$C$507,"&lt;"&amp;B418,$AH$8:$AH$507,1)+SUMIFS('Cassa'!$F$8:$F$307,'Cassa'!$A$8:$A$307,"&lt;="&amp;B418,'Cassa'!$G$8:$G$307,"OK"))</x:f>
      </x:c>
      <x:c r="AO418" s="21" t="str">
        <x:f>IF(AND(ISNUMBER(Z418),ISNUMBER(AN418),AN418&gt;0),Z418/AN418,"")</x:f>
      </x:c>
      <x:c r="AP418" s="18" t="str">
        <x:f>IF(NOT(ISNUMBER(AO418)),"",IF(AO418&gt;'Impostazioni'!$B$7,"Oltre soglia personale","Nella soglia personale"))</x:f>
      </x:c>
      <x:c r="AQ418" s="18" t="str">
        <x:f>IF(A418="",IF(COUNTA(B418:V418)=0,"","Inserisci ID"),IF(COUNTIFS($A$8:$A$507,A418)&lt;&gt;1,"ID duplicato",IF(OR(NOT(ISNUMBER(B418)),D418="",E418="",F418="",G418="",H418="",COUNTIFS('Impostazioni'!$J$6:$J$25,F418)&lt;&gt;1),"Completa dati / elenchi",IF(OR(AND(I418&lt;&gt;"Lordo manuale",I418&lt;&gt;"Netto manuale",I418&lt;&gt;"Esecuzioni"),AND(J418&lt;&gt;"Aperto",J418&lt;&gt;"Chiuso",J418&lt;&gt;"Annullato")),"Modalità / stato mancanti",IF(AND(J418&lt;&gt;"Aperto",OR(NOT(ISNUMBER(C418)),C418&lt;B418)),"Correggi data chiusura",IF(OR(AND(Q418&lt;&gt;"",OR(NOT(ISNUMBER(Q418)),Q418&lt;0)),AND(R418&lt;&gt;"",OR(NOT(ISNUMBER(R418)),R418&lt;0,R418&gt;1))),"Commissione non valida",IF(J418="Annullato","OK",IF(OR(NOT(ISNUMBER(Z418)),Z418&lt;0,AND(O418&lt;&gt;"",NOT(ISNUMBER(O418)))),"Inserisci rischio",IF(AND(I418="Esecuzioni",OR(W418=0,COUNTIFS('Esecuzioni'!$A$8:$A$1007,A418,'Esecuzioni'!$Q$8:$Q$1007,"&lt;&gt;OK")&gt;0)),"Correggi esecuzioni",IF(J418="Aperto","OK",IF(AND(I418="Esecuzioni",S418="Coperto",ABS(X418-Y418)&gt;'Impostazioni'!$B$11),"Copertura residua",IF(NOT(ISNUMBER(AC418)),"Completa risultato / esito",IF(AND(Z418=0,AC418&lt;&gt;0),"Rischio nullo con P/L","OK")))))))))))))</x:f>
      </x:c>
      <x:c r="AR418" s="20" t="str">
        <x:f>IF(OR(A418="",J418&lt;&gt;"Aperto",AQ418&lt;&gt;"OK"),"",IF(I418="Esecuzioni",SUMIFS('Esecuzioni'!$P$8:$P$1007,'Esecuzioni'!$A$8:$A$1007,A418,'Esecuzioni'!$B$8:$B$1007,_xlfn.MAXIFS('Esecuzioni'!$B$8:$B$1007,'Esecuzioni'!$A$8:$A$1007,A418)),IF(LEFT(U418,8)="FREEBET:",0,Z418)))</x:f>
      </x:c>
      <x:c r="AS418" s="48" t="str">
        <x:f>IF(OR(A418="",E418=""),"",IF(COUNTIFS($E$8:E418,E418)=1,COUNT($AS$7:AS417)+1,""))</x:f>
      </x:c>
    </x:row>
    <x:row r="419" ht="22" customHeight="1">
      <x:c r="A419" s="7"/>
      <x:c r="B419" s="19"/>
      <x:c r="C419" s="19"/>
      <x:c r="D419" s="7"/>
      <x:c r="E419" s="7"/>
      <x:c r="F419" s="7"/>
      <x:c r="G419" s="7"/>
      <x:c r="H419" s="7"/>
      <x:c r="I419" s="7"/>
      <x:c r="J419" s="7"/>
      <x:c r="K419" s="10"/>
      <x:c r="L419" s="7"/>
      <x:c r="M419" s="10"/>
      <x:c r="N419" s="7"/>
      <x:c r="O419" s="8"/>
      <x:c r="P419" s="8"/>
      <x:c r="Q419" s="8"/>
      <x:c r="R419" s="9"/>
      <x:c r="S419" s="7"/>
      <x:c r="T419" s="7"/>
      <x:c r="U419" s="7"/>
      <x:c r="V419" s="7"/>
      <x:c r="W419" s="22" t="str">
        <x:f>IF(A419="","",COUNTIFS('Esecuzioni'!$A$8:$A$1007,A419,'Esecuzioni'!$Q$8:$Q$1007,"OK"))</x:f>
      </x:c>
      <x:c r="X419" s="20" t="str">
        <x:f>IF(OR(A419="",I419&lt;&gt;"Esecuzioni",W419=0),"",SUMIFS('Esecuzioni'!$L$8:$L$1007,'Esecuzioni'!$A$8:$A$1007,A419))</x:f>
      </x:c>
      <x:c r="Y419" s="20" t="str">
        <x:f>IF(OR(A419="",I419&lt;&gt;"Esecuzioni",W419=0),"",SUMIFS('Esecuzioni'!$M$8:$M$1007,'Esecuzioni'!$A$8:$A$1007,A419))</x:f>
      </x:c>
      <x:c r="Z419" s="20" t="str">
        <x:f>IF(A419="","",IF(J419="Annullato",0,IF(ISNUMBER(O419),O419,IF(AND(I419="Esecuzioni",W419&gt;0),_xlfn.MAXIFS('Esecuzioni'!$P$8:$P$1007,'Esecuzioni'!$A$8:$A$1007,A419),""))))</x:f>
      </x:c>
      <x:c r="AA419" s="20" t="str">
        <x:f>IF(OR(A419="",J419="Aperto"),"",IF(J419="Annullato",0,IF(I419="Lordo manuale",IF(ISNUMBER(P419),P419,""),IF(I419="Netto manuale",IF(AND(ISNUMBER(P419),ISNUMBER(Q419)),P419+Q419,""),IF(OR(W419=0,COUNTIFS('Esecuzioni'!$A$8:$A$1007,A419,'Esecuzioni'!$Q$8:$Q$1007,"&lt;&gt;OK")&gt;0),"",IF(S419="Vince",X419,IF(S419="Perde",Y419,IF(AND(S419="Coperto",ABS(X419-Y419)&lt;='Impostazioni'!$B$11),ROUND((X419+Y419)/2,2),""))))))))</x:f>
      </x:c>
      <x:c r="AB419" s="20" t="str">
        <x:f>IF(NOT(ISNUMBER(AA419)),"",IF(J419="Annullato",0,IF(ISNUMBER(Q419),Q419,ROUND(MAX(0,AA419)*IF(ISNUMBER(R419),R419,'Impostazioni'!$B$8),2))))</x:f>
      </x:c>
      <x:c r="AC419" s="20" t="str">
        <x:f>IF(AND(ISNUMBER(AA419),ISNUMBER(AB419)),ROUND(AA419-AB419,2),"")</x:f>
      </x:c>
      <x:c r="AD419" s="18" t="str">
        <x:f>IF(A419="","",IF(AQ419&lt;&gt;"OK","Incompleto",IF(J419="Aperto","Aperto",IF(J419="Annullato","Annullato",IF(AC419&gt;0,"Green",IF(AC419&lt;0,"Red","Flat"))))))</x:f>
      </x:c>
      <x:c r="AE419" s="21" t="str">
        <x:f>IF(AND(AH419=1,Z419&gt;0),AC419/Z419,"")</x:f>
      </x:c>
      <x:c r="AF419" s="22" t="str">
        <x:f>IF(AH419&lt;&gt;1,"",COUNTIFS($C$8:$C$507,"&lt;"&amp;C419,$AH$8:$AH$507,1)+COUNTIFS($C$8:$C$507,C419,$A$8:$A$507,"&lt;="&amp;A419,$AH$8:$AH$507,1))</x:f>
      </x:c>
      <x:c r="AG419" s="20" t="str">
        <x:f>IF(AH419&lt;&gt;1,"",SUMIFS($AC$8:$AC$507,$C$8:$C$507,"&lt;"&amp;C419,$AH$8:$AH$507,1)+SUMIFS($AC$8:$AC$507,$C$8:$C$507,C419,$A$8:$A$507,"&lt;="&amp;A419,$AH$8:$AH$507,1))</x:f>
      </x:c>
      <x:c r="AH419" s="22" t="str">
        <x:f>IF(A419="","",IF(AND(J419="Chiuso",AQ419="OK",ISNUMBER(AC419)),1,0))</x:f>
      </x:c>
      <x:c r="AI419" s="20" t="str">
        <x:f>IF(AH419&lt;&gt;1,"",MAX(0,_xlfn.MAXIFS($AG$8:$AG$507,$AF$8:$AF$507,"&lt;="&amp;AF419,$AH$8:$AH$507,1)))</x:f>
      </x:c>
      <x:c r="AJ419" s="20" t="str">
        <x:f>IF(AH419&lt;&gt;1,"",MAX(0,AI419-AG419))</x:f>
      </x:c>
      <x:c r="AK419" s="21" t="str">
        <x:f>IF(OR(AH419&lt;&gt;1,NOT(ISNUMBER('Impostazioni'!$B$6)),'Impostazioni'!$B$6+AI419&lt;=0),"",AJ419/('Impostazioni'!$B$6+AI419))</x:f>
      </x:c>
      <x:c r="AL419" s="22" t="str">
        <x:f>IF(AH419&lt;&gt;1,"",IF(AC419&gt;0,AF419-_xlfn.MAXIFS($AF$8:$AF$507,$AF$8:$AF$507,"&lt;="&amp;AF419,$AC$8:$AC$507,"&lt;=0",$AH$8:$AH$507,1),0))</x:f>
      </x:c>
      <x:c r="AM419" s="22" t="str">
        <x:f>IF(AH419&lt;&gt;1,"",IF(AC419&lt;0,AF419-_xlfn.MAXIFS($AF$8:$AF$507,$AF$8:$AF$507,"&lt;="&amp;AF419,$AC$8:$AC$507,"&gt;=0",$AH$8:$AH$507,1),0))</x:f>
      </x:c>
      <x:c r="AN419" s="20" t="str">
        <x:f>IF(OR(A419="",NOT(ISNUMBER(B419)),NOT(ISNUMBER('Impostazioni'!$B$6))),"",'Impostazioni'!$B$6+SUMIFS($AC$8:$AC$507,$C$8:$C$507,"&lt;"&amp;B419,$AH$8:$AH$507,1)+SUMIFS('Cassa'!$F$8:$F$307,'Cassa'!$A$8:$A$307,"&lt;="&amp;B419,'Cassa'!$G$8:$G$307,"OK"))</x:f>
      </x:c>
      <x:c r="AO419" s="21" t="str">
        <x:f>IF(AND(ISNUMBER(Z419),ISNUMBER(AN419),AN419&gt;0),Z419/AN419,"")</x:f>
      </x:c>
      <x:c r="AP419" s="18" t="str">
        <x:f>IF(NOT(ISNUMBER(AO419)),"",IF(AO419&gt;'Impostazioni'!$B$7,"Oltre soglia personale","Nella soglia personale"))</x:f>
      </x:c>
      <x:c r="AQ419" s="18" t="str">
        <x:f>IF(A419="",IF(COUNTA(B419:V419)=0,"","Inserisci ID"),IF(COUNTIFS($A$8:$A$507,A419)&lt;&gt;1,"ID duplicato",IF(OR(NOT(ISNUMBER(B419)),D419="",E419="",F419="",G419="",H419="",COUNTIFS('Impostazioni'!$J$6:$J$25,F419)&lt;&gt;1),"Completa dati / elenchi",IF(OR(AND(I419&lt;&gt;"Lordo manuale",I419&lt;&gt;"Netto manuale",I419&lt;&gt;"Esecuzioni"),AND(J419&lt;&gt;"Aperto",J419&lt;&gt;"Chiuso",J419&lt;&gt;"Annullato")),"Modalità / stato mancanti",IF(AND(J419&lt;&gt;"Aperto",OR(NOT(ISNUMBER(C419)),C419&lt;B419)),"Correggi data chiusura",IF(OR(AND(Q419&lt;&gt;"",OR(NOT(ISNUMBER(Q419)),Q419&lt;0)),AND(R419&lt;&gt;"",OR(NOT(ISNUMBER(R419)),R419&lt;0,R419&gt;1))),"Commissione non valida",IF(J419="Annullato","OK",IF(OR(NOT(ISNUMBER(Z419)),Z419&lt;0,AND(O419&lt;&gt;"",NOT(ISNUMBER(O419)))),"Inserisci rischio",IF(AND(I419="Esecuzioni",OR(W419=0,COUNTIFS('Esecuzioni'!$A$8:$A$1007,A419,'Esecuzioni'!$Q$8:$Q$1007,"&lt;&gt;OK")&gt;0)),"Correggi esecuzioni",IF(J419="Aperto","OK",IF(AND(I419="Esecuzioni",S419="Coperto",ABS(X419-Y419)&gt;'Impostazioni'!$B$11),"Copertura residua",IF(NOT(ISNUMBER(AC419)),"Completa risultato / esito",IF(AND(Z419=0,AC419&lt;&gt;0),"Rischio nullo con P/L","OK")))))))))))))</x:f>
      </x:c>
      <x:c r="AR419" s="20" t="str">
        <x:f>IF(OR(A419="",J419&lt;&gt;"Aperto",AQ419&lt;&gt;"OK"),"",IF(I419="Esecuzioni",SUMIFS('Esecuzioni'!$P$8:$P$1007,'Esecuzioni'!$A$8:$A$1007,A419,'Esecuzioni'!$B$8:$B$1007,_xlfn.MAXIFS('Esecuzioni'!$B$8:$B$1007,'Esecuzioni'!$A$8:$A$1007,A419)),IF(LEFT(U419,8)="FREEBET:",0,Z419)))</x:f>
      </x:c>
      <x:c r="AS419" s="48" t="str">
        <x:f>IF(OR(A419="",E419=""),"",IF(COUNTIFS($E$8:E419,E419)=1,COUNT($AS$7:AS418)+1,""))</x:f>
      </x:c>
    </x:row>
    <x:row r="420" ht="22" customHeight="1">
      <x:c r="A420" s="7"/>
      <x:c r="B420" s="19"/>
      <x:c r="C420" s="19"/>
      <x:c r="D420" s="7"/>
      <x:c r="E420" s="7"/>
      <x:c r="F420" s="7"/>
      <x:c r="G420" s="7"/>
      <x:c r="H420" s="7"/>
      <x:c r="I420" s="7"/>
      <x:c r="J420" s="7"/>
      <x:c r="K420" s="10"/>
      <x:c r="L420" s="7"/>
      <x:c r="M420" s="10"/>
      <x:c r="N420" s="7"/>
      <x:c r="O420" s="8"/>
      <x:c r="P420" s="8"/>
      <x:c r="Q420" s="8"/>
      <x:c r="R420" s="9"/>
      <x:c r="S420" s="7"/>
      <x:c r="T420" s="7"/>
      <x:c r="U420" s="7"/>
      <x:c r="V420" s="7"/>
      <x:c r="W420" s="22" t="str">
        <x:f>IF(A420="","",COUNTIFS('Esecuzioni'!$A$8:$A$1007,A420,'Esecuzioni'!$Q$8:$Q$1007,"OK"))</x:f>
      </x:c>
      <x:c r="X420" s="20" t="str">
        <x:f>IF(OR(A420="",I420&lt;&gt;"Esecuzioni",W420=0),"",SUMIFS('Esecuzioni'!$L$8:$L$1007,'Esecuzioni'!$A$8:$A$1007,A420))</x:f>
      </x:c>
      <x:c r="Y420" s="20" t="str">
        <x:f>IF(OR(A420="",I420&lt;&gt;"Esecuzioni",W420=0),"",SUMIFS('Esecuzioni'!$M$8:$M$1007,'Esecuzioni'!$A$8:$A$1007,A420))</x:f>
      </x:c>
      <x:c r="Z420" s="20" t="str">
        <x:f>IF(A420="","",IF(J420="Annullato",0,IF(ISNUMBER(O420),O420,IF(AND(I420="Esecuzioni",W420&gt;0),_xlfn.MAXIFS('Esecuzioni'!$P$8:$P$1007,'Esecuzioni'!$A$8:$A$1007,A420),""))))</x:f>
      </x:c>
      <x:c r="AA420" s="20" t="str">
        <x:f>IF(OR(A420="",J420="Aperto"),"",IF(J420="Annullato",0,IF(I420="Lordo manuale",IF(ISNUMBER(P420),P420,""),IF(I420="Netto manuale",IF(AND(ISNUMBER(P420),ISNUMBER(Q420)),P420+Q420,""),IF(OR(W420=0,COUNTIFS('Esecuzioni'!$A$8:$A$1007,A420,'Esecuzioni'!$Q$8:$Q$1007,"&lt;&gt;OK")&gt;0),"",IF(S420="Vince",X420,IF(S420="Perde",Y420,IF(AND(S420="Coperto",ABS(X420-Y420)&lt;='Impostazioni'!$B$11),ROUND((X420+Y420)/2,2),""))))))))</x:f>
      </x:c>
      <x:c r="AB420" s="20" t="str">
        <x:f>IF(NOT(ISNUMBER(AA420)),"",IF(J420="Annullato",0,IF(ISNUMBER(Q420),Q420,ROUND(MAX(0,AA420)*IF(ISNUMBER(R420),R420,'Impostazioni'!$B$8),2))))</x:f>
      </x:c>
      <x:c r="AC420" s="20" t="str">
        <x:f>IF(AND(ISNUMBER(AA420),ISNUMBER(AB420)),ROUND(AA420-AB420,2),"")</x:f>
      </x:c>
      <x:c r="AD420" s="18" t="str">
        <x:f>IF(A420="","",IF(AQ420&lt;&gt;"OK","Incompleto",IF(J420="Aperto","Aperto",IF(J420="Annullato","Annullato",IF(AC420&gt;0,"Green",IF(AC420&lt;0,"Red","Flat"))))))</x:f>
      </x:c>
      <x:c r="AE420" s="21" t="str">
        <x:f>IF(AND(AH420=1,Z420&gt;0),AC420/Z420,"")</x:f>
      </x:c>
      <x:c r="AF420" s="22" t="str">
        <x:f>IF(AH420&lt;&gt;1,"",COUNTIFS($C$8:$C$507,"&lt;"&amp;C420,$AH$8:$AH$507,1)+COUNTIFS($C$8:$C$507,C420,$A$8:$A$507,"&lt;="&amp;A420,$AH$8:$AH$507,1))</x:f>
      </x:c>
      <x:c r="AG420" s="20" t="str">
        <x:f>IF(AH420&lt;&gt;1,"",SUMIFS($AC$8:$AC$507,$C$8:$C$507,"&lt;"&amp;C420,$AH$8:$AH$507,1)+SUMIFS($AC$8:$AC$507,$C$8:$C$507,C420,$A$8:$A$507,"&lt;="&amp;A420,$AH$8:$AH$507,1))</x:f>
      </x:c>
      <x:c r="AH420" s="22" t="str">
        <x:f>IF(A420="","",IF(AND(J420="Chiuso",AQ420="OK",ISNUMBER(AC420)),1,0))</x:f>
      </x:c>
      <x:c r="AI420" s="20" t="str">
        <x:f>IF(AH420&lt;&gt;1,"",MAX(0,_xlfn.MAXIFS($AG$8:$AG$507,$AF$8:$AF$507,"&lt;="&amp;AF420,$AH$8:$AH$507,1)))</x:f>
      </x:c>
      <x:c r="AJ420" s="20" t="str">
        <x:f>IF(AH420&lt;&gt;1,"",MAX(0,AI420-AG420))</x:f>
      </x:c>
      <x:c r="AK420" s="21" t="str">
        <x:f>IF(OR(AH420&lt;&gt;1,NOT(ISNUMBER('Impostazioni'!$B$6)),'Impostazioni'!$B$6+AI420&lt;=0),"",AJ420/('Impostazioni'!$B$6+AI420))</x:f>
      </x:c>
      <x:c r="AL420" s="22" t="str">
        <x:f>IF(AH420&lt;&gt;1,"",IF(AC420&gt;0,AF420-_xlfn.MAXIFS($AF$8:$AF$507,$AF$8:$AF$507,"&lt;="&amp;AF420,$AC$8:$AC$507,"&lt;=0",$AH$8:$AH$507,1),0))</x:f>
      </x:c>
      <x:c r="AM420" s="22" t="str">
        <x:f>IF(AH420&lt;&gt;1,"",IF(AC420&lt;0,AF420-_xlfn.MAXIFS($AF$8:$AF$507,$AF$8:$AF$507,"&lt;="&amp;AF420,$AC$8:$AC$507,"&gt;=0",$AH$8:$AH$507,1),0))</x:f>
      </x:c>
      <x:c r="AN420" s="20" t="str">
        <x:f>IF(OR(A420="",NOT(ISNUMBER(B420)),NOT(ISNUMBER('Impostazioni'!$B$6))),"",'Impostazioni'!$B$6+SUMIFS($AC$8:$AC$507,$C$8:$C$507,"&lt;"&amp;B420,$AH$8:$AH$507,1)+SUMIFS('Cassa'!$F$8:$F$307,'Cassa'!$A$8:$A$307,"&lt;="&amp;B420,'Cassa'!$G$8:$G$307,"OK"))</x:f>
      </x:c>
      <x:c r="AO420" s="21" t="str">
        <x:f>IF(AND(ISNUMBER(Z420),ISNUMBER(AN420),AN420&gt;0),Z420/AN420,"")</x:f>
      </x:c>
      <x:c r="AP420" s="18" t="str">
        <x:f>IF(NOT(ISNUMBER(AO420)),"",IF(AO420&gt;'Impostazioni'!$B$7,"Oltre soglia personale","Nella soglia personale"))</x:f>
      </x:c>
      <x:c r="AQ420" s="18" t="str">
        <x:f>IF(A420="",IF(COUNTA(B420:V420)=0,"","Inserisci ID"),IF(COUNTIFS($A$8:$A$507,A420)&lt;&gt;1,"ID duplicato",IF(OR(NOT(ISNUMBER(B420)),D420="",E420="",F420="",G420="",H420="",COUNTIFS('Impostazioni'!$J$6:$J$25,F420)&lt;&gt;1),"Completa dati / elenchi",IF(OR(AND(I420&lt;&gt;"Lordo manuale",I420&lt;&gt;"Netto manuale",I420&lt;&gt;"Esecuzioni"),AND(J420&lt;&gt;"Aperto",J420&lt;&gt;"Chiuso",J420&lt;&gt;"Annullato")),"Modalità / stato mancanti",IF(AND(J420&lt;&gt;"Aperto",OR(NOT(ISNUMBER(C420)),C420&lt;B420)),"Correggi data chiusura",IF(OR(AND(Q420&lt;&gt;"",OR(NOT(ISNUMBER(Q420)),Q420&lt;0)),AND(R420&lt;&gt;"",OR(NOT(ISNUMBER(R420)),R420&lt;0,R420&gt;1))),"Commissione non valida",IF(J420="Annullato","OK",IF(OR(NOT(ISNUMBER(Z420)),Z420&lt;0,AND(O420&lt;&gt;"",NOT(ISNUMBER(O420)))),"Inserisci rischio",IF(AND(I420="Esecuzioni",OR(W420=0,COUNTIFS('Esecuzioni'!$A$8:$A$1007,A420,'Esecuzioni'!$Q$8:$Q$1007,"&lt;&gt;OK")&gt;0)),"Correggi esecuzioni",IF(J420="Aperto","OK",IF(AND(I420="Esecuzioni",S420="Coperto",ABS(X420-Y420)&gt;'Impostazioni'!$B$11),"Copertura residua",IF(NOT(ISNUMBER(AC420)),"Completa risultato / esito",IF(AND(Z420=0,AC420&lt;&gt;0),"Rischio nullo con P/L","OK")))))))))))))</x:f>
      </x:c>
      <x:c r="AR420" s="20" t="str">
        <x:f>IF(OR(A420="",J420&lt;&gt;"Aperto",AQ420&lt;&gt;"OK"),"",IF(I420="Esecuzioni",SUMIFS('Esecuzioni'!$P$8:$P$1007,'Esecuzioni'!$A$8:$A$1007,A420,'Esecuzioni'!$B$8:$B$1007,_xlfn.MAXIFS('Esecuzioni'!$B$8:$B$1007,'Esecuzioni'!$A$8:$A$1007,A420)),IF(LEFT(U420,8)="FREEBET:",0,Z420)))</x:f>
      </x:c>
      <x:c r="AS420" s="48" t="str">
        <x:f>IF(OR(A420="",E420=""),"",IF(COUNTIFS($E$8:E420,E420)=1,COUNT($AS$7:AS419)+1,""))</x:f>
      </x:c>
    </x:row>
    <x:row r="421" ht="22" customHeight="1">
      <x:c r="A421" s="7"/>
      <x:c r="B421" s="19"/>
      <x:c r="C421" s="19"/>
      <x:c r="D421" s="7"/>
      <x:c r="E421" s="7"/>
      <x:c r="F421" s="7"/>
      <x:c r="G421" s="7"/>
      <x:c r="H421" s="7"/>
      <x:c r="I421" s="7"/>
      <x:c r="J421" s="7"/>
      <x:c r="K421" s="10"/>
      <x:c r="L421" s="7"/>
      <x:c r="M421" s="10"/>
      <x:c r="N421" s="7"/>
      <x:c r="O421" s="8"/>
      <x:c r="P421" s="8"/>
      <x:c r="Q421" s="8"/>
      <x:c r="R421" s="9"/>
      <x:c r="S421" s="7"/>
      <x:c r="T421" s="7"/>
      <x:c r="U421" s="7"/>
      <x:c r="V421" s="7"/>
      <x:c r="W421" s="22" t="str">
        <x:f>IF(A421="","",COUNTIFS('Esecuzioni'!$A$8:$A$1007,A421,'Esecuzioni'!$Q$8:$Q$1007,"OK"))</x:f>
      </x:c>
      <x:c r="X421" s="20" t="str">
        <x:f>IF(OR(A421="",I421&lt;&gt;"Esecuzioni",W421=0),"",SUMIFS('Esecuzioni'!$L$8:$L$1007,'Esecuzioni'!$A$8:$A$1007,A421))</x:f>
      </x:c>
      <x:c r="Y421" s="20" t="str">
        <x:f>IF(OR(A421="",I421&lt;&gt;"Esecuzioni",W421=0),"",SUMIFS('Esecuzioni'!$M$8:$M$1007,'Esecuzioni'!$A$8:$A$1007,A421))</x:f>
      </x:c>
      <x:c r="Z421" s="20" t="str">
        <x:f>IF(A421="","",IF(J421="Annullato",0,IF(ISNUMBER(O421),O421,IF(AND(I421="Esecuzioni",W421&gt;0),_xlfn.MAXIFS('Esecuzioni'!$P$8:$P$1007,'Esecuzioni'!$A$8:$A$1007,A421),""))))</x:f>
      </x:c>
      <x:c r="AA421" s="20" t="str">
        <x:f>IF(OR(A421="",J421="Aperto"),"",IF(J421="Annullato",0,IF(I421="Lordo manuale",IF(ISNUMBER(P421),P421,""),IF(I421="Netto manuale",IF(AND(ISNUMBER(P421),ISNUMBER(Q421)),P421+Q421,""),IF(OR(W421=0,COUNTIFS('Esecuzioni'!$A$8:$A$1007,A421,'Esecuzioni'!$Q$8:$Q$1007,"&lt;&gt;OK")&gt;0),"",IF(S421="Vince",X421,IF(S421="Perde",Y421,IF(AND(S421="Coperto",ABS(X421-Y421)&lt;='Impostazioni'!$B$11),ROUND((X421+Y421)/2,2),""))))))))</x:f>
      </x:c>
      <x:c r="AB421" s="20" t="str">
        <x:f>IF(NOT(ISNUMBER(AA421)),"",IF(J421="Annullato",0,IF(ISNUMBER(Q421),Q421,ROUND(MAX(0,AA421)*IF(ISNUMBER(R421),R421,'Impostazioni'!$B$8),2))))</x:f>
      </x:c>
      <x:c r="AC421" s="20" t="str">
        <x:f>IF(AND(ISNUMBER(AA421),ISNUMBER(AB421)),ROUND(AA421-AB421,2),"")</x:f>
      </x:c>
      <x:c r="AD421" s="18" t="str">
        <x:f>IF(A421="","",IF(AQ421&lt;&gt;"OK","Incompleto",IF(J421="Aperto","Aperto",IF(J421="Annullato","Annullato",IF(AC421&gt;0,"Green",IF(AC421&lt;0,"Red","Flat"))))))</x:f>
      </x:c>
      <x:c r="AE421" s="21" t="str">
        <x:f>IF(AND(AH421=1,Z421&gt;0),AC421/Z421,"")</x:f>
      </x:c>
      <x:c r="AF421" s="22" t="str">
        <x:f>IF(AH421&lt;&gt;1,"",COUNTIFS($C$8:$C$507,"&lt;"&amp;C421,$AH$8:$AH$507,1)+COUNTIFS($C$8:$C$507,C421,$A$8:$A$507,"&lt;="&amp;A421,$AH$8:$AH$507,1))</x:f>
      </x:c>
      <x:c r="AG421" s="20" t="str">
        <x:f>IF(AH421&lt;&gt;1,"",SUMIFS($AC$8:$AC$507,$C$8:$C$507,"&lt;"&amp;C421,$AH$8:$AH$507,1)+SUMIFS($AC$8:$AC$507,$C$8:$C$507,C421,$A$8:$A$507,"&lt;="&amp;A421,$AH$8:$AH$507,1))</x:f>
      </x:c>
      <x:c r="AH421" s="22" t="str">
        <x:f>IF(A421="","",IF(AND(J421="Chiuso",AQ421="OK",ISNUMBER(AC421)),1,0))</x:f>
      </x:c>
      <x:c r="AI421" s="20" t="str">
        <x:f>IF(AH421&lt;&gt;1,"",MAX(0,_xlfn.MAXIFS($AG$8:$AG$507,$AF$8:$AF$507,"&lt;="&amp;AF421,$AH$8:$AH$507,1)))</x:f>
      </x:c>
      <x:c r="AJ421" s="20" t="str">
        <x:f>IF(AH421&lt;&gt;1,"",MAX(0,AI421-AG421))</x:f>
      </x:c>
      <x:c r="AK421" s="21" t="str">
        <x:f>IF(OR(AH421&lt;&gt;1,NOT(ISNUMBER('Impostazioni'!$B$6)),'Impostazioni'!$B$6+AI421&lt;=0),"",AJ421/('Impostazioni'!$B$6+AI421))</x:f>
      </x:c>
      <x:c r="AL421" s="22" t="str">
        <x:f>IF(AH421&lt;&gt;1,"",IF(AC421&gt;0,AF421-_xlfn.MAXIFS($AF$8:$AF$507,$AF$8:$AF$507,"&lt;="&amp;AF421,$AC$8:$AC$507,"&lt;=0",$AH$8:$AH$507,1),0))</x:f>
      </x:c>
      <x:c r="AM421" s="22" t="str">
        <x:f>IF(AH421&lt;&gt;1,"",IF(AC421&lt;0,AF421-_xlfn.MAXIFS($AF$8:$AF$507,$AF$8:$AF$507,"&lt;="&amp;AF421,$AC$8:$AC$507,"&gt;=0",$AH$8:$AH$507,1),0))</x:f>
      </x:c>
      <x:c r="AN421" s="20" t="str">
        <x:f>IF(OR(A421="",NOT(ISNUMBER(B421)),NOT(ISNUMBER('Impostazioni'!$B$6))),"",'Impostazioni'!$B$6+SUMIFS($AC$8:$AC$507,$C$8:$C$507,"&lt;"&amp;B421,$AH$8:$AH$507,1)+SUMIFS('Cassa'!$F$8:$F$307,'Cassa'!$A$8:$A$307,"&lt;="&amp;B421,'Cassa'!$G$8:$G$307,"OK"))</x:f>
      </x:c>
      <x:c r="AO421" s="21" t="str">
        <x:f>IF(AND(ISNUMBER(Z421),ISNUMBER(AN421),AN421&gt;0),Z421/AN421,"")</x:f>
      </x:c>
      <x:c r="AP421" s="18" t="str">
        <x:f>IF(NOT(ISNUMBER(AO421)),"",IF(AO421&gt;'Impostazioni'!$B$7,"Oltre soglia personale","Nella soglia personale"))</x:f>
      </x:c>
      <x:c r="AQ421" s="18" t="str">
        <x:f>IF(A421="",IF(COUNTA(B421:V421)=0,"","Inserisci ID"),IF(COUNTIFS($A$8:$A$507,A421)&lt;&gt;1,"ID duplicato",IF(OR(NOT(ISNUMBER(B421)),D421="",E421="",F421="",G421="",H421="",COUNTIFS('Impostazioni'!$J$6:$J$25,F421)&lt;&gt;1),"Completa dati / elenchi",IF(OR(AND(I421&lt;&gt;"Lordo manuale",I421&lt;&gt;"Netto manuale",I421&lt;&gt;"Esecuzioni"),AND(J421&lt;&gt;"Aperto",J421&lt;&gt;"Chiuso",J421&lt;&gt;"Annullato")),"Modalità / stato mancanti",IF(AND(J421&lt;&gt;"Aperto",OR(NOT(ISNUMBER(C421)),C421&lt;B421)),"Correggi data chiusura",IF(OR(AND(Q421&lt;&gt;"",OR(NOT(ISNUMBER(Q421)),Q421&lt;0)),AND(R421&lt;&gt;"",OR(NOT(ISNUMBER(R421)),R421&lt;0,R421&gt;1))),"Commissione non valida",IF(J421="Annullato","OK",IF(OR(NOT(ISNUMBER(Z421)),Z421&lt;0,AND(O421&lt;&gt;"",NOT(ISNUMBER(O421)))),"Inserisci rischio",IF(AND(I421="Esecuzioni",OR(W421=0,COUNTIFS('Esecuzioni'!$A$8:$A$1007,A421,'Esecuzioni'!$Q$8:$Q$1007,"&lt;&gt;OK")&gt;0)),"Correggi esecuzioni",IF(J421="Aperto","OK",IF(AND(I421="Esecuzioni",S421="Coperto",ABS(X421-Y421)&gt;'Impostazioni'!$B$11),"Copertura residua",IF(NOT(ISNUMBER(AC421)),"Completa risultato / esito",IF(AND(Z421=0,AC421&lt;&gt;0),"Rischio nullo con P/L","OK")))))))))))))</x:f>
      </x:c>
      <x:c r="AR421" s="20" t="str">
        <x:f>IF(OR(A421="",J421&lt;&gt;"Aperto",AQ421&lt;&gt;"OK"),"",IF(I421="Esecuzioni",SUMIFS('Esecuzioni'!$P$8:$P$1007,'Esecuzioni'!$A$8:$A$1007,A421,'Esecuzioni'!$B$8:$B$1007,_xlfn.MAXIFS('Esecuzioni'!$B$8:$B$1007,'Esecuzioni'!$A$8:$A$1007,A421)),IF(LEFT(U421,8)="FREEBET:",0,Z421)))</x:f>
      </x:c>
      <x:c r="AS421" s="48" t="str">
        <x:f>IF(OR(A421="",E421=""),"",IF(COUNTIFS($E$8:E421,E421)=1,COUNT($AS$7:AS420)+1,""))</x:f>
      </x:c>
    </x:row>
    <x:row r="422" ht="22" customHeight="1">
      <x:c r="A422" s="7"/>
      <x:c r="B422" s="19"/>
      <x:c r="C422" s="19"/>
      <x:c r="D422" s="7"/>
      <x:c r="E422" s="7"/>
      <x:c r="F422" s="7"/>
      <x:c r="G422" s="7"/>
      <x:c r="H422" s="7"/>
      <x:c r="I422" s="7"/>
      <x:c r="J422" s="7"/>
      <x:c r="K422" s="10"/>
      <x:c r="L422" s="7"/>
      <x:c r="M422" s="10"/>
      <x:c r="N422" s="7"/>
      <x:c r="O422" s="8"/>
      <x:c r="P422" s="8"/>
      <x:c r="Q422" s="8"/>
      <x:c r="R422" s="9"/>
      <x:c r="S422" s="7"/>
      <x:c r="T422" s="7"/>
      <x:c r="U422" s="7"/>
      <x:c r="V422" s="7"/>
      <x:c r="W422" s="22" t="str">
        <x:f>IF(A422="","",COUNTIFS('Esecuzioni'!$A$8:$A$1007,A422,'Esecuzioni'!$Q$8:$Q$1007,"OK"))</x:f>
      </x:c>
      <x:c r="X422" s="20" t="str">
        <x:f>IF(OR(A422="",I422&lt;&gt;"Esecuzioni",W422=0),"",SUMIFS('Esecuzioni'!$L$8:$L$1007,'Esecuzioni'!$A$8:$A$1007,A422))</x:f>
      </x:c>
      <x:c r="Y422" s="20" t="str">
        <x:f>IF(OR(A422="",I422&lt;&gt;"Esecuzioni",W422=0),"",SUMIFS('Esecuzioni'!$M$8:$M$1007,'Esecuzioni'!$A$8:$A$1007,A422))</x:f>
      </x:c>
      <x:c r="Z422" s="20" t="str">
        <x:f>IF(A422="","",IF(J422="Annullato",0,IF(ISNUMBER(O422),O422,IF(AND(I422="Esecuzioni",W422&gt;0),_xlfn.MAXIFS('Esecuzioni'!$P$8:$P$1007,'Esecuzioni'!$A$8:$A$1007,A422),""))))</x:f>
      </x:c>
      <x:c r="AA422" s="20" t="str">
        <x:f>IF(OR(A422="",J422="Aperto"),"",IF(J422="Annullato",0,IF(I422="Lordo manuale",IF(ISNUMBER(P422),P422,""),IF(I422="Netto manuale",IF(AND(ISNUMBER(P422),ISNUMBER(Q422)),P422+Q422,""),IF(OR(W422=0,COUNTIFS('Esecuzioni'!$A$8:$A$1007,A422,'Esecuzioni'!$Q$8:$Q$1007,"&lt;&gt;OK")&gt;0),"",IF(S422="Vince",X422,IF(S422="Perde",Y422,IF(AND(S422="Coperto",ABS(X422-Y422)&lt;='Impostazioni'!$B$11),ROUND((X422+Y422)/2,2),""))))))))</x:f>
      </x:c>
      <x:c r="AB422" s="20" t="str">
        <x:f>IF(NOT(ISNUMBER(AA422)),"",IF(J422="Annullato",0,IF(ISNUMBER(Q422),Q422,ROUND(MAX(0,AA422)*IF(ISNUMBER(R422),R422,'Impostazioni'!$B$8),2))))</x:f>
      </x:c>
      <x:c r="AC422" s="20" t="str">
        <x:f>IF(AND(ISNUMBER(AA422),ISNUMBER(AB422)),ROUND(AA422-AB422,2),"")</x:f>
      </x:c>
      <x:c r="AD422" s="18" t="str">
        <x:f>IF(A422="","",IF(AQ422&lt;&gt;"OK","Incompleto",IF(J422="Aperto","Aperto",IF(J422="Annullato","Annullato",IF(AC422&gt;0,"Green",IF(AC422&lt;0,"Red","Flat"))))))</x:f>
      </x:c>
      <x:c r="AE422" s="21" t="str">
        <x:f>IF(AND(AH422=1,Z422&gt;0),AC422/Z422,"")</x:f>
      </x:c>
      <x:c r="AF422" s="22" t="str">
        <x:f>IF(AH422&lt;&gt;1,"",COUNTIFS($C$8:$C$507,"&lt;"&amp;C422,$AH$8:$AH$507,1)+COUNTIFS($C$8:$C$507,C422,$A$8:$A$507,"&lt;="&amp;A422,$AH$8:$AH$507,1))</x:f>
      </x:c>
      <x:c r="AG422" s="20" t="str">
        <x:f>IF(AH422&lt;&gt;1,"",SUMIFS($AC$8:$AC$507,$C$8:$C$507,"&lt;"&amp;C422,$AH$8:$AH$507,1)+SUMIFS($AC$8:$AC$507,$C$8:$C$507,C422,$A$8:$A$507,"&lt;="&amp;A422,$AH$8:$AH$507,1))</x:f>
      </x:c>
      <x:c r="AH422" s="22" t="str">
        <x:f>IF(A422="","",IF(AND(J422="Chiuso",AQ422="OK",ISNUMBER(AC422)),1,0))</x:f>
      </x:c>
      <x:c r="AI422" s="20" t="str">
        <x:f>IF(AH422&lt;&gt;1,"",MAX(0,_xlfn.MAXIFS($AG$8:$AG$507,$AF$8:$AF$507,"&lt;="&amp;AF422,$AH$8:$AH$507,1)))</x:f>
      </x:c>
      <x:c r="AJ422" s="20" t="str">
        <x:f>IF(AH422&lt;&gt;1,"",MAX(0,AI422-AG422))</x:f>
      </x:c>
      <x:c r="AK422" s="21" t="str">
        <x:f>IF(OR(AH422&lt;&gt;1,NOT(ISNUMBER('Impostazioni'!$B$6)),'Impostazioni'!$B$6+AI422&lt;=0),"",AJ422/('Impostazioni'!$B$6+AI422))</x:f>
      </x:c>
      <x:c r="AL422" s="22" t="str">
        <x:f>IF(AH422&lt;&gt;1,"",IF(AC422&gt;0,AF422-_xlfn.MAXIFS($AF$8:$AF$507,$AF$8:$AF$507,"&lt;="&amp;AF422,$AC$8:$AC$507,"&lt;=0",$AH$8:$AH$507,1),0))</x:f>
      </x:c>
      <x:c r="AM422" s="22" t="str">
        <x:f>IF(AH422&lt;&gt;1,"",IF(AC422&lt;0,AF422-_xlfn.MAXIFS($AF$8:$AF$507,$AF$8:$AF$507,"&lt;="&amp;AF422,$AC$8:$AC$507,"&gt;=0",$AH$8:$AH$507,1),0))</x:f>
      </x:c>
      <x:c r="AN422" s="20" t="str">
        <x:f>IF(OR(A422="",NOT(ISNUMBER(B422)),NOT(ISNUMBER('Impostazioni'!$B$6))),"",'Impostazioni'!$B$6+SUMIFS($AC$8:$AC$507,$C$8:$C$507,"&lt;"&amp;B422,$AH$8:$AH$507,1)+SUMIFS('Cassa'!$F$8:$F$307,'Cassa'!$A$8:$A$307,"&lt;="&amp;B422,'Cassa'!$G$8:$G$307,"OK"))</x:f>
      </x:c>
      <x:c r="AO422" s="21" t="str">
        <x:f>IF(AND(ISNUMBER(Z422),ISNUMBER(AN422),AN422&gt;0),Z422/AN422,"")</x:f>
      </x:c>
      <x:c r="AP422" s="18" t="str">
        <x:f>IF(NOT(ISNUMBER(AO422)),"",IF(AO422&gt;'Impostazioni'!$B$7,"Oltre soglia personale","Nella soglia personale"))</x:f>
      </x:c>
      <x:c r="AQ422" s="18" t="str">
        <x:f>IF(A422="",IF(COUNTA(B422:V422)=0,"","Inserisci ID"),IF(COUNTIFS($A$8:$A$507,A422)&lt;&gt;1,"ID duplicato",IF(OR(NOT(ISNUMBER(B422)),D422="",E422="",F422="",G422="",H422="",COUNTIFS('Impostazioni'!$J$6:$J$25,F422)&lt;&gt;1),"Completa dati / elenchi",IF(OR(AND(I422&lt;&gt;"Lordo manuale",I422&lt;&gt;"Netto manuale",I422&lt;&gt;"Esecuzioni"),AND(J422&lt;&gt;"Aperto",J422&lt;&gt;"Chiuso",J422&lt;&gt;"Annullato")),"Modalità / stato mancanti",IF(AND(J422&lt;&gt;"Aperto",OR(NOT(ISNUMBER(C422)),C422&lt;B422)),"Correggi data chiusura",IF(OR(AND(Q422&lt;&gt;"",OR(NOT(ISNUMBER(Q422)),Q422&lt;0)),AND(R422&lt;&gt;"",OR(NOT(ISNUMBER(R422)),R422&lt;0,R422&gt;1))),"Commissione non valida",IF(J422="Annullato","OK",IF(OR(NOT(ISNUMBER(Z422)),Z422&lt;0,AND(O422&lt;&gt;"",NOT(ISNUMBER(O422)))),"Inserisci rischio",IF(AND(I422="Esecuzioni",OR(W422=0,COUNTIFS('Esecuzioni'!$A$8:$A$1007,A422,'Esecuzioni'!$Q$8:$Q$1007,"&lt;&gt;OK")&gt;0)),"Correggi esecuzioni",IF(J422="Aperto","OK",IF(AND(I422="Esecuzioni",S422="Coperto",ABS(X422-Y422)&gt;'Impostazioni'!$B$11),"Copertura residua",IF(NOT(ISNUMBER(AC422)),"Completa risultato / esito",IF(AND(Z422=0,AC422&lt;&gt;0),"Rischio nullo con P/L","OK")))))))))))))</x:f>
      </x:c>
      <x:c r="AR422" s="20" t="str">
        <x:f>IF(OR(A422="",J422&lt;&gt;"Aperto",AQ422&lt;&gt;"OK"),"",IF(I422="Esecuzioni",SUMIFS('Esecuzioni'!$P$8:$P$1007,'Esecuzioni'!$A$8:$A$1007,A422,'Esecuzioni'!$B$8:$B$1007,_xlfn.MAXIFS('Esecuzioni'!$B$8:$B$1007,'Esecuzioni'!$A$8:$A$1007,A422)),IF(LEFT(U422,8)="FREEBET:",0,Z422)))</x:f>
      </x:c>
      <x:c r="AS422" s="48" t="str">
        <x:f>IF(OR(A422="",E422=""),"",IF(COUNTIFS($E$8:E422,E422)=1,COUNT($AS$7:AS421)+1,""))</x:f>
      </x:c>
    </x:row>
    <x:row r="423" ht="22" customHeight="1">
      <x:c r="A423" s="7"/>
      <x:c r="B423" s="19"/>
      <x:c r="C423" s="19"/>
      <x:c r="D423" s="7"/>
      <x:c r="E423" s="7"/>
      <x:c r="F423" s="7"/>
      <x:c r="G423" s="7"/>
      <x:c r="H423" s="7"/>
      <x:c r="I423" s="7"/>
      <x:c r="J423" s="7"/>
      <x:c r="K423" s="10"/>
      <x:c r="L423" s="7"/>
      <x:c r="M423" s="10"/>
      <x:c r="N423" s="7"/>
      <x:c r="O423" s="8"/>
      <x:c r="P423" s="8"/>
      <x:c r="Q423" s="8"/>
      <x:c r="R423" s="9"/>
      <x:c r="S423" s="7"/>
      <x:c r="T423" s="7"/>
      <x:c r="U423" s="7"/>
      <x:c r="V423" s="7"/>
      <x:c r="W423" s="22" t="str">
        <x:f>IF(A423="","",COUNTIFS('Esecuzioni'!$A$8:$A$1007,A423,'Esecuzioni'!$Q$8:$Q$1007,"OK"))</x:f>
      </x:c>
      <x:c r="X423" s="20" t="str">
        <x:f>IF(OR(A423="",I423&lt;&gt;"Esecuzioni",W423=0),"",SUMIFS('Esecuzioni'!$L$8:$L$1007,'Esecuzioni'!$A$8:$A$1007,A423))</x:f>
      </x:c>
      <x:c r="Y423" s="20" t="str">
        <x:f>IF(OR(A423="",I423&lt;&gt;"Esecuzioni",W423=0),"",SUMIFS('Esecuzioni'!$M$8:$M$1007,'Esecuzioni'!$A$8:$A$1007,A423))</x:f>
      </x:c>
      <x:c r="Z423" s="20" t="str">
        <x:f>IF(A423="","",IF(J423="Annullato",0,IF(ISNUMBER(O423),O423,IF(AND(I423="Esecuzioni",W423&gt;0),_xlfn.MAXIFS('Esecuzioni'!$P$8:$P$1007,'Esecuzioni'!$A$8:$A$1007,A423),""))))</x:f>
      </x:c>
      <x:c r="AA423" s="20" t="str">
        <x:f>IF(OR(A423="",J423="Aperto"),"",IF(J423="Annullato",0,IF(I423="Lordo manuale",IF(ISNUMBER(P423),P423,""),IF(I423="Netto manuale",IF(AND(ISNUMBER(P423),ISNUMBER(Q423)),P423+Q423,""),IF(OR(W423=0,COUNTIFS('Esecuzioni'!$A$8:$A$1007,A423,'Esecuzioni'!$Q$8:$Q$1007,"&lt;&gt;OK")&gt;0),"",IF(S423="Vince",X423,IF(S423="Perde",Y423,IF(AND(S423="Coperto",ABS(X423-Y423)&lt;='Impostazioni'!$B$11),ROUND((X423+Y423)/2,2),""))))))))</x:f>
      </x:c>
      <x:c r="AB423" s="20" t="str">
        <x:f>IF(NOT(ISNUMBER(AA423)),"",IF(J423="Annullato",0,IF(ISNUMBER(Q423),Q423,ROUND(MAX(0,AA423)*IF(ISNUMBER(R423),R423,'Impostazioni'!$B$8),2))))</x:f>
      </x:c>
      <x:c r="AC423" s="20" t="str">
        <x:f>IF(AND(ISNUMBER(AA423),ISNUMBER(AB423)),ROUND(AA423-AB423,2),"")</x:f>
      </x:c>
      <x:c r="AD423" s="18" t="str">
        <x:f>IF(A423="","",IF(AQ423&lt;&gt;"OK","Incompleto",IF(J423="Aperto","Aperto",IF(J423="Annullato","Annullato",IF(AC423&gt;0,"Green",IF(AC423&lt;0,"Red","Flat"))))))</x:f>
      </x:c>
      <x:c r="AE423" s="21" t="str">
        <x:f>IF(AND(AH423=1,Z423&gt;0),AC423/Z423,"")</x:f>
      </x:c>
      <x:c r="AF423" s="22" t="str">
        <x:f>IF(AH423&lt;&gt;1,"",COUNTIFS($C$8:$C$507,"&lt;"&amp;C423,$AH$8:$AH$507,1)+COUNTIFS($C$8:$C$507,C423,$A$8:$A$507,"&lt;="&amp;A423,$AH$8:$AH$507,1))</x:f>
      </x:c>
      <x:c r="AG423" s="20" t="str">
        <x:f>IF(AH423&lt;&gt;1,"",SUMIFS($AC$8:$AC$507,$C$8:$C$507,"&lt;"&amp;C423,$AH$8:$AH$507,1)+SUMIFS($AC$8:$AC$507,$C$8:$C$507,C423,$A$8:$A$507,"&lt;="&amp;A423,$AH$8:$AH$507,1))</x:f>
      </x:c>
      <x:c r="AH423" s="22" t="str">
        <x:f>IF(A423="","",IF(AND(J423="Chiuso",AQ423="OK",ISNUMBER(AC423)),1,0))</x:f>
      </x:c>
      <x:c r="AI423" s="20" t="str">
        <x:f>IF(AH423&lt;&gt;1,"",MAX(0,_xlfn.MAXIFS($AG$8:$AG$507,$AF$8:$AF$507,"&lt;="&amp;AF423,$AH$8:$AH$507,1)))</x:f>
      </x:c>
      <x:c r="AJ423" s="20" t="str">
        <x:f>IF(AH423&lt;&gt;1,"",MAX(0,AI423-AG423))</x:f>
      </x:c>
      <x:c r="AK423" s="21" t="str">
        <x:f>IF(OR(AH423&lt;&gt;1,NOT(ISNUMBER('Impostazioni'!$B$6)),'Impostazioni'!$B$6+AI423&lt;=0),"",AJ423/('Impostazioni'!$B$6+AI423))</x:f>
      </x:c>
      <x:c r="AL423" s="22" t="str">
        <x:f>IF(AH423&lt;&gt;1,"",IF(AC423&gt;0,AF423-_xlfn.MAXIFS($AF$8:$AF$507,$AF$8:$AF$507,"&lt;="&amp;AF423,$AC$8:$AC$507,"&lt;=0",$AH$8:$AH$507,1),0))</x:f>
      </x:c>
      <x:c r="AM423" s="22" t="str">
        <x:f>IF(AH423&lt;&gt;1,"",IF(AC423&lt;0,AF423-_xlfn.MAXIFS($AF$8:$AF$507,$AF$8:$AF$507,"&lt;="&amp;AF423,$AC$8:$AC$507,"&gt;=0",$AH$8:$AH$507,1),0))</x:f>
      </x:c>
      <x:c r="AN423" s="20" t="str">
        <x:f>IF(OR(A423="",NOT(ISNUMBER(B423)),NOT(ISNUMBER('Impostazioni'!$B$6))),"",'Impostazioni'!$B$6+SUMIFS($AC$8:$AC$507,$C$8:$C$507,"&lt;"&amp;B423,$AH$8:$AH$507,1)+SUMIFS('Cassa'!$F$8:$F$307,'Cassa'!$A$8:$A$307,"&lt;="&amp;B423,'Cassa'!$G$8:$G$307,"OK"))</x:f>
      </x:c>
      <x:c r="AO423" s="21" t="str">
        <x:f>IF(AND(ISNUMBER(Z423),ISNUMBER(AN423),AN423&gt;0),Z423/AN423,"")</x:f>
      </x:c>
      <x:c r="AP423" s="18" t="str">
        <x:f>IF(NOT(ISNUMBER(AO423)),"",IF(AO423&gt;'Impostazioni'!$B$7,"Oltre soglia personale","Nella soglia personale"))</x:f>
      </x:c>
      <x:c r="AQ423" s="18" t="str">
        <x:f>IF(A423="",IF(COUNTA(B423:V423)=0,"","Inserisci ID"),IF(COUNTIFS($A$8:$A$507,A423)&lt;&gt;1,"ID duplicato",IF(OR(NOT(ISNUMBER(B423)),D423="",E423="",F423="",G423="",H423="",COUNTIFS('Impostazioni'!$J$6:$J$25,F423)&lt;&gt;1),"Completa dati / elenchi",IF(OR(AND(I423&lt;&gt;"Lordo manuale",I423&lt;&gt;"Netto manuale",I423&lt;&gt;"Esecuzioni"),AND(J423&lt;&gt;"Aperto",J423&lt;&gt;"Chiuso",J423&lt;&gt;"Annullato")),"Modalità / stato mancanti",IF(AND(J423&lt;&gt;"Aperto",OR(NOT(ISNUMBER(C423)),C423&lt;B423)),"Correggi data chiusura",IF(OR(AND(Q423&lt;&gt;"",OR(NOT(ISNUMBER(Q423)),Q423&lt;0)),AND(R423&lt;&gt;"",OR(NOT(ISNUMBER(R423)),R423&lt;0,R423&gt;1))),"Commissione non valida",IF(J423="Annullato","OK",IF(OR(NOT(ISNUMBER(Z423)),Z423&lt;0,AND(O423&lt;&gt;"",NOT(ISNUMBER(O423)))),"Inserisci rischio",IF(AND(I423="Esecuzioni",OR(W423=0,COUNTIFS('Esecuzioni'!$A$8:$A$1007,A423,'Esecuzioni'!$Q$8:$Q$1007,"&lt;&gt;OK")&gt;0)),"Correggi esecuzioni",IF(J423="Aperto","OK",IF(AND(I423="Esecuzioni",S423="Coperto",ABS(X423-Y423)&gt;'Impostazioni'!$B$11),"Copertura residua",IF(NOT(ISNUMBER(AC423)),"Completa risultato / esito",IF(AND(Z423=0,AC423&lt;&gt;0),"Rischio nullo con P/L","OK")))))))))))))</x:f>
      </x:c>
      <x:c r="AR423" s="20" t="str">
        <x:f>IF(OR(A423="",J423&lt;&gt;"Aperto",AQ423&lt;&gt;"OK"),"",IF(I423="Esecuzioni",SUMIFS('Esecuzioni'!$P$8:$P$1007,'Esecuzioni'!$A$8:$A$1007,A423,'Esecuzioni'!$B$8:$B$1007,_xlfn.MAXIFS('Esecuzioni'!$B$8:$B$1007,'Esecuzioni'!$A$8:$A$1007,A423)),IF(LEFT(U423,8)="FREEBET:",0,Z423)))</x:f>
      </x:c>
      <x:c r="AS423" s="48" t="str">
        <x:f>IF(OR(A423="",E423=""),"",IF(COUNTIFS($E$8:E423,E423)=1,COUNT($AS$7:AS422)+1,""))</x:f>
      </x:c>
    </x:row>
    <x:row r="424" ht="22" customHeight="1">
      <x:c r="A424" s="7"/>
      <x:c r="B424" s="19"/>
      <x:c r="C424" s="19"/>
      <x:c r="D424" s="7"/>
      <x:c r="E424" s="7"/>
      <x:c r="F424" s="7"/>
      <x:c r="G424" s="7"/>
      <x:c r="H424" s="7"/>
      <x:c r="I424" s="7"/>
      <x:c r="J424" s="7"/>
      <x:c r="K424" s="10"/>
      <x:c r="L424" s="7"/>
      <x:c r="M424" s="10"/>
      <x:c r="N424" s="7"/>
      <x:c r="O424" s="8"/>
      <x:c r="P424" s="8"/>
      <x:c r="Q424" s="8"/>
      <x:c r="R424" s="9"/>
      <x:c r="S424" s="7"/>
      <x:c r="T424" s="7"/>
      <x:c r="U424" s="7"/>
      <x:c r="V424" s="7"/>
      <x:c r="W424" s="22" t="str">
        <x:f>IF(A424="","",COUNTIFS('Esecuzioni'!$A$8:$A$1007,A424,'Esecuzioni'!$Q$8:$Q$1007,"OK"))</x:f>
      </x:c>
      <x:c r="X424" s="20" t="str">
        <x:f>IF(OR(A424="",I424&lt;&gt;"Esecuzioni",W424=0),"",SUMIFS('Esecuzioni'!$L$8:$L$1007,'Esecuzioni'!$A$8:$A$1007,A424))</x:f>
      </x:c>
      <x:c r="Y424" s="20" t="str">
        <x:f>IF(OR(A424="",I424&lt;&gt;"Esecuzioni",W424=0),"",SUMIFS('Esecuzioni'!$M$8:$M$1007,'Esecuzioni'!$A$8:$A$1007,A424))</x:f>
      </x:c>
      <x:c r="Z424" s="20" t="str">
        <x:f>IF(A424="","",IF(J424="Annullato",0,IF(ISNUMBER(O424),O424,IF(AND(I424="Esecuzioni",W424&gt;0),_xlfn.MAXIFS('Esecuzioni'!$P$8:$P$1007,'Esecuzioni'!$A$8:$A$1007,A424),""))))</x:f>
      </x:c>
      <x:c r="AA424" s="20" t="str">
        <x:f>IF(OR(A424="",J424="Aperto"),"",IF(J424="Annullato",0,IF(I424="Lordo manuale",IF(ISNUMBER(P424),P424,""),IF(I424="Netto manuale",IF(AND(ISNUMBER(P424),ISNUMBER(Q424)),P424+Q424,""),IF(OR(W424=0,COUNTIFS('Esecuzioni'!$A$8:$A$1007,A424,'Esecuzioni'!$Q$8:$Q$1007,"&lt;&gt;OK")&gt;0),"",IF(S424="Vince",X424,IF(S424="Perde",Y424,IF(AND(S424="Coperto",ABS(X424-Y424)&lt;='Impostazioni'!$B$11),ROUND((X424+Y424)/2,2),""))))))))</x:f>
      </x:c>
      <x:c r="AB424" s="20" t="str">
        <x:f>IF(NOT(ISNUMBER(AA424)),"",IF(J424="Annullato",0,IF(ISNUMBER(Q424),Q424,ROUND(MAX(0,AA424)*IF(ISNUMBER(R424),R424,'Impostazioni'!$B$8),2))))</x:f>
      </x:c>
      <x:c r="AC424" s="20" t="str">
        <x:f>IF(AND(ISNUMBER(AA424),ISNUMBER(AB424)),ROUND(AA424-AB424,2),"")</x:f>
      </x:c>
      <x:c r="AD424" s="18" t="str">
        <x:f>IF(A424="","",IF(AQ424&lt;&gt;"OK","Incompleto",IF(J424="Aperto","Aperto",IF(J424="Annullato","Annullato",IF(AC424&gt;0,"Green",IF(AC424&lt;0,"Red","Flat"))))))</x:f>
      </x:c>
      <x:c r="AE424" s="21" t="str">
        <x:f>IF(AND(AH424=1,Z424&gt;0),AC424/Z424,"")</x:f>
      </x:c>
      <x:c r="AF424" s="22" t="str">
        <x:f>IF(AH424&lt;&gt;1,"",COUNTIFS($C$8:$C$507,"&lt;"&amp;C424,$AH$8:$AH$507,1)+COUNTIFS($C$8:$C$507,C424,$A$8:$A$507,"&lt;="&amp;A424,$AH$8:$AH$507,1))</x:f>
      </x:c>
      <x:c r="AG424" s="20" t="str">
        <x:f>IF(AH424&lt;&gt;1,"",SUMIFS($AC$8:$AC$507,$C$8:$C$507,"&lt;"&amp;C424,$AH$8:$AH$507,1)+SUMIFS($AC$8:$AC$507,$C$8:$C$507,C424,$A$8:$A$507,"&lt;="&amp;A424,$AH$8:$AH$507,1))</x:f>
      </x:c>
      <x:c r="AH424" s="22" t="str">
        <x:f>IF(A424="","",IF(AND(J424="Chiuso",AQ424="OK",ISNUMBER(AC424)),1,0))</x:f>
      </x:c>
      <x:c r="AI424" s="20" t="str">
        <x:f>IF(AH424&lt;&gt;1,"",MAX(0,_xlfn.MAXIFS($AG$8:$AG$507,$AF$8:$AF$507,"&lt;="&amp;AF424,$AH$8:$AH$507,1)))</x:f>
      </x:c>
      <x:c r="AJ424" s="20" t="str">
        <x:f>IF(AH424&lt;&gt;1,"",MAX(0,AI424-AG424))</x:f>
      </x:c>
      <x:c r="AK424" s="21" t="str">
        <x:f>IF(OR(AH424&lt;&gt;1,NOT(ISNUMBER('Impostazioni'!$B$6)),'Impostazioni'!$B$6+AI424&lt;=0),"",AJ424/('Impostazioni'!$B$6+AI424))</x:f>
      </x:c>
      <x:c r="AL424" s="22" t="str">
        <x:f>IF(AH424&lt;&gt;1,"",IF(AC424&gt;0,AF424-_xlfn.MAXIFS($AF$8:$AF$507,$AF$8:$AF$507,"&lt;="&amp;AF424,$AC$8:$AC$507,"&lt;=0",$AH$8:$AH$507,1),0))</x:f>
      </x:c>
      <x:c r="AM424" s="22" t="str">
        <x:f>IF(AH424&lt;&gt;1,"",IF(AC424&lt;0,AF424-_xlfn.MAXIFS($AF$8:$AF$507,$AF$8:$AF$507,"&lt;="&amp;AF424,$AC$8:$AC$507,"&gt;=0",$AH$8:$AH$507,1),0))</x:f>
      </x:c>
      <x:c r="AN424" s="20" t="str">
        <x:f>IF(OR(A424="",NOT(ISNUMBER(B424)),NOT(ISNUMBER('Impostazioni'!$B$6))),"",'Impostazioni'!$B$6+SUMIFS($AC$8:$AC$507,$C$8:$C$507,"&lt;"&amp;B424,$AH$8:$AH$507,1)+SUMIFS('Cassa'!$F$8:$F$307,'Cassa'!$A$8:$A$307,"&lt;="&amp;B424,'Cassa'!$G$8:$G$307,"OK"))</x:f>
      </x:c>
      <x:c r="AO424" s="21" t="str">
        <x:f>IF(AND(ISNUMBER(Z424),ISNUMBER(AN424),AN424&gt;0),Z424/AN424,"")</x:f>
      </x:c>
      <x:c r="AP424" s="18" t="str">
        <x:f>IF(NOT(ISNUMBER(AO424)),"",IF(AO424&gt;'Impostazioni'!$B$7,"Oltre soglia personale","Nella soglia personale"))</x:f>
      </x:c>
      <x:c r="AQ424" s="18" t="str">
        <x:f>IF(A424="",IF(COUNTA(B424:V424)=0,"","Inserisci ID"),IF(COUNTIFS($A$8:$A$507,A424)&lt;&gt;1,"ID duplicato",IF(OR(NOT(ISNUMBER(B424)),D424="",E424="",F424="",G424="",H424="",COUNTIFS('Impostazioni'!$J$6:$J$25,F424)&lt;&gt;1),"Completa dati / elenchi",IF(OR(AND(I424&lt;&gt;"Lordo manuale",I424&lt;&gt;"Netto manuale",I424&lt;&gt;"Esecuzioni"),AND(J424&lt;&gt;"Aperto",J424&lt;&gt;"Chiuso",J424&lt;&gt;"Annullato")),"Modalità / stato mancanti",IF(AND(J424&lt;&gt;"Aperto",OR(NOT(ISNUMBER(C424)),C424&lt;B424)),"Correggi data chiusura",IF(OR(AND(Q424&lt;&gt;"",OR(NOT(ISNUMBER(Q424)),Q424&lt;0)),AND(R424&lt;&gt;"",OR(NOT(ISNUMBER(R424)),R424&lt;0,R424&gt;1))),"Commissione non valida",IF(J424="Annullato","OK",IF(OR(NOT(ISNUMBER(Z424)),Z424&lt;0,AND(O424&lt;&gt;"",NOT(ISNUMBER(O424)))),"Inserisci rischio",IF(AND(I424="Esecuzioni",OR(W424=0,COUNTIFS('Esecuzioni'!$A$8:$A$1007,A424,'Esecuzioni'!$Q$8:$Q$1007,"&lt;&gt;OK")&gt;0)),"Correggi esecuzioni",IF(J424="Aperto","OK",IF(AND(I424="Esecuzioni",S424="Coperto",ABS(X424-Y424)&gt;'Impostazioni'!$B$11),"Copertura residua",IF(NOT(ISNUMBER(AC424)),"Completa risultato / esito",IF(AND(Z424=0,AC424&lt;&gt;0),"Rischio nullo con P/L","OK")))))))))))))</x:f>
      </x:c>
      <x:c r="AR424" s="20" t="str">
        <x:f>IF(OR(A424="",J424&lt;&gt;"Aperto",AQ424&lt;&gt;"OK"),"",IF(I424="Esecuzioni",SUMIFS('Esecuzioni'!$P$8:$P$1007,'Esecuzioni'!$A$8:$A$1007,A424,'Esecuzioni'!$B$8:$B$1007,_xlfn.MAXIFS('Esecuzioni'!$B$8:$B$1007,'Esecuzioni'!$A$8:$A$1007,A424)),IF(LEFT(U424,8)="FREEBET:",0,Z424)))</x:f>
      </x:c>
      <x:c r="AS424" s="48" t="str">
        <x:f>IF(OR(A424="",E424=""),"",IF(COUNTIFS($E$8:E424,E424)=1,COUNT($AS$7:AS423)+1,""))</x:f>
      </x:c>
    </x:row>
    <x:row r="425" ht="22" customHeight="1">
      <x:c r="A425" s="7"/>
      <x:c r="B425" s="19"/>
      <x:c r="C425" s="19"/>
      <x:c r="D425" s="7"/>
      <x:c r="E425" s="7"/>
      <x:c r="F425" s="7"/>
      <x:c r="G425" s="7"/>
      <x:c r="H425" s="7"/>
      <x:c r="I425" s="7"/>
      <x:c r="J425" s="7"/>
      <x:c r="K425" s="10"/>
      <x:c r="L425" s="7"/>
      <x:c r="M425" s="10"/>
      <x:c r="N425" s="7"/>
      <x:c r="O425" s="8"/>
      <x:c r="P425" s="8"/>
      <x:c r="Q425" s="8"/>
      <x:c r="R425" s="9"/>
      <x:c r="S425" s="7"/>
      <x:c r="T425" s="7"/>
      <x:c r="U425" s="7"/>
      <x:c r="V425" s="7"/>
      <x:c r="W425" s="22" t="str">
        <x:f>IF(A425="","",COUNTIFS('Esecuzioni'!$A$8:$A$1007,A425,'Esecuzioni'!$Q$8:$Q$1007,"OK"))</x:f>
      </x:c>
      <x:c r="X425" s="20" t="str">
        <x:f>IF(OR(A425="",I425&lt;&gt;"Esecuzioni",W425=0),"",SUMIFS('Esecuzioni'!$L$8:$L$1007,'Esecuzioni'!$A$8:$A$1007,A425))</x:f>
      </x:c>
      <x:c r="Y425" s="20" t="str">
        <x:f>IF(OR(A425="",I425&lt;&gt;"Esecuzioni",W425=0),"",SUMIFS('Esecuzioni'!$M$8:$M$1007,'Esecuzioni'!$A$8:$A$1007,A425))</x:f>
      </x:c>
      <x:c r="Z425" s="20" t="str">
        <x:f>IF(A425="","",IF(J425="Annullato",0,IF(ISNUMBER(O425),O425,IF(AND(I425="Esecuzioni",W425&gt;0),_xlfn.MAXIFS('Esecuzioni'!$P$8:$P$1007,'Esecuzioni'!$A$8:$A$1007,A425),""))))</x:f>
      </x:c>
      <x:c r="AA425" s="20" t="str">
        <x:f>IF(OR(A425="",J425="Aperto"),"",IF(J425="Annullato",0,IF(I425="Lordo manuale",IF(ISNUMBER(P425),P425,""),IF(I425="Netto manuale",IF(AND(ISNUMBER(P425),ISNUMBER(Q425)),P425+Q425,""),IF(OR(W425=0,COUNTIFS('Esecuzioni'!$A$8:$A$1007,A425,'Esecuzioni'!$Q$8:$Q$1007,"&lt;&gt;OK")&gt;0),"",IF(S425="Vince",X425,IF(S425="Perde",Y425,IF(AND(S425="Coperto",ABS(X425-Y425)&lt;='Impostazioni'!$B$11),ROUND((X425+Y425)/2,2),""))))))))</x:f>
      </x:c>
      <x:c r="AB425" s="20" t="str">
        <x:f>IF(NOT(ISNUMBER(AA425)),"",IF(J425="Annullato",0,IF(ISNUMBER(Q425),Q425,ROUND(MAX(0,AA425)*IF(ISNUMBER(R425),R425,'Impostazioni'!$B$8),2))))</x:f>
      </x:c>
      <x:c r="AC425" s="20" t="str">
        <x:f>IF(AND(ISNUMBER(AA425),ISNUMBER(AB425)),ROUND(AA425-AB425,2),"")</x:f>
      </x:c>
      <x:c r="AD425" s="18" t="str">
        <x:f>IF(A425="","",IF(AQ425&lt;&gt;"OK","Incompleto",IF(J425="Aperto","Aperto",IF(J425="Annullato","Annullato",IF(AC425&gt;0,"Green",IF(AC425&lt;0,"Red","Flat"))))))</x:f>
      </x:c>
      <x:c r="AE425" s="21" t="str">
        <x:f>IF(AND(AH425=1,Z425&gt;0),AC425/Z425,"")</x:f>
      </x:c>
      <x:c r="AF425" s="22" t="str">
        <x:f>IF(AH425&lt;&gt;1,"",COUNTIFS($C$8:$C$507,"&lt;"&amp;C425,$AH$8:$AH$507,1)+COUNTIFS($C$8:$C$507,C425,$A$8:$A$507,"&lt;="&amp;A425,$AH$8:$AH$507,1))</x:f>
      </x:c>
      <x:c r="AG425" s="20" t="str">
        <x:f>IF(AH425&lt;&gt;1,"",SUMIFS($AC$8:$AC$507,$C$8:$C$507,"&lt;"&amp;C425,$AH$8:$AH$507,1)+SUMIFS($AC$8:$AC$507,$C$8:$C$507,C425,$A$8:$A$507,"&lt;="&amp;A425,$AH$8:$AH$507,1))</x:f>
      </x:c>
      <x:c r="AH425" s="22" t="str">
        <x:f>IF(A425="","",IF(AND(J425="Chiuso",AQ425="OK",ISNUMBER(AC425)),1,0))</x:f>
      </x:c>
      <x:c r="AI425" s="20" t="str">
        <x:f>IF(AH425&lt;&gt;1,"",MAX(0,_xlfn.MAXIFS($AG$8:$AG$507,$AF$8:$AF$507,"&lt;="&amp;AF425,$AH$8:$AH$507,1)))</x:f>
      </x:c>
      <x:c r="AJ425" s="20" t="str">
        <x:f>IF(AH425&lt;&gt;1,"",MAX(0,AI425-AG425))</x:f>
      </x:c>
      <x:c r="AK425" s="21" t="str">
        <x:f>IF(OR(AH425&lt;&gt;1,NOT(ISNUMBER('Impostazioni'!$B$6)),'Impostazioni'!$B$6+AI425&lt;=0),"",AJ425/('Impostazioni'!$B$6+AI425))</x:f>
      </x:c>
      <x:c r="AL425" s="22" t="str">
        <x:f>IF(AH425&lt;&gt;1,"",IF(AC425&gt;0,AF425-_xlfn.MAXIFS($AF$8:$AF$507,$AF$8:$AF$507,"&lt;="&amp;AF425,$AC$8:$AC$507,"&lt;=0",$AH$8:$AH$507,1),0))</x:f>
      </x:c>
      <x:c r="AM425" s="22" t="str">
        <x:f>IF(AH425&lt;&gt;1,"",IF(AC425&lt;0,AF425-_xlfn.MAXIFS($AF$8:$AF$507,$AF$8:$AF$507,"&lt;="&amp;AF425,$AC$8:$AC$507,"&gt;=0",$AH$8:$AH$507,1),0))</x:f>
      </x:c>
      <x:c r="AN425" s="20" t="str">
        <x:f>IF(OR(A425="",NOT(ISNUMBER(B425)),NOT(ISNUMBER('Impostazioni'!$B$6))),"",'Impostazioni'!$B$6+SUMIFS($AC$8:$AC$507,$C$8:$C$507,"&lt;"&amp;B425,$AH$8:$AH$507,1)+SUMIFS('Cassa'!$F$8:$F$307,'Cassa'!$A$8:$A$307,"&lt;="&amp;B425,'Cassa'!$G$8:$G$307,"OK"))</x:f>
      </x:c>
      <x:c r="AO425" s="21" t="str">
        <x:f>IF(AND(ISNUMBER(Z425),ISNUMBER(AN425),AN425&gt;0),Z425/AN425,"")</x:f>
      </x:c>
      <x:c r="AP425" s="18" t="str">
        <x:f>IF(NOT(ISNUMBER(AO425)),"",IF(AO425&gt;'Impostazioni'!$B$7,"Oltre soglia personale","Nella soglia personale"))</x:f>
      </x:c>
      <x:c r="AQ425" s="18" t="str">
        <x:f>IF(A425="",IF(COUNTA(B425:V425)=0,"","Inserisci ID"),IF(COUNTIFS($A$8:$A$507,A425)&lt;&gt;1,"ID duplicato",IF(OR(NOT(ISNUMBER(B425)),D425="",E425="",F425="",G425="",H425="",COUNTIFS('Impostazioni'!$J$6:$J$25,F425)&lt;&gt;1),"Completa dati / elenchi",IF(OR(AND(I425&lt;&gt;"Lordo manuale",I425&lt;&gt;"Netto manuale",I425&lt;&gt;"Esecuzioni"),AND(J425&lt;&gt;"Aperto",J425&lt;&gt;"Chiuso",J425&lt;&gt;"Annullato")),"Modalità / stato mancanti",IF(AND(J425&lt;&gt;"Aperto",OR(NOT(ISNUMBER(C425)),C425&lt;B425)),"Correggi data chiusura",IF(OR(AND(Q425&lt;&gt;"",OR(NOT(ISNUMBER(Q425)),Q425&lt;0)),AND(R425&lt;&gt;"",OR(NOT(ISNUMBER(R425)),R425&lt;0,R425&gt;1))),"Commissione non valida",IF(J425="Annullato","OK",IF(OR(NOT(ISNUMBER(Z425)),Z425&lt;0,AND(O425&lt;&gt;"",NOT(ISNUMBER(O425)))),"Inserisci rischio",IF(AND(I425="Esecuzioni",OR(W425=0,COUNTIFS('Esecuzioni'!$A$8:$A$1007,A425,'Esecuzioni'!$Q$8:$Q$1007,"&lt;&gt;OK")&gt;0)),"Correggi esecuzioni",IF(J425="Aperto","OK",IF(AND(I425="Esecuzioni",S425="Coperto",ABS(X425-Y425)&gt;'Impostazioni'!$B$11),"Copertura residua",IF(NOT(ISNUMBER(AC425)),"Completa risultato / esito",IF(AND(Z425=0,AC425&lt;&gt;0),"Rischio nullo con P/L","OK")))))))))))))</x:f>
      </x:c>
      <x:c r="AR425" s="20" t="str">
        <x:f>IF(OR(A425="",J425&lt;&gt;"Aperto",AQ425&lt;&gt;"OK"),"",IF(I425="Esecuzioni",SUMIFS('Esecuzioni'!$P$8:$P$1007,'Esecuzioni'!$A$8:$A$1007,A425,'Esecuzioni'!$B$8:$B$1007,_xlfn.MAXIFS('Esecuzioni'!$B$8:$B$1007,'Esecuzioni'!$A$8:$A$1007,A425)),IF(LEFT(U425,8)="FREEBET:",0,Z425)))</x:f>
      </x:c>
      <x:c r="AS425" s="48" t="str">
        <x:f>IF(OR(A425="",E425=""),"",IF(COUNTIFS($E$8:E425,E425)=1,COUNT($AS$7:AS424)+1,""))</x:f>
      </x:c>
    </x:row>
    <x:row r="426" ht="22" customHeight="1">
      <x:c r="A426" s="7"/>
      <x:c r="B426" s="19"/>
      <x:c r="C426" s="19"/>
      <x:c r="D426" s="7"/>
      <x:c r="E426" s="7"/>
      <x:c r="F426" s="7"/>
      <x:c r="G426" s="7"/>
      <x:c r="H426" s="7"/>
      <x:c r="I426" s="7"/>
      <x:c r="J426" s="7"/>
      <x:c r="K426" s="10"/>
      <x:c r="L426" s="7"/>
      <x:c r="M426" s="10"/>
      <x:c r="N426" s="7"/>
      <x:c r="O426" s="8"/>
      <x:c r="P426" s="8"/>
      <x:c r="Q426" s="8"/>
      <x:c r="R426" s="9"/>
      <x:c r="S426" s="7"/>
      <x:c r="T426" s="7"/>
      <x:c r="U426" s="7"/>
      <x:c r="V426" s="7"/>
      <x:c r="W426" s="22" t="str">
        <x:f>IF(A426="","",COUNTIFS('Esecuzioni'!$A$8:$A$1007,A426,'Esecuzioni'!$Q$8:$Q$1007,"OK"))</x:f>
      </x:c>
      <x:c r="X426" s="20" t="str">
        <x:f>IF(OR(A426="",I426&lt;&gt;"Esecuzioni",W426=0),"",SUMIFS('Esecuzioni'!$L$8:$L$1007,'Esecuzioni'!$A$8:$A$1007,A426))</x:f>
      </x:c>
      <x:c r="Y426" s="20" t="str">
        <x:f>IF(OR(A426="",I426&lt;&gt;"Esecuzioni",W426=0),"",SUMIFS('Esecuzioni'!$M$8:$M$1007,'Esecuzioni'!$A$8:$A$1007,A426))</x:f>
      </x:c>
      <x:c r="Z426" s="20" t="str">
        <x:f>IF(A426="","",IF(J426="Annullato",0,IF(ISNUMBER(O426),O426,IF(AND(I426="Esecuzioni",W426&gt;0),_xlfn.MAXIFS('Esecuzioni'!$P$8:$P$1007,'Esecuzioni'!$A$8:$A$1007,A426),""))))</x:f>
      </x:c>
      <x:c r="AA426" s="20" t="str">
        <x:f>IF(OR(A426="",J426="Aperto"),"",IF(J426="Annullato",0,IF(I426="Lordo manuale",IF(ISNUMBER(P426),P426,""),IF(I426="Netto manuale",IF(AND(ISNUMBER(P426),ISNUMBER(Q426)),P426+Q426,""),IF(OR(W426=0,COUNTIFS('Esecuzioni'!$A$8:$A$1007,A426,'Esecuzioni'!$Q$8:$Q$1007,"&lt;&gt;OK")&gt;0),"",IF(S426="Vince",X426,IF(S426="Perde",Y426,IF(AND(S426="Coperto",ABS(X426-Y426)&lt;='Impostazioni'!$B$11),ROUND((X426+Y426)/2,2),""))))))))</x:f>
      </x:c>
      <x:c r="AB426" s="20" t="str">
        <x:f>IF(NOT(ISNUMBER(AA426)),"",IF(J426="Annullato",0,IF(ISNUMBER(Q426),Q426,ROUND(MAX(0,AA426)*IF(ISNUMBER(R426),R426,'Impostazioni'!$B$8),2))))</x:f>
      </x:c>
      <x:c r="AC426" s="20" t="str">
        <x:f>IF(AND(ISNUMBER(AA426),ISNUMBER(AB426)),ROUND(AA426-AB426,2),"")</x:f>
      </x:c>
      <x:c r="AD426" s="18" t="str">
        <x:f>IF(A426="","",IF(AQ426&lt;&gt;"OK","Incompleto",IF(J426="Aperto","Aperto",IF(J426="Annullato","Annullato",IF(AC426&gt;0,"Green",IF(AC426&lt;0,"Red","Flat"))))))</x:f>
      </x:c>
      <x:c r="AE426" s="21" t="str">
        <x:f>IF(AND(AH426=1,Z426&gt;0),AC426/Z426,"")</x:f>
      </x:c>
      <x:c r="AF426" s="22" t="str">
        <x:f>IF(AH426&lt;&gt;1,"",COUNTIFS($C$8:$C$507,"&lt;"&amp;C426,$AH$8:$AH$507,1)+COUNTIFS($C$8:$C$507,C426,$A$8:$A$507,"&lt;="&amp;A426,$AH$8:$AH$507,1))</x:f>
      </x:c>
      <x:c r="AG426" s="20" t="str">
        <x:f>IF(AH426&lt;&gt;1,"",SUMIFS($AC$8:$AC$507,$C$8:$C$507,"&lt;"&amp;C426,$AH$8:$AH$507,1)+SUMIFS($AC$8:$AC$507,$C$8:$C$507,C426,$A$8:$A$507,"&lt;="&amp;A426,$AH$8:$AH$507,1))</x:f>
      </x:c>
      <x:c r="AH426" s="22" t="str">
        <x:f>IF(A426="","",IF(AND(J426="Chiuso",AQ426="OK",ISNUMBER(AC426)),1,0))</x:f>
      </x:c>
      <x:c r="AI426" s="20" t="str">
        <x:f>IF(AH426&lt;&gt;1,"",MAX(0,_xlfn.MAXIFS($AG$8:$AG$507,$AF$8:$AF$507,"&lt;="&amp;AF426,$AH$8:$AH$507,1)))</x:f>
      </x:c>
      <x:c r="AJ426" s="20" t="str">
        <x:f>IF(AH426&lt;&gt;1,"",MAX(0,AI426-AG426))</x:f>
      </x:c>
      <x:c r="AK426" s="21" t="str">
        <x:f>IF(OR(AH426&lt;&gt;1,NOT(ISNUMBER('Impostazioni'!$B$6)),'Impostazioni'!$B$6+AI426&lt;=0),"",AJ426/('Impostazioni'!$B$6+AI426))</x:f>
      </x:c>
      <x:c r="AL426" s="22" t="str">
        <x:f>IF(AH426&lt;&gt;1,"",IF(AC426&gt;0,AF426-_xlfn.MAXIFS($AF$8:$AF$507,$AF$8:$AF$507,"&lt;="&amp;AF426,$AC$8:$AC$507,"&lt;=0",$AH$8:$AH$507,1),0))</x:f>
      </x:c>
      <x:c r="AM426" s="22" t="str">
        <x:f>IF(AH426&lt;&gt;1,"",IF(AC426&lt;0,AF426-_xlfn.MAXIFS($AF$8:$AF$507,$AF$8:$AF$507,"&lt;="&amp;AF426,$AC$8:$AC$507,"&gt;=0",$AH$8:$AH$507,1),0))</x:f>
      </x:c>
      <x:c r="AN426" s="20" t="str">
        <x:f>IF(OR(A426="",NOT(ISNUMBER(B426)),NOT(ISNUMBER('Impostazioni'!$B$6))),"",'Impostazioni'!$B$6+SUMIFS($AC$8:$AC$507,$C$8:$C$507,"&lt;"&amp;B426,$AH$8:$AH$507,1)+SUMIFS('Cassa'!$F$8:$F$307,'Cassa'!$A$8:$A$307,"&lt;="&amp;B426,'Cassa'!$G$8:$G$307,"OK"))</x:f>
      </x:c>
      <x:c r="AO426" s="21" t="str">
        <x:f>IF(AND(ISNUMBER(Z426),ISNUMBER(AN426),AN426&gt;0),Z426/AN426,"")</x:f>
      </x:c>
      <x:c r="AP426" s="18" t="str">
        <x:f>IF(NOT(ISNUMBER(AO426)),"",IF(AO426&gt;'Impostazioni'!$B$7,"Oltre soglia personale","Nella soglia personale"))</x:f>
      </x:c>
      <x:c r="AQ426" s="18" t="str">
        <x:f>IF(A426="",IF(COUNTA(B426:V426)=0,"","Inserisci ID"),IF(COUNTIFS($A$8:$A$507,A426)&lt;&gt;1,"ID duplicato",IF(OR(NOT(ISNUMBER(B426)),D426="",E426="",F426="",G426="",H426="",COUNTIFS('Impostazioni'!$J$6:$J$25,F426)&lt;&gt;1),"Completa dati / elenchi",IF(OR(AND(I426&lt;&gt;"Lordo manuale",I426&lt;&gt;"Netto manuale",I426&lt;&gt;"Esecuzioni"),AND(J426&lt;&gt;"Aperto",J426&lt;&gt;"Chiuso",J426&lt;&gt;"Annullato")),"Modalità / stato mancanti",IF(AND(J426&lt;&gt;"Aperto",OR(NOT(ISNUMBER(C426)),C426&lt;B426)),"Correggi data chiusura",IF(OR(AND(Q426&lt;&gt;"",OR(NOT(ISNUMBER(Q426)),Q426&lt;0)),AND(R426&lt;&gt;"",OR(NOT(ISNUMBER(R426)),R426&lt;0,R426&gt;1))),"Commissione non valida",IF(J426="Annullato","OK",IF(OR(NOT(ISNUMBER(Z426)),Z426&lt;0,AND(O426&lt;&gt;"",NOT(ISNUMBER(O426)))),"Inserisci rischio",IF(AND(I426="Esecuzioni",OR(W426=0,COUNTIFS('Esecuzioni'!$A$8:$A$1007,A426,'Esecuzioni'!$Q$8:$Q$1007,"&lt;&gt;OK")&gt;0)),"Correggi esecuzioni",IF(J426="Aperto","OK",IF(AND(I426="Esecuzioni",S426="Coperto",ABS(X426-Y426)&gt;'Impostazioni'!$B$11),"Copertura residua",IF(NOT(ISNUMBER(AC426)),"Completa risultato / esito",IF(AND(Z426=0,AC426&lt;&gt;0),"Rischio nullo con P/L","OK")))))))))))))</x:f>
      </x:c>
      <x:c r="AR426" s="20" t="str">
        <x:f>IF(OR(A426="",J426&lt;&gt;"Aperto",AQ426&lt;&gt;"OK"),"",IF(I426="Esecuzioni",SUMIFS('Esecuzioni'!$P$8:$P$1007,'Esecuzioni'!$A$8:$A$1007,A426,'Esecuzioni'!$B$8:$B$1007,_xlfn.MAXIFS('Esecuzioni'!$B$8:$B$1007,'Esecuzioni'!$A$8:$A$1007,A426)),IF(LEFT(U426,8)="FREEBET:",0,Z426)))</x:f>
      </x:c>
      <x:c r="AS426" s="48" t="str">
        <x:f>IF(OR(A426="",E426=""),"",IF(COUNTIFS($E$8:E426,E426)=1,COUNT($AS$7:AS425)+1,""))</x:f>
      </x:c>
    </x:row>
    <x:row r="427" ht="22" customHeight="1">
      <x:c r="A427" s="7"/>
      <x:c r="B427" s="19"/>
      <x:c r="C427" s="19"/>
      <x:c r="D427" s="7"/>
      <x:c r="E427" s="7"/>
      <x:c r="F427" s="7"/>
      <x:c r="G427" s="7"/>
      <x:c r="H427" s="7"/>
      <x:c r="I427" s="7"/>
      <x:c r="J427" s="7"/>
      <x:c r="K427" s="10"/>
      <x:c r="L427" s="7"/>
      <x:c r="M427" s="10"/>
      <x:c r="N427" s="7"/>
      <x:c r="O427" s="8"/>
      <x:c r="P427" s="8"/>
      <x:c r="Q427" s="8"/>
      <x:c r="R427" s="9"/>
      <x:c r="S427" s="7"/>
      <x:c r="T427" s="7"/>
      <x:c r="U427" s="7"/>
      <x:c r="V427" s="7"/>
      <x:c r="W427" s="22" t="str">
        <x:f>IF(A427="","",COUNTIFS('Esecuzioni'!$A$8:$A$1007,A427,'Esecuzioni'!$Q$8:$Q$1007,"OK"))</x:f>
      </x:c>
      <x:c r="X427" s="20" t="str">
        <x:f>IF(OR(A427="",I427&lt;&gt;"Esecuzioni",W427=0),"",SUMIFS('Esecuzioni'!$L$8:$L$1007,'Esecuzioni'!$A$8:$A$1007,A427))</x:f>
      </x:c>
      <x:c r="Y427" s="20" t="str">
        <x:f>IF(OR(A427="",I427&lt;&gt;"Esecuzioni",W427=0),"",SUMIFS('Esecuzioni'!$M$8:$M$1007,'Esecuzioni'!$A$8:$A$1007,A427))</x:f>
      </x:c>
      <x:c r="Z427" s="20" t="str">
        <x:f>IF(A427="","",IF(J427="Annullato",0,IF(ISNUMBER(O427),O427,IF(AND(I427="Esecuzioni",W427&gt;0),_xlfn.MAXIFS('Esecuzioni'!$P$8:$P$1007,'Esecuzioni'!$A$8:$A$1007,A427),""))))</x:f>
      </x:c>
      <x:c r="AA427" s="20" t="str">
        <x:f>IF(OR(A427="",J427="Aperto"),"",IF(J427="Annullato",0,IF(I427="Lordo manuale",IF(ISNUMBER(P427),P427,""),IF(I427="Netto manuale",IF(AND(ISNUMBER(P427),ISNUMBER(Q427)),P427+Q427,""),IF(OR(W427=0,COUNTIFS('Esecuzioni'!$A$8:$A$1007,A427,'Esecuzioni'!$Q$8:$Q$1007,"&lt;&gt;OK")&gt;0),"",IF(S427="Vince",X427,IF(S427="Perde",Y427,IF(AND(S427="Coperto",ABS(X427-Y427)&lt;='Impostazioni'!$B$11),ROUND((X427+Y427)/2,2),""))))))))</x:f>
      </x:c>
      <x:c r="AB427" s="20" t="str">
        <x:f>IF(NOT(ISNUMBER(AA427)),"",IF(J427="Annullato",0,IF(ISNUMBER(Q427),Q427,ROUND(MAX(0,AA427)*IF(ISNUMBER(R427),R427,'Impostazioni'!$B$8),2))))</x:f>
      </x:c>
      <x:c r="AC427" s="20" t="str">
        <x:f>IF(AND(ISNUMBER(AA427),ISNUMBER(AB427)),ROUND(AA427-AB427,2),"")</x:f>
      </x:c>
      <x:c r="AD427" s="18" t="str">
        <x:f>IF(A427="","",IF(AQ427&lt;&gt;"OK","Incompleto",IF(J427="Aperto","Aperto",IF(J427="Annullato","Annullato",IF(AC427&gt;0,"Green",IF(AC427&lt;0,"Red","Flat"))))))</x:f>
      </x:c>
      <x:c r="AE427" s="21" t="str">
        <x:f>IF(AND(AH427=1,Z427&gt;0),AC427/Z427,"")</x:f>
      </x:c>
      <x:c r="AF427" s="22" t="str">
        <x:f>IF(AH427&lt;&gt;1,"",COUNTIFS($C$8:$C$507,"&lt;"&amp;C427,$AH$8:$AH$507,1)+COUNTIFS($C$8:$C$507,C427,$A$8:$A$507,"&lt;="&amp;A427,$AH$8:$AH$507,1))</x:f>
      </x:c>
      <x:c r="AG427" s="20" t="str">
        <x:f>IF(AH427&lt;&gt;1,"",SUMIFS($AC$8:$AC$507,$C$8:$C$507,"&lt;"&amp;C427,$AH$8:$AH$507,1)+SUMIFS($AC$8:$AC$507,$C$8:$C$507,C427,$A$8:$A$507,"&lt;="&amp;A427,$AH$8:$AH$507,1))</x:f>
      </x:c>
      <x:c r="AH427" s="22" t="str">
        <x:f>IF(A427="","",IF(AND(J427="Chiuso",AQ427="OK",ISNUMBER(AC427)),1,0))</x:f>
      </x:c>
      <x:c r="AI427" s="20" t="str">
        <x:f>IF(AH427&lt;&gt;1,"",MAX(0,_xlfn.MAXIFS($AG$8:$AG$507,$AF$8:$AF$507,"&lt;="&amp;AF427,$AH$8:$AH$507,1)))</x:f>
      </x:c>
      <x:c r="AJ427" s="20" t="str">
        <x:f>IF(AH427&lt;&gt;1,"",MAX(0,AI427-AG427))</x:f>
      </x:c>
      <x:c r="AK427" s="21" t="str">
        <x:f>IF(OR(AH427&lt;&gt;1,NOT(ISNUMBER('Impostazioni'!$B$6)),'Impostazioni'!$B$6+AI427&lt;=0),"",AJ427/('Impostazioni'!$B$6+AI427))</x:f>
      </x:c>
      <x:c r="AL427" s="22" t="str">
        <x:f>IF(AH427&lt;&gt;1,"",IF(AC427&gt;0,AF427-_xlfn.MAXIFS($AF$8:$AF$507,$AF$8:$AF$507,"&lt;="&amp;AF427,$AC$8:$AC$507,"&lt;=0",$AH$8:$AH$507,1),0))</x:f>
      </x:c>
      <x:c r="AM427" s="22" t="str">
        <x:f>IF(AH427&lt;&gt;1,"",IF(AC427&lt;0,AF427-_xlfn.MAXIFS($AF$8:$AF$507,$AF$8:$AF$507,"&lt;="&amp;AF427,$AC$8:$AC$507,"&gt;=0",$AH$8:$AH$507,1),0))</x:f>
      </x:c>
      <x:c r="AN427" s="20" t="str">
        <x:f>IF(OR(A427="",NOT(ISNUMBER(B427)),NOT(ISNUMBER('Impostazioni'!$B$6))),"",'Impostazioni'!$B$6+SUMIFS($AC$8:$AC$507,$C$8:$C$507,"&lt;"&amp;B427,$AH$8:$AH$507,1)+SUMIFS('Cassa'!$F$8:$F$307,'Cassa'!$A$8:$A$307,"&lt;="&amp;B427,'Cassa'!$G$8:$G$307,"OK"))</x:f>
      </x:c>
      <x:c r="AO427" s="21" t="str">
        <x:f>IF(AND(ISNUMBER(Z427),ISNUMBER(AN427),AN427&gt;0),Z427/AN427,"")</x:f>
      </x:c>
      <x:c r="AP427" s="18" t="str">
        <x:f>IF(NOT(ISNUMBER(AO427)),"",IF(AO427&gt;'Impostazioni'!$B$7,"Oltre soglia personale","Nella soglia personale"))</x:f>
      </x:c>
      <x:c r="AQ427" s="18" t="str">
        <x:f>IF(A427="",IF(COUNTA(B427:V427)=0,"","Inserisci ID"),IF(COUNTIFS($A$8:$A$507,A427)&lt;&gt;1,"ID duplicato",IF(OR(NOT(ISNUMBER(B427)),D427="",E427="",F427="",G427="",H427="",COUNTIFS('Impostazioni'!$J$6:$J$25,F427)&lt;&gt;1),"Completa dati / elenchi",IF(OR(AND(I427&lt;&gt;"Lordo manuale",I427&lt;&gt;"Netto manuale",I427&lt;&gt;"Esecuzioni"),AND(J427&lt;&gt;"Aperto",J427&lt;&gt;"Chiuso",J427&lt;&gt;"Annullato")),"Modalità / stato mancanti",IF(AND(J427&lt;&gt;"Aperto",OR(NOT(ISNUMBER(C427)),C427&lt;B427)),"Correggi data chiusura",IF(OR(AND(Q427&lt;&gt;"",OR(NOT(ISNUMBER(Q427)),Q427&lt;0)),AND(R427&lt;&gt;"",OR(NOT(ISNUMBER(R427)),R427&lt;0,R427&gt;1))),"Commissione non valida",IF(J427="Annullato","OK",IF(OR(NOT(ISNUMBER(Z427)),Z427&lt;0,AND(O427&lt;&gt;"",NOT(ISNUMBER(O427)))),"Inserisci rischio",IF(AND(I427="Esecuzioni",OR(W427=0,COUNTIFS('Esecuzioni'!$A$8:$A$1007,A427,'Esecuzioni'!$Q$8:$Q$1007,"&lt;&gt;OK")&gt;0)),"Correggi esecuzioni",IF(J427="Aperto","OK",IF(AND(I427="Esecuzioni",S427="Coperto",ABS(X427-Y427)&gt;'Impostazioni'!$B$11),"Copertura residua",IF(NOT(ISNUMBER(AC427)),"Completa risultato / esito",IF(AND(Z427=0,AC427&lt;&gt;0),"Rischio nullo con P/L","OK")))))))))))))</x:f>
      </x:c>
      <x:c r="AR427" s="20" t="str">
        <x:f>IF(OR(A427="",J427&lt;&gt;"Aperto",AQ427&lt;&gt;"OK"),"",IF(I427="Esecuzioni",SUMIFS('Esecuzioni'!$P$8:$P$1007,'Esecuzioni'!$A$8:$A$1007,A427,'Esecuzioni'!$B$8:$B$1007,_xlfn.MAXIFS('Esecuzioni'!$B$8:$B$1007,'Esecuzioni'!$A$8:$A$1007,A427)),IF(LEFT(U427,8)="FREEBET:",0,Z427)))</x:f>
      </x:c>
      <x:c r="AS427" s="48" t="str">
        <x:f>IF(OR(A427="",E427=""),"",IF(COUNTIFS($E$8:E427,E427)=1,COUNT($AS$7:AS426)+1,""))</x:f>
      </x:c>
    </x:row>
    <x:row r="428" ht="22" customHeight="1">
      <x:c r="A428" s="7"/>
      <x:c r="B428" s="19"/>
      <x:c r="C428" s="19"/>
      <x:c r="D428" s="7"/>
      <x:c r="E428" s="7"/>
      <x:c r="F428" s="7"/>
      <x:c r="G428" s="7"/>
      <x:c r="H428" s="7"/>
      <x:c r="I428" s="7"/>
      <x:c r="J428" s="7"/>
      <x:c r="K428" s="10"/>
      <x:c r="L428" s="7"/>
      <x:c r="M428" s="10"/>
      <x:c r="N428" s="7"/>
      <x:c r="O428" s="8"/>
      <x:c r="P428" s="8"/>
      <x:c r="Q428" s="8"/>
      <x:c r="R428" s="9"/>
      <x:c r="S428" s="7"/>
      <x:c r="T428" s="7"/>
      <x:c r="U428" s="7"/>
      <x:c r="V428" s="7"/>
      <x:c r="W428" s="22" t="str">
        <x:f>IF(A428="","",COUNTIFS('Esecuzioni'!$A$8:$A$1007,A428,'Esecuzioni'!$Q$8:$Q$1007,"OK"))</x:f>
      </x:c>
      <x:c r="X428" s="20" t="str">
        <x:f>IF(OR(A428="",I428&lt;&gt;"Esecuzioni",W428=0),"",SUMIFS('Esecuzioni'!$L$8:$L$1007,'Esecuzioni'!$A$8:$A$1007,A428))</x:f>
      </x:c>
      <x:c r="Y428" s="20" t="str">
        <x:f>IF(OR(A428="",I428&lt;&gt;"Esecuzioni",W428=0),"",SUMIFS('Esecuzioni'!$M$8:$M$1007,'Esecuzioni'!$A$8:$A$1007,A428))</x:f>
      </x:c>
      <x:c r="Z428" s="20" t="str">
        <x:f>IF(A428="","",IF(J428="Annullato",0,IF(ISNUMBER(O428),O428,IF(AND(I428="Esecuzioni",W428&gt;0),_xlfn.MAXIFS('Esecuzioni'!$P$8:$P$1007,'Esecuzioni'!$A$8:$A$1007,A428),""))))</x:f>
      </x:c>
      <x:c r="AA428" s="20" t="str">
        <x:f>IF(OR(A428="",J428="Aperto"),"",IF(J428="Annullato",0,IF(I428="Lordo manuale",IF(ISNUMBER(P428),P428,""),IF(I428="Netto manuale",IF(AND(ISNUMBER(P428),ISNUMBER(Q428)),P428+Q428,""),IF(OR(W428=0,COUNTIFS('Esecuzioni'!$A$8:$A$1007,A428,'Esecuzioni'!$Q$8:$Q$1007,"&lt;&gt;OK")&gt;0),"",IF(S428="Vince",X428,IF(S428="Perde",Y428,IF(AND(S428="Coperto",ABS(X428-Y428)&lt;='Impostazioni'!$B$11),ROUND((X428+Y428)/2,2),""))))))))</x:f>
      </x:c>
      <x:c r="AB428" s="20" t="str">
        <x:f>IF(NOT(ISNUMBER(AA428)),"",IF(J428="Annullato",0,IF(ISNUMBER(Q428),Q428,ROUND(MAX(0,AA428)*IF(ISNUMBER(R428),R428,'Impostazioni'!$B$8),2))))</x:f>
      </x:c>
      <x:c r="AC428" s="20" t="str">
        <x:f>IF(AND(ISNUMBER(AA428),ISNUMBER(AB428)),ROUND(AA428-AB428,2),"")</x:f>
      </x:c>
      <x:c r="AD428" s="18" t="str">
        <x:f>IF(A428="","",IF(AQ428&lt;&gt;"OK","Incompleto",IF(J428="Aperto","Aperto",IF(J428="Annullato","Annullato",IF(AC428&gt;0,"Green",IF(AC428&lt;0,"Red","Flat"))))))</x:f>
      </x:c>
      <x:c r="AE428" s="21" t="str">
        <x:f>IF(AND(AH428=1,Z428&gt;0),AC428/Z428,"")</x:f>
      </x:c>
      <x:c r="AF428" s="22" t="str">
        <x:f>IF(AH428&lt;&gt;1,"",COUNTIFS($C$8:$C$507,"&lt;"&amp;C428,$AH$8:$AH$507,1)+COUNTIFS($C$8:$C$507,C428,$A$8:$A$507,"&lt;="&amp;A428,$AH$8:$AH$507,1))</x:f>
      </x:c>
      <x:c r="AG428" s="20" t="str">
        <x:f>IF(AH428&lt;&gt;1,"",SUMIFS($AC$8:$AC$507,$C$8:$C$507,"&lt;"&amp;C428,$AH$8:$AH$507,1)+SUMIFS($AC$8:$AC$507,$C$8:$C$507,C428,$A$8:$A$507,"&lt;="&amp;A428,$AH$8:$AH$507,1))</x:f>
      </x:c>
      <x:c r="AH428" s="22" t="str">
        <x:f>IF(A428="","",IF(AND(J428="Chiuso",AQ428="OK",ISNUMBER(AC428)),1,0))</x:f>
      </x:c>
      <x:c r="AI428" s="20" t="str">
        <x:f>IF(AH428&lt;&gt;1,"",MAX(0,_xlfn.MAXIFS($AG$8:$AG$507,$AF$8:$AF$507,"&lt;="&amp;AF428,$AH$8:$AH$507,1)))</x:f>
      </x:c>
      <x:c r="AJ428" s="20" t="str">
        <x:f>IF(AH428&lt;&gt;1,"",MAX(0,AI428-AG428))</x:f>
      </x:c>
      <x:c r="AK428" s="21" t="str">
        <x:f>IF(OR(AH428&lt;&gt;1,NOT(ISNUMBER('Impostazioni'!$B$6)),'Impostazioni'!$B$6+AI428&lt;=0),"",AJ428/('Impostazioni'!$B$6+AI428))</x:f>
      </x:c>
      <x:c r="AL428" s="22" t="str">
        <x:f>IF(AH428&lt;&gt;1,"",IF(AC428&gt;0,AF428-_xlfn.MAXIFS($AF$8:$AF$507,$AF$8:$AF$507,"&lt;="&amp;AF428,$AC$8:$AC$507,"&lt;=0",$AH$8:$AH$507,1),0))</x:f>
      </x:c>
      <x:c r="AM428" s="22" t="str">
        <x:f>IF(AH428&lt;&gt;1,"",IF(AC428&lt;0,AF428-_xlfn.MAXIFS($AF$8:$AF$507,$AF$8:$AF$507,"&lt;="&amp;AF428,$AC$8:$AC$507,"&gt;=0",$AH$8:$AH$507,1),0))</x:f>
      </x:c>
      <x:c r="AN428" s="20" t="str">
        <x:f>IF(OR(A428="",NOT(ISNUMBER(B428)),NOT(ISNUMBER('Impostazioni'!$B$6))),"",'Impostazioni'!$B$6+SUMIFS($AC$8:$AC$507,$C$8:$C$507,"&lt;"&amp;B428,$AH$8:$AH$507,1)+SUMIFS('Cassa'!$F$8:$F$307,'Cassa'!$A$8:$A$307,"&lt;="&amp;B428,'Cassa'!$G$8:$G$307,"OK"))</x:f>
      </x:c>
      <x:c r="AO428" s="21" t="str">
        <x:f>IF(AND(ISNUMBER(Z428),ISNUMBER(AN428),AN428&gt;0),Z428/AN428,"")</x:f>
      </x:c>
      <x:c r="AP428" s="18" t="str">
        <x:f>IF(NOT(ISNUMBER(AO428)),"",IF(AO428&gt;'Impostazioni'!$B$7,"Oltre soglia personale","Nella soglia personale"))</x:f>
      </x:c>
      <x:c r="AQ428" s="18" t="str">
        <x:f>IF(A428="",IF(COUNTA(B428:V428)=0,"","Inserisci ID"),IF(COUNTIFS($A$8:$A$507,A428)&lt;&gt;1,"ID duplicato",IF(OR(NOT(ISNUMBER(B428)),D428="",E428="",F428="",G428="",H428="",COUNTIFS('Impostazioni'!$J$6:$J$25,F428)&lt;&gt;1),"Completa dati / elenchi",IF(OR(AND(I428&lt;&gt;"Lordo manuale",I428&lt;&gt;"Netto manuale",I428&lt;&gt;"Esecuzioni"),AND(J428&lt;&gt;"Aperto",J428&lt;&gt;"Chiuso",J428&lt;&gt;"Annullato")),"Modalità / stato mancanti",IF(AND(J428&lt;&gt;"Aperto",OR(NOT(ISNUMBER(C428)),C428&lt;B428)),"Correggi data chiusura",IF(OR(AND(Q428&lt;&gt;"",OR(NOT(ISNUMBER(Q428)),Q428&lt;0)),AND(R428&lt;&gt;"",OR(NOT(ISNUMBER(R428)),R428&lt;0,R428&gt;1))),"Commissione non valida",IF(J428="Annullato","OK",IF(OR(NOT(ISNUMBER(Z428)),Z428&lt;0,AND(O428&lt;&gt;"",NOT(ISNUMBER(O428)))),"Inserisci rischio",IF(AND(I428="Esecuzioni",OR(W428=0,COUNTIFS('Esecuzioni'!$A$8:$A$1007,A428,'Esecuzioni'!$Q$8:$Q$1007,"&lt;&gt;OK")&gt;0)),"Correggi esecuzioni",IF(J428="Aperto","OK",IF(AND(I428="Esecuzioni",S428="Coperto",ABS(X428-Y428)&gt;'Impostazioni'!$B$11),"Copertura residua",IF(NOT(ISNUMBER(AC428)),"Completa risultato / esito",IF(AND(Z428=0,AC428&lt;&gt;0),"Rischio nullo con P/L","OK")))))))))))))</x:f>
      </x:c>
      <x:c r="AR428" s="20" t="str">
        <x:f>IF(OR(A428="",J428&lt;&gt;"Aperto",AQ428&lt;&gt;"OK"),"",IF(I428="Esecuzioni",SUMIFS('Esecuzioni'!$P$8:$P$1007,'Esecuzioni'!$A$8:$A$1007,A428,'Esecuzioni'!$B$8:$B$1007,_xlfn.MAXIFS('Esecuzioni'!$B$8:$B$1007,'Esecuzioni'!$A$8:$A$1007,A428)),IF(LEFT(U428,8)="FREEBET:",0,Z428)))</x:f>
      </x:c>
      <x:c r="AS428" s="48" t="str">
        <x:f>IF(OR(A428="",E428=""),"",IF(COUNTIFS($E$8:E428,E428)=1,COUNT($AS$7:AS427)+1,""))</x:f>
      </x:c>
    </x:row>
    <x:row r="429" ht="22" customHeight="1">
      <x:c r="A429" s="7"/>
      <x:c r="B429" s="19"/>
      <x:c r="C429" s="19"/>
      <x:c r="D429" s="7"/>
      <x:c r="E429" s="7"/>
      <x:c r="F429" s="7"/>
      <x:c r="G429" s="7"/>
      <x:c r="H429" s="7"/>
      <x:c r="I429" s="7"/>
      <x:c r="J429" s="7"/>
      <x:c r="K429" s="10"/>
      <x:c r="L429" s="7"/>
      <x:c r="M429" s="10"/>
      <x:c r="N429" s="7"/>
      <x:c r="O429" s="8"/>
      <x:c r="P429" s="8"/>
      <x:c r="Q429" s="8"/>
      <x:c r="R429" s="9"/>
      <x:c r="S429" s="7"/>
      <x:c r="T429" s="7"/>
      <x:c r="U429" s="7"/>
      <x:c r="V429" s="7"/>
      <x:c r="W429" s="22" t="str">
        <x:f>IF(A429="","",COUNTIFS('Esecuzioni'!$A$8:$A$1007,A429,'Esecuzioni'!$Q$8:$Q$1007,"OK"))</x:f>
      </x:c>
      <x:c r="X429" s="20" t="str">
        <x:f>IF(OR(A429="",I429&lt;&gt;"Esecuzioni",W429=0),"",SUMIFS('Esecuzioni'!$L$8:$L$1007,'Esecuzioni'!$A$8:$A$1007,A429))</x:f>
      </x:c>
      <x:c r="Y429" s="20" t="str">
        <x:f>IF(OR(A429="",I429&lt;&gt;"Esecuzioni",W429=0),"",SUMIFS('Esecuzioni'!$M$8:$M$1007,'Esecuzioni'!$A$8:$A$1007,A429))</x:f>
      </x:c>
      <x:c r="Z429" s="20" t="str">
        <x:f>IF(A429="","",IF(J429="Annullato",0,IF(ISNUMBER(O429),O429,IF(AND(I429="Esecuzioni",W429&gt;0),_xlfn.MAXIFS('Esecuzioni'!$P$8:$P$1007,'Esecuzioni'!$A$8:$A$1007,A429),""))))</x:f>
      </x:c>
      <x:c r="AA429" s="20" t="str">
        <x:f>IF(OR(A429="",J429="Aperto"),"",IF(J429="Annullato",0,IF(I429="Lordo manuale",IF(ISNUMBER(P429),P429,""),IF(I429="Netto manuale",IF(AND(ISNUMBER(P429),ISNUMBER(Q429)),P429+Q429,""),IF(OR(W429=0,COUNTIFS('Esecuzioni'!$A$8:$A$1007,A429,'Esecuzioni'!$Q$8:$Q$1007,"&lt;&gt;OK")&gt;0),"",IF(S429="Vince",X429,IF(S429="Perde",Y429,IF(AND(S429="Coperto",ABS(X429-Y429)&lt;='Impostazioni'!$B$11),ROUND((X429+Y429)/2,2),""))))))))</x:f>
      </x:c>
      <x:c r="AB429" s="20" t="str">
        <x:f>IF(NOT(ISNUMBER(AA429)),"",IF(J429="Annullato",0,IF(ISNUMBER(Q429),Q429,ROUND(MAX(0,AA429)*IF(ISNUMBER(R429),R429,'Impostazioni'!$B$8),2))))</x:f>
      </x:c>
      <x:c r="AC429" s="20" t="str">
        <x:f>IF(AND(ISNUMBER(AA429),ISNUMBER(AB429)),ROUND(AA429-AB429,2),"")</x:f>
      </x:c>
      <x:c r="AD429" s="18" t="str">
        <x:f>IF(A429="","",IF(AQ429&lt;&gt;"OK","Incompleto",IF(J429="Aperto","Aperto",IF(J429="Annullato","Annullato",IF(AC429&gt;0,"Green",IF(AC429&lt;0,"Red","Flat"))))))</x:f>
      </x:c>
      <x:c r="AE429" s="21" t="str">
        <x:f>IF(AND(AH429=1,Z429&gt;0),AC429/Z429,"")</x:f>
      </x:c>
      <x:c r="AF429" s="22" t="str">
        <x:f>IF(AH429&lt;&gt;1,"",COUNTIFS($C$8:$C$507,"&lt;"&amp;C429,$AH$8:$AH$507,1)+COUNTIFS($C$8:$C$507,C429,$A$8:$A$507,"&lt;="&amp;A429,$AH$8:$AH$507,1))</x:f>
      </x:c>
      <x:c r="AG429" s="20" t="str">
        <x:f>IF(AH429&lt;&gt;1,"",SUMIFS($AC$8:$AC$507,$C$8:$C$507,"&lt;"&amp;C429,$AH$8:$AH$507,1)+SUMIFS($AC$8:$AC$507,$C$8:$C$507,C429,$A$8:$A$507,"&lt;="&amp;A429,$AH$8:$AH$507,1))</x:f>
      </x:c>
      <x:c r="AH429" s="22" t="str">
        <x:f>IF(A429="","",IF(AND(J429="Chiuso",AQ429="OK",ISNUMBER(AC429)),1,0))</x:f>
      </x:c>
      <x:c r="AI429" s="20" t="str">
        <x:f>IF(AH429&lt;&gt;1,"",MAX(0,_xlfn.MAXIFS($AG$8:$AG$507,$AF$8:$AF$507,"&lt;="&amp;AF429,$AH$8:$AH$507,1)))</x:f>
      </x:c>
      <x:c r="AJ429" s="20" t="str">
        <x:f>IF(AH429&lt;&gt;1,"",MAX(0,AI429-AG429))</x:f>
      </x:c>
      <x:c r="AK429" s="21" t="str">
        <x:f>IF(OR(AH429&lt;&gt;1,NOT(ISNUMBER('Impostazioni'!$B$6)),'Impostazioni'!$B$6+AI429&lt;=0),"",AJ429/('Impostazioni'!$B$6+AI429))</x:f>
      </x:c>
      <x:c r="AL429" s="22" t="str">
        <x:f>IF(AH429&lt;&gt;1,"",IF(AC429&gt;0,AF429-_xlfn.MAXIFS($AF$8:$AF$507,$AF$8:$AF$507,"&lt;="&amp;AF429,$AC$8:$AC$507,"&lt;=0",$AH$8:$AH$507,1),0))</x:f>
      </x:c>
      <x:c r="AM429" s="22" t="str">
        <x:f>IF(AH429&lt;&gt;1,"",IF(AC429&lt;0,AF429-_xlfn.MAXIFS($AF$8:$AF$507,$AF$8:$AF$507,"&lt;="&amp;AF429,$AC$8:$AC$507,"&gt;=0",$AH$8:$AH$507,1),0))</x:f>
      </x:c>
      <x:c r="AN429" s="20" t="str">
        <x:f>IF(OR(A429="",NOT(ISNUMBER(B429)),NOT(ISNUMBER('Impostazioni'!$B$6))),"",'Impostazioni'!$B$6+SUMIFS($AC$8:$AC$507,$C$8:$C$507,"&lt;"&amp;B429,$AH$8:$AH$507,1)+SUMIFS('Cassa'!$F$8:$F$307,'Cassa'!$A$8:$A$307,"&lt;="&amp;B429,'Cassa'!$G$8:$G$307,"OK"))</x:f>
      </x:c>
      <x:c r="AO429" s="21" t="str">
        <x:f>IF(AND(ISNUMBER(Z429),ISNUMBER(AN429),AN429&gt;0),Z429/AN429,"")</x:f>
      </x:c>
      <x:c r="AP429" s="18" t="str">
        <x:f>IF(NOT(ISNUMBER(AO429)),"",IF(AO429&gt;'Impostazioni'!$B$7,"Oltre soglia personale","Nella soglia personale"))</x:f>
      </x:c>
      <x:c r="AQ429" s="18" t="str">
        <x:f>IF(A429="",IF(COUNTA(B429:V429)=0,"","Inserisci ID"),IF(COUNTIFS($A$8:$A$507,A429)&lt;&gt;1,"ID duplicato",IF(OR(NOT(ISNUMBER(B429)),D429="",E429="",F429="",G429="",H429="",COUNTIFS('Impostazioni'!$J$6:$J$25,F429)&lt;&gt;1),"Completa dati / elenchi",IF(OR(AND(I429&lt;&gt;"Lordo manuale",I429&lt;&gt;"Netto manuale",I429&lt;&gt;"Esecuzioni"),AND(J429&lt;&gt;"Aperto",J429&lt;&gt;"Chiuso",J429&lt;&gt;"Annullato")),"Modalità / stato mancanti",IF(AND(J429&lt;&gt;"Aperto",OR(NOT(ISNUMBER(C429)),C429&lt;B429)),"Correggi data chiusura",IF(OR(AND(Q429&lt;&gt;"",OR(NOT(ISNUMBER(Q429)),Q429&lt;0)),AND(R429&lt;&gt;"",OR(NOT(ISNUMBER(R429)),R429&lt;0,R429&gt;1))),"Commissione non valida",IF(J429="Annullato","OK",IF(OR(NOT(ISNUMBER(Z429)),Z429&lt;0,AND(O429&lt;&gt;"",NOT(ISNUMBER(O429)))),"Inserisci rischio",IF(AND(I429="Esecuzioni",OR(W429=0,COUNTIFS('Esecuzioni'!$A$8:$A$1007,A429,'Esecuzioni'!$Q$8:$Q$1007,"&lt;&gt;OK")&gt;0)),"Correggi esecuzioni",IF(J429="Aperto","OK",IF(AND(I429="Esecuzioni",S429="Coperto",ABS(X429-Y429)&gt;'Impostazioni'!$B$11),"Copertura residua",IF(NOT(ISNUMBER(AC429)),"Completa risultato / esito",IF(AND(Z429=0,AC429&lt;&gt;0),"Rischio nullo con P/L","OK")))))))))))))</x:f>
      </x:c>
      <x:c r="AR429" s="20" t="str">
        <x:f>IF(OR(A429="",J429&lt;&gt;"Aperto",AQ429&lt;&gt;"OK"),"",IF(I429="Esecuzioni",SUMIFS('Esecuzioni'!$P$8:$P$1007,'Esecuzioni'!$A$8:$A$1007,A429,'Esecuzioni'!$B$8:$B$1007,_xlfn.MAXIFS('Esecuzioni'!$B$8:$B$1007,'Esecuzioni'!$A$8:$A$1007,A429)),IF(LEFT(U429,8)="FREEBET:",0,Z429)))</x:f>
      </x:c>
      <x:c r="AS429" s="48" t="str">
        <x:f>IF(OR(A429="",E429=""),"",IF(COUNTIFS($E$8:E429,E429)=1,COUNT($AS$7:AS428)+1,""))</x:f>
      </x:c>
    </x:row>
    <x:row r="430" ht="22" customHeight="1">
      <x:c r="A430" s="7"/>
      <x:c r="B430" s="19"/>
      <x:c r="C430" s="19"/>
      <x:c r="D430" s="7"/>
      <x:c r="E430" s="7"/>
      <x:c r="F430" s="7"/>
      <x:c r="G430" s="7"/>
      <x:c r="H430" s="7"/>
      <x:c r="I430" s="7"/>
      <x:c r="J430" s="7"/>
      <x:c r="K430" s="10"/>
      <x:c r="L430" s="7"/>
      <x:c r="M430" s="10"/>
      <x:c r="N430" s="7"/>
      <x:c r="O430" s="8"/>
      <x:c r="P430" s="8"/>
      <x:c r="Q430" s="8"/>
      <x:c r="R430" s="9"/>
      <x:c r="S430" s="7"/>
      <x:c r="T430" s="7"/>
      <x:c r="U430" s="7"/>
      <x:c r="V430" s="7"/>
      <x:c r="W430" s="22" t="str">
        <x:f>IF(A430="","",COUNTIFS('Esecuzioni'!$A$8:$A$1007,A430,'Esecuzioni'!$Q$8:$Q$1007,"OK"))</x:f>
      </x:c>
      <x:c r="X430" s="20" t="str">
        <x:f>IF(OR(A430="",I430&lt;&gt;"Esecuzioni",W430=0),"",SUMIFS('Esecuzioni'!$L$8:$L$1007,'Esecuzioni'!$A$8:$A$1007,A430))</x:f>
      </x:c>
      <x:c r="Y430" s="20" t="str">
        <x:f>IF(OR(A430="",I430&lt;&gt;"Esecuzioni",W430=0),"",SUMIFS('Esecuzioni'!$M$8:$M$1007,'Esecuzioni'!$A$8:$A$1007,A430))</x:f>
      </x:c>
      <x:c r="Z430" s="20" t="str">
        <x:f>IF(A430="","",IF(J430="Annullato",0,IF(ISNUMBER(O430),O430,IF(AND(I430="Esecuzioni",W430&gt;0),_xlfn.MAXIFS('Esecuzioni'!$P$8:$P$1007,'Esecuzioni'!$A$8:$A$1007,A430),""))))</x:f>
      </x:c>
      <x:c r="AA430" s="20" t="str">
        <x:f>IF(OR(A430="",J430="Aperto"),"",IF(J430="Annullato",0,IF(I430="Lordo manuale",IF(ISNUMBER(P430),P430,""),IF(I430="Netto manuale",IF(AND(ISNUMBER(P430),ISNUMBER(Q430)),P430+Q430,""),IF(OR(W430=0,COUNTIFS('Esecuzioni'!$A$8:$A$1007,A430,'Esecuzioni'!$Q$8:$Q$1007,"&lt;&gt;OK")&gt;0),"",IF(S430="Vince",X430,IF(S430="Perde",Y430,IF(AND(S430="Coperto",ABS(X430-Y430)&lt;='Impostazioni'!$B$11),ROUND((X430+Y430)/2,2),""))))))))</x:f>
      </x:c>
      <x:c r="AB430" s="20" t="str">
        <x:f>IF(NOT(ISNUMBER(AA430)),"",IF(J430="Annullato",0,IF(ISNUMBER(Q430),Q430,ROUND(MAX(0,AA430)*IF(ISNUMBER(R430),R430,'Impostazioni'!$B$8),2))))</x:f>
      </x:c>
      <x:c r="AC430" s="20" t="str">
        <x:f>IF(AND(ISNUMBER(AA430),ISNUMBER(AB430)),ROUND(AA430-AB430,2),"")</x:f>
      </x:c>
      <x:c r="AD430" s="18" t="str">
        <x:f>IF(A430="","",IF(AQ430&lt;&gt;"OK","Incompleto",IF(J430="Aperto","Aperto",IF(J430="Annullato","Annullato",IF(AC430&gt;0,"Green",IF(AC430&lt;0,"Red","Flat"))))))</x:f>
      </x:c>
      <x:c r="AE430" s="21" t="str">
        <x:f>IF(AND(AH430=1,Z430&gt;0),AC430/Z430,"")</x:f>
      </x:c>
      <x:c r="AF430" s="22" t="str">
        <x:f>IF(AH430&lt;&gt;1,"",COUNTIFS($C$8:$C$507,"&lt;"&amp;C430,$AH$8:$AH$507,1)+COUNTIFS($C$8:$C$507,C430,$A$8:$A$507,"&lt;="&amp;A430,$AH$8:$AH$507,1))</x:f>
      </x:c>
      <x:c r="AG430" s="20" t="str">
        <x:f>IF(AH430&lt;&gt;1,"",SUMIFS($AC$8:$AC$507,$C$8:$C$507,"&lt;"&amp;C430,$AH$8:$AH$507,1)+SUMIFS($AC$8:$AC$507,$C$8:$C$507,C430,$A$8:$A$507,"&lt;="&amp;A430,$AH$8:$AH$507,1))</x:f>
      </x:c>
      <x:c r="AH430" s="22" t="str">
        <x:f>IF(A430="","",IF(AND(J430="Chiuso",AQ430="OK",ISNUMBER(AC430)),1,0))</x:f>
      </x:c>
      <x:c r="AI430" s="20" t="str">
        <x:f>IF(AH430&lt;&gt;1,"",MAX(0,_xlfn.MAXIFS($AG$8:$AG$507,$AF$8:$AF$507,"&lt;="&amp;AF430,$AH$8:$AH$507,1)))</x:f>
      </x:c>
      <x:c r="AJ430" s="20" t="str">
        <x:f>IF(AH430&lt;&gt;1,"",MAX(0,AI430-AG430))</x:f>
      </x:c>
      <x:c r="AK430" s="21" t="str">
        <x:f>IF(OR(AH430&lt;&gt;1,NOT(ISNUMBER('Impostazioni'!$B$6)),'Impostazioni'!$B$6+AI430&lt;=0),"",AJ430/('Impostazioni'!$B$6+AI430))</x:f>
      </x:c>
      <x:c r="AL430" s="22" t="str">
        <x:f>IF(AH430&lt;&gt;1,"",IF(AC430&gt;0,AF430-_xlfn.MAXIFS($AF$8:$AF$507,$AF$8:$AF$507,"&lt;="&amp;AF430,$AC$8:$AC$507,"&lt;=0",$AH$8:$AH$507,1),0))</x:f>
      </x:c>
      <x:c r="AM430" s="22" t="str">
        <x:f>IF(AH430&lt;&gt;1,"",IF(AC430&lt;0,AF430-_xlfn.MAXIFS($AF$8:$AF$507,$AF$8:$AF$507,"&lt;="&amp;AF430,$AC$8:$AC$507,"&gt;=0",$AH$8:$AH$507,1),0))</x:f>
      </x:c>
      <x:c r="AN430" s="20" t="str">
        <x:f>IF(OR(A430="",NOT(ISNUMBER(B430)),NOT(ISNUMBER('Impostazioni'!$B$6))),"",'Impostazioni'!$B$6+SUMIFS($AC$8:$AC$507,$C$8:$C$507,"&lt;"&amp;B430,$AH$8:$AH$507,1)+SUMIFS('Cassa'!$F$8:$F$307,'Cassa'!$A$8:$A$307,"&lt;="&amp;B430,'Cassa'!$G$8:$G$307,"OK"))</x:f>
      </x:c>
      <x:c r="AO430" s="21" t="str">
        <x:f>IF(AND(ISNUMBER(Z430),ISNUMBER(AN430),AN430&gt;0),Z430/AN430,"")</x:f>
      </x:c>
      <x:c r="AP430" s="18" t="str">
        <x:f>IF(NOT(ISNUMBER(AO430)),"",IF(AO430&gt;'Impostazioni'!$B$7,"Oltre soglia personale","Nella soglia personale"))</x:f>
      </x:c>
      <x:c r="AQ430" s="18" t="str">
        <x:f>IF(A430="",IF(COUNTA(B430:V430)=0,"","Inserisci ID"),IF(COUNTIFS($A$8:$A$507,A430)&lt;&gt;1,"ID duplicato",IF(OR(NOT(ISNUMBER(B430)),D430="",E430="",F430="",G430="",H430="",COUNTIFS('Impostazioni'!$J$6:$J$25,F430)&lt;&gt;1),"Completa dati / elenchi",IF(OR(AND(I430&lt;&gt;"Lordo manuale",I430&lt;&gt;"Netto manuale",I430&lt;&gt;"Esecuzioni"),AND(J430&lt;&gt;"Aperto",J430&lt;&gt;"Chiuso",J430&lt;&gt;"Annullato")),"Modalità / stato mancanti",IF(AND(J430&lt;&gt;"Aperto",OR(NOT(ISNUMBER(C430)),C430&lt;B430)),"Correggi data chiusura",IF(OR(AND(Q430&lt;&gt;"",OR(NOT(ISNUMBER(Q430)),Q430&lt;0)),AND(R430&lt;&gt;"",OR(NOT(ISNUMBER(R430)),R430&lt;0,R430&gt;1))),"Commissione non valida",IF(J430="Annullato","OK",IF(OR(NOT(ISNUMBER(Z430)),Z430&lt;0,AND(O430&lt;&gt;"",NOT(ISNUMBER(O430)))),"Inserisci rischio",IF(AND(I430="Esecuzioni",OR(W430=0,COUNTIFS('Esecuzioni'!$A$8:$A$1007,A430,'Esecuzioni'!$Q$8:$Q$1007,"&lt;&gt;OK")&gt;0)),"Correggi esecuzioni",IF(J430="Aperto","OK",IF(AND(I430="Esecuzioni",S430="Coperto",ABS(X430-Y430)&gt;'Impostazioni'!$B$11),"Copertura residua",IF(NOT(ISNUMBER(AC430)),"Completa risultato / esito",IF(AND(Z430=0,AC430&lt;&gt;0),"Rischio nullo con P/L","OK")))))))))))))</x:f>
      </x:c>
      <x:c r="AR430" s="20" t="str">
        <x:f>IF(OR(A430="",J430&lt;&gt;"Aperto",AQ430&lt;&gt;"OK"),"",IF(I430="Esecuzioni",SUMIFS('Esecuzioni'!$P$8:$P$1007,'Esecuzioni'!$A$8:$A$1007,A430,'Esecuzioni'!$B$8:$B$1007,_xlfn.MAXIFS('Esecuzioni'!$B$8:$B$1007,'Esecuzioni'!$A$8:$A$1007,A430)),IF(LEFT(U430,8)="FREEBET:",0,Z430)))</x:f>
      </x:c>
      <x:c r="AS430" s="48" t="str">
        <x:f>IF(OR(A430="",E430=""),"",IF(COUNTIFS($E$8:E430,E430)=1,COUNT($AS$7:AS429)+1,""))</x:f>
      </x:c>
    </x:row>
    <x:row r="431" ht="22" customHeight="1">
      <x:c r="A431" s="7"/>
      <x:c r="B431" s="19"/>
      <x:c r="C431" s="19"/>
      <x:c r="D431" s="7"/>
      <x:c r="E431" s="7"/>
      <x:c r="F431" s="7"/>
      <x:c r="G431" s="7"/>
      <x:c r="H431" s="7"/>
      <x:c r="I431" s="7"/>
      <x:c r="J431" s="7"/>
      <x:c r="K431" s="10"/>
      <x:c r="L431" s="7"/>
      <x:c r="M431" s="10"/>
      <x:c r="N431" s="7"/>
      <x:c r="O431" s="8"/>
      <x:c r="P431" s="8"/>
      <x:c r="Q431" s="8"/>
      <x:c r="R431" s="9"/>
      <x:c r="S431" s="7"/>
      <x:c r="T431" s="7"/>
      <x:c r="U431" s="7"/>
      <x:c r="V431" s="7"/>
      <x:c r="W431" s="22" t="str">
        <x:f>IF(A431="","",COUNTIFS('Esecuzioni'!$A$8:$A$1007,A431,'Esecuzioni'!$Q$8:$Q$1007,"OK"))</x:f>
      </x:c>
      <x:c r="X431" s="20" t="str">
        <x:f>IF(OR(A431="",I431&lt;&gt;"Esecuzioni",W431=0),"",SUMIFS('Esecuzioni'!$L$8:$L$1007,'Esecuzioni'!$A$8:$A$1007,A431))</x:f>
      </x:c>
      <x:c r="Y431" s="20" t="str">
        <x:f>IF(OR(A431="",I431&lt;&gt;"Esecuzioni",W431=0),"",SUMIFS('Esecuzioni'!$M$8:$M$1007,'Esecuzioni'!$A$8:$A$1007,A431))</x:f>
      </x:c>
      <x:c r="Z431" s="20" t="str">
        <x:f>IF(A431="","",IF(J431="Annullato",0,IF(ISNUMBER(O431),O431,IF(AND(I431="Esecuzioni",W431&gt;0),_xlfn.MAXIFS('Esecuzioni'!$P$8:$P$1007,'Esecuzioni'!$A$8:$A$1007,A431),""))))</x:f>
      </x:c>
      <x:c r="AA431" s="20" t="str">
        <x:f>IF(OR(A431="",J431="Aperto"),"",IF(J431="Annullato",0,IF(I431="Lordo manuale",IF(ISNUMBER(P431),P431,""),IF(I431="Netto manuale",IF(AND(ISNUMBER(P431),ISNUMBER(Q431)),P431+Q431,""),IF(OR(W431=0,COUNTIFS('Esecuzioni'!$A$8:$A$1007,A431,'Esecuzioni'!$Q$8:$Q$1007,"&lt;&gt;OK")&gt;0),"",IF(S431="Vince",X431,IF(S431="Perde",Y431,IF(AND(S431="Coperto",ABS(X431-Y431)&lt;='Impostazioni'!$B$11),ROUND((X431+Y431)/2,2),""))))))))</x:f>
      </x:c>
      <x:c r="AB431" s="20" t="str">
        <x:f>IF(NOT(ISNUMBER(AA431)),"",IF(J431="Annullato",0,IF(ISNUMBER(Q431),Q431,ROUND(MAX(0,AA431)*IF(ISNUMBER(R431),R431,'Impostazioni'!$B$8),2))))</x:f>
      </x:c>
      <x:c r="AC431" s="20" t="str">
        <x:f>IF(AND(ISNUMBER(AA431),ISNUMBER(AB431)),ROUND(AA431-AB431,2),"")</x:f>
      </x:c>
      <x:c r="AD431" s="18" t="str">
        <x:f>IF(A431="","",IF(AQ431&lt;&gt;"OK","Incompleto",IF(J431="Aperto","Aperto",IF(J431="Annullato","Annullato",IF(AC431&gt;0,"Green",IF(AC431&lt;0,"Red","Flat"))))))</x:f>
      </x:c>
      <x:c r="AE431" s="21" t="str">
        <x:f>IF(AND(AH431=1,Z431&gt;0),AC431/Z431,"")</x:f>
      </x:c>
      <x:c r="AF431" s="22" t="str">
        <x:f>IF(AH431&lt;&gt;1,"",COUNTIFS($C$8:$C$507,"&lt;"&amp;C431,$AH$8:$AH$507,1)+COUNTIFS($C$8:$C$507,C431,$A$8:$A$507,"&lt;="&amp;A431,$AH$8:$AH$507,1))</x:f>
      </x:c>
      <x:c r="AG431" s="20" t="str">
        <x:f>IF(AH431&lt;&gt;1,"",SUMIFS($AC$8:$AC$507,$C$8:$C$507,"&lt;"&amp;C431,$AH$8:$AH$507,1)+SUMIFS($AC$8:$AC$507,$C$8:$C$507,C431,$A$8:$A$507,"&lt;="&amp;A431,$AH$8:$AH$507,1))</x:f>
      </x:c>
      <x:c r="AH431" s="22" t="str">
        <x:f>IF(A431="","",IF(AND(J431="Chiuso",AQ431="OK",ISNUMBER(AC431)),1,0))</x:f>
      </x:c>
      <x:c r="AI431" s="20" t="str">
        <x:f>IF(AH431&lt;&gt;1,"",MAX(0,_xlfn.MAXIFS($AG$8:$AG$507,$AF$8:$AF$507,"&lt;="&amp;AF431,$AH$8:$AH$507,1)))</x:f>
      </x:c>
      <x:c r="AJ431" s="20" t="str">
        <x:f>IF(AH431&lt;&gt;1,"",MAX(0,AI431-AG431))</x:f>
      </x:c>
      <x:c r="AK431" s="21" t="str">
        <x:f>IF(OR(AH431&lt;&gt;1,NOT(ISNUMBER('Impostazioni'!$B$6)),'Impostazioni'!$B$6+AI431&lt;=0),"",AJ431/('Impostazioni'!$B$6+AI431))</x:f>
      </x:c>
      <x:c r="AL431" s="22" t="str">
        <x:f>IF(AH431&lt;&gt;1,"",IF(AC431&gt;0,AF431-_xlfn.MAXIFS($AF$8:$AF$507,$AF$8:$AF$507,"&lt;="&amp;AF431,$AC$8:$AC$507,"&lt;=0",$AH$8:$AH$507,1),0))</x:f>
      </x:c>
      <x:c r="AM431" s="22" t="str">
        <x:f>IF(AH431&lt;&gt;1,"",IF(AC431&lt;0,AF431-_xlfn.MAXIFS($AF$8:$AF$507,$AF$8:$AF$507,"&lt;="&amp;AF431,$AC$8:$AC$507,"&gt;=0",$AH$8:$AH$507,1),0))</x:f>
      </x:c>
      <x:c r="AN431" s="20" t="str">
        <x:f>IF(OR(A431="",NOT(ISNUMBER(B431)),NOT(ISNUMBER('Impostazioni'!$B$6))),"",'Impostazioni'!$B$6+SUMIFS($AC$8:$AC$507,$C$8:$C$507,"&lt;"&amp;B431,$AH$8:$AH$507,1)+SUMIFS('Cassa'!$F$8:$F$307,'Cassa'!$A$8:$A$307,"&lt;="&amp;B431,'Cassa'!$G$8:$G$307,"OK"))</x:f>
      </x:c>
      <x:c r="AO431" s="21" t="str">
        <x:f>IF(AND(ISNUMBER(Z431),ISNUMBER(AN431),AN431&gt;0),Z431/AN431,"")</x:f>
      </x:c>
      <x:c r="AP431" s="18" t="str">
        <x:f>IF(NOT(ISNUMBER(AO431)),"",IF(AO431&gt;'Impostazioni'!$B$7,"Oltre soglia personale","Nella soglia personale"))</x:f>
      </x:c>
      <x:c r="AQ431" s="18" t="str">
        <x:f>IF(A431="",IF(COUNTA(B431:V431)=0,"","Inserisci ID"),IF(COUNTIFS($A$8:$A$507,A431)&lt;&gt;1,"ID duplicato",IF(OR(NOT(ISNUMBER(B431)),D431="",E431="",F431="",G431="",H431="",COUNTIFS('Impostazioni'!$J$6:$J$25,F431)&lt;&gt;1),"Completa dati / elenchi",IF(OR(AND(I431&lt;&gt;"Lordo manuale",I431&lt;&gt;"Netto manuale",I431&lt;&gt;"Esecuzioni"),AND(J431&lt;&gt;"Aperto",J431&lt;&gt;"Chiuso",J431&lt;&gt;"Annullato")),"Modalità / stato mancanti",IF(AND(J431&lt;&gt;"Aperto",OR(NOT(ISNUMBER(C431)),C431&lt;B431)),"Correggi data chiusura",IF(OR(AND(Q431&lt;&gt;"",OR(NOT(ISNUMBER(Q431)),Q431&lt;0)),AND(R431&lt;&gt;"",OR(NOT(ISNUMBER(R431)),R431&lt;0,R431&gt;1))),"Commissione non valida",IF(J431="Annullato","OK",IF(OR(NOT(ISNUMBER(Z431)),Z431&lt;0,AND(O431&lt;&gt;"",NOT(ISNUMBER(O431)))),"Inserisci rischio",IF(AND(I431="Esecuzioni",OR(W431=0,COUNTIFS('Esecuzioni'!$A$8:$A$1007,A431,'Esecuzioni'!$Q$8:$Q$1007,"&lt;&gt;OK")&gt;0)),"Correggi esecuzioni",IF(J431="Aperto","OK",IF(AND(I431="Esecuzioni",S431="Coperto",ABS(X431-Y431)&gt;'Impostazioni'!$B$11),"Copertura residua",IF(NOT(ISNUMBER(AC431)),"Completa risultato / esito",IF(AND(Z431=0,AC431&lt;&gt;0),"Rischio nullo con P/L","OK")))))))))))))</x:f>
      </x:c>
      <x:c r="AR431" s="20" t="str">
        <x:f>IF(OR(A431="",J431&lt;&gt;"Aperto",AQ431&lt;&gt;"OK"),"",IF(I431="Esecuzioni",SUMIFS('Esecuzioni'!$P$8:$P$1007,'Esecuzioni'!$A$8:$A$1007,A431,'Esecuzioni'!$B$8:$B$1007,_xlfn.MAXIFS('Esecuzioni'!$B$8:$B$1007,'Esecuzioni'!$A$8:$A$1007,A431)),IF(LEFT(U431,8)="FREEBET:",0,Z431)))</x:f>
      </x:c>
      <x:c r="AS431" s="48" t="str">
        <x:f>IF(OR(A431="",E431=""),"",IF(COUNTIFS($E$8:E431,E431)=1,COUNT($AS$7:AS430)+1,""))</x:f>
      </x:c>
    </x:row>
    <x:row r="432" ht="22" customHeight="1">
      <x:c r="A432" s="7"/>
      <x:c r="B432" s="19"/>
      <x:c r="C432" s="19"/>
      <x:c r="D432" s="7"/>
      <x:c r="E432" s="7"/>
      <x:c r="F432" s="7"/>
      <x:c r="G432" s="7"/>
      <x:c r="H432" s="7"/>
      <x:c r="I432" s="7"/>
      <x:c r="J432" s="7"/>
      <x:c r="K432" s="10"/>
      <x:c r="L432" s="7"/>
      <x:c r="M432" s="10"/>
      <x:c r="N432" s="7"/>
      <x:c r="O432" s="8"/>
      <x:c r="P432" s="8"/>
      <x:c r="Q432" s="8"/>
      <x:c r="R432" s="9"/>
      <x:c r="S432" s="7"/>
      <x:c r="T432" s="7"/>
      <x:c r="U432" s="7"/>
      <x:c r="V432" s="7"/>
      <x:c r="W432" s="22" t="str">
        <x:f>IF(A432="","",COUNTIFS('Esecuzioni'!$A$8:$A$1007,A432,'Esecuzioni'!$Q$8:$Q$1007,"OK"))</x:f>
      </x:c>
      <x:c r="X432" s="20" t="str">
        <x:f>IF(OR(A432="",I432&lt;&gt;"Esecuzioni",W432=0),"",SUMIFS('Esecuzioni'!$L$8:$L$1007,'Esecuzioni'!$A$8:$A$1007,A432))</x:f>
      </x:c>
      <x:c r="Y432" s="20" t="str">
        <x:f>IF(OR(A432="",I432&lt;&gt;"Esecuzioni",W432=0),"",SUMIFS('Esecuzioni'!$M$8:$M$1007,'Esecuzioni'!$A$8:$A$1007,A432))</x:f>
      </x:c>
      <x:c r="Z432" s="20" t="str">
        <x:f>IF(A432="","",IF(J432="Annullato",0,IF(ISNUMBER(O432),O432,IF(AND(I432="Esecuzioni",W432&gt;0),_xlfn.MAXIFS('Esecuzioni'!$P$8:$P$1007,'Esecuzioni'!$A$8:$A$1007,A432),""))))</x:f>
      </x:c>
      <x:c r="AA432" s="20" t="str">
        <x:f>IF(OR(A432="",J432="Aperto"),"",IF(J432="Annullato",0,IF(I432="Lordo manuale",IF(ISNUMBER(P432),P432,""),IF(I432="Netto manuale",IF(AND(ISNUMBER(P432),ISNUMBER(Q432)),P432+Q432,""),IF(OR(W432=0,COUNTIFS('Esecuzioni'!$A$8:$A$1007,A432,'Esecuzioni'!$Q$8:$Q$1007,"&lt;&gt;OK")&gt;0),"",IF(S432="Vince",X432,IF(S432="Perde",Y432,IF(AND(S432="Coperto",ABS(X432-Y432)&lt;='Impostazioni'!$B$11),ROUND((X432+Y432)/2,2),""))))))))</x:f>
      </x:c>
      <x:c r="AB432" s="20" t="str">
        <x:f>IF(NOT(ISNUMBER(AA432)),"",IF(J432="Annullato",0,IF(ISNUMBER(Q432),Q432,ROUND(MAX(0,AA432)*IF(ISNUMBER(R432),R432,'Impostazioni'!$B$8),2))))</x:f>
      </x:c>
      <x:c r="AC432" s="20" t="str">
        <x:f>IF(AND(ISNUMBER(AA432),ISNUMBER(AB432)),ROUND(AA432-AB432,2),"")</x:f>
      </x:c>
      <x:c r="AD432" s="18" t="str">
        <x:f>IF(A432="","",IF(AQ432&lt;&gt;"OK","Incompleto",IF(J432="Aperto","Aperto",IF(J432="Annullato","Annullato",IF(AC432&gt;0,"Green",IF(AC432&lt;0,"Red","Flat"))))))</x:f>
      </x:c>
      <x:c r="AE432" s="21" t="str">
        <x:f>IF(AND(AH432=1,Z432&gt;0),AC432/Z432,"")</x:f>
      </x:c>
      <x:c r="AF432" s="22" t="str">
        <x:f>IF(AH432&lt;&gt;1,"",COUNTIFS($C$8:$C$507,"&lt;"&amp;C432,$AH$8:$AH$507,1)+COUNTIFS($C$8:$C$507,C432,$A$8:$A$507,"&lt;="&amp;A432,$AH$8:$AH$507,1))</x:f>
      </x:c>
      <x:c r="AG432" s="20" t="str">
        <x:f>IF(AH432&lt;&gt;1,"",SUMIFS($AC$8:$AC$507,$C$8:$C$507,"&lt;"&amp;C432,$AH$8:$AH$507,1)+SUMIFS($AC$8:$AC$507,$C$8:$C$507,C432,$A$8:$A$507,"&lt;="&amp;A432,$AH$8:$AH$507,1))</x:f>
      </x:c>
      <x:c r="AH432" s="22" t="str">
        <x:f>IF(A432="","",IF(AND(J432="Chiuso",AQ432="OK",ISNUMBER(AC432)),1,0))</x:f>
      </x:c>
      <x:c r="AI432" s="20" t="str">
        <x:f>IF(AH432&lt;&gt;1,"",MAX(0,_xlfn.MAXIFS($AG$8:$AG$507,$AF$8:$AF$507,"&lt;="&amp;AF432,$AH$8:$AH$507,1)))</x:f>
      </x:c>
      <x:c r="AJ432" s="20" t="str">
        <x:f>IF(AH432&lt;&gt;1,"",MAX(0,AI432-AG432))</x:f>
      </x:c>
      <x:c r="AK432" s="21" t="str">
        <x:f>IF(OR(AH432&lt;&gt;1,NOT(ISNUMBER('Impostazioni'!$B$6)),'Impostazioni'!$B$6+AI432&lt;=0),"",AJ432/('Impostazioni'!$B$6+AI432))</x:f>
      </x:c>
      <x:c r="AL432" s="22" t="str">
        <x:f>IF(AH432&lt;&gt;1,"",IF(AC432&gt;0,AF432-_xlfn.MAXIFS($AF$8:$AF$507,$AF$8:$AF$507,"&lt;="&amp;AF432,$AC$8:$AC$507,"&lt;=0",$AH$8:$AH$507,1),0))</x:f>
      </x:c>
      <x:c r="AM432" s="22" t="str">
        <x:f>IF(AH432&lt;&gt;1,"",IF(AC432&lt;0,AF432-_xlfn.MAXIFS($AF$8:$AF$507,$AF$8:$AF$507,"&lt;="&amp;AF432,$AC$8:$AC$507,"&gt;=0",$AH$8:$AH$507,1),0))</x:f>
      </x:c>
      <x:c r="AN432" s="20" t="str">
        <x:f>IF(OR(A432="",NOT(ISNUMBER(B432)),NOT(ISNUMBER('Impostazioni'!$B$6))),"",'Impostazioni'!$B$6+SUMIFS($AC$8:$AC$507,$C$8:$C$507,"&lt;"&amp;B432,$AH$8:$AH$507,1)+SUMIFS('Cassa'!$F$8:$F$307,'Cassa'!$A$8:$A$307,"&lt;="&amp;B432,'Cassa'!$G$8:$G$307,"OK"))</x:f>
      </x:c>
      <x:c r="AO432" s="21" t="str">
        <x:f>IF(AND(ISNUMBER(Z432),ISNUMBER(AN432),AN432&gt;0),Z432/AN432,"")</x:f>
      </x:c>
      <x:c r="AP432" s="18" t="str">
        <x:f>IF(NOT(ISNUMBER(AO432)),"",IF(AO432&gt;'Impostazioni'!$B$7,"Oltre soglia personale","Nella soglia personale"))</x:f>
      </x:c>
      <x:c r="AQ432" s="18" t="str">
        <x:f>IF(A432="",IF(COUNTA(B432:V432)=0,"","Inserisci ID"),IF(COUNTIFS($A$8:$A$507,A432)&lt;&gt;1,"ID duplicato",IF(OR(NOT(ISNUMBER(B432)),D432="",E432="",F432="",G432="",H432="",COUNTIFS('Impostazioni'!$J$6:$J$25,F432)&lt;&gt;1),"Completa dati / elenchi",IF(OR(AND(I432&lt;&gt;"Lordo manuale",I432&lt;&gt;"Netto manuale",I432&lt;&gt;"Esecuzioni"),AND(J432&lt;&gt;"Aperto",J432&lt;&gt;"Chiuso",J432&lt;&gt;"Annullato")),"Modalità / stato mancanti",IF(AND(J432&lt;&gt;"Aperto",OR(NOT(ISNUMBER(C432)),C432&lt;B432)),"Correggi data chiusura",IF(OR(AND(Q432&lt;&gt;"",OR(NOT(ISNUMBER(Q432)),Q432&lt;0)),AND(R432&lt;&gt;"",OR(NOT(ISNUMBER(R432)),R432&lt;0,R432&gt;1))),"Commissione non valida",IF(J432="Annullato","OK",IF(OR(NOT(ISNUMBER(Z432)),Z432&lt;0,AND(O432&lt;&gt;"",NOT(ISNUMBER(O432)))),"Inserisci rischio",IF(AND(I432="Esecuzioni",OR(W432=0,COUNTIFS('Esecuzioni'!$A$8:$A$1007,A432,'Esecuzioni'!$Q$8:$Q$1007,"&lt;&gt;OK")&gt;0)),"Correggi esecuzioni",IF(J432="Aperto","OK",IF(AND(I432="Esecuzioni",S432="Coperto",ABS(X432-Y432)&gt;'Impostazioni'!$B$11),"Copertura residua",IF(NOT(ISNUMBER(AC432)),"Completa risultato / esito",IF(AND(Z432=0,AC432&lt;&gt;0),"Rischio nullo con P/L","OK")))))))))))))</x:f>
      </x:c>
      <x:c r="AR432" s="20" t="str">
        <x:f>IF(OR(A432="",J432&lt;&gt;"Aperto",AQ432&lt;&gt;"OK"),"",IF(I432="Esecuzioni",SUMIFS('Esecuzioni'!$P$8:$P$1007,'Esecuzioni'!$A$8:$A$1007,A432,'Esecuzioni'!$B$8:$B$1007,_xlfn.MAXIFS('Esecuzioni'!$B$8:$B$1007,'Esecuzioni'!$A$8:$A$1007,A432)),IF(LEFT(U432,8)="FREEBET:",0,Z432)))</x:f>
      </x:c>
      <x:c r="AS432" s="48" t="str">
        <x:f>IF(OR(A432="",E432=""),"",IF(COUNTIFS($E$8:E432,E432)=1,COUNT($AS$7:AS431)+1,""))</x:f>
      </x:c>
    </x:row>
    <x:row r="433" ht="22" customHeight="1">
      <x:c r="A433" s="7"/>
      <x:c r="B433" s="19"/>
      <x:c r="C433" s="19"/>
      <x:c r="D433" s="7"/>
      <x:c r="E433" s="7"/>
      <x:c r="F433" s="7"/>
      <x:c r="G433" s="7"/>
      <x:c r="H433" s="7"/>
      <x:c r="I433" s="7"/>
      <x:c r="J433" s="7"/>
      <x:c r="K433" s="10"/>
      <x:c r="L433" s="7"/>
      <x:c r="M433" s="10"/>
      <x:c r="N433" s="7"/>
      <x:c r="O433" s="8"/>
      <x:c r="P433" s="8"/>
      <x:c r="Q433" s="8"/>
      <x:c r="R433" s="9"/>
      <x:c r="S433" s="7"/>
      <x:c r="T433" s="7"/>
      <x:c r="U433" s="7"/>
      <x:c r="V433" s="7"/>
      <x:c r="W433" s="22" t="str">
        <x:f>IF(A433="","",COUNTIFS('Esecuzioni'!$A$8:$A$1007,A433,'Esecuzioni'!$Q$8:$Q$1007,"OK"))</x:f>
      </x:c>
      <x:c r="X433" s="20" t="str">
        <x:f>IF(OR(A433="",I433&lt;&gt;"Esecuzioni",W433=0),"",SUMIFS('Esecuzioni'!$L$8:$L$1007,'Esecuzioni'!$A$8:$A$1007,A433))</x:f>
      </x:c>
      <x:c r="Y433" s="20" t="str">
        <x:f>IF(OR(A433="",I433&lt;&gt;"Esecuzioni",W433=0),"",SUMIFS('Esecuzioni'!$M$8:$M$1007,'Esecuzioni'!$A$8:$A$1007,A433))</x:f>
      </x:c>
      <x:c r="Z433" s="20" t="str">
        <x:f>IF(A433="","",IF(J433="Annullato",0,IF(ISNUMBER(O433),O433,IF(AND(I433="Esecuzioni",W433&gt;0),_xlfn.MAXIFS('Esecuzioni'!$P$8:$P$1007,'Esecuzioni'!$A$8:$A$1007,A433),""))))</x:f>
      </x:c>
      <x:c r="AA433" s="20" t="str">
        <x:f>IF(OR(A433="",J433="Aperto"),"",IF(J433="Annullato",0,IF(I433="Lordo manuale",IF(ISNUMBER(P433),P433,""),IF(I433="Netto manuale",IF(AND(ISNUMBER(P433),ISNUMBER(Q433)),P433+Q433,""),IF(OR(W433=0,COUNTIFS('Esecuzioni'!$A$8:$A$1007,A433,'Esecuzioni'!$Q$8:$Q$1007,"&lt;&gt;OK")&gt;0),"",IF(S433="Vince",X433,IF(S433="Perde",Y433,IF(AND(S433="Coperto",ABS(X433-Y433)&lt;='Impostazioni'!$B$11),ROUND((X433+Y433)/2,2),""))))))))</x:f>
      </x:c>
      <x:c r="AB433" s="20" t="str">
        <x:f>IF(NOT(ISNUMBER(AA433)),"",IF(J433="Annullato",0,IF(ISNUMBER(Q433),Q433,ROUND(MAX(0,AA433)*IF(ISNUMBER(R433),R433,'Impostazioni'!$B$8),2))))</x:f>
      </x:c>
      <x:c r="AC433" s="20" t="str">
        <x:f>IF(AND(ISNUMBER(AA433),ISNUMBER(AB433)),ROUND(AA433-AB433,2),"")</x:f>
      </x:c>
      <x:c r="AD433" s="18" t="str">
        <x:f>IF(A433="","",IF(AQ433&lt;&gt;"OK","Incompleto",IF(J433="Aperto","Aperto",IF(J433="Annullato","Annullato",IF(AC433&gt;0,"Green",IF(AC433&lt;0,"Red","Flat"))))))</x:f>
      </x:c>
      <x:c r="AE433" s="21" t="str">
        <x:f>IF(AND(AH433=1,Z433&gt;0),AC433/Z433,"")</x:f>
      </x:c>
      <x:c r="AF433" s="22" t="str">
        <x:f>IF(AH433&lt;&gt;1,"",COUNTIFS($C$8:$C$507,"&lt;"&amp;C433,$AH$8:$AH$507,1)+COUNTIFS($C$8:$C$507,C433,$A$8:$A$507,"&lt;="&amp;A433,$AH$8:$AH$507,1))</x:f>
      </x:c>
      <x:c r="AG433" s="20" t="str">
        <x:f>IF(AH433&lt;&gt;1,"",SUMIFS($AC$8:$AC$507,$C$8:$C$507,"&lt;"&amp;C433,$AH$8:$AH$507,1)+SUMIFS($AC$8:$AC$507,$C$8:$C$507,C433,$A$8:$A$507,"&lt;="&amp;A433,$AH$8:$AH$507,1))</x:f>
      </x:c>
      <x:c r="AH433" s="22" t="str">
        <x:f>IF(A433="","",IF(AND(J433="Chiuso",AQ433="OK",ISNUMBER(AC433)),1,0))</x:f>
      </x:c>
      <x:c r="AI433" s="20" t="str">
        <x:f>IF(AH433&lt;&gt;1,"",MAX(0,_xlfn.MAXIFS($AG$8:$AG$507,$AF$8:$AF$507,"&lt;="&amp;AF433,$AH$8:$AH$507,1)))</x:f>
      </x:c>
      <x:c r="AJ433" s="20" t="str">
        <x:f>IF(AH433&lt;&gt;1,"",MAX(0,AI433-AG433))</x:f>
      </x:c>
      <x:c r="AK433" s="21" t="str">
        <x:f>IF(OR(AH433&lt;&gt;1,NOT(ISNUMBER('Impostazioni'!$B$6)),'Impostazioni'!$B$6+AI433&lt;=0),"",AJ433/('Impostazioni'!$B$6+AI433))</x:f>
      </x:c>
      <x:c r="AL433" s="22" t="str">
        <x:f>IF(AH433&lt;&gt;1,"",IF(AC433&gt;0,AF433-_xlfn.MAXIFS($AF$8:$AF$507,$AF$8:$AF$507,"&lt;="&amp;AF433,$AC$8:$AC$507,"&lt;=0",$AH$8:$AH$507,1),0))</x:f>
      </x:c>
      <x:c r="AM433" s="22" t="str">
        <x:f>IF(AH433&lt;&gt;1,"",IF(AC433&lt;0,AF433-_xlfn.MAXIFS($AF$8:$AF$507,$AF$8:$AF$507,"&lt;="&amp;AF433,$AC$8:$AC$507,"&gt;=0",$AH$8:$AH$507,1),0))</x:f>
      </x:c>
      <x:c r="AN433" s="20" t="str">
        <x:f>IF(OR(A433="",NOT(ISNUMBER(B433)),NOT(ISNUMBER('Impostazioni'!$B$6))),"",'Impostazioni'!$B$6+SUMIFS($AC$8:$AC$507,$C$8:$C$507,"&lt;"&amp;B433,$AH$8:$AH$507,1)+SUMIFS('Cassa'!$F$8:$F$307,'Cassa'!$A$8:$A$307,"&lt;="&amp;B433,'Cassa'!$G$8:$G$307,"OK"))</x:f>
      </x:c>
      <x:c r="AO433" s="21" t="str">
        <x:f>IF(AND(ISNUMBER(Z433),ISNUMBER(AN433),AN433&gt;0),Z433/AN433,"")</x:f>
      </x:c>
      <x:c r="AP433" s="18" t="str">
        <x:f>IF(NOT(ISNUMBER(AO433)),"",IF(AO433&gt;'Impostazioni'!$B$7,"Oltre soglia personale","Nella soglia personale"))</x:f>
      </x:c>
      <x:c r="AQ433" s="18" t="str">
        <x:f>IF(A433="",IF(COUNTA(B433:V433)=0,"","Inserisci ID"),IF(COUNTIFS($A$8:$A$507,A433)&lt;&gt;1,"ID duplicato",IF(OR(NOT(ISNUMBER(B433)),D433="",E433="",F433="",G433="",H433="",COUNTIFS('Impostazioni'!$J$6:$J$25,F433)&lt;&gt;1),"Completa dati / elenchi",IF(OR(AND(I433&lt;&gt;"Lordo manuale",I433&lt;&gt;"Netto manuale",I433&lt;&gt;"Esecuzioni"),AND(J433&lt;&gt;"Aperto",J433&lt;&gt;"Chiuso",J433&lt;&gt;"Annullato")),"Modalità / stato mancanti",IF(AND(J433&lt;&gt;"Aperto",OR(NOT(ISNUMBER(C433)),C433&lt;B433)),"Correggi data chiusura",IF(OR(AND(Q433&lt;&gt;"",OR(NOT(ISNUMBER(Q433)),Q433&lt;0)),AND(R433&lt;&gt;"",OR(NOT(ISNUMBER(R433)),R433&lt;0,R433&gt;1))),"Commissione non valida",IF(J433="Annullato","OK",IF(OR(NOT(ISNUMBER(Z433)),Z433&lt;0,AND(O433&lt;&gt;"",NOT(ISNUMBER(O433)))),"Inserisci rischio",IF(AND(I433="Esecuzioni",OR(W433=0,COUNTIFS('Esecuzioni'!$A$8:$A$1007,A433,'Esecuzioni'!$Q$8:$Q$1007,"&lt;&gt;OK")&gt;0)),"Correggi esecuzioni",IF(J433="Aperto","OK",IF(AND(I433="Esecuzioni",S433="Coperto",ABS(X433-Y433)&gt;'Impostazioni'!$B$11),"Copertura residua",IF(NOT(ISNUMBER(AC433)),"Completa risultato / esito",IF(AND(Z433=0,AC433&lt;&gt;0),"Rischio nullo con P/L","OK")))))))))))))</x:f>
      </x:c>
      <x:c r="AR433" s="20" t="str">
        <x:f>IF(OR(A433="",J433&lt;&gt;"Aperto",AQ433&lt;&gt;"OK"),"",IF(I433="Esecuzioni",SUMIFS('Esecuzioni'!$P$8:$P$1007,'Esecuzioni'!$A$8:$A$1007,A433,'Esecuzioni'!$B$8:$B$1007,_xlfn.MAXIFS('Esecuzioni'!$B$8:$B$1007,'Esecuzioni'!$A$8:$A$1007,A433)),IF(LEFT(U433,8)="FREEBET:",0,Z433)))</x:f>
      </x:c>
      <x:c r="AS433" s="48" t="str">
        <x:f>IF(OR(A433="",E433=""),"",IF(COUNTIFS($E$8:E433,E433)=1,COUNT($AS$7:AS432)+1,""))</x:f>
      </x:c>
    </x:row>
    <x:row r="434" ht="22" customHeight="1">
      <x:c r="A434" s="7"/>
      <x:c r="B434" s="19"/>
      <x:c r="C434" s="19"/>
      <x:c r="D434" s="7"/>
      <x:c r="E434" s="7"/>
      <x:c r="F434" s="7"/>
      <x:c r="G434" s="7"/>
      <x:c r="H434" s="7"/>
      <x:c r="I434" s="7"/>
      <x:c r="J434" s="7"/>
      <x:c r="K434" s="10"/>
      <x:c r="L434" s="7"/>
      <x:c r="M434" s="10"/>
      <x:c r="N434" s="7"/>
      <x:c r="O434" s="8"/>
      <x:c r="P434" s="8"/>
      <x:c r="Q434" s="8"/>
      <x:c r="R434" s="9"/>
      <x:c r="S434" s="7"/>
      <x:c r="T434" s="7"/>
      <x:c r="U434" s="7"/>
      <x:c r="V434" s="7"/>
      <x:c r="W434" s="22" t="str">
        <x:f>IF(A434="","",COUNTIFS('Esecuzioni'!$A$8:$A$1007,A434,'Esecuzioni'!$Q$8:$Q$1007,"OK"))</x:f>
      </x:c>
      <x:c r="X434" s="20" t="str">
        <x:f>IF(OR(A434="",I434&lt;&gt;"Esecuzioni",W434=0),"",SUMIFS('Esecuzioni'!$L$8:$L$1007,'Esecuzioni'!$A$8:$A$1007,A434))</x:f>
      </x:c>
      <x:c r="Y434" s="20" t="str">
        <x:f>IF(OR(A434="",I434&lt;&gt;"Esecuzioni",W434=0),"",SUMIFS('Esecuzioni'!$M$8:$M$1007,'Esecuzioni'!$A$8:$A$1007,A434))</x:f>
      </x:c>
      <x:c r="Z434" s="20" t="str">
        <x:f>IF(A434="","",IF(J434="Annullato",0,IF(ISNUMBER(O434),O434,IF(AND(I434="Esecuzioni",W434&gt;0),_xlfn.MAXIFS('Esecuzioni'!$P$8:$P$1007,'Esecuzioni'!$A$8:$A$1007,A434),""))))</x:f>
      </x:c>
      <x:c r="AA434" s="20" t="str">
        <x:f>IF(OR(A434="",J434="Aperto"),"",IF(J434="Annullato",0,IF(I434="Lordo manuale",IF(ISNUMBER(P434),P434,""),IF(I434="Netto manuale",IF(AND(ISNUMBER(P434),ISNUMBER(Q434)),P434+Q434,""),IF(OR(W434=0,COUNTIFS('Esecuzioni'!$A$8:$A$1007,A434,'Esecuzioni'!$Q$8:$Q$1007,"&lt;&gt;OK")&gt;0),"",IF(S434="Vince",X434,IF(S434="Perde",Y434,IF(AND(S434="Coperto",ABS(X434-Y434)&lt;='Impostazioni'!$B$11),ROUND((X434+Y434)/2,2),""))))))))</x:f>
      </x:c>
      <x:c r="AB434" s="20" t="str">
        <x:f>IF(NOT(ISNUMBER(AA434)),"",IF(J434="Annullato",0,IF(ISNUMBER(Q434),Q434,ROUND(MAX(0,AA434)*IF(ISNUMBER(R434),R434,'Impostazioni'!$B$8),2))))</x:f>
      </x:c>
      <x:c r="AC434" s="20" t="str">
        <x:f>IF(AND(ISNUMBER(AA434),ISNUMBER(AB434)),ROUND(AA434-AB434,2),"")</x:f>
      </x:c>
      <x:c r="AD434" s="18" t="str">
        <x:f>IF(A434="","",IF(AQ434&lt;&gt;"OK","Incompleto",IF(J434="Aperto","Aperto",IF(J434="Annullato","Annullato",IF(AC434&gt;0,"Green",IF(AC434&lt;0,"Red","Flat"))))))</x:f>
      </x:c>
      <x:c r="AE434" s="21" t="str">
        <x:f>IF(AND(AH434=1,Z434&gt;0),AC434/Z434,"")</x:f>
      </x:c>
      <x:c r="AF434" s="22" t="str">
        <x:f>IF(AH434&lt;&gt;1,"",COUNTIFS($C$8:$C$507,"&lt;"&amp;C434,$AH$8:$AH$507,1)+COUNTIFS($C$8:$C$507,C434,$A$8:$A$507,"&lt;="&amp;A434,$AH$8:$AH$507,1))</x:f>
      </x:c>
      <x:c r="AG434" s="20" t="str">
        <x:f>IF(AH434&lt;&gt;1,"",SUMIFS($AC$8:$AC$507,$C$8:$C$507,"&lt;"&amp;C434,$AH$8:$AH$507,1)+SUMIFS($AC$8:$AC$507,$C$8:$C$507,C434,$A$8:$A$507,"&lt;="&amp;A434,$AH$8:$AH$507,1))</x:f>
      </x:c>
      <x:c r="AH434" s="22" t="str">
        <x:f>IF(A434="","",IF(AND(J434="Chiuso",AQ434="OK",ISNUMBER(AC434)),1,0))</x:f>
      </x:c>
      <x:c r="AI434" s="20" t="str">
        <x:f>IF(AH434&lt;&gt;1,"",MAX(0,_xlfn.MAXIFS($AG$8:$AG$507,$AF$8:$AF$507,"&lt;="&amp;AF434,$AH$8:$AH$507,1)))</x:f>
      </x:c>
      <x:c r="AJ434" s="20" t="str">
        <x:f>IF(AH434&lt;&gt;1,"",MAX(0,AI434-AG434))</x:f>
      </x:c>
      <x:c r="AK434" s="21" t="str">
        <x:f>IF(OR(AH434&lt;&gt;1,NOT(ISNUMBER('Impostazioni'!$B$6)),'Impostazioni'!$B$6+AI434&lt;=0),"",AJ434/('Impostazioni'!$B$6+AI434))</x:f>
      </x:c>
      <x:c r="AL434" s="22" t="str">
        <x:f>IF(AH434&lt;&gt;1,"",IF(AC434&gt;0,AF434-_xlfn.MAXIFS($AF$8:$AF$507,$AF$8:$AF$507,"&lt;="&amp;AF434,$AC$8:$AC$507,"&lt;=0",$AH$8:$AH$507,1),0))</x:f>
      </x:c>
      <x:c r="AM434" s="22" t="str">
        <x:f>IF(AH434&lt;&gt;1,"",IF(AC434&lt;0,AF434-_xlfn.MAXIFS($AF$8:$AF$507,$AF$8:$AF$507,"&lt;="&amp;AF434,$AC$8:$AC$507,"&gt;=0",$AH$8:$AH$507,1),0))</x:f>
      </x:c>
      <x:c r="AN434" s="20" t="str">
        <x:f>IF(OR(A434="",NOT(ISNUMBER(B434)),NOT(ISNUMBER('Impostazioni'!$B$6))),"",'Impostazioni'!$B$6+SUMIFS($AC$8:$AC$507,$C$8:$C$507,"&lt;"&amp;B434,$AH$8:$AH$507,1)+SUMIFS('Cassa'!$F$8:$F$307,'Cassa'!$A$8:$A$307,"&lt;="&amp;B434,'Cassa'!$G$8:$G$307,"OK"))</x:f>
      </x:c>
      <x:c r="AO434" s="21" t="str">
        <x:f>IF(AND(ISNUMBER(Z434),ISNUMBER(AN434),AN434&gt;0),Z434/AN434,"")</x:f>
      </x:c>
      <x:c r="AP434" s="18" t="str">
        <x:f>IF(NOT(ISNUMBER(AO434)),"",IF(AO434&gt;'Impostazioni'!$B$7,"Oltre soglia personale","Nella soglia personale"))</x:f>
      </x:c>
      <x:c r="AQ434" s="18" t="str">
        <x:f>IF(A434="",IF(COUNTA(B434:V434)=0,"","Inserisci ID"),IF(COUNTIFS($A$8:$A$507,A434)&lt;&gt;1,"ID duplicato",IF(OR(NOT(ISNUMBER(B434)),D434="",E434="",F434="",G434="",H434="",COUNTIFS('Impostazioni'!$J$6:$J$25,F434)&lt;&gt;1),"Completa dati / elenchi",IF(OR(AND(I434&lt;&gt;"Lordo manuale",I434&lt;&gt;"Netto manuale",I434&lt;&gt;"Esecuzioni"),AND(J434&lt;&gt;"Aperto",J434&lt;&gt;"Chiuso",J434&lt;&gt;"Annullato")),"Modalità / stato mancanti",IF(AND(J434&lt;&gt;"Aperto",OR(NOT(ISNUMBER(C434)),C434&lt;B434)),"Correggi data chiusura",IF(OR(AND(Q434&lt;&gt;"",OR(NOT(ISNUMBER(Q434)),Q434&lt;0)),AND(R434&lt;&gt;"",OR(NOT(ISNUMBER(R434)),R434&lt;0,R434&gt;1))),"Commissione non valida",IF(J434="Annullato","OK",IF(OR(NOT(ISNUMBER(Z434)),Z434&lt;0,AND(O434&lt;&gt;"",NOT(ISNUMBER(O434)))),"Inserisci rischio",IF(AND(I434="Esecuzioni",OR(W434=0,COUNTIFS('Esecuzioni'!$A$8:$A$1007,A434,'Esecuzioni'!$Q$8:$Q$1007,"&lt;&gt;OK")&gt;0)),"Correggi esecuzioni",IF(J434="Aperto","OK",IF(AND(I434="Esecuzioni",S434="Coperto",ABS(X434-Y434)&gt;'Impostazioni'!$B$11),"Copertura residua",IF(NOT(ISNUMBER(AC434)),"Completa risultato / esito",IF(AND(Z434=0,AC434&lt;&gt;0),"Rischio nullo con P/L","OK")))))))))))))</x:f>
      </x:c>
      <x:c r="AR434" s="20" t="str">
        <x:f>IF(OR(A434="",J434&lt;&gt;"Aperto",AQ434&lt;&gt;"OK"),"",IF(I434="Esecuzioni",SUMIFS('Esecuzioni'!$P$8:$P$1007,'Esecuzioni'!$A$8:$A$1007,A434,'Esecuzioni'!$B$8:$B$1007,_xlfn.MAXIFS('Esecuzioni'!$B$8:$B$1007,'Esecuzioni'!$A$8:$A$1007,A434)),IF(LEFT(U434,8)="FREEBET:",0,Z434)))</x:f>
      </x:c>
      <x:c r="AS434" s="48" t="str">
        <x:f>IF(OR(A434="",E434=""),"",IF(COUNTIFS($E$8:E434,E434)=1,COUNT($AS$7:AS433)+1,""))</x:f>
      </x:c>
    </x:row>
    <x:row r="435" ht="22" customHeight="1">
      <x:c r="A435" s="7"/>
      <x:c r="B435" s="19"/>
      <x:c r="C435" s="19"/>
      <x:c r="D435" s="7"/>
      <x:c r="E435" s="7"/>
      <x:c r="F435" s="7"/>
      <x:c r="G435" s="7"/>
      <x:c r="H435" s="7"/>
      <x:c r="I435" s="7"/>
      <x:c r="J435" s="7"/>
      <x:c r="K435" s="10"/>
      <x:c r="L435" s="7"/>
      <x:c r="M435" s="10"/>
      <x:c r="N435" s="7"/>
      <x:c r="O435" s="8"/>
      <x:c r="P435" s="8"/>
      <x:c r="Q435" s="8"/>
      <x:c r="R435" s="9"/>
      <x:c r="S435" s="7"/>
      <x:c r="T435" s="7"/>
      <x:c r="U435" s="7"/>
      <x:c r="V435" s="7"/>
      <x:c r="W435" s="22" t="str">
        <x:f>IF(A435="","",COUNTIFS('Esecuzioni'!$A$8:$A$1007,A435,'Esecuzioni'!$Q$8:$Q$1007,"OK"))</x:f>
      </x:c>
      <x:c r="X435" s="20" t="str">
        <x:f>IF(OR(A435="",I435&lt;&gt;"Esecuzioni",W435=0),"",SUMIFS('Esecuzioni'!$L$8:$L$1007,'Esecuzioni'!$A$8:$A$1007,A435))</x:f>
      </x:c>
      <x:c r="Y435" s="20" t="str">
        <x:f>IF(OR(A435="",I435&lt;&gt;"Esecuzioni",W435=0),"",SUMIFS('Esecuzioni'!$M$8:$M$1007,'Esecuzioni'!$A$8:$A$1007,A435))</x:f>
      </x:c>
      <x:c r="Z435" s="20" t="str">
        <x:f>IF(A435="","",IF(J435="Annullato",0,IF(ISNUMBER(O435),O435,IF(AND(I435="Esecuzioni",W435&gt;0),_xlfn.MAXIFS('Esecuzioni'!$P$8:$P$1007,'Esecuzioni'!$A$8:$A$1007,A435),""))))</x:f>
      </x:c>
      <x:c r="AA435" s="20" t="str">
        <x:f>IF(OR(A435="",J435="Aperto"),"",IF(J435="Annullato",0,IF(I435="Lordo manuale",IF(ISNUMBER(P435),P435,""),IF(I435="Netto manuale",IF(AND(ISNUMBER(P435),ISNUMBER(Q435)),P435+Q435,""),IF(OR(W435=0,COUNTIFS('Esecuzioni'!$A$8:$A$1007,A435,'Esecuzioni'!$Q$8:$Q$1007,"&lt;&gt;OK")&gt;0),"",IF(S435="Vince",X435,IF(S435="Perde",Y435,IF(AND(S435="Coperto",ABS(X435-Y435)&lt;='Impostazioni'!$B$11),ROUND((X435+Y435)/2,2),""))))))))</x:f>
      </x:c>
      <x:c r="AB435" s="20" t="str">
        <x:f>IF(NOT(ISNUMBER(AA435)),"",IF(J435="Annullato",0,IF(ISNUMBER(Q435),Q435,ROUND(MAX(0,AA435)*IF(ISNUMBER(R435),R435,'Impostazioni'!$B$8),2))))</x:f>
      </x:c>
      <x:c r="AC435" s="20" t="str">
        <x:f>IF(AND(ISNUMBER(AA435),ISNUMBER(AB435)),ROUND(AA435-AB435,2),"")</x:f>
      </x:c>
      <x:c r="AD435" s="18" t="str">
        <x:f>IF(A435="","",IF(AQ435&lt;&gt;"OK","Incompleto",IF(J435="Aperto","Aperto",IF(J435="Annullato","Annullato",IF(AC435&gt;0,"Green",IF(AC435&lt;0,"Red","Flat"))))))</x:f>
      </x:c>
      <x:c r="AE435" s="21" t="str">
        <x:f>IF(AND(AH435=1,Z435&gt;0),AC435/Z435,"")</x:f>
      </x:c>
      <x:c r="AF435" s="22" t="str">
        <x:f>IF(AH435&lt;&gt;1,"",COUNTIFS($C$8:$C$507,"&lt;"&amp;C435,$AH$8:$AH$507,1)+COUNTIFS($C$8:$C$507,C435,$A$8:$A$507,"&lt;="&amp;A435,$AH$8:$AH$507,1))</x:f>
      </x:c>
      <x:c r="AG435" s="20" t="str">
        <x:f>IF(AH435&lt;&gt;1,"",SUMIFS($AC$8:$AC$507,$C$8:$C$507,"&lt;"&amp;C435,$AH$8:$AH$507,1)+SUMIFS($AC$8:$AC$507,$C$8:$C$507,C435,$A$8:$A$507,"&lt;="&amp;A435,$AH$8:$AH$507,1))</x:f>
      </x:c>
      <x:c r="AH435" s="22" t="str">
        <x:f>IF(A435="","",IF(AND(J435="Chiuso",AQ435="OK",ISNUMBER(AC435)),1,0))</x:f>
      </x:c>
      <x:c r="AI435" s="20" t="str">
        <x:f>IF(AH435&lt;&gt;1,"",MAX(0,_xlfn.MAXIFS($AG$8:$AG$507,$AF$8:$AF$507,"&lt;="&amp;AF435,$AH$8:$AH$507,1)))</x:f>
      </x:c>
      <x:c r="AJ435" s="20" t="str">
        <x:f>IF(AH435&lt;&gt;1,"",MAX(0,AI435-AG435))</x:f>
      </x:c>
      <x:c r="AK435" s="21" t="str">
        <x:f>IF(OR(AH435&lt;&gt;1,NOT(ISNUMBER('Impostazioni'!$B$6)),'Impostazioni'!$B$6+AI435&lt;=0),"",AJ435/('Impostazioni'!$B$6+AI435))</x:f>
      </x:c>
      <x:c r="AL435" s="22" t="str">
        <x:f>IF(AH435&lt;&gt;1,"",IF(AC435&gt;0,AF435-_xlfn.MAXIFS($AF$8:$AF$507,$AF$8:$AF$507,"&lt;="&amp;AF435,$AC$8:$AC$507,"&lt;=0",$AH$8:$AH$507,1),0))</x:f>
      </x:c>
      <x:c r="AM435" s="22" t="str">
        <x:f>IF(AH435&lt;&gt;1,"",IF(AC435&lt;0,AF435-_xlfn.MAXIFS($AF$8:$AF$507,$AF$8:$AF$507,"&lt;="&amp;AF435,$AC$8:$AC$507,"&gt;=0",$AH$8:$AH$507,1),0))</x:f>
      </x:c>
      <x:c r="AN435" s="20" t="str">
        <x:f>IF(OR(A435="",NOT(ISNUMBER(B435)),NOT(ISNUMBER('Impostazioni'!$B$6))),"",'Impostazioni'!$B$6+SUMIFS($AC$8:$AC$507,$C$8:$C$507,"&lt;"&amp;B435,$AH$8:$AH$507,1)+SUMIFS('Cassa'!$F$8:$F$307,'Cassa'!$A$8:$A$307,"&lt;="&amp;B435,'Cassa'!$G$8:$G$307,"OK"))</x:f>
      </x:c>
      <x:c r="AO435" s="21" t="str">
        <x:f>IF(AND(ISNUMBER(Z435),ISNUMBER(AN435),AN435&gt;0),Z435/AN435,"")</x:f>
      </x:c>
      <x:c r="AP435" s="18" t="str">
        <x:f>IF(NOT(ISNUMBER(AO435)),"",IF(AO435&gt;'Impostazioni'!$B$7,"Oltre soglia personale","Nella soglia personale"))</x:f>
      </x:c>
      <x:c r="AQ435" s="18" t="str">
        <x:f>IF(A435="",IF(COUNTA(B435:V435)=0,"","Inserisci ID"),IF(COUNTIFS($A$8:$A$507,A435)&lt;&gt;1,"ID duplicato",IF(OR(NOT(ISNUMBER(B435)),D435="",E435="",F435="",G435="",H435="",COUNTIFS('Impostazioni'!$J$6:$J$25,F435)&lt;&gt;1),"Completa dati / elenchi",IF(OR(AND(I435&lt;&gt;"Lordo manuale",I435&lt;&gt;"Netto manuale",I435&lt;&gt;"Esecuzioni"),AND(J435&lt;&gt;"Aperto",J435&lt;&gt;"Chiuso",J435&lt;&gt;"Annullato")),"Modalità / stato mancanti",IF(AND(J435&lt;&gt;"Aperto",OR(NOT(ISNUMBER(C435)),C435&lt;B435)),"Correggi data chiusura",IF(OR(AND(Q435&lt;&gt;"",OR(NOT(ISNUMBER(Q435)),Q435&lt;0)),AND(R435&lt;&gt;"",OR(NOT(ISNUMBER(R435)),R435&lt;0,R435&gt;1))),"Commissione non valida",IF(J435="Annullato","OK",IF(OR(NOT(ISNUMBER(Z435)),Z435&lt;0,AND(O435&lt;&gt;"",NOT(ISNUMBER(O435)))),"Inserisci rischio",IF(AND(I435="Esecuzioni",OR(W435=0,COUNTIFS('Esecuzioni'!$A$8:$A$1007,A435,'Esecuzioni'!$Q$8:$Q$1007,"&lt;&gt;OK")&gt;0)),"Correggi esecuzioni",IF(J435="Aperto","OK",IF(AND(I435="Esecuzioni",S435="Coperto",ABS(X435-Y435)&gt;'Impostazioni'!$B$11),"Copertura residua",IF(NOT(ISNUMBER(AC435)),"Completa risultato / esito",IF(AND(Z435=0,AC435&lt;&gt;0),"Rischio nullo con P/L","OK")))))))))))))</x:f>
      </x:c>
      <x:c r="AR435" s="20" t="str">
        <x:f>IF(OR(A435="",J435&lt;&gt;"Aperto",AQ435&lt;&gt;"OK"),"",IF(I435="Esecuzioni",SUMIFS('Esecuzioni'!$P$8:$P$1007,'Esecuzioni'!$A$8:$A$1007,A435,'Esecuzioni'!$B$8:$B$1007,_xlfn.MAXIFS('Esecuzioni'!$B$8:$B$1007,'Esecuzioni'!$A$8:$A$1007,A435)),IF(LEFT(U435,8)="FREEBET:",0,Z435)))</x:f>
      </x:c>
      <x:c r="AS435" s="48" t="str">
        <x:f>IF(OR(A435="",E435=""),"",IF(COUNTIFS($E$8:E435,E435)=1,COUNT($AS$7:AS434)+1,""))</x:f>
      </x:c>
    </x:row>
    <x:row r="436" ht="22" customHeight="1">
      <x:c r="A436" s="7"/>
      <x:c r="B436" s="19"/>
      <x:c r="C436" s="19"/>
      <x:c r="D436" s="7"/>
      <x:c r="E436" s="7"/>
      <x:c r="F436" s="7"/>
      <x:c r="G436" s="7"/>
      <x:c r="H436" s="7"/>
      <x:c r="I436" s="7"/>
      <x:c r="J436" s="7"/>
      <x:c r="K436" s="10"/>
      <x:c r="L436" s="7"/>
      <x:c r="M436" s="10"/>
      <x:c r="N436" s="7"/>
      <x:c r="O436" s="8"/>
      <x:c r="P436" s="8"/>
      <x:c r="Q436" s="8"/>
      <x:c r="R436" s="9"/>
      <x:c r="S436" s="7"/>
      <x:c r="T436" s="7"/>
      <x:c r="U436" s="7"/>
      <x:c r="V436" s="7"/>
      <x:c r="W436" s="22" t="str">
        <x:f>IF(A436="","",COUNTIFS('Esecuzioni'!$A$8:$A$1007,A436,'Esecuzioni'!$Q$8:$Q$1007,"OK"))</x:f>
      </x:c>
      <x:c r="X436" s="20" t="str">
        <x:f>IF(OR(A436="",I436&lt;&gt;"Esecuzioni",W436=0),"",SUMIFS('Esecuzioni'!$L$8:$L$1007,'Esecuzioni'!$A$8:$A$1007,A436))</x:f>
      </x:c>
      <x:c r="Y436" s="20" t="str">
        <x:f>IF(OR(A436="",I436&lt;&gt;"Esecuzioni",W436=0),"",SUMIFS('Esecuzioni'!$M$8:$M$1007,'Esecuzioni'!$A$8:$A$1007,A436))</x:f>
      </x:c>
      <x:c r="Z436" s="20" t="str">
        <x:f>IF(A436="","",IF(J436="Annullato",0,IF(ISNUMBER(O436),O436,IF(AND(I436="Esecuzioni",W436&gt;0),_xlfn.MAXIFS('Esecuzioni'!$P$8:$P$1007,'Esecuzioni'!$A$8:$A$1007,A436),""))))</x:f>
      </x:c>
      <x:c r="AA436" s="20" t="str">
        <x:f>IF(OR(A436="",J436="Aperto"),"",IF(J436="Annullato",0,IF(I436="Lordo manuale",IF(ISNUMBER(P436),P436,""),IF(I436="Netto manuale",IF(AND(ISNUMBER(P436),ISNUMBER(Q436)),P436+Q436,""),IF(OR(W436=0,COUNTIFS('Esecuzioni'!$A$8:$A$1007,A436,'Esecuzioni'!$Q$8:$Q$1007,"&lt;&gt;OK")&gt;0),"",IF(S436="Vince",X436,IF(S436="Perde",Y436,IF(AND(S436="Coperto",ABS(X436-Y436)&lt;='Impostazioni'!$B$11),ROUND((X436+Y436)/2,2),""))))))))</x:f>
      </x:c>
      <x:c r="AB436" s="20" t="str">
        <x:f>IF(NOT(ISNUMBER(AA436)),"",IF(J436="Annullato",0,IF(ISNUMBER(Q436),Q436,ROUND(MAX(0,AA436)*IF(ISNUMBER(R436),R436,'Impostazioni'!$B$8),2))))</x:f>
      </x:c>
      <x:c r="AC436" s="20" t="str">
        <x:f>IF(AND(ISNUMBER(AA436),ISNUMBER(AB436)),ROUND(AA436-AB436,2),"")</x:f>
      </x:c>
      <x:c r="AD436" s="18" t="str">
        <x:f>IF(A436="","",IF(AQ436&lt;&gt;"OK","Incompleto",IF(J436="Aperto","Aperto",IF(J436="Annullato","Annullato",IF(AC436&gt;0,"Green",IF(AC436&lt;0,"Red","Flat"))))))</x:f>
      </x:c>
      <x:c r="AE436" s="21" t="str">
        <x:f>IF(AND(AH436=1,Z436&gt;0),AC436/Z436,"")</x:f>
      </x:c>
      <x:c r="AF436" s="22" t="str">
        <x:f>IF(AH436&lt;&gt;1,"",COUNTIFS($C$8:$C$507,"&lt;"&amp;C436,$AH$8:$AH$507,1)+COUNTIFS($C$8:$C$507,C436,$A$8:$A$507,"&lt;="&amp;A436,$AH$8:$AH$507,1))</x:f>
      </x:c>
      <x:c r="AG436" s="20" t="str">
        <x:f>IF(AH436&lt;&gt;1,"",SUMIFS($AC$8:$AC$507,$C$8:$C$507,"&lt;"&amp;C436,$AH$8:$AH$507,1)+SUMIFS($AC$8:$AC$507,$C$8:$C$507,C436,$A$8:$A$507,"&lt;="&amp;A436,$AH$8:$AH$507,1))</x:f>
      </x:c>
      <x:c r="AH436" s="22" t="str">
        <x:f>IF(A436="","",IF(AND(J436="Chiuso",AQ436="OK",ISNUMBER(AC436)),1,0))</x:f>
      </x:c>
      <x:c r="AI436" s="20" t="str">
        <x:f>IF(AH436&lt;&gt;1,"",MAX(0,_xlfn.MAXIFS($AG$8:$AG$507,$AF$8:$AF$507,"&lt;="&amp;AF436,$AH$8:$AH$507,1)))</x:f>
      </x:c>
      <x:c r="AJ436" s="20" t="str">
        <x:f>IF(AH436&lt;&gt;1,"",MAX(0,AI436-AG436))</x:f>
      </x:c>
      <x:c r="AK436" s="21" t="str">
        <x:f>IF(OR(AH436&lt;&gt;1,NOT(ISNUMBER('Impostazioni'!$B$6)),'Impostazioni'!$B$6+AI436&lt;=0),"",AJ436/('Impostazioni'!$B$6+AI436))</x:f>
      </x:c>
      <x:c r="AL436" s="22" t="str">
        <x:f>IF(AH436&lt;&gt;1,"",IF(AC436&gt;0,AF436-_xlfn.MAXIFS($AF$8:$AF$507,$AF$8:$AF$507,"&lt;="&amp;AF436,$AC$8:$AC$507,"&lt;=0",$AH$8:$AH$507,1),0))</x:f>
      </x:c>
      <x:c r="AM436" s="22" t="str">
        <x:f>IF(AH436&lt;&gt;1,"",IF(AC436&lt;0,AF436-_xlfn.MAXIFS($AF$8:$AF$507,$AF$8:$AF$507,"&lt;="&amp;AF436,$AC$8:$AC$507,"&gt;=0",$AH$8:$AH$507,1),0))</x:f>
      </x:c>
      <x:c r="AN436" s="20" t="str">
        <x:f>IF(OR(A436="",NOT(ISNUMBER(B436)),NOT(ISNUMBER('Impostazioni'!$B$6))),"",'Impostazioni'!$B$6+SUMIFS($AC$8:$AC$507,$C$8:$C$507,"&lt;"&amp;B436,$AH$8:$AH$507,1)+SUMIFS('Cassa'!$F$8:$F$307,'Cassa'!$A$8:$A$307,"&lt;="&amp;B436,'Cassa'!$G$8:$G$307,"OK"))</x:f>
      </x:c>
      <x:c r="AO436" s="21" t="str">
        <x:f>IF(AND(ISNUMBER(Z436),ISNUMBER(AN436),AN436&gt;0),Z436/AN436,"")</x:f>
      </x:c>
      <x:c r="AP436" s="18" t="str">
        <x:f>IF(NOT(ISNUMBER(AO436)),"",IF(AO436&gt;'Impostazioni'!$B$7,"Oltre soglia personale","Nella soglia personale"))</x:f>
      </x:c>
      <x:c r="AQ436" s="18" t="str">
        <x:f>IF(A436="",IF(COUNTA(B436:V436)=0,"","Inserisci ID"),IF(COUNTIFS($A$8:$A$507,A436)&lt;&gt;1,"ID duplicato",IF(OR(NOT(ISNUMBER(B436)),D436="",E436="",F436="",G436="",H436="",COUNTIFS('Impostazioni'!$J$6:$J$25,F436)&lt;&gt;1),"Completa dati / elenchi",IF(OR(AND(I436&lt;&gt;"Lordo manuale",I436&lt;&gt;"Netto manuale",I436&lt;&gt;"Esecuzioni"),AND(J436&lt;&gt;"Aperto",J436&lt;&gt;"Chiuso",J436&lt;&gt;"Annullato")),"Modalità / stato mancanti",IF(AND(J436&lt;&gt;"Aperto",OR(NOT(ISNUMBER(C436)),C436&lt;B436)),"Correggi data chiusura",IF(OR(AND(Q436&lt;&gt;"",OR(NOT(ISNUMBER(Q436)),Q436&lt;0)),AND(R436&lt;&gt;"",OR(NOT(ISNUMBER(R436)),R436&lt;0,R436&gt;1))),"Commissione non valida",IF(J436="Annullato","OK",IF(OR(NOT(ISNUMBER(Z436)),Z436&lt;0,AND(O436&lt;&gt;"",NOT(ISNUMBER(O436)))),"Inserisci rischio",IF(AND(I436="Esecuzioni",OR(W436=0,COUNTIFS('Esecuzioni'!$A$8:$A$1007,A436,'Esecuzioni'!$Q$8:$Q$1007,"&lt;&gt;OK")&gt;0)),"Correggi esecuzioni",IF(J436="Aperto","OK",IF(AND(I436="Esecuzioni",S436="Coperto",ABS(X436-Y436)&gt;'Impostazioni'!$B$11),"Copertura residua",IF(NOT(ISNUMBER(AC436)),"Completa risultato / esito",IF(AND(Z436=0,AC436&lt;&gt;0),"Rischio nullo con P/L","OK")))))))))))))</x:f>
      </x:c>
      <x:c r="AR436" s="20" t="str">
        <x:f>IF(OR(A436="",J436&lt;&gt;"Aperto",AQ436&lt;&gt;"OK"),"",IF(I436="Esecuzioni",SUMIFS('Esecuzioni'!$P$8:$P$1007,'Esecuzioni'!$A$8:$A$1007,A436,'Esecuzioni'!$B$8:$B$1007,_xlfn.MAXIFS('Esecuzioni'!$B$8:$B$1007,'Esecuzioni'!$A$8:$A$1007,A436)),IF(LEFT(U436,8)="FREEBET:",0,Z436)))</x:f>
      </x:c>
      <x:c r="AS436" s="48" t="str">
        <x:f>IF(OR(A436="",E436=""),"",IF(COUNTIFS($E$8:E436,E436)=1,COUNT($AS$7:AS435)+1,""))</x:f>
      </x:c>
    </x:row>
    <x:row r="437" ht="22" customHeight="1">
      <x:c r="A437" s="7"/>
      <x:c r="B437" s="19"/>
      <x:c r="C437" s="19"/>
      <x:c r="D437" s="7"/>
      <x:c r="E437" s="7"/>
      <x:c r="F437" s="7"/>
      <x:c r="G437" s="7"/>
      <x:c r="H437" s="7"/>
      <x:c r="I437" s="7"/>
      <x:c r="J437" s="7"/>
      <x:c r="K437" s="10"/>
      <x:c r="L437" s="7"/>
      <x:c r="M437" s="10"/>
      <x:c r="N437" s="7"/>
      <x:c r="O437" s="8"/>
      <x:c r="P437" s="8"/>
      <x:c r="Q437" s="8"/>
      <x:c r="R437" s="9"/>
      <x:c r="S437" s="7"/>
      <x:c r="T437" s="7"/>
      <x:c r="U437" s="7"/>
      <x:c r="V437" s="7"/>
      <x:c r="W437" s="22" t="str">
        <x:f>IF(A437="","",COUNTIFS('Esecuzioni'!$A$8:$A$1007,A437,'Esecuzioni'!$Q$8:$Q$1007,"OK"))</x:f>
      </x:c>
      <x:c r="X437" s="20" t="str">
        <x:f>IF(OR(A437="",I437&lt;&gt;"Esecuzioni",W437=0),"",SUMIFS('Esecuzioni'!$L$8:$L$1007,'Esecuzioni'!$A$8:$A$1007,A437))</x:f>
      </x:c>
      <x:c r="Y437" s="20" t="str">
        <x:f>IF(OR(A437="",I437&lt;&gt;"Esecuzioni",W437=0),"",SUMIFS('Esecuzioni'!$M$8:$M$1007,'Esecuzioni'!$A$8:$A$1007,A437))</x:f>
      </x:c>
      <x:c r="Z437" s="20" t="str">
        <x:f>IF(A437="","",IF(J437="Annullato",0,IF(ISNUMBER(O437),O437,IF(AND(I437="Esecuzioni",W437&gt;0),_xlfn.MAXIFS('Esecuzioni'!$P$8:$P$1007,'Esecuzioni'!$A$8:$A$1007,A437),""))))</x:f>
      </x:c>
      <x:c r="AA437" s="20" t="str">
        <x:f>IF(OR(A437="",J437="Aperto"),"",IF(J437="Annullato",0,IF(I437="Lordo manuale",IF(ISNUMBER(P437),P437,""),IF(I437="Netto manuale",IF(AND(ISNUMBER(P437),ISNUMBER(Q437)),P437+Q437,""),IF(OR(W437=0,COUNTIFS('Esecuzioni'!$A$8:$A$1007,A437,'Esecuzioni'!$Q$8:$Q$1007,"&lt;&gt;OK")&gt;0),"",IF(S437="Vince",X437,IF(S437="Perde",Y437,IF(AND(S437="Coperto",ABS(X437-Y437)&lt;='Impostazioni'!$B$11),ROUND((X437+Y437)/2,2),""))))))))</x:f>
      </x:c>
      <x:c r="AB437" s="20" t="str">
        <x:f>IF(NOT(ISNUMBER(AA437)),"",IF(J437="Annullato",0,IF(ISNUMBER(Q437),Q437,ROUND(MAX(0,AA437)*IF(ISNUMBER(R437),R437,'Impostazioni'!$B$8),2))))</x:f>
      </x:c>
      <x:c r="AC437" s="20" t="str">
        <x:f>IF(AND(ISNUMBER(AA437),ISNUMBER(AB437)),ROUND(AA437-AB437,2),"")</x:f>
      </x:c>
      <x:c r="AD437" s="18" t="str">
        <x:f>IF(A437="","",IF(AQ437&lt;&gt;"OK","Incompleto",IF(J437="Aperto","Aperto",IF(J437="Annullato","Annullato",IF(AC437&gt;0,"Green",IF(AC437&lt;0,"Red","Flat"))))))</x:f>
      </x:c>
      <x:c r="AE437" s="21" t="str">
        <x:f>IF(AND(AH437=1,Z437&gt;0),AC437/Z437,"")</x:f>
      </x:c>
      <x:c r="AF437" s="22" t="str">
        <x:f>IF(AH437&lt;&gt;1,"",COUNTIFS($C$8:$C$507,"&lt;"&amp;C437,$AH$8:$AH$507,1)+COUNTIFS($C$8:$C$507,C437,$A$8:$A$507,"&lt;="&amp;A437,$AH$8:$AH$507,1))</x:f>
      </x:c>
      <x:c r="AG437" s="20" t="str">
        <x:f>IF(AH437&lt;&gt;1,"",SUMIFS($AC$8:$AC$507,$C$8:$C$507,"&lt;"&amp;C437,$AH$8:$AH$507,1)+SUMIFS($AC$8:$AC$507,$C$8:$C$507,C437,$A$8:$A$507,"&lt;="&amp;A437,$AH$8:$AH$507,1))</x:f>
      </x:c>
      <x:c r="AH437" s="22" t="str">
        <x:f>IF(A437="","",IF(AND(J437="Chiuso",AQ437="OK",ISNUMBER(AC437)),1,0))</x:f>
      </x:c>
      <x:c r="AI437" s="20" t="str">
        <x:f>IF(AH437&lt;&gt;1,"",MAX(0,_xlfn.MAXIFS($AG$8:$AG$507,$AF$8:$AF$507,"&lt;="&amp;AF437,$AH$8:$AH$507,1)))</x:f>
      </x:c>
      <x:c r="AJ437" s="20" t="str">
        <x:f>IF(AH437&lt;&gt;1,"",MAX(0,AI437-AG437))</x:f>
      </x:c>
      <x:c r="AK437" s="21" t="str">
        <x:f>IF(OR(AH437&lt;&gt;1,NOT(ISNUMBER('Impostazioni'!$B$6)),'Impostazioni'!$B$6+AI437&lt;=0),"",AJ437/('Impostazioni'!$B$6+AI437))</x:f>
      </x:c>
      <x:c r="AL437" s="22" t="str">
        <x:f>IF(AH437&lt;&gt;1,"",IF(AC437&gt;0,AF437-_xlfn.MAXIFS($AF$8:$AF$507,$AF$8:$AF$507,"&lt;="&amp;AF437,$AC$8:$AC$507,"&lt;=0",$AH$8:$AH$507,1),0))</x:f>
      </x:c>
      <x:c r="AM437" s="22" t="str">
        <x:f>IF(AH437&lt;&gt;1,"",IF(AC437&lt;0,AF437-_xlfn.MAXIFS($AF$8:$AF$507,$AF$8:$AF$507,"&lt;="&amp;AF437,$AC$8:$AC$507,"&gt;=0",$AH$8:$AH$507,1),0))</x:f>
      </x:c>
      <x:c r="AN437" s="20" t="str">
        <x:f>IF(OR(A437="",NOT(ISNUMBER(B437)),NOT(ISNUMBER('Impostazioni'!$B$6))),"",'Impostazioni'!$B$6+SUMIFS($AC$8:$AC$507,$C$8:$C$507,"&lt;"&amp;B437,$AH$8:$AH$507,1)+SUMIFS('Cassa'!$F$8:$F$307,'Cassa'!$A$8:$A$307,"&lt;="&amp;B437,'Cassa'!$G$8:$G$307,"OK"))</x:f>
      </x:c>
      <x:c r="AO437" s="21" t="str">
        <x:f>IF(AND(ISNUMBER(Z437),ISNUMBER(AN437),AN437&gt;0),Z437/AN437,"")</x:f>
      </x:c>
      <x:c r="AP437" s="18" t="str">
        <x:f>IF(NOT(ISNUMBER(AO437)),"",IF(AO437&gt;'Impostazioni'!$B$7,"Oltre soglia personale","Nella soglia personale"))</x:f>
      </x:c>
      <x:c r="AQ437" s="18" t="str">
        <x:f>IF(A437="",IF(COUNTA(B437:V437)=0,"","Inserisci ID"),IF(COUNTIFS($A$8:$A$507,A437)&lt;&gt;1,"ID duplicato",IF(OR(NOT(ISNUMBER(B437)),D437="",E437="",F437="",G437="",H437="",COUNTIFS('Impostazioni'!$J$6:$J$25,F437)&lt;&gt;1),"Completa dati / elenchi",IF(OR(AND(I437&lt;&gt;"Lordo manuale",I437&lt;&gt;"Netto manuale",I437&lt;&gt;"Esecuzioni"),AND(J437&lt;&gt;"Aperto",J437&lt;&gt;"Chiuso",J437&lt;&gt;"Annullato")),"Modalità / stato mancanti",IF(AND(J437&lt;&gt;"Aperto",OR(NOT(ISNUMBER(C437)),C437&lt;B437)),"Correggi data chiusura",IF(OR(AND(Q437&lt;&gt;"",OR(NOT(ISNUMBER(Q437)),Q437&lt;0)),AND(R437&lt;&gt;"",OR(NOT(ISNUMBER(R437)),R437&lt;0,R437&gt;1))),"Commissione non valida",IF(J437="Annullato","OK",IF(OR(NOT(ISNUMBER(Z437)),Z437&lt;0,AND(O437&lt;&gt;"",NOT(ISNUMBER(O437)))),"Inserisci rischio",IF(AND(I437="Esecuzioni",OR(W437=0,COUNTIFS('Esecuzioni'!$A$8:$A$1007,A437,'Esecuzioni'!$Q$8:$Q$1007,"&lt;&gt;OK")&gt;0)),"Correggi esecuzioni",IF(J437="Aperto","OK",IF(AND(I437="Esecuzioni",S437="Coperto",ABS(X437-Y437)&gt;'Impostazioni'!$B$11),"Copertura residua",IF(NOT(ISNUMBER(AC437)),"Completa risultato / esito",IF(AND(Z437=0,AC437&lt;&gt;0),"Rischio nullo con P/L","OK")))))))))))))</x:f>
      </x:c>
      <x:c r="AR437" s="20" t="str">
        <x:f>IF(OR(A437="",J437&lt;&gt;"Aperto",AQ437&lt;&gt;"OK"),"",IF(I437="Esecuzioni",SUMIFS('Esecuzioni'!$P$8:$P$1007,'Esecuzioni'!$A$8:$A$1007,A437,'Esecuzioni'!$B$8:$B$1007,_xlfn.MAXIFS('Esecuzioni'!$B$8:$B$1007,'Esecuzioni'!$A$8:$A$1007,A437)),IF(LEFT(U437,8)="FREEBET:",0,Z437)))</x:f>
      </x:c>
      <x:c r="AS437" s="48" t="str">
        <x:f>IF(OR(A437="",E437=""),"",IF(COUNTIFS($E$8:E437,E437)=1,COUNT($AS$7:AS436)+1,""))</x:f>
      </x:c>
    </x:row>
    <x:row r="438" ht="22" customHeight="1">
      <x:c r="A438" s="7"/>
      <x:c r="B438" s="19"/>
      <x:c r="C438" s="19"/>
      <x:c r="D438" s="7"/>
      <x:c r="E438" s="7"/>
      <x:c r="F438" s="7"/>
      <x:c r="G438" s="7"/>
      <x:c r="H438" s="7"/>
      <x:c r="I438" s="7"/>
      <x:c r="J438" s="7"/>
      <x:c r="K438" s="10"/>
      <x:c r="L438" s="7"/>
      <x:c r="M438" s="10"/>
      <x:c r="N438" s="7"/>
      <x:c r="O438" s="8"/>
      <x:c r="P438" s="8"/>
      <x:c r="Q438" s="8"/>
      <x:c r="R438" s="9"/>
      <x:c r="S438" s="7"/>
      <x:c r="T438" s="7"/>
      <x:c r="U438" s="7"/>
      <x:c r="V438" s="7"/>
      <x:c r="W438" s="22" t="str">
        <x:f>IF(A438="","",COUNTIFS('Esecuzioni'!$A$8:$A$1007,A438,'Esecuzioni'!$Q$8:$Q$1007,"OK"))</x:f>
      </x:c>
      <x:c r="X438" s="20" t="str">
        <x:f>IF(OR(A438="",I438&lt;&gt;"Esecuzioni",W438=0),"",SUMIFS('Esecuzioni'!$L$8:$L$1007,'Esecuzioni'!$A$8:$A$1007,A438))</x:f>
      </x:c>
      <x:c r="Y438" s="20" t="str">
        <x:f>IF(OR(A438="",I438&lt;&gt;"Esecuzioni",W438=0),"",SUMIFS('Esecuzioni'!$M$8:$M$1007,'Esecuzioni'!$A$8:$A$1007,A438))</x:f>
      </x:c>
      <x:c r="Z438" s="20" t="str">
        <x:f>IF(A438="","",IF(J438="Annullato",0,IF(ISNUMBER(O438),O438,IF(AND(I438="Esecuzioni",W438&gt;0),_xlfn.MAXIFS('Esecuzioni'!$P$8:$P$1007,'Esecuzioni'!$A$8:$A$1007,A438),""))))</x:f>
      </x:c>
      <x:c r="AA438" s="20" t="str">
        <x:f>IF(OR(A438="",J438="Aperto"),"",IF(J438="Annullato",0,IF(I438="Lordo manuale",IF(ISNUMBER(P438),P438,""),IF(I438="Netto manuale",IF(AND(ISNUMBER(P438),ISNUMBER(Q438)),P438+Q438,""),IF(OR(W438=0,COUNTIFS('Esecuzioni'!$A$8:$A$1007,A438,'Esecuzioni'!$Q$8:$Q$1007,"&lt;&gt;OK")&gt;0),"",IF(S438="Vince",X438,IF(S438="Perde",Y438,IF(AND(S438="Coperto",ABS(X438-Y438)&lt;='Impostazioni'!$B$11),ROUND((X438+Y438)/2,2),""))))))))</x:f>
      </x:c>
      <x:c r="AB438" s="20" t="str">
        <x:f>IF(NOT(ISNUMBER(AA438)),"",IF(J438="Annullato",0,IF(ISNUMBER(Q438),Q438,ROUND(MAX(0,AA438)*IF(ISNUMBER(R438),R438,'Impostazioni'!$B$8),2))))</x:f>
      </x:c>
      <x:c r="AC438" s="20" t="str">
        <x:f>IF(AND(ISNUMBER(AA438),ISNUMBER(AB438)),ROUND(AA438-AB438,2),"")</x:f>
      </x:c>
      <x:c r="AD438" s="18" t="str">
        <x:f>IF(A438="","",IF(AQ438&lt;&gt;"OK","Incompleto",IF(J438="Aperto","Aperto",IF(J438="Annullato","Annullato",IF(AC438&gt;0,"Green",IF(AC438&lt;0,"Red","Flat"))))))</x:f>
      </x:c>
      <x:c r="AE438" s="21" t="str">
        <x:f>IF(AND(AH438=1,Z438&gt;0),AC438/Z438,"")</x:f>
      </x:c>
      <x:c r="AF438" s="22" t="str">
        <x:f>IF(AH438&lt;&gt;1,"",COUNTIFS($C$8:$C$507,"&lt;"&amp;C438,$AH$8:$AH$507,1)+COUNTIFS($C$8:$C$507,C438,$A$8:$A$507,"&lt;="&amp;A438,$AH$8:$AH$507,1))</x:f>
      </x:c>
      <x:c r="AG438" s="20" t="str">
        <x:f>IF(AH438&lt;&gt;1,"",SUMIFS($AC$8:$AC$507,$C$8:$C$507,"&lt;"&amp;C438,$AH$8:$AH$507,1)+SUMIFS($AC$8:$AC$507,$C$8:$C$507,C438,$A$8:$A$507,"&lt;="&amp;A438,$AH$8:$AH$507,1))</x:f>
      </x:c>
      <x:c r="AH438" s="22" t="str">
        <x:f>IF(A438="","",IF(AND(J438="Chiuso",AQ438="OK",ISNUMBER(AC438)),1,0))</x:f>
      </x:c>
      <x:c r="AI438" s="20" t="str">
        <x:f>IF(AH438&lt;&gt;1,"",MAX(0,_xlfn.MAXIFS($AG$8:$AG$507,$AF$8:$AF$507,"&lt;="&amp;AF438,$AH$8:$AH$507,1)))</x:f>
      </x:c>
      <x:c r="AJ438" s="20" t="str">
        <x:f>IF(AH438&lt;&gt;1,"",MAX(0,AI438-AG438))</x:f>
      </x:c>
      <x:c r="AK438" s="21" t="str">
        <x:f>IF(OR(AH438&lt;&gt;1,NOT(ISNUMBER('Impostazioni'!$B$6)),'Impostazioni'!$B$6+AI438&lt;=0),"",AJ438/('Impostazioni'!$B$6+AI438))</x:f>
      </x:c>
      <x:c r="AL438" s="22" t="str">
        <x:f>IF(AH438&lt;&gt;1,"",IF(AC438&gt;0,AF438-_xlfn.MAXIFS($AF$8:$AF$507,$AF$8:$AF$507,"&lt;="&amp;AF438,$AC$8:$AC$507,"&lt;=0",$AH$8:$AH$507,1),0))</x:f>
      </x:c>
      <x:c r="AM438" s="22" t="str">
        <x:f>IF(AH438&lt;&gt;1,"",IF(AC438&lt;0,AF438-_xlfn.MAXIFS($AF$8:$AF$507,$AF$8:$AF$507,"&lt;="&amp;AF438,$AC$8:$AC$507,"&gt;=0",$AH$8:$AH$507,1),0))</x:f>
      </x:c>
      <x:c r="AN438" s="20" t="str">
        <x:f>IF(OR(A438="",NOT(ISNUMBER(B438)),NOT(ISNUMBER('Impostazioni'!$B$6))),"",'Impostazioni'!$B$6+SUMIFS($AC$8:$AC$507,$C$8:$C$507,"&lt;"&amp;B438,$AH$8:$AH$507,1)+SUMIFS('Cassa'!$F$8:$F$307,'Cassa'!$A$8:$A$307,"&lt;="&amp;B438,'Cassa'!$G$8:$G$307,"OK"))</x:f>
      </x:c>
      <x:c r="AO438" s="21" t="str">
        <x:f>IF(AND(ISNUMBER(Z438),ISNUMBER(AN438),AN438&gt;0),Z438/AN438,"")</x:f>
      </x:c>
      <x:c r="AP438" s="18" t="str">
        <x:f>IF(NOT(ISNUMBER(AO438)),"",IF(AO438&gt;'Impostazioni'!$B$7,"Oltre soglia personale","Nella soglia personale"))</x:f>
      </x:c>
      <x:c r="AQ438" s="18" t="str">
        <x:f>IF(A438="",IF(COUNTA(B438:V438)=0,"","Inserisci ID"),IF(COUNTIFS($A$8:$A$507,A438)&lt;&gt;1,"ID duplicato",IF(OR(NOT(ISNUMBER(B438)),D438="",E438="",F438="",G438="",H438="",COUNTIFS('Impostazioni'!$J$6:$J$25,F438)&lt;&gt;1),"Completa dati / elenchi",IF(OR(AND(I438&lt;&gt;"Lordo manuale",I438&lt;&gt;"Netto manuale",I438&lt;&gt;"Esecuzioni"),AND(J438&lt;&gt;"Aperto",J438&lt;&gt;"Chiuso",J438&lt;&gt;"Annullato")),"Modalità / stato mancanti",IF(AND(J438&lt;&gt;"Aperto",OR(NOT(ISNUMBER(C438)),C438&lt;B438)),"Correggi data chiusura",IF(OR(AND(Q438&lt;&gt;"",OR(NOT(ISNUMBER(Q438)),Q438&lt;0)),AND(R438&lt;&gt;"",OR(NOT(ISNUMBER(R438)),R438&lt;0,R438&gt;1))),"Commissione non valida",IF(J438="Annullato","OK",IF(OR(NOT(ISNUMBER(Z438)),Z438&lt;0,AND(O438&lt;&gt;"",NOT(ISNUMBER(O438)))),"Inserisci rischio",IF(AND(I438="Esecuzioni",OR(W438=0,COUNTIFS('Esecuzioni'!$A$8:$A$1007,A438,'Esecuzioni'!$Q$8:$Q$1007,"&lt;&gt;OK")&gt;0)),"Correggi esecuzioni",IF(J438="Aperto","OK",IF(AND(I438="Esecuzioni",S438="Coperto",ABS(X438-Y438)&gt;'Impostazioni'!$B$11),"Copertura residua",IF(NOT(ISNUMBER(AC438)),"Completa risultato / esito",IF(AND(Z438=0,AC438&lt;&gt;0),"Rischio nullo con P/L","OK")))))))))))))</x:f>
      </x:c>
      <x:c r="AR438" s="20" t="str">
        <x:f>IF(OR(A438="",J438&lt;&gt;"Aperto",AQ438&lt;&gt;"OK"),"",IF(I438="Esecuzioni",SUMIFS('Esecuzioni'!$P$8:$P$1007,'Esecuzioni'!$A$8:$A$1007,A438,'Esecuzioni'!$B$8:$B$1007,_xlfn.MAXIFS('Esecuzioni'!$B$8:$B$1007,'Esecuzioni'!$A$8:$A$1007,A438)),IF(LEFT(U438,8)="FREEBET:",0,Z438)))</x:f>
      </x:c>
      <x:c r="AS438" s="48" t="str">
        <x:f>IF(OR(A438="",E438=""),"",IF(COUNTIFS($E$8:E438,E438)=1,COUNT($AS$7:AS437)+1,""))</x:f>
      </x:c>
    </x:row>
    <x:row r="439" ht="22" customHeight="1">
      <x:c r="A439" s="7"/>
      <x:c r="B439" s="19"/>
      <x:c r="C439" s="19"/>
      <x:c r="D439" s="7"/>
      <x:c r="E439" s="7"/>
      <x:c r="F439" s="7"/>
      <x:c r="G439" s="7"/>
      <x:c r="H439" s="7"/>
      <x:c r="I439" s="7"/>
      <x:c r="J439" s="7"/>
      <x:c r="K439" s="10"/>
      <x:c r="L439" s="7"/>
      <x:c r="M439" s="10"/>
      <x:c r="N439" s="7"/>
      <x:c r="O439" s="8"/>
      <x:c r="P439" s="8"/>
      <x:c r="Q439" s="8"/>
      <x:c r="R439" s="9"/>
      <x:c r="S439" s="7"/>
      <x:c r="T439" s="7"/>
      <x:c r="U439" s="7"/>
      <x:c r="V439" s="7"/>
      <x:c r="W439" s="22" t="str">
        <x:f>IF(A439="","",COUNTIFS('Esecuzioni'!$A$8:$A$1007,A439,'Esecuzioni'!$Q$8:$Q$1007,"OK"))</x:f>
      </x:c>
      <x:c r="X439" s="20" t="str">
        <x:f>IF(OR(A439="",I439&lt;&gt;"Esecuzioni",W439=0),"",SUMIFS('Esecuzioni'!$L$8:$L$1007,'Esecuzioni'!$A$8:$A$1007,A439))</x:f>
      </x:c>
      <x:c r="Y439" s="20" t="str">
        <x:f>IF(OR(A439="",I439&lt;&gt;"Esecuzioni",W439=0),"",SUMIFS('Esecuzioni'!$M$8:$M$1007,'Esecuzioni'!$A$8:$A$1007,A439))</x:f>
      </x:c>
      <x:c r="Z439" s="20" t="str">
        <x:f>IF(A439="","",IF(J439="Annullato",0,IF(ISNUMBER(O439),O439,IF(AND(I439="Esecuzioni",W439&gt;0),_xlfn.MAXIFS('Esecuzioni'!$P$8:$P$1007,'Esecuzioni'!$A$8:$A$1007,A439),""))))</x:f>
      </x:c>
      <x:c r="AA439" s="20" t="str">
        <x:f>IF(OR(A439="",J439="Aperto"),"",IF(J439="Annullato",0,IF(I439="Lordo manuale",IF(ISNUMBER(P439),P439,""),IF(I439="Netto manuale",IF(AND(ISNUMBER(P439),ISNUMBER(Q439)),P439+Q439,""),IF(OR(W439=0,COUNTIFS('Esecuzioni'!$A$8:$A$1007,A439,'Esecuzioni'!$Q$8:$Q$1007,"&lt;&gt;OK")&gt;0),"",IF(S439="Vince",X439,IF(S439="Perde",Y439,IF(AND(S439="Coperto",ABS(X439-Y439)&lt;='Impostazioni'!$B$11),ROUND((X439+Y439)/2,2),""))))))))</x:f>
      </x:c>
      <x:c r="AB439" s="20" t="str">
        <x:f>IF(NOT(ISNUMBER(AA439)),"",IF(J439="Annullato",0,IF(ISNUMBER(Q439),Q439,ROUND(MAX(0,AA439)*IF(ISNUMBER(R439),R439,'Impostazioni'!$B$8),2))))</x:f>
      </x:c>
      <x:c r="AC439" s="20" t="str">
        <x:f>IF(AND(ISNUMBER(AA439),ISNUMBER(AB439)),ROUND(AA439-AB439,2),"")</x:f>
      </x:c>
      <x:c r="AD439" s="18" t="str">
        <x:f>IF(A439="","",IF(AQ439&lt;&gt;"OK","Incompleto",IF(J439="Aperto","Aperto",IF(J439="Annullato","Annullato",IF(AC439&gt;0,"Green",IF(AC439&lt;0,"Red","Flat"))))))</x:f>
      </x:c>
      <x:c r="AE439" s="21" t="str">
        <x:f>IF(AND(AH439=1,Z439&gt;0),AC439/Z439,"")</x:f>
      </x:c>
      <x:c r="AF439" s="22" t="str">
        <x:f>IF(AH439&lt;&gt;1,"",COUNTIFS($C$8:$C$507,"&lt;"&amp;C439,$AH$8:$AH$507,1)+COUNTIFS($C$8:$C$507,C439,$A$8:$A$507,"&lt;="&amp;A439,$AH$8:$AH$507,1))</x:f>
      </x:c>
      <x:c r="AG439" s="20" t="str">
        <x:f>IF(AH439&lt;&gt;1,"",SUMIFS($AC$8:$AC$507,$C$8:$C$507,"&lt;"&amp;C439,$AH$8:$AH$507,1)+SUMIFS($AC$8:$AC$507,$C$8:$C$507,C439,$A$8:$A$507,"&lt;="&amp;A439,$AH$8:$AH$507,1))</x:f>
      </x:c>
      <x:c r="AH439" s="22" t="str">
        <x:f>IF(A439="","",IF(AND(J439="Chiuso",AQ439="OK",ISNUMBER(AC439)),1,0))</x:f>
      </x:c>
      <x:c r="AI439" s="20" t="str">
        <x:f>IF(AH439&lt;&gt;1,"",MAX(0,_xlfn.MAXIFS($AG$8:$AG$507,$AF$8:$AF$507,"&lt;="&amp;AF439,$AH$8:$AH$507,1)))</x:f>
      </x:c>
      <x:c r="AJ439" s="20" t="str">
        <x:f>IF(AH439&lt;&gt;1,"",MAX(0,AI439-AG439))</x:f>
      </x:c>
      <x:c r="AK439" s="21" t="str">
        <x:f>IF(OR(AH439&lt;&gt;1,NOT(ISNUMBER('Impostazioni'!$B$6)),'Impostazioni'!$B$6+AI439&lt;=0),"",AJ439/('Impostazioni'!$B$6+AI439))</x:f>
      </x:c>
      <x:c r="AL439" s="22" t="str">
        <x:f>IF(AH439&lt;&gt;1,"",IF(AC439&gt;0,AF439-_xlfn.MAXIFS($AF$8:$AF$507,$AF$8:$AF$507,"&lt;="&amp;AF439,$AC$8:$AC$507,"&lt;=0",$AH$8:$AH$507,1),0))</x:f>
      </x:c>
      <x:c r="AM439" s="22" t="str">
        <x:f>IF(AH439&lt;&gt;1,"",IF(AC439&lt;0,AF439-_xlfn.MAXIFS($AF$8:$AF$507,$AF$8:$AF$507,"&lt;="&amp;AF439,$AC$8:$AC$507,"&gt;=0",$AH$8:$AH$507,1),0))</x:f>
      </x:c>
      <x:c r="AN439" s="20" t="str">
        <x:f>IF(OR(A439="",NOT(ISNUMBER(B439)),NOT(ISNUMBER('Impostazioni'!$B$6))),"",'Impostazioni'!$B$6+SUMIFS($AC$8:$AC$507,$C$8:$C$507,"&lt;"&amp;B439,$AH$8:$AH$507,1)+SUMIFS('Cassa'!$F$8:$F$307,'Cassa'!$A$8:$A$307,"&lt;="&amp;B439,'Cassa'!$G$8:$G$307,"OK"))</x:f>
      </x:c>
      <x:c r="AO439" s="21" t="str">
        <x:f>IF(AND(ISNUMBER(Z439),ISNUMBER(AN439),AN439&gt;0),Z439/AN439,"")</x:f>
      </x:c>
      <x:c r="AP439" s="18" t="str">
        <x:f>IF(NOT(ISNUMBER(AO439)),"",IF(AO439&gt;'Impostazioni'!$B$7,"Oltre soglia personale","Nella soglia personale"))</x:f>
      </x:c>
      <x:c r="AQ439" s="18" t="str">
        <x:f>IF(A439="",IF(COUNTA(B439:V439)=0,"","Inserisci ID"),IF(COUNTIFS($A$8:$A$507,A439)&lt;&gt;1,"ID duplicato",IF(OR(NOT(ISNUMBER(B439)),D439="",E439="",F439="",G439="",H439="",COUNTIFS('Impostazioni'!$J$6:$J$25,F439)&lt;&gt;1),"Completa dati / elenchi",IF(OR(AND(I439&lt;&gt;"Lordo manuale",I439&lt;&gt;"Netto manuale",I439&lt;&gt;"Esecuzioni"),AND(J439&lt;&gt;"Aperto",J439&lt;&gt;"Chiuso",J439&lt;&gt;"Annullato")),"Modalità / stato mancanti",IF(AND(J439&lt;&gt;"Aperto",OR(NOT(ISNUMBER(C439)),C439&lt;B439)),"Correggi data chiusura",IF(OR(AND(Q439&lt;&gt;"",OR(NOT(ISNUMBER(Q439)),Q439&lt;0)),AND(R439&lt;&gt;"",OR(NOT(ISNUMBER(R439)),R439&lt;0,R439&gt;1))),"Commissione non valida",IF(J439="Annullato","OK",IF(OR(NOT(ISNUMBER(Z439)),Z439&lt;0,AND(O439&lt;&gt;"",NOT(ISNUMBER(O439)))),"Inserisci rischio",IF(AND(I439="Esecuzioni",OR(W439=0,COUNTIFS('Esecuzioni'!$A$8:$A$1007,A439,'Esecuzioni'!$Q$8:$Q$1007,"&lt;&gt;OK")&gt;0)),"Correggi esecuzioni",IF(J439="Aperto","OK",IF(AND(I439="Esecuzioni",S439="Coperto",ABS(X439-Y439)&gt;'Impostazioni'!$B$11),"Copertura residua",IF(NOT(ISNUMBER(AC439)),"Completa risultato / esito",IF(AND(Z439=0,AC439&lt;&gt;0),"Rischio nullo con P/L","OK")))))))))))))</x:f>
      </x:c>
      <x:c r="AR439" s="20" t="str">
        <x:f>IF(OR(A439="",J439&lt;&gt;"Aperto",AQ439&lt;&gt;"OK"),"",IF(I439="Esecuzioni",SUMIFS('Esecuzioni'!$P$8:$P$1007,'Esecuzioni'!$A$8:$A$1007,A439,'Esecuzioni'!$B$8:$B$1007,_xlfn.MAXIFS('Esecuzioni'!$B$8:$B$1007,'Esecuzioni'!$A$8:$A$1007,A439)),IF(LEFT(U439,8)="FREEBET:",0,Z439)))</x:f>
      </x:c>
      <x:c r="AS439" s="48" t="str">
        <x:f>IF(OR(A439="",E439=""),"",IF(COUNTIFS($E$8:E439,E439)=1,COUNT($AS$7:AS438)+1,""))</x:f>
      </x:c>
    </x:row>
    <x:row r="440" ht="22" customHeight="1">
      <x:c r="A440" s="7"/>
      <x:c r="B440" s="19"/>
      <x:c r="C440" s="19"/>
      <x:c r="D440" s="7"/>
      <x:c r="E440" s="7"/>
      <x:c r="F440" s="7"/>
      <x:c r="G440" s="7"/>
      <x:c r="H440" s="7"/>
      <x:c r="I440" s="7"/>
      <x:c r="J440" s="7"/>
      <x:c r="K440" s="10"/>
      <x:c r="L440" s="7"/>
      <x:c r="M440" s="10"/>
      <x:c r="N440" s="7"/>
      <x:c r="O440" s="8"/>
      <x:c r="P440" s="8"/>
      <x:c r="Q440" s="8"/>
      <x:c r="R440" s="9"/>
      <x:c r="S440" s="7"/>
      <x:c r="T440" s="7"/>
      <x:c r="U440" s="7"/>
      <x:c r="V440" s="7"/>
      <x:c r="W440" s="22" t="str">
        <x:f>IF(A440="","",COUNTIFS('Esecuzioni'!$A$8:$A$1007,A440,'Esecuzioni'!$Q$8:$Q$1007,"OK"))</x:f>
      </x:c>
      <x:c r="X440" s="20" t="str">
        <x:f>IF(OR(A440="",I440&lt;&gt;"Esecuzioni",W440=0),"",SUMIFS('Esecuzioni'!$L$8:$L$1007,'Esecuzioni'!$A$8:$A$1007,A440))</x:f>
      </x:c>
      <x:c r="Y440" s="20" t="str">
        <x:f>IF(OR(A440="",I440&lt;&gt;"Esecuzioni",W440=0),"",SUMIFS('Esecuzioni'!$M$8:$M$1007,'Esecuzioni'!$A$8:$A$1007,A440))</x:f>
      </x:c>
      <x:c r="Z440" s="20" t="str">
        <x:f>IF(A440="","",IF(J440="Annullato",0,IF(ISNUMBER(O440),O440,IF(AND(I440="Esecuzioni",W440&gt;0),_xlfn.MAXIFS('Esecuzioni'!$P$8:$P$1007,'Esecuzioni'!$A$8:$A$1007,A440),""))))</x:f>
      </x:c>
      <x:c r="AA440" s="20" t="str">
        <x:f>IF(OR(A440="",J440="Aperto"),"",IF(J440="Annullato",0,IF(I440="Lordo manuale",IF(ISNUMBER(P440),P440,""),IF(I440="Netto manuale",IF(AND(ISNUMBER(P440),ISNUMBER(Q440)),P440+Q440,""),IF(OR(W440=0,COUNTIFS('Esecuzioni'!$A$8:$A$1007,A440,'Esecuzioni'!$Q$8:$Q$1007,"&lt;&gt;OK")&gt;0),"",IF(S440="Vince",X440,IF(S440="Perde",Y440,IF(AND(S440="Coperto",ABS(X440-Y440)&lt;='Impostazioni'!$B$11),ROUND((X440+Y440)/2,2),""))))))))</x:f>
      </x:c>
      <x:c r="AB440" s="20" t="str">
        <x:f>IF(NOT(ISNUMBER(AA440)),"",IF(J440="Annullato",0,IF(ISNUMBER(Q440),Q440,ROUND(MAX(0,AA440)*IF(ISNUMBER(R440),R440,'Impostazioni'!$B$8),2))))</x:f>
      </x:c>
      <x:c r="AC440" s="20" t="str">
        <x:f>IF(AND(ISNUMBER(AA440),ISNUMBER(AB440)),ROUND(AA440-AB440,2),"")</x:f>
      </x:c>
      <x:c r="AD440" s="18" t="str">
        <x:f>IF(A440="","",IF(AQ440&lt;&gt;"OK","Incompleto",IF(J440="Aperto","Aperto",IF(J440="Annullato","Annullato",IF(AC440&gt;0,"Green",IF(AC440&lt;0,"Red","Flat"))))))</x:f>
      </x:c>
      <x:c r="AE440" s="21" t="str">
        <x:f>IF(AND(AH440=1,Z440&gt;0),AC440/Z440,"")</x:f>
      </x:c>
      <x:c r="AF440" s="22" t="str">
        <x:f>IF(AH440&lt;&gt;1,"",COUNTIFS($C$8:$C$507,"&lt;"&amp;C440,$AH$8:$AH$507,1)+COUNTIFS($C$8:$C$507,C440,$A$8:$A$507,"&lt;="&amp;A440,$AH$8:$AH$507,1))</x:f>
      </x:c>
      <x:c r="AG440" s="20" t="str">
        <x:f>IF(AH440&lt;&gt;1,"",SUMIFS($AC$8:$AC$507,$C$8:$C$507,"&lt;"&amp;C440,$AH$8:$AH$507,1)+SUMIFS($AC$8:$AC$507,$C$8:$C$507,C440,$A$8:$A$507,"&lt;="&amp;A440,$AH$8:$AH$507,1))</x:f>
      </x:c>
      <x:c r="AH440" s="22" t="str">
        <x:f>IF(A440="","",IF(AND(J440="Chiuso",AQ440="OK",ISNUMBER(AC440)),1,0))</x:f>
      </x:c>
      <x:c r="AI440" s="20" t="str">
        <x:f>IF(AH440&lt;&gt;1,"",MAX(0,_xlfn.MAXIFS($AG$8:$AG$507,$AF$8:$AF$507,"&lt;="&amp;AF440,$AH$8:$AH$507,1)))</x:f>
      </x:c>
      <x:c r="AJ440" s="20" t="str">
        <x:f>IF(AH440&lt;&gt;1,"",MAX(0,AI440-AG440))</x:f>
      </x:c>
      <x:c r="AK440" s="21" t="str">
        <x:f>IF(OR(AH440&lt;&gt;1,NOT(ISNUMBER('Impostazioni'!$B$6)),'Impostazioni'!$B$6+AI440&lt;=0),"",AJ440/('Impostazioni'!$B$6+AI440))</x:f>
      </x:c>
      <x:c r="AL440" s="22" t="str">
        <x:f>IF(AH440&lt;&gt;1,"",IF(AC440&gt;0,AF440-_xlfn.MAXIFS($AF$8:$AF$507,$AF$8:$AF$507,"&lt;="&amp;AF440,$AC$8:$AC$507,"&lt;=0",$AH$8:$AH$507,1),0))</x:f>
      </x:c>
      <x:c r="AM440" s="22" t="str">
        <x:f>IF(AH440&lt;&gt;1,"",IF(AC440&lt;0,AF440-_xlfn.MAXIFS($AF$8:$AF$507,$AF$8:$AF$507,"&lt;="&amp;AF440,$AC$8:$AC$507,"&gt;=0",$AH$8:$AH$507,1),0))</x:f>
      </x:c>
      <x:c r="AN440" s="20" t="str">
        <x:f>IF(OR(A440="",NOT(ISNUMBER(B440)),NOT(ISNUMBER('Impostazioni'!$B$6))),"",'Impostazioni'!$B$6+SUMIFS($AC$8:$AC$507,$C$8:$C$507,"&lt;"&amp;B440,$AH$8:$AH$507,1)+SUMIFS('Cassa'!$F$8:$F$307,'Cassa'!$A$8:$A$307,"&lt;="&amp;B440,'Cassa'!$G$8:$G$307,"OK"))</x:f>
      </x:c>
      <x:c r="AO440" s="21" t="str">
        <x:f>IF(AND(ISNUMBER(Z440),ISNUMBER(AN440),AN440&gt;0),Z440/AN440,"")</x:f>
      </x:c>
      <x:c r="AP440" s="18" t="str">
        <x:f>IF(NOT(ISNUMBER(AO440)),"",IF(AO440&gt;'Impostazioni'!$B$7,"Oltre soglia personale","Nella soglia personale"))</x:f>
      </x:c>
      <x:c r="AQ440" s="18" t="str">
        <x:f>IF(A440="",IF(COUNTA(B440:V440)=0,"","Inserisci ID"),IF(COUNTIFS($A$8:$A$507,A440)&lt;&gt;1,"ID duplicato",IF(OR(NOT(ISNUMBER(B440)),D440="",E440="",F440="",G440="",H440="",COUNTIFS('Impostazioni'!$J$6:$J$25,F440)&lt;&gt;1),"Completa dati / elenchi",IF(OR(AND(I440&lt;&gt;"Lordo manuale",I440&lt;&gt;"Netto manuale",I440&lt;&gt;"Esecuzioni"),AND(J440&lt;&gt;"Aperto",J440&lt;&gt;"Chiuso",J440&lt;&gt;"Annullato")),"Modalità / stato mancanti",IF(AND(J440&lt;&gt;"Aperto",OR(NOT(ISNUMBER(C440)),C440&lt;B440)),"Correggi data chiusura",IF(OR(AND(Q440&lt;&gt;"",OR(NOT(ISNUMBER(Q440)),Q440&lt;0)),AND(R440&lt;&gt;"",OR(NOT(ISNUMBER(R440)),R440&lt;0,R440&gt;1))),"Commissione non valida",IF(J440="Annullato","OK",IF(OR(NOT(ISNUMBER(Z440)),Z440&lt;0,AND(O440&lt;&gt;"",NOT(ISNUMBER(O440)))),"Inserisci rischio",IF(AND(I440="Esecuzioni",OR(W440=0,COUNTIFS('Esecuzioni'!$A$8:$A$1007,A440,'Esecuzioni'!$Q$8:$Q$1007,"&lt;&gt;OK")&gt;0)),"Correggi esecuzioni",IF(J440="Aperto","OK",IF(AND(I440="Esecuzioni",S440="Coperto",ABS(X440-Y440)&gt;'Impostazioni'!$B$11),"Copertura residua",IF(NOT(ISNUMBER(AC440)),"Completa risultato / esito",IF(AND(Z440=0,AC440&lt;&gt;0),"Rischio nullo con P/L","OK")))))))))))))</x:f>
      </x:c>
      <x:c r="AR440" s="20" t="str">
        <x:f>IF(OR(A440="",J440&lt;&gt;"Aperto",AQ440&lt;&gt;"OK"),"",IF(I440="Esecuzioni",SUMIFS('Esecuzioni'!$P$8:$P$1007,'Esecuzioni'!$A$8:$A$1007,A440,'Esecuzioni'!$B$8:$B$1007,_xlfn.MAXIFS('Esecuzioni'!$B$8:$B$1007,'Esecuzioni'!$A$8:$A$1007,A440)),IF(LEFT(U440,8)="FREEBET:",0,Z440)))</x:f>
      </x:c>
      <x:c r="AS440" s="48" t="str">
        <x:f>IF(OR(A440="",E440=""),"",IF(COUNTIFS($E$8:E440,E440)=1,COUNT($AS$7:AS439)+1,""))</x:f>
      </x:c>
    </x:row>
    <x:row r="441" ht="22" customHeight="1">
      <x:c r="A441" s="7"/>
      <x:c r="B441" s="19"/>
      <x:c r="C441" s="19"/>
      <x:c r="D441" s="7"/>
      <x:c r="E441" s="7"/>
      <x:c r="F441" s="7"/>
      <x:c r="G441" s="7"/>
      <x:c r="H441" s="7"/>
      <x:c r="I441" s="7"/>
      <x:c r="J441" s="7"/>
      <x:c r="K441" s="10"/>
      <x:c r="L441" s="7"/>
      <x:c r="M441" s="10"/>
      <x:c r="N441" s="7"/>
      <x:c r="O441" s="8"/>
      <x:c r="P441" s="8"/>
      <x:c r="Q441" s="8"/>
      <x:c r="R441" s="9"/>
      <x:c r="S441" s="7"/>
      <x:c r="T441" s="7"/>
      <x:c r="U441" s="7"/>
      <x:c r="V441" s="7"/>
      <x:c r="W441" s="22" t="str">
        <x:f>IF(A441="","",COUNTIFS('Esecuzioni'!$A$8:$A$1007,A441,'Esecuzioni'!$Q$8:$Q$1007,"OK"))</x:f>
      </x:c>
      <x:c r="X441" s="20" t="str">
        <x:f>IF(OR(A441="",I441&lt;&gt;"Esecuzioni",W441=0),"",SUMIFS('Esecuzioni'!$L$8:$L$1007,'Esecuzioni'!$A$8:$A$1007,A441))</x:f>
      </x:c>
      <x:c r="Y441" s="20" t="str">
        <x:f>IF(OR(A441="",I441&lt;&gt;"Esecuzioni",W441=0),"",SUMIFS('Esecuzioni'!$M$8:$M$1007,'Esecuzioni'!$A$8:$A$1007,A441))</x:f>
      </x:c>
      <x:c r="Z441" s="20" t="str">
        <x:f>IF(A441="","",IF(J441="Annullato",0,IF(ISNUMBER(O441),O441,IF(AND(I441="Esecuzioni",W441&gt;0),_xlfn.MAXIFS('Esecuzioni'!$P$8:$P$1007,'Esecuzioni'!$A$8:$A$1007,A441),""))))</x:f>
      </x:c>
      <x:c r="AA441" s="20" t="str">
        <x:f>IF(OR(A441="",J441="Aperto"),"",IF(J441="Annullato",0,IF(I441="Lordo manuale",IF(ISNUMBER(P441),P441,""),IF(I441="Netto manuale",IF(AND(ISNUMBER(P441),ISNUMBER(Q441)),P441+Q441,""),IF(OR(W441=0,COUNTIFS('Esecuzioni'!$A$8:$A$1007,A441,'Esecuzioni'!$Q$8:$Q$1007,"&lt;&gt;OK")&gt;0),"",IF(S441="Vince",X441,IF(S441="Perde",Y441,IF(AND(S441="Coperto",ABS(X441-Y441)&lt;='Impostazioni'!$B$11),ROUND((X441+Y441)/2,2),""))))))))</x:f>
      </x:c>
      <x:c r="AB441" s="20" t="str">
        <x:f>IF(NOT(ISNUMBER(AA441)),"",IF(J441="Annullato",0,IF(ISNUMBER(Q441),Q441,ROUND(MAX(0,AA441)*IF(ISNUMBER(R441),R441,'Impostazioni'!$B$8),2))))</x:f>
      </x:c>
      <x:c r="AC441" s="20" t="str">
        <x:f>IF(AND(ISNUMBER(AA441),ISNUMBER(AB441)),ROUND(AA441-AB441,2),"")</x:f>
      </x:c>
      <x:c r="AD441" s="18" t="str">
        <x:f>IF(A441="","",IF(AQ441&lt;&gt;"OK","Incompleto",IF(J441="Aperto","Aperto",IF(J441="Annullato","Annullato",IF(AC441&gt;0,"Green",IF(AC441&lt;0,"Red","Flat"))))))</x:f>
      </x:c>
      <x:c r="AE441" s="21" t="str">
        <x:f>IF(AND(AH441=1,Z441&gt;0),AC441/Z441,"")</x:f>
      </x:c>
      <x:c r="AF441" s="22" t="str">
        <x:f>IF(AH441&lt;&gt;1,"",COUNTIFS($C$8:$C$507,"&lt;"&amp;C441,$AH$8:$AH$507,1)+COUNTIFS($C$8:$C$507,C441,$A$8:$A$507,"&lt;="&amp;A441,$AH$8:$AH$507,1))</x:f>
      </x:c>
      <x:c r="AG441" s="20" t="str">
        <x:f>IF(AH441&lt;&gt;1,"",SUMIFS($AC$8:$AC$507,$C$8:$C$507,"&lt;"&amp;C441,$AH$8:$AH$507,1)+SUMIFS($AC$8:$AC$507,$C$8:$C$507,C441,$A$8:$A$507,"&lt;="&amp;A441,$AH$8:$AH$507,1))</x:f>
      </x:c>
      <x:c r="AH441" s="22" t="str">
        <x:f>IF(A441="","",IF(AND(J441="Chiuso",AQ441="OK",ISNUMBER(AC441)),1,0))</x:f>
      </x:c>
      <x:c r="AI441" s="20" t="str">
        <x:f>IF(AH441&lt;&gt;1,"",MAX(0,_xlfn.MAXIFS($AG$8:$AG$507,$AF$8:$AF$507,"&lt;="&amp;AF441,$AH$8:$AH$507,1)))</x:f>
      </x:c>
      <x:c r="AJ441" s="20" t="str">
        <x:f>IF(AH441&lt;&gt;1,"",MAX(0,AI441-AG441))</x:f>
      </x:c>
      <x:c r="AK441" s="21" t="str">
        <x:f>IF(OR(AH441&lt;&gt;1,NOT(ISNUMBER('Impostazioni'!$B$6)),'Impostazioni'!$B$6+AI441&lt;=0),"",AJ441/('Impostazioni'!$B$6+AI441))</x:f>
      </x:c>
      <x:c r="AL441" s="22" t="str">
        <x:f>IF(AH441&lt;&gt;1,"",IF(AC441&gt;0,AF441-_xlfn.MAXIFS($AF$8:$AF$507,$AF$8:$AF$507,"&lt;="&amp;AF441,$AC$8:$AC$507,"&lt;=0",$AH$8:$AH$507,1),0))</x:f>
      </x:c>
      <x:c r="AM441" s="22" t="str">
        <x:f>IF(AH441&lt;&gt;1,"",IF(AC441&lt;0,AF441-_xlfn.MAXIFS($AF$8:$AF$507,$AF$8:$AF$507,"&lt;="&amp;AF441,$AC$8:$AC$507,"&gt;=0",$AH$8:$AH$507,1),0))</x:f>
      </x:c>
      <x:c r="AN441" s="20" t="str">
        <x:f>IF(OR(A441="",NOT(ISNUMBER(B441)),NOT(ISNUMBER('Impostazioni'!$B$6))),"",'Impostazioni'!$B$6+SUMIFS($AC$8:$AC$507,$C$8:$C$507,"&lt;"&amp;B441,$AH$8:$AH$507,1)+SUMIFS('Cassa'!$F$8:$F$307,'Cassa'!$A$8:$A$307,"&lt;="&amp;B441,'Cassa'!$G$8:$G$307,"OK"))</x:f>
      </x:c>
      <x:c r="AO441" s="21" t="str">
        <x:f>IF(AND(ISNUMBER(Z441),ISNUMBER(AN441),AN441&gt;0),Z441/AN441,"")</x:f>
      </x:c>
      <x:c r="AP441" s="18" t="str">
        <x:f>IF(NOT(ISNUMBER(AO441)),"",IF(AO441&gt;'Impostazioni'!$B$7,"Oltre soglia personale","Nella soglia personale"))</x:f>
      </x:c>
      <x:c r="AQ441" s="18" t="str">
        <x:f>IF(A441="",IF(COUNTA(B441:V441)=0,"","Inserisci ID"),IF(COUNTIFS($A$8:$A$507,A441)&lt;&gt;1,"ID duplicato",IF(OR(NOT(ISNUMBER(B441)),D441="",E441="",F441="",G441="",H441="",COUNTIFS('Impostazioni'!$J$6:$J$25,F441)&lt;&gt;1),"Completa dati / elenchi",IF(OR(AND(I441&lt;&gt;"Lordo manuale",I441&lt;&gt;"Netto manuale",I441&lt;&gt;"Esecuzioni"),AND(J441&lt;&gt;"Aperto",J441&lt;&gt;"Chiuso",J441&lt;&gt;"Annullato")),"Modalità / stato mancanti",IF(AND(J441&lt;&gt;"Aperto",OR(NOT(ISNUMBER(C441)),C441&lt;B441)),"Correggi data chiusura",IF(OR(AND(Q441&lt;&gt;"",OR(NOT(ISNUMBER(Q441)),Q441&lt;0)),AND(R441&lt;&gt;"",OR(NOT(ISNUMBER(R441)),R441&lt;0,R441&gt;1))),"Commissione non valida",IF(J441="Annullato","OK",IF(OR(NOT(ISNUMBER(Z441)),Z441&lt;0,AND(O441&lt;&gt;"",NOT(ISNUMBER(O441)))),"Inserisci rischio",IF(AND(I441="Esecuzioni",OR(W441=0,COUNTIFS('Esecuzioni'!$A$8:$A$1007,A441,'Esecuzioni'!$Q$8:$Q$1007,"&lt;&gt;OK")&gt;0)),"Correggi esecuzioni",IF(J441="Aperto","OK",IF(AND(I441="Esecuzioni",S441="Coperto",ABS(X441-Y441)&gt;'Impostazioni'!$B$11),"Copertura residua",IF(NOT(ISNUMBER(AC441)),"Completa risultato / esito",IF(AND(Z441=0,AC441&lt;&gt;0),"Rischio nullo con P/L","OK")))))))))))))</x:f>
      </x:c>
      <x:c r="AR441" s="20" t="str">
        <x:f>IF(OR(A441="",J441&lt;&gt;"Aperto",AQ441&lt;&gt;"OK"),"",IF(I441="Esecuzioni",SUMIFS('Esecuzioni'!$P$8:$P$1007,'Esecuzioni'!$A$8:$A$1007,A441,'Esecuzioni'!$B$8:$B$1007,_xlfn.MAXIFS('Esecuzioni'!$B$8:$B$1007,'Esecuzioni'!$A$8:$A$1007,A441)),IF(LEFT(U441,8)="FREEBET:",0,Z441)))</x:f>
      </x:c>
      <x:c r="AS441" s="48" t="str">
        <x:f>IF(OR(A441="",E441=""),"",IF(COUNTIFS($E$8:E441,E441)=1,COUNT($AS$7:AS440)+1,""))</x:f>
      </x:c>
    </x:row>
    <x:row r="442" ht="22" customHeight="1">
      <x:c r="A442" s="7"/>
      <x:c r="B442" s="19"/>
      <x:c r="C442" s="19"/>
      <x:c r="D442" s="7"/>
      <x:c r="E442" s="7"/>
      <x:c r="F442" s="7"/>
      <x:c r="G442" s="7"/>
      <x:c r="H442" s="7"/>
      <x:c r="I442" s="7"/>
      <x:c r="J442" s="7"/>
      <x:c r="K442" s="10"/>
      <x:c r="L442" s="7"/>
      <x:c r="M442" s="10"/>
      <x:c r="N442" s="7"/>
      <x:c r="O442" s="8"/>
      <x:c r="P442" s="8"/>
      <x:c r="Q442" s="8"/>
      <x:c r="R442" s="9"/>
      <x:c r="S442" s="7"/>
      <x:c r="T442" s="7"/>
      <x:c r="U442" s="7"/>
      <x:c r="V442" s="7"/>
      <x:c r="W442" s="22" t="str">
        <x:f>IF(A442="","",COUNTIFS('Esecuzioni'!$A$8:$A$1007,A442,'Esecuzioni'!$Q$8:$Q$1007,"OK"))</x:f>
      </x:c>
      <x:c r="X442" s="20" t="str">
        <x:f>IF(OR(A442="",I442&lt;&gt;"Esecuzioni",W442=0),"",SUMIFS('Esecuzioni'!$L$8:$L$1007,'Esecuzioni'!$A$8:$A$1007,A442))</x:f>
      </x:c>
      <x:c r="Y442" s="20" t="str">
        <x:f>IF(OR(A442="",I442&lt;&gt;"Esecuzioni",W442=0),"",SUMIFS('Esecuzioni'!$M$8:$M$1007,'Esecuzioni'!$A$8:$A$1007,A442))</x:f>
      </x:c>
      <x:c r="Z442" s="20" t="str">
        <x:f>IF(A442="","",IF(J442="Annullato",0,IF(ISNUMBER(O442),O442,IF(AND(I442="Esecuzioni",W442&gt;0),_xlfn.MAXIFS('Esecuzioni'!$P$8:$P$1007,'Esecuzioni'!$A$8:$A$1007,A442),""))))</x:f>
      </x:c>
      <x:c r="AA442" s="20" t="str">
        <x:f>IF(OR(A442="",J442="Aperto"),"",IF(J442="Annullato",0,IF(I442="Lordo manuale",IF(ISNUMBER(P442),P442,""),IF(I442="Netto manuale",IF(AND(ISNUMBER(P442),ISNUMBER(Q442)),P442+Q442,""),IF(OR(W442=0,COUNTIFS('Esecuzioni'!$A$8:$A$1007,A442,'Esecuzioni'!$Q$8:$Q$1007,"&lt;&gt;OK")&gt;0),"",IF(S442="Vince",X442,IF(S442="Perde",Y442,IF(AND(S442="Coperto",ABS(X442-Y442)&lt;='Impostazioni'!$B$11),ROUND((X442+Y442)/2,2),""))))))))</x:f>
      </x:c>
      <x:c r="AB442" s="20" t="str">
        <x:f>IF(NOT(ISNUMBER(AA442)),"",IF(J442="Annullato",0,IF(ISNUMBER(Q442),Q442,ROUND(MAX(0,AA442)*IF(ISNUMBER(R442),R442,'Impostazioni'!$B$8),2))))</x:f>
      </x:c>
      <x:c r="AC442" s="20" t="str">
        <x:f>IF(AND(ISNUMBER(AA442),ISNUMBER(AB442)),ROUND(AA442-AB442,2),"")</x:f>
      </x:c>
      <x:c r="AD442" s="18" t="str">
        <x:f>IF(A442="","",IF(AQ442&lt;&gt;"OK","Incompleto",IF(J442="Aperto","Aperto",IF(J442="Annullato","Annullato",IF(AC442&gt;0,"Green",IF(AC442&lt;0,"Red","Flat"))))))</x:f>
      </x:c>
      <x:c r="AE442" s="21" t="str">
        <x:f>IF(AND(AH442=1,Z442&gt;0),AC442/Z442,"")</x:f>
      </x:c>
      <x:c r="AF442" s="22" t="str">
        <x:f>IF(AH442&lt;&gt;1,"",COUNTIFS($C$8:$C$507,"&lt;"&amp;C442,$AH$8:$AH$507,1)+COUNTIFS($C$8:$C$507,C442,$A$8:$A$507,"&lt;="&amp;A442,$AH$8:$AH$507,1))</x:f>
      </x:c>
      <x:c r="AG442" s="20" t="str">
        <x:f>IF(AH442&lt;&gt;1,"",SUMIFS($AC$8:$AC$507,$C$8:$C$507,"&lt;"&amp;C442,$AH$8:$AH$507,1)+SUMIFS($AC$8:$AC$507,$C$8:$C$507,C442,$A$8:$A$507,"&lt;="&amp;A442,$AH$8:$AH$507,1))</x:f>
      </x:c>
      <x:c r="AH442" s="22" t="str">
        <x:f>IF(A442="","",IF(AND(J442="Chiuso",AQ442="OK",ISNUMBER(AC442)),1,0))</x:f>
      </x:c>
      <x:c r="AI442" s="20" t="str">
        <x:f>IF(AH442&lt;&gt;1,"",MAX(0,_xlfn.MAXIFS($AG$8:$AG$507,$AF$8:$AF$507,"&lt;="&amp;AF442,$AH$8:$AH$507,1)))</x:f>
      </x:c>
      <x:c r="AJ442" s="20" t="str">
        <x:f>IF(AH442&lt;&gt;1,"",MAX(0,AI442-AG442))</x:f>
      </x:c>
      <x:c r="AK442" s="21" t="str">
        <x:f>IF(OR(AH442&lt;&gt;1,NOT(ISNUMBER('Impostazioni'!$B$6)),'Impostazioni'!$B$6+AI442&lt;=0),"",AJ442/('Impostazioni'!$B$6+AI442))</x:f>
      </x:c>
      <x:c r="AL442" s="22" t="str">
        <x:f>IF(AH442&lt;&gt;1,"",IF(AC442&gt;0,AF442-_xlfn.MAXIFS($AF$8:$AF$507,$AF$8:$AF$507,"&lt;="&amp;AF442,$AC$8:$AC$507,"&lt;=0",$AH$8:$AH$507,1),0))</x:f>
      </x:c>
      <x:c r="AM442" s="22" t="str">
        <x:f>IF(AH442&lt;&gt;1,"",IF(AC442&lt;0,AF442-_xlfn.MAXIFS($AF$8:$AF$507,$AF$8:$AF$507,"&lt;="&amp;AF442,$AC$8:$AC$507,"&gt;=0",$AH$8:$AH$507,1),0))</x:f>
      </x:c>
      <x:c r="AN442" s="20" t="str">
        <x:f>IF(OR(A442="",NOT(ISNUMBER(B442)),NOT(ISNUMBER('Impostazioni'!$B$6))),"",'Impostazioni'!$B$6+SUMIFS($AC$8:$AC$507,$C$8:$C$507,"&lt;"&amp;B442,$AH$8:$AH$507,1)+SUMIFS('Cassa'!$F$8:$F$307,'Cassa'!$A$8:$A$307,"&lt;="&amp;B442,'Cassa'!$G$8:$G$307,"OK"))</x:f>
      </x:c>
      <x:c r="AO442" s="21" t="str">
        <x:f>IF(AND(ISNUMBER(Z442),ISNUMBER(AN442),AN442&gt;0),Z442/AN442,"")</x:f>
      </x:c>
      <x:c r="AP442" s="18" t="str">
        <x:f>IF(NOT(ISNUMBER(AO442)),"",IF(AO442&gt;'Impostazioni'!$B$7,"Oltre soglia personale","Nella soglia personale"))</x:f>
      </x:c>
      <x:c r="AQ442" s="18" t="str">
        <x:f>IF(A442="",IF(COUNTA(B442:V442)=0,"","Inserisci ID"),IF(COUNTIFS($A$8:$A$507,A442)&lt;&gt;1,"ID duplicato",IF(OR(NOT(ISNUMBER(B442)),D442="",E442="",F442="",G442="",H442="",COUNTIFS('Impostazioni'!$J$6:$J$25,F442)&lt;&gt;1),"Completa dati / elenchi",IF(OR(AND(I442&lt;&gt;"Lordo manuale",I442&lt;&gt;"Netto manuale",I442&lt;&gt;"Esecuzioni"),AND(J442&lt;&gt;"Aperto",J442&lt;&gt;"Chiuso",J442&lt;&gt;"Annullato")),"Modalità / stato mancanti",IF(AND(J442&lt;&gt;"Aperto",OR(NOT(ISNUMBER(C442)),C442&lt;B442)),"Correggi data chiusura",IF(OR(AND(Q442&lt;&gt;"",OR(NOT(ISNUMBER(Q442)),Q442&lt;0)),AND(R442&lt;&gt;"",OR(NOT(ISNUMBER(R442)),R442&lt;0,R442&gt;1))),"Commissione non valida",IF(J442="Annullato","OK",IF(OR(NOT(ISNUMBER(Z442)),Z442&lt;0,AND(O442&lt;&gt;"",NOT(ISNUMBER(O442)))),"Inserisci rischio",IF(AND(I442="Esecuzioni",OR(W442=0,COUNTIFS('Esecuzioni'!$A$8:$A$1007,A442,'Esecuzioni'!$Q$8:$Q$1007,"&lt;&gt;OK")&gt;0)),"Correggi esecuzioni",IF(J442="Aperto","OK",IF(AND(I442="Esecuzioni",S442="Coperto",ABS(X442-Y442)&gt;'Impostazioni'!$B$11),"Copertura residua",IF(NOT(ISNUMBER(AC442)),"Completa risultato / esito",IF(AND(Z442=0,AC442&lt;&gt;0),"Rischio nullo con P/L","OK")))))))))))))</x:f>
      </x:c>
      <x:c r="AR442" s="20" t="str">
        <x:f>IF(OR(A442="",J442&lt;&gt;"Aperto",AQ442&lt;&gt;"OK"),"",IF(I442="Esecuzioni",SUMIFS('Esecuzioni'!$P$8:$P$1007,'Esecuzioni'!$A$8:$A$1007,A442,'Esecuzioni'!$B$8:$B$1007,_xlfn.MAXIFS('Esecuzioni'!$B$8:$B$1007,'Esecuzioni'!$A$8:$A$1007,A442)),IF(LEFT(U442,8)="FREEBET:",0,Z442)))</x:f>
      </x:c>
      <x:c r="AS442" s="48" t="str">
        <x:f>IF(OR(A442="",E442=""),"",IF(COUNTIFS($E$8:E442,E442)=1,COUNT($AS$7:AS441)+1,""))</x:f>
      </x:c>
    </x:row>
    <x:row r="443" ht="22" customHeight="1">
      <x:c r="A443" s="7"/>
      <x:c r="B443" s="19"/>
      <x:c r="C443" s="19"/>
      <x:c r="D443" s="7"/>
      <x:c r="E443" s="7"/>
      <x:c r="F443" s="7"/>
      <x:c r="G443" s="7"/>
      <x:c r="H443" s="7"/>
      <x:c r="I443" s="7"/>
      <x:c r="J443" s="7"/>
      <x:c r="K443" s="10"/>
      <x:c r="L443" s="7"/>
      <x:c r="M443" s="10"/>
      <x:c r="N443" s="7"/>
      <x:c r="O443" s="8"/>
      <x:c r="P443" s="8"/>
      <x:c r="Q443" s="8"/>
      <x:c r="R443" s="9"/>
      <x:c r="S443" s="7"/>
      <x:c r="T443" s="7"/>
      <x:c r="U443" s="7"/>
      <x:c r="V443" s="7"/>
      <x:c r="W443" s="22" t="str">
        <x:f>IF(A443="","",COUNTIFS('Esecuzioni'!$A$8:$A$1007,A443,'Esecuzioni'!$Q$8:$Q$1007,"OK"))</x:f>
      </x:c>
      <x:c r="X443" s="20" t="str">
        <x:f>IF(OR(A443="",I443&lt;&gt;"Esecuzioni",W443=0),"",SUMIFS('Esecuzioni'!$L$8:$L$1007,'Esecuzioni'!$A$8:$A$1007,A443))</x:f>
      </x:c>
      <x:c r="Y443" s="20" t="str">
        <x:f>IF(OR(A443="",I443&lt;&gt;"Esecuzioni",W443=0),"",SUMIFS('Esecuzioni'!$M$8:$M$1007,'Esecuzioni'!$A$8:$A$1007,A443))</x:f>
      </x:c>
      <x:c r="Z443" s="20" t="str">
        <x:f>IF(A443="","",IF(J443="Annullato",0,IF(ISNUMBER(O443),O443,IF(AND(I443="Esecuzioni",W443&gt;0),_xlfn.MAXIFS('Esecuzioni'!$P$8:$P$1007,'Esecuzioni'!$A$8:$A$1007,A443),""))))</x:f>
      </x:c>
      <x:c r="AA443" s="20" t="str">
        <x:f>IF(OR(A443="",J443="Aperto"),"",IF(J443="Annullato",0,IF(I443="Lordo manuale",IF(ISNUMBER(P443),P443,""),IF(I443="Netto manuale",IF(AND(ISNUMBER(P443),ISNUMBER(Q443)),P443+Q443,""),IF(OR(W443=0,COUNTIFS('Esecuzioni'!$A$8:$A$1007,A443,'Esecuzioni'!$Q$8:$Q$1007,"&lt;&gt;OK")&gt;0),"",IF(S443="Vince",X443,IF(S443="Perde",Y443,IF(AND(S443="Coperto",ABS(X443-Y443)&lt;='Impostazioni'!$B$11),ROUND((X443+Y443)/2,2),""))))))))</x:f>
      </x:c>
      <x:c r="AB443" s="20" t="str">
        <x:f>IF(NOT(ISNUMBER(AA443)),"",IF(J443="Annullato",0,IF(ISNUMBER(Q443),Q443,ROUND(MAX(0,AA443)*IF(ISNUMBER(R443),R443,'Impostazioni'!$B$8),2))))</x:f>
      </x:c>
      <x:c r="AC443" s="20" t="str">
        <x:f>IF(AND(ISNUMBER(AA443),ISNUMBER(AB443)),ROUND(AA443-AB443,2),"")</x:f>
      </x:c>
      <x:c r="AD443" s="18" t="str">
        <x:f>IF(A443="","",IF(AQ443&lt;&gt;"OK","Incompleto",IF(J443="Aperto","Aperto",IF(J443="Annullato","Annullato",IF(AC443&gt;0,"Green",IF(AC443&lt;0,"Red","Flat"))))))</x:f>
      </x:c>
      <x:c r="AE443" s="21" t="str">
        <x:f>IF(AND(AH443=1,Z443&gt;0),AC443/Z443,"")</x:f>
      </x:c>
      <x:c r="AF443" s="22" t="str">
        <x:f>IF(AH443&lt;&gt;1,"",COUNTIFS($C$8:$C$507,"&lt;"&amp;C443,$AH$8:$AH$507,1)+COUNTIFS($C$8:$C$507,C443,$A$8:$A$507,"&lt;="&amp;A443,$AH$8:$AH$507,1))</x:f>
      </x:c>
      <x:c r="AG443" s="20" t="str">
        <x:f>IF(AH443&lt;&gt;1,"",SUMIFS($AC$8:$AC$507,$C$8:$C$507,"&lt;"&amp;C443,$AH$8:$AH$507,1)+SUMIFS($AC$8:$AC$507,$C$8:$C$507,C443,$A$8:$A$507,"&lt;="&amp;A443,$AH$8:$AH$507,1))</x:f>
      </x:c>
      <x:c r="AH443" s="22" t="str">
        <x:f>IF(A443="","",IF(AND(J443="Chiuso",AQ443="OK",ISNUMBER(AC443)),1,0))</x:f>
      </x:c>
      <x:c r="AI443" s="20" t="str">
        <x:f>IF(AH443&lt;&gt;1,"",MAX(0,_xlfn.MAXIFS($AG$8:$AG$507,$AF$8:$AF$507,"&lt;="&amp;AF443,$AH$8:$AH$507,1)))</x:f>
      </x:c>
      <x:c r="AJ443" s="20" t="str">
        <x:f>IF(AH443&lt;&gt;1,"",MAX(0,AI443-AG443))</x:f>
      </x:c>
      <x:c r="AK443" s="21" t="str">
        <x:f>IF(OR(AH443&lt;&gt;1,NOT(ISNUMBER('Impostazioni'!$B$6)),'Impostazioni'!$B$6+AI443&lt;=0),"",AJ443/('Impostazioni'!$B$6+AI443))</x:f>
      </x:c>
      <x:c r="AL443" s="22" t="str">
        <x:f>IF(AH443&lt;&gt;1,"",IF(AC443&gt;0,AF443-_xlfn.MAXIFS($AF$8:$AF$507,$AF$8:$AF$507,"&lt;="&amp;AF443,$AC$8:$AC$507,"&lt;=0",$AH$8:$AH$507,1),0))</x:f>
      </x:c>
      <x:c r="AM443" s="22" t="str">
        <x:f>IF(AH443&lt;&gt;1,"",IF(AC443&lt;0,AF443-_xlfn.MAXIFS($AF$8:$AF$507,$AF$8:$AF$507,"&lt;="&amp;AF443,$AC$8:$AC$507,"&gt;=0",$AH$8:$AH$507,1),0))</x:f>
      </x:c>
      <x:c r="AN443" s="20" t="str">
        <x:f>IF(OR(A443="",NOT(ISNUMBER(B443)),NOT(ISNUMBER('Impostazioni'!$B$6))),"",'Impostazioni'!$B$6+SUMIFS($AC$8:$AC$507,$C$8:$C$507,"&lt;"&amp;B443,$AH$8:$AH$507,1)+SUMIFS('Cassa'!$F$8:$F$307,'Cassa'!$A$8:$A$307,"&lt;="&amp;B443,'Cassa'!$G$8:$G$307,"OK"))</x:f>
      </x:c>
      <x:c r="AO443" s="21" t="str">
        <x:f>IF(AND(ISNUMBER(Z443),ISNUMBER(AN443),AN443&gt;0),Z443/AN443,"")</x:f>
      </x:c>
      <x:c r="AP443" s="18" t="str">
        <x:f>IF(NOT(ISNUMBER(AO443)),"",IF(AO443&gt;'Impostazioni'!$B$7,"Oltre soglia personale","Nella soglia personale"))</x:f>
      </x:c>
      <x:c r="AQ443" s="18" t="str">
        <x:f>IF(A443="",IF(COUNTA(B443:V443)=0,"","Inserisci ID"),IF(COUNTIFS($A$8:$A$507,A443)&lt;&gt;1,"ID duplicato",IF(OR(NOT(ISNUMBER(B443)),D443="",E443="",F443="",G443="",H443="",COUNTIFS('Impostazioni'!$J$6:$J$25,F443)&lt;&gt;1),"Completa dati / elenchi",IF(OR(AND(I443&lt;&gt;"Lordo manuale",I443&lt;&gt;"Netto manuale",I443&lt;&gt;"Esecuzioni"),AND(J443&lt;&gt;"Aperto",J443&lt;&gt;"Chiuso",J443&lt;&gt;"Annullato")),"Modalità / stato mancanti",IF(AND(J443&lt;&gt;"Aperto",OR(NOT(ISNUMBER(C443)),C443&lt;B443)),"Correggi data chiusura",IF(OR(AND(Q443&lt;&gt;"",OR(NOT(ISNUMBER(Q443)),Q443&lt;0)),AND(R443&lt;&gt;"",OR(NOT(ISNUMBER(R443)),R443&lt;0,R443&gt;1))),"Commissione non valida",IF(J443="Annullato","OK",IF(OR(NOT(ISNUMBER(Z443)),Z443&lt;0,AND(O443&lt;&gt;"",NOT(ISNUMBER(O443)))),"Inserisci rischio",IF(AND(I443="Esecuzioni",OR(W443=0,COUNTIFS('Esecuzioni'!$A$8:$A$1007,A443,'Esecuzioni'!$Q$8:$Q$1007,"&lt;&gt;OK")&gt;0)),"Correggi esecuzioni",IF(J443="Aperto","OK",IF(AND(I443="Esecuzioni",S443="Coperto",ABS(X443-Y443)&gt;'Impostazioni'!$B$11),"Copertura residua",IF(NOT(ISNUMBER(AC443)),"Completa risultato / esito",IF(AND(Z443=0,AC443&lt;&gt;0),"Rischio nullo con P/L","OK")))))))))))))</x:f>
      </x:c>
      <x:c r="AR443" s="20" t="str">
        <x:f>IF(OR(A443="",J443&lt;&gt;"Aperto",AQ443&lt;&gt;"OK"),"",IF(I443="Esecuzioni",SUMIFS('Esecuzioni'!$P$8:$P$1007,'Esecuzioni'!$A$8:$A$1007,A443,'Esecuzioni'!$B$8:$B$1007,_xlfn.MAXIFS('Esecuzioni'!$B$8:$B$1007,'Esecuzioni'!$A$8:$A$1007,A443)),IF(LEFT(U443,8)="FREEBET:",0,Z443)))</x:f>
      </x:c>
      <x:c r="AS443" s="48" t="str">
        <x:f>IF(OR(A443="",E443=""),"",IF(COUNTIFS($E$8:E443,E443)=1,COUNT($AS$7:AS442)+1,""))</x:f>
      </x:c>
    </x:row>
    <x:row r="444" ht="22" customHeight="1">
      <x:c r="A444" s="7"/>
      <x:c r="B444" s="19"/>
      <x:c r="C444" s="19"/>
      <x:c r="D444" s="7"/>
      <x:c r="E444" s="7"/>
      <x:c r="F444" s="7"/>
      <x:c r="G444" s="7"/>
      <x:c r="H444" s="7"/>
      <x:c r="I444" s="7"/>
      <x:c r="J444" s="7"/>
      <x:c r="K444" s="10"/>
      <x:c r="L444" s="7"/>
      <x:c r="M444" s="10"/>
      <x:c r="N444" s="7"/>
      <x:c r="O444" s="8"/>
      <x:c r="P444" s="8"/>
      <x:c r="Q444" s="8"/>
      <x:c r="R444" s="9"/>
      <x:c r="S444" s="7"/>
      <x:c r="T444" s="7"/>
      <x:c r="U444" s="7"/>
      <x:c r="V444" s="7"/>
      <x:c r="W444" s="22" t="str">
        <x:f>IF(A444="","",COUNTIFS('Esecuzioni'!$A$8:$A$1007,A444,'Esecuzioni'!$Q$8:$Q$1007,"OK"))</x:f>
      </x:c>
      <x:c r="X444" s="20" t="str">
        <x:f>IF(OR(A444="",I444&lt;&gt;"Esecuzioni",W444=0),"",SUMIFS('Esecuzioni'!$L$8:$L$1007,'Esecuzioni'!$A$8:$A$1007,A444))</x:f>
      </x:c>
      <x:c r="Y444" s="20" t="str">
        <x:f>IF(OR(A444="",I444&lt;&gt;"Esecuzioni",W444=0),"",SUMIFS('Esecuzioni'!$M$8:$M$1007,'Esecuzioni'!$A$8:$A$1007,A444))</x:f>
      </x:c>
      <x:c r="Z444" s="20" t="str">
        <x:f>IF(A444="","",IF(J444="Annullato",0,IF(ISNUMBER(O444),O444,IF(AND(I444="Esecuzioni",W444&gt;0),_xlfn.MAXIFS('Esecuzioni'!$P$8:$P$1007,'Esecuzioni'!$A$8:$A$1007,A444),""))))</x:f>
      </x:c>
      <x:c r="AA444" s="20" t="str">
        <x:f>IF(OR(A444="",J444="Aperto"),"",IF(J444="Annullato",0,IF(I444="Lordo manuale",IF(ISNUMBER(P444),P444,""),IF(I444="Netto manuale",IF(AND(ISNUMBER(P444),ISNUMBER(Q444)),P444+Q444,""),IF(OR(W444=0,COUNTIFS('Esecuzioni'!$A$8:$A$1007,A444,'Esecuzioni'!$Q$8:$Q$1007,"&lt;&gt;OK")&gt;0),"",IF(S444="Vince",X444,IF(S444="Perde",Y444,IF(AND(S444="Coperto",ABS(X444-Y444)&lt;='Impostazioni'!$B$11),ROUND((X444+Y444)/2,2),""))))))))</x:f>
      </x:c>
      <x:c r="AB444" s="20" t="str">
        <x:f>IF(NOT(ISNUMBER(AA444)),"",IF(J444="Annullato",0,IF(ISNUMBER(Q444),Q444,ROUND(MAX(0,AA444)*IF(ISNUMBER(R444),R444,'Impostazioni'!$B$8),2))))</x:f>
      </x:c>
      <x:c r="AC444" s="20" t="str">
        <x:f>IF(AND(ISNUMBER(AA444),ISNUMBER(AB444)),ROUND(AA444-AB444,2),"")</x:f>
      </x:c>
      <x:c r="AD444" s="18" t="str">
        <x:f>IF(A444="","",IF(AQ444&lt;&gt;"OK","Incompleto",IF(J444="Aperto","Aperto",IF(J444="Annullato","Annullato",IF(AC444&gt;0,"Green",IF(AC444&lt;0,"Red","Flat"))))))</x:f>
      </x:c>
      <x:c r="AE444" s="21" t="str">
        <x:f>IF(AND(AH444=1,Z444&gt;0),AC444/Z444,"")</x:f>
      </x:c>
      <x:c r="AF444" s="22" t="str">
        <x:f>IF(AH444&lt;&gt;1,"",COUNTIFS($C$8:$C$507,"&lt;"&amp;C444,$AH$8:$AH$507,1)+COUNTIFS($C$8:$C$507,C444,$A$8:$A$507,"&lt;="&amp;A444,$AH$8:$AH$507,1))</x:f>
      </x:c>
      <x:c r="AG444" s="20" t="str">
        <x:f>IF(AH444&lt;&gt;1,"",SUMIFS($AC$8:$AC$507,$C$8:$C$507,"&lt;"&amp;C444,$AH$8:$AH$507,1)+SUMIFS($AC$8:$AC$507,$C$8:$C$507,C444,$A$8:$A$507,"&lt;="&amp;A444,$AH$8:$AH$507,1))</x:f>
      </x:c>
      <x:c r="AH444" s="22" t="str">
        <x:f>IF(A444="","",IF(AND(J444="Chiuso",AQ444="OK",ISNUMBER(AC444)),1,0))</x:f>
      </x:c>
      <x:c r="AI444" s="20" t="str">
        <x:f>IF(AH444&lt;&gt;1,"",MAX(0,_xlfn.MAXIFS($AG$8:$AG$507,$AF$8:$AF$507,"&lt;="&amp;AF444,$AH$8:$AH$507,1)))</x:f>
      </x:c>
      <x:c r="AJ444" s="20" t="str">
        <x:f>IF(AH444&lt;&gt;1,"",MAX(0,AI444-AG444))</x:f>
      </x:c>
      <x:c r="AK444" s="21" t="str">
        <x:f>IF(OR(AH444&lt;&gt;1,NOT(ISNUMBER('Impostazioni'!$B$6)),'Impostazioni'!$B$6+AI444&lt;=0),"",AJ444/('Impostazioni'!$B$6+AI444))</x:f>
      </x:c>
      <x:c r="AL444" s="22" t="str">
        <x:f>IF(AH444&lt;&gt;1,"",IF(AC444&gt;0,AF444-_xlfn.MAXIFS($AF$8:$AF$507,$AF$8:$AF$507,"&lt;="&amp;AF444,$AC$8:$AC$507,"&lt;=0",$AH$8:$AH$507,1),0))</x:f>
      </x:c>
      <x:c r="AM444" s="22" t="str">
        <x:f>IF(AH444&lt;&gt;1,"",IF(AC444&lt;0,AF444-_xlfn.MAXIFS($AF$8:$AF$507,$AF$8:$AF$507,"&lt;="&amp;AF444,$AC$8:$AC$507,"&gt;=0",$AH$8:$AH$507,1),0))</x:f>
      </x:c>
      <x:c r="AN444" s="20" t="str">
        <x:f>IF(OR(A444="",NOT(ISNUMBER(B444)),NOT(ISNUMBER('Impostazioni'!$B$6))),"",'Impostazioni'!$B$6+SUMIFS($AC$8:$AC$507,$C$8:$C$507,"&lt;"&amp;B444,$AH$8:$AH$507,1)+SUMIFS('Cassa'!$F$8:$F$307,'Cassa'!$A$8:$A$307,"&lt;="&amp;B444,'Cassa'!$G$8:$G$307,"OK"))</x:f>
      </x:c>
      <x:c r="AO444" s="21" t="str">
        <x:f>IF(AND(ISNUMBER(Z444),ISNUMBER(AN444),AN444&gt;0),Z444/AN444,"")</x:f>
      </x:c>
      <x:c r="AP444" s="18" t="str">
        <x:f>IF(NOT(ISNUMBER(AO444)),"",IF(AO444&gt;'Impostazioni'!$B$7,"Oltre soglia personale","Nella soglia personale"))</x:f>
      </x:c>
      <x:c r="AQ444" s="18" t="str">
        <x:f>IF(A444="",IF(COUNTA(B444:V444)=0,"","Inserisci ID"),IF(COUNTIFS($A$8:$A$507,A444)&lt;&gt;1,"ID duplicato",IF(OR(NOT(ISNUMBER(B444)),D444="",E444="",F444="",G444="",H444="",COUNTIFS('Impostazioni'!$J$6:$J$25,F444)&lt;&gt;1),"Completa dati / elenchi",IF(OR(AND(I444&lt;&gt;"Lordo manuale",I444&lt;&gt;"Netto manuale",I444&lt;&gt;"Esecuzioni"),AND(J444&lt;&gt;"Aperto",J444&lt;&gt;"Chiuso",J444&lt;&gt;"Annullato")),"Modalità / stato mancanti",IF(AND(J444&lt;&gt;"Aperto",OR(NOT(ISNUMBER(C444)),C444&lt;B444)),"Correggi data chiusura",IF(OR(AND(Q444&lt;&gt;"",OR(NOT(ISNUMBER(Q444)),Q444&lt;0)),AND(R444&lt;&gt;"",OR(NOT(ISNUMBER(R444)),R444&lt;0,R444&gt;1))),"Commissione non valida",IF(J444="Annullato","OK",IF(OR(NOT(ISNUMBER(Z444)),Z444&lt;0,AND(O444&lt;&gt;"",NOT(ISNUMBER(O444)))),"Inserisci rischio",IF(AND(I444="Esecuzioni",OR(W444=0,COUNTIFS('Esecuzioni'!$A$8:$A$1007,A444,'Esecuzioni'!$Q$8:$Q$1007,"&lt;&gt;OK")&gt;0)),"Correggi esecuzioni",IF(J444="Aperto","OK",IF(AND(I444="Esecuzioni",S444="Coperto",ABS(X444-Y444)&gt;'Impostazioni'!$B$11),"Copertura residua",IF(NOT(ISNUMBER(AC444)),"Completa risultato / esito",IF(AND(Z444=0,AC444&lt;&gt;0),"Rischio nullo con P/L","OK")))))))))))))</x:f>
      </x:c>
      <x:c r="AR444" s="20" t="str">
        <x:f>IF(OR(A444="",J444&lt;&gt;"Aperto",AQ444&lt;&gt;"OK"),"",IF(I444="Esecuzioni",SUMIFS('Esecuzioni'!$P$8:$P$1007,'Esecuzioni'!$A$8:$A$1007,A444,'Esecuzioni'!$B$8:$B$1007,_xlfn.MAXIFS('Esecuzioni'!$B$8:$B$1007,'Esecuzioni'!$A$8:$A$1007,A444)),IF(LEFT(U444,8)="FREEBET:",0,Z444)))</x:f>
      </x:c>
      <x:c r="AS444" s="48" t="str">
        <x:f>IF(OR(A444="",E444=""),"",IF(COUNTIFS($E$8:E444,E444)=1,COUNT($AS$7:AS443)+1,""))</x:f>
      </x:c>
    </x:row>
    <x:row r="445" ht="22" customHeight="1">
      <x:c r="A445" s="7"/>
      <x:c r="B445" s="19"/>
      <x:c r="C445" s="19"/>
      <x:c r="D445" s="7"/>
      <x:c r="E445" s="7"/>
      <x:c r="F445" s="7"/>
      <x:c r="G445" s="7"/>
      <x:c r="H445" s="7"/>
      <x:c r="I445" s="7"/>
      <x:c r="J445" s="7"/>
      <x:c r="K445" s="10"/>
      <x:c r="L445" s="7"/>
      <x:c r="M445" s="10"/>
      <x:c r="N445" s="7"/>
      <x:c r="O445" s="8"/>
      <x:c r="P445" s="8"/>
      <x:c r="Q445" s="8"/>
      <x:c r="R445" s="9"/>
      <x:c r="S445" s="7"/>
      <x:c r="T445" s="7"/>
      <x:c r="U445" s="7"/>
      <x:c r="V445" s="7"/>
      <x:c r="W445" s="22" t="str">
        <x:f>IF(A445="","",COUNTIFS('Esecuzioni'!$A$8:$A$1007,A445,'Esecuzioni'!$Q$8:$Q$1007,"OK"))</x:f>
      </x:c>
      <x:c r="X445" s="20" t="str">
        <x:f>IF(OR(A445="",I445&lt;&gt;"Esecuzioni",W445=0),"",SUMIFS('Esecuzioni'!$L$8:$L$1007,'Esecuzioni'!$A$8:$A$1007,A445))</x:f>
      </x:c>
      <x:c r="Y445" s="20" t="str">
        <x:f>IF(OR(A445="",I445&lt;&gt;"Esecuzioni",W445=0),"",SUMIFS('Esecuzioni'!$M$8:$M$1007,'Esecuzioni'!$A$8:$A$1007,A445))</x:f>
      </x:c>
      <x:c r="Z445" s="20" t="str">
        <x:f>IF(A445="","",IF(J445="Annullato",0,IF(ISNUMBER(O445),O445,IF(AND(I445="Esecuzioni",W445&gt;0),_xlfn.MAXIFS('Esecuzioni'!$P$8:$P$1007,'Esecuzioni'!$A$8:$A$1007,A445),""))))</x:f>
      </x:c>
      <x:c r="AA445" s="20" t="str">
        <x:f>IF(OR(A445="",J445="Aperto"),"",IF(J445="Annullato",0,IF(I445="Lordo manuale",IF(ISNUMBER(P445),P445,""),IF(I445="Netto manuale",IF(AND(ISNUMBER(P445),ISNUMBER(Q445)),P445+Q445,""),IF(OR(W445=0,COUNTIFS('Esecuzioni'!$A$8:$A$1007,A445,'Esecuzioni'!$Q$8:$Q$1007,"&lt;&gt;OK")&gt;0),"",IF(S445="Vince",X445,IF(S445="Perde",Y445,IF(AND(S445="Coperto",ABS(X445-Y445)&lt;='Impostazioni'!$B$11),ROUND((X445+Y445)/2,2),""))))))))</x:f>
      </x:c>
      <x:c r="AB445" s="20" t="str">
        <x:f>IF(NOT(ISNUMBER(AA445)),"",IF(J445="Annullato",0,IF(ISNUMBER(Q445),Q445,ROUND(MAX(0,AA445)*IF(ISNUMBER(R445),R445,'Impostazioni'!$B$8),2))))</x:f>
      </x:c>
      <x:c r="AC445" s="20" t="str">
        <x:f>IF(AND(ISNUMBER(AA445),ISNUMBER(AB445)),ROUND(AA445-AB445,2),"")</x:f>
      </x:c>
      <x:c r="AD445" s="18" t="str">
        <x:f>IF(A445="","",IF(AQ445&lt;&gt;"OK","Incompleto",IF(J445="Aperto","Aperto",IF(J445="Annullato","Annullato",IF(AC445&gt;0,"Green",IF(AC445&lt;0,"Red","Flat"))))))</x:f>
      </x:c>
      <x:c r="AE445" s="21" t="str">
        <x:f>IF(AND(AH445=1,Z445&gt;0),AC445/Z445,"")</x:f>
      </x:c>
      <x:c r="AF445" s="22" t="str">
        <x:f>IF(AH445&lt;&gt;1,"",COUNTIFS($C$8:$C$507,"&lt;"&amp;C445,$AH$8:$AH$507,1)+COUNTIFS($C$8:$C$507,C445,$A$8:$A$507,"&lt;="&amp;A445,$AH$8:$AH$507,1))</x:f>
      </x:c>
      <x:c r="AG445" s="20" t="str">
        <x:f>IF(AH445&lt;&gt;1,"",SUMIFS($AC$8:$AC$507,$C$8:$C$507,"&lt;"&amp;C445,$AH$8:$AH$507,1)+SUMIFS($AC$8:$AC$507,$C$8:$C$507,C445,$A$8:$A$507,"&lt;="&amp;A445,$AH$8:$AH$507,1))</x:f>
      </x:c>
      <x:c r="AH445" s="22" t="str">
        <x:f>IF(A445="","",IF(AND(J445="Chiuso",AQ445="OK",ISNUMBER(AC445)),1,0))</x:f>
      </x:c>
      <x:c r="AI445" s="20" t="str">
        <x:f>IF(AH445&lt;&gt;1,"",MAX(0,_xlfn.MAXIFS($AG$8:$AG$507,$AF$8:$AF$507,"&lt;="&amp;AF445,$AH$8:$AH$507,1)))</x:f>
      </x:c>
      <x:c r="AJ445" s="20" t="str">
        <x:f>IF(AH445&lt;&gt;1,"",MAX(0,AI445-AG445))</x:f>
      </x:c>
      <x:c r="AK445" s="21" t="str">
        <x:f>IF(OR(AH445&lt;&gt;1,NOT(ISNUMBER('Impostazioni'!$B$6)),'Impostazioni'!$B$6+AI445&lt;=0),"",AJ445/('Impostazioni'!$B$6+AI445))</x:f>
      </x:c>
      <x:c r="AL445" s="22" t="str">
        <x:f>IF(AH445&lt;&gt;1,"",IF(AC445&gt;0,AF445-_xlfn.MAXIFS($AF$8:$AF$507,$AF$8:$AF$507,"&lt;="&amp;AF445,$AC$8:$AC$507,"&lt;=0",$AH$8:$AH$507,1),0))</x:f>
      </x:c>
      <x:c r="AM445" s="22" t="str">
        <x:f>IF(AH445&lt;&gt;1,"",IF(AC445&lt;0,AF445-_xlfn.MAXIFS($AF$8:$AF$507,$AF$8:$AF$507,"&lt;="&amp;AF445,$AC$8:$AC$507,"&gt;=0",$AH$8:$AH$507,1),0))</x:f>
      </x:c>
      <x:c r="AN445" s="20" t="str">
        <x:f>IF(OR(A445="",NOT(ISNUMBER(B445)),NOT(ISNUMBER('Impostazioni'!$B$6))),"",'Impostazioni'!$B$6+SUMIFS($AC$8:$AC$507,$C$8:$C$507,"&lt;"&amp;B445,$AH$8:$AH$507,1)+SUMIFS('Cassa'!$F$8:$F$307,'Cassa'!$A$8:$A$307,"&lt;="&amp;B445,'Cassa'!$G$8:$G$307,"OK"))</x:f>
      </x:c>
      <x:c r="AO445" s="21" t="str">
        <x:f>IF(AND(ISNUMBER(Z445),ISNUMBER(AN445),AN445&gt;0),Z445/AN445,"")</x:f>
      </x:c>
      <x:c r="AP445" s="18" t="str">
        <x:f>IF(NOT(ISNUMBER(AO445)),"",IF(AO445&gt;'Impostazioni'!$B$7,"Oltre soglia personale","Nella soglia personale"))</x:f>
      </x:c>
      <x:c r="AQ445" s="18" t="str">
        <x:f>IF(A445="",IF(COUNTA(B445:V445)=0,"","Inserisci ID"),IF(COUNTIFS($A$8:$A$507,A445)&lt;&gt;1,"ID duplicato",IF(OR(NOT(ISNUMBER(B445)),D445="",E445="",F445="",G445="",H445="",COUNTIFS('Impostazioni'!$J$6:$J$25,F445)&lt;&gt;1),"Completa dati / elenchi",IF(OR(AND(I445&lt;&gt;"Lordo manuale",I445&lt;&gt;"Netto manuale",I445&lt;&gt;"Esecuzioni"),AND(J445&lt;&gt;"Aperto",J445&lt;&gt;"Chiuso",J445&lt;&gt;"Annullato")),"Modalità / stato mancanti",IF(AND(J445&lt;&gt;"Aperto",OR(NOT(ISNUMBER(C445)),C445&lt;B445)),"Correggi data chiusura",IF(OR(AND(Q445&lt;&gt;"",OR(NOT(ISNUMBER(Q445)),Q445&lt;0)),AND(R445&lt;&gt;"",OR(NOT(ISNUMBER(R445)),R445&lt;0,R445&gt;1))),"Commissione non valida",IF(J445="Annullato","OK",IF(OR(NOT(ISNUMBER(Z445)),Z445&lt;0,AND(O445&lt;&gt;"",NOT(ISNUMBER(O445)))),"Inserisci rischio",IF(AND(I445="Esecuzioni",OR(W445=0,COUNTIFS('Esecuzioni'!$A$8:$A$1007,A445,'Esecuzioni'!$Q$8:$Q$1007,"&lt;&gt;OK")&gt;0)),"Correggi esecuzioni",IF(J445="Aperto","OK",IF(AND(I445="Esecuzioni",S445="Coperto",ABS(X445-Y445)&gt;'Impostazioni'!$B$11),"Copertura residua",IF(NOT(ISNUMBER(AC445)),"Completa risultato / esito",IF(AND(Z445=0,AC445&lt;&gt;0),"Rischio nullo con P/L","OK")))))))))))))</x:f>
      </x:c>
      <x:c r="AR445" s="20" t="str">
        <x:f>IF(OR(A445="",J445&lt;&gt;"Aperto",AQ445&lt;&gt;"OK"),"",IF(I445="Esecuzioni",SUMIFS('Esecuzioni'!$P$8:$P$1007,'Esecuzioni'!$A$8:$A$1007,A445,'Esecuzioni'!$B$8:$B$1007,_xlfn.MAXIFS('Esecuzioni'!$B$8:$B$1007,'Esecuzioni'!$A$8:$A$1007,A445)),IF(LEFT(U445,8)="FREEBET:",0,Z445)))</x:f>
      </x:c>
      <x:c r="AS445" s="48" t="str">
        <x:f>IF(OR(A445="",E445=""),"",IF(COUNTIFS($E$8:E445,E445)=1,COUNT($AS$7:AS444)+1,""))</x:f>
      </x:c>
    </x:row>
    <x:row r="446" ht="22" customHeight="1">
      <x:c r="A446" s="7"/>
      <x:c r="B446" s="19"/>
      <x:c r="C446" s="19"/>
      <x:c r="D446" s="7"/>
      <x:c r="E446" s="7"/>
      <x:c r="F446" s="7"/>
      <x:c r="G446" s="7"/>
      <x:c r="H446" s="7"/>
      <x:c r="I446" s="7"/>
      <x:c r="J446" s="7"/>
      <x:c r="K446" s="10"/>
      <x:c r="L446" s="7"/>
      <x:c r="M446" s="10"/>
      <x:c r="N446" s="7"/>
      <x:c r="O446" s="8"/>
      <x:c r="P446" s="8"/>
      <x:c r="Q446" s="8"/>
      <x:c r="R446" s="9"/>
      <x:c r="S446" s="7"/>
      <x:c r="T446" s="7"/>
      <x:c r="U446" s="7"/>
      <x:c r="V446" s="7"/>
      <x:c r="W446" s="22" t="str">
        <x:f>IF(A446="","",COUNTIFS('Esecuzioni'!$A$8:$A$1007,A446,'Esecuzioni'!$Q$8:$Q$1007,"OK"))</x:f>
      </x:c>
      <x:c r="X446" s="20" t="str">
        <x:f>IF(OR(A446="",I446&lt;&gt;"Esecuzioni",W446=0),"",SUMIFS('Esecuzioni'!$L$8:$L$1007,'Esecuzioni'!$A$8:$A$1007,A446))</x:f>
      </x:c>
      <x:c r="Y446" s="20" t="str">
        <x:f>IF(OR(A446="",I446&lt;&gt;"Esecuzioni",W446=0),"",SUMIFS('Esecuzioni'!$M$8:$M$1007,'Esecuzioni'!$A$8:$A$1007,A446))</x:f>
      </x:c>
      <x:c r="Z446" s="20" t="str">
        <x:f>IF(A446="","",IF(J446="Annullato",0,IF(ISNUMBER(O446),O446,IF(AND(I446="Esecuzioni",W446&gt;0),_xlfn.MAXIFS('Esecuzioni'!$P$8:$P$1007,'Esecuzioni'!$A$8:$A$1007,A446),""))))</x:f>
      </x:c>
      <x:c r="AA446" s="20" t="str">
        <x:f>IF(OR(A446="",J446="Aperto"),"",IF(J446="Annullato",0,IF(I446="Lordo manuale",IF(ISNUMBER(P446),P446,""),IF(I446="Netto manuale",IF(AND(ISNUMBER(P446),ISNUMBER(Q446)),P446+Q446,""),IF(OR(W446=0,COUNTIFS('Esecuzioni'!$A$8:$A$1007,A446,'Esecuzioni'!$Q$8:$Q$1007,"&lt;&gt;OK")&gt;0),"",IF(S446="Vince",X446,IF(S446="Perde",Y446,IF(AND(S446="Coperto",ABS(X446-Y446)&lt;='Impostazioni'!$B$11),ROUND((X446+Y446)/2,2),""))))))))</x:f>
      </x:c>
      <x:c r="AB446" s="20" t="str">
        <x:f>IF(NOT(ISNUMBER(AA446)),"",IF(J446="Annullato",0,IF(ISNUMBER(Q446),Q446,ROUND(MAX(0,AA446)*IF(ISNUMBER(R446),R446,'Impostazioni'!$B$8),2))))</x:f>
      </x:c>
      <x:c r="AC446" s="20" t="str">
        <x:f>IF(AND(ISNUMBER(AA446),ISNUMBER(AB446)),ROUND(AA446-AB446,2),"")</x:f>
      </x:c>
      <x:c r="AD446" s="18" t="str">
        <x:f>IF(A446="","",IF(AQ446&lt;&gt;"OK","Incompleto",IF(J446="Aperto","Aperto",IF(J446="Annullato","Annullato",IF(AC446&gt;0,"Green",IF(AC446&lt;0,"Red","Flat"))))))</x:f>
      </x:c>
      <x:c r="AE446" s="21" t="str">
        <x:f>IF(AND(AH446=1,Z446&gt;0),AC446/Z446,"")</x:f>
      </x:c>
      <x:c r="AF446" s="22" t="str">
        <x:f>IF(AH446&lt;&gt;1,"",COUNTIFS($C$8:$C$507,"&lt;"&amp;C446,$AH$8:$AH$507,1)+COUNTIFS($C$8:$C$507,C446,$A$8:$A$507,"&lt;="&amp;A446,$AH$8:$AH$507,1))</x:f>
      </x:c>
      <x:c r="AG446" s="20" t="str">
        <x:f>IF(AH446&lt;&gt;1,"",SUMIFS($AC$8:$AC$507,$C$8:$C$507,"&lt;"&amp;C446,$AH$8:$AH$507,1)+SUMIFS($AC$8:$AC$507,$C$8:$C$507,C446,$A$8:$A$507,"&lt;="&amp;A446,$AH$8:$AH$507,1))</x:f>
      </x:c>
      <x:c r="AH446" s="22" t="str">
        <x:f>IF(A446="","",IF(AND(J446="Chiuso",AQ446="OK",ISNUMBER(AC446)),1,0))</x:f>
      </x:c>
      <x:c r="AI446" s="20" t="str">
        <x:f>IF(AH446&lt;&gt;1,"",MAX(0,_xlfn.MAXIFS($AG$8:$AG$507,$AF$8:$AF$507,"&lt;="&amp;AF446,$AH$8:$AH$507,1)))</x:f>
      </x:c>
      <x:c r="AJ446" s="20" t="str">
        <x:f>IF(AH446&lt;&gt;1,"",MAX(0,AI446-AG446))</x:f>
      </x:c>
      <x:c r="AK446" s="21" t="str">
        <x:f>IF(OR(AH446&lt;&gt;1,NOT(ISNUMBER('Impostazioni'!$B$6)),'Impostazioni'!$B$6+AI446&lt;=0),"",AJ446/('Impostazioni'!$B$6+AI446))</x:f>
      </x:c>
      <x:c r="AL446" s="22" t="str">
        <x:f>IF(AH446&lt;&gt;1,"",IF(AC446&gt;0,AF446-_xlfn.MAXIFS($AF$8:$AF$507,$AF$8:$AF$507,"&lt;="&amp;AF446,$AC$8:$AC$507,"&lt;=0",$AH$8:$AH$507,1),0))</x:f>
      </x:c>
      <x:c r="AM446" s="22" t="str">
        <x:f>IF(AH446&lt;&gt;1,"",IF(AC446&lt;0,AF446-_xlfn.MAXIFS($AF$8:$AF$507,$AF$8:$AF$507,"&lt;="&amp;AF446,$AC$8:$AC$507,"&gt;=0",$AH$8:$AH$507,1),0))</x:f>
      </x:c>
      <x:c r="AN446" s="20" t="str">
        <x:f>IF(OR(A446="",NOT(ISNUMBER(B446)),NOT(ISNUMBER('Impostazioni'!$B$6))),"",'Impostazioni'!$B$6+SUMIFS($AC$8:$AC$507,$C$8:$C$507,"&lt;"&amp;B446,$AH$8:$AH$507,1)+SUMIFS('Cassa'!$F$8:$F$307,'Cassa'!$A$8:$A$307,"&lt;="&amp;B446,'Cassa'!$G$8:$G$307,"OK"))</x:f>
      </x:c>
      <x:c r="AO446" s="21" t="str">
        <x:f>IF(AND(ISNUMBER(Z446),ISNUMBER(AN446),AN446&gt;0),Z446/AN446,"")</x:f>
      </x:c>
      <x:c r="AP446" s="18" t="str">
        <x:f>IF(NOT(ISNUMBER(AO446)),"",IF(AO446&gt;'Impostazioni'!$B$7,"Oltre soglia personale","Nella soglia personale"))</x:f>
      </x:c>
      <x:c r="AQ446" s="18" t="str">
        <x:f>IF(A446="",IF(COUNTA(B446:V446)=0,"","Inserisci ID"),IF(COUNTIFS($A$8:$A$507,A446)&lt;&gt;1,"ID duplicato",IF(OR(NOT(ISNUMBER(B446)),D446="",E446="",F446="",G446="",H446="",COUNTIFS('Impostazioni'!$J$6:$J$25,F446)&lt;&gt;1),"Completa dati / elenchi",IF(OR(AND(I446&lt;&gt;"Lordo manuale",I446&lt;&gt;"Netto manuale",I446&lt;&gt;"Esecuzioni"),AND(J446&lt;&gt;"Aperto",J446&lt;&gt;"Chiuso",J446&lt;&gt;"Annullato")),"Modalità / stato mancanti",IF(AND(J446&lt;&gt;"Aperto",OR(NOT(ISNUMBER(C446)),C446&lt;B446)),"Correggi data chiusura",IF(OR(AND(Q446&lt;&gt;"",OR(NOT(ISNUMBER(Q446)),Q446&lt;0)),AND(R446&lt;&gt;"",OR(NOT(ISNUMBER(R446)),R446&lt;0,R446&gt;1))),"Commissione non valida",IF(J446="Annullato","OK",IF(OR(NOT(ISNUMBER(Z446)),Z446&lt;0,AND(O446&lt;&gt;"",NOT(ISNUMBER(O446)))),"Inserisci rischio",IF(AND(I446="Esecuzioni",OR(W446=0,COUNTIFS('Esecuzioni'!$A$8:$A$1007,A446,'Esecuzioni'!$Q$8:$Q$1007,"&lt;&gt;OK")&gt;0)),"Correggi esecuzioni",IF(J446="Aperto","OK",IF(AND(I446="Esecuzioni",S446="Coperto",ABS(X446-Y446)&gt;'Impostazioni'!$B$11),"Copertura residua",IF(NOT(ISNUMBER(AC446)),"Completa risultato / esito",IF(AND(Z446=0,AC446&lt;&gt;0),"Rischio nullo con P/L","OK")))))))))))))</x:f>
      </x:c>
      <x:c r="AR446" s="20" t="str">
        <x:f>IF(OR(A446="",J446&lt;&gt;"Aperto",AQ446&lt;&gt;"OK"),"",IF(I446="Esecuzioni",SUMIFS('Esecuzioni'!$P$8:$P$1007,'Esecuzioni'!$A$8:$A$1007,A446,'Esecuzioni'!$B$8:$B$1007,_xlfn.MAXIFS('Esecuzioni'!$B$8:$B$1007,'Esecuzioni'!$A$8:$A$1007,A446)),IF(LEFT(U446,8)="FREEBET:",0,Z446)))</x:f>
      </x:c>
      <x:c r="AS446" s="48" t="str">
        <x:f>IF(OR(A446="",E446=""),"",IF(COUNTIFS($E$8:E446,E446)=1,COUNT($AS$7:AS445)+1,""))</x:f>
      </x:c>
    </x:row>
    <x:row r="447" ht="22" customHeight="1">
      <x:c r="A447" s="7"/>
      <x:c r="B447" s="19"/>
      <x:c r="C447" s="19"/>
      <x:c r="D447" s="7"/>
      <x:c r="E447" s="7"/>
      <x:c r="F447" s="7"/>
      <x:c r="G447" s="7"/>
      <x:c r="H447" s="7"/>
      <x:c r="I447" s="7"/>
      <x:c r="J447" s="7"/>
      <x:c r="K447" s="10"/>
      <x:c r="L447" s="7"/>
      <x:c r="M447" s="10"/>
      <x:c r="N447" s="7"/>
      <x:c r="O447" s="8"/>
      <x:c r="P447" s="8"/>
      <x:c r="Q447" s="8"/>
      <x:c r="R447" s="9"/>
      <x:c r="S447" s="7"/>
      <x:c r="T447" s="7"/>
      <x:c r="U447" s="7"/>
      <x:c r="V447" s="7"/>
      <x:c r="W447" s="22" t="str">
        <x:f>IF(A447="","",COUNTIFS('Esecuzioni'!$A$8:$A$1007,A447,'Esecuzioni'!$Q$8:$Q$1007,"OK"))</x:f>
      </x:c>
      <x:c r="X447" s="20" t="str">
        <x:f>IF(OR(A447="",I447&lt;&gt;"Esecuzioni",W447=0),"",SUMIFS('Esecuzioni'!$L$8:$L$1007,'Esecuzioni'!$A$8:$A$1007,A447))</x:f>
      </x:c>
      <x:c r="Y447" s="20" t="str">
        <x:f>IF(OR(A447="",I447&lt;&gt;"Esecuzioni",W447=0),"",SUMIFS('Esecuzioni'!$M$8:$M$1007,'Esecuzioni'!$A$8:$A$1007,A447))</x:f>
      </x:c>
      <x:c r="Z447" s="20" t="str">
        <x:f>IF(A447="","",IF(J447="Annullato",0,IF(ISNUMBER(O447),O447,IF(AND(I447="Esecuzioni",W447&gt;0),_xlfn.MAXIFS('Esecuzioni'!$P$8:$P$1007,'Esecuzioni'!$A$8:$A$1007,A447),""))))</x:f>
      </x:c>
      <x:c r="AA447" s="20" t="str">
        <x:f>IF(OR(A447="",J447="Aperto"),"",IF(J447="Annullato",0,IF(I447="Lordo manuale",IF(ISNUMBER(P447),P447,""),IF(I447="Netto manuale",IF(AND(ISNUMBER(P447),ISNUMBER(Q447)),P447+Q447,""),IF(OR(W447=0,COUNTIFS('Esecuzioni'!$A$8:$A$1007,A447,'Esecuzioni'!$Q$8:$Q$1007,"&lt;&gt;OK")&gt;0),"",IF(S447="Vince",X447,IF(S447="Perde",Y447,IF(AND(S447="Coperto",ABS(X447-Y447)&lt;='Impostazioni'!$B$11),ROUND((X447+Y447)/2,2),""))))))))</x:f>
      </x:c>
      <x:c r="AB447" s="20" t="str">
        <x:f>IF(NOT(ISNUMBER(AA447)),"",IF(J447="Annullato",0,IF(ISNUMBER(Q447),Q447,ROUND(MAX(0,AA447)*IF(ISNUMBER(R447),R447,'Impostazioni'!$B$8),2))))</x:f>
      </x:c>
      <x:c r="AC447" s="20" t="str">
        <x:f>IF(AND(ISNUMBER(AA447),ISNUMBER(AB447)),ROUND(AA447-AB447,2),"")</x:f>
      </x:c>
      <x:c r="AD447" s="18" t="str">
        <x:f>IF(A447="","",IF(AQ447&lt;&gt;"OK","Incompleto",IF(J447="Aperto","Aperto",IF(J447="Annullato","Annullato",IF(AC447&gt;0,"Green",IF(AC447&lt;0,"Red","Flat"))))))</x:f>
      </x:c>
      <x:c r="AE447" s="21" t="str">
        <x:f>IF(AND(AH447=1,Z447&gt;0),AC447/Z447,"")</x:f>
      </x:c>
      <x:c r="AF447" s="22" t="str">
        <x:f>IF(AH447&lt;&gt;1,"",COUNTIFS($C$8:$C$507,"&lt;"&amp;C447,$AH$8:$AH$507,1)+COUNTIFS($C$8:$C$507,C447,$A$8:$A$507,"&lt;="&amp;A447,$AH$8:$AH$507,1))</x:f>
      </x:c>
      <x:c r="AG447" s="20" t="str">
        <x:f>IF(AH447&lt;&gt;1,"",SUMIFS($AC$8:$AC$507,$C$8:$C$507,"&lt;"&amp;C447,$AH$8:$AH$507,1)+SUMIFS($AC$8:$AC$507,$C$8:$C$507,C447,$A$8:$A$507,"&lt;="&amp;A447,$AH$8:$AH$507,1))</x:f>
      </x:c>
      <x:c r="AH447" s="22" t="str">
        <x:f>IF(A447="","",IF(AND(J447="Chiuso",AQ447="OK",ISNUMBER(AC447)),1,0))</x:f>
      </x:c>
      <x:c r="AI447" s="20" t="str">
        <x:f>IF(AH447&lt;&gt;1,"",MAX(0,_xlfn.MAXIFS($AG$8:$AG$507,$AF$8:$AF$507,"&lt;="&amp;AF447,$AH$8:$AH$507,1)))</x:f>
      </x:c>
      <x:c r="AJ447" s="20" t="str">
        <x:f>IF(AH447&lt;&gt;1,"",MAX(0,AI447-AG447))</x:f>
      </x:c>
      <x:c r="AK447" s="21" t="str">
        <x:f>IF(OR(AH447&lt;&gt;1,NOT(ISNUMBER('Impostazioni'!$B$6)),'Impostazioni'!$B$6+AI447&lt;=0),"",AJ447/('Impostazioni'!$B$6+AI447))</x:f>
      </x:c>
      <x:c r="AL447" s="22" t="str">
        <x:f>IF(AH447&lt;&gt;1,"",IF(AC447&gt;0,AF447-_xlfn.MAXIFS($AF$8:$AF$507,$AF$8:$AF$507,"&lt;="&amp;AF447,$AC$8:$AC$507,"&lt;=0",$AH$8:$AH$507,1),0))</x:f>
      </x:c>
      <x:c r="AM447" s="22" t="str">
        <x:f>IF(AH447&lt;&gt;1,"",IF(AC447&lt;0,AF447-_xlfn.MAXIFS($AF$8:$AF$507,$AF$8:$AF$507,"&lt;="&amp;AF447,$AC$8:$AC$507,"&gt;=0",$AH$8:$AH$507,1),0))</x:f>
      </x:c>
      <x:c r="AN447" s="20" t="str">
        <x:f>IF(OR(A447="",NOT(ISNUMBER(B447)),NOT(ISNUMBER('Impostazioni'!$B$6))),"",'Impostazioni'!$B$6+SUMIFS($AC$8:$AC$507,$C$8:$C$507,"&lt;"&amp;B447,$AH$8:$AH$507,1)+SUMIFS('Cassa'!$F$8:$F$307,'Cassa'!$A$8:$A$307,"&lt;="&amp;B447,'Cassa'!$G$8:$G$307,"OK"))</x:f>
      </x:c>
      <x:c r="AO447" s="21" t="str">
        <x:f>IF(AND(ISNUMBER(Z447),ISNUMBER(AN447),AN447&gt;0),Z447/AN447,"")</x:f>
      </x:c>
      <x:c r="AP447" s="18" t="str">
        <x:f>IF(NOT(ISNUMBER(AO447)),"",IF(AO447&gt;'Impostazioni'!$B$7,"Oltre soglia personale","Nella soglia personale"))</x:f>
      </x:c>
      <x:c r="AQ447" s="18" t="str">
        <x:f>IF(A447="",IF(COUNTA(B447:V447)=0,"","Inserisci ID"),IF(COUNTIFS($A$8:$A$507,A447)&lt;&gt;1,"ID duplicato",IF(OR(NOT(ISNUMBER(B447)),D447="",E447="",F447="",G447="",H447="",COUNTIFS('Impostazioni'!$J$6:$J$25,F447)&lt;&gt;1),"Completa dati / elenchi",IF(OR(AND(I447&lt;&gt;"Lordo manuale",I447&lt;&gt;"Netto manuale",I447&lt;&gt;"Esecuzioni"),AND(J447&lt;&gt;"Aperto",J447&lt;&gt;"Chiuso",J447&lt;&gt;"Annullato")),"Modalità / stato mancanti",IF(AND(J447&lt;&gt;"Aperto",OR(NOT(ISNUMBER(C447)),C447&lt;B447)),"Correggi data chiusura",IF(OR(AND(Q447&lt;&gt;"",OR(NOT(ISNUMBER(Q447)),Q447&lt;0)),AND(R447&lt;&gt;"",OR(NOT(ISNUMBER(R447)),R447&lt;0,R447&gt;1))),"Commissione non valida",IF(J447="Annullato","OK",IF(OR(NOT(ISNUMBER(Z447)),Z447&lt;0,AND(O447&lt;&gt;"",NOT(ISNUMBER(O447)))),"Inserisci rischio",IF(AND(I447="Esecuzioni",OR(W447=0,COUNTIFS('Esecuzioni'!$A$8:$A$1007,A447,'Esecuzioni'!$Q$8:$Q$1007,"&lt;&gt;OK")&gt;0)),"Correggi esecuzioni",IF(J447="Aperto","OK",IF(AND(I447="Esecuzioni",S447="Coperto",ABS(X447-Y447)&gt;'Impostazioni'!$B$11),"Copertura residua",IF(NOT(ISNUMBER(AC447)),"Completa risultato / esito",IF(AND(Z447=0,AC447&lt;&gt;0),"Rischio nullo con P/L","OK")))))))))))))</x:f>
      </x:c>
      <x:c r="AR447" s="20" t="str">
        <x:f>IF(OR(A447="",J447&lt;&gt;"Aperto",AQ447&lt;&gt;"OK"),"",IF(I447="Esecuzioni",SUMIFS('Esecuzioni'!$P$8:$P$1007,'Esecuzioni'!$A$8:$A$1007,A447,'Esecuzioni'!$B$8:$B$1007,_xlfn.MAXIFS('Esecuzioni'!$B$8:$B$1007,'Esecuzioni'!$A$8:$A$1007,A447)),IF(LEFT(U447,8)="FREEBET:",0,Z447)))</x:f>
      </x:c>
      <x:c r="AS447" s="48" t="str">
        <x:f>IF(OR(A447="",E447=""),"",IF(COUNTIFS($E$8:E447,E447)=1,COUNT($AS$7:AS446)+1,""))</x:f>
      </x:c>
    </x:row>
    <x:row r="448" ht="22" customHeight="1">
      <x:c r="A448" s="7"/>
      <x:c r="B448" s="19"/>
      <x:c r="C448" s="19"/>
      <x:c r="D448" s="7"/>
      <x:c r="E448" s="7"/>
      <x:c r="F448" s="7"/>
      <x:c r="G448" s="7"/>
      <x:c r="H448" s="7"/>
      <x:c r="I448" s="7"/>
      <x:c r="J448" s="7"/>
      <x:c r="K448" s="10"/>
      <x:c r="L448" s="7"/>
      <x:c r="M448" s="10"/>
      <x:c r="N448" s="7"/>
      <x:c r="O448" s="8"/>
      <x:c r="P448" s="8"/>
      <x:c r="Q448" s="8"/>
      <x:c r="R448" s="9"/>
      <x:c r="S448" s="7"/>
      <x:c r="T448" s="7"/>
      <x:c r="U448" s="7"/>
      <x:c r="V448" s="7"/>
      <x:c r="W448" s="22" t="str">
        <x:f>IF(A448="","",COUNTIFS('Esecuzioni'!$A$8:$A$1007,A448,'Esecuzioni'!$Q$8:$Q$1007,"OK"))</x:f>
      </x:c>
      <x:c r="X448" s="20" t="str">
        <x:f>IF(OR(A448="",I448&lt;&gt;"Esecuzioni",W448=0),"",SUMIFS('Esecuzioni'!$L$8:$L$1007,'Esecuzioni'!$A$8:$A$1007,A448))</x:f>
      </x:c>
      <x:c r="Y448" s="20" t="str">
        <x:f>IF(OR(A448="",I448&lt;&gt;"Esecuzioni",W448=0),"",SUMIFS('Esecuzioni'!$M$8:$M$1007,'Esecuzioni'!$A$8:$A$1007,A448))</x:f>
      </x:c>
      <x:c r="Z448" s="20" t="str">
        <x:f>IF(A448="","",IF(J448="Annullato",0,IF(ISNUMBER(O448),O448,IF(AND(I448="Esecuzioni",W448&gt;0),_xlfn.MAXIFS('Esecuzioni'!$P$8:$P$1007,'Esecuzioni'!$A$8:$A$1007,A448),""))))</x:f>
      </x:c>
      <x:c r="AA448" s="20" t="str">
        <x:f>IF(OR(A448="",J448="Aperto"),"",IF(J448="Annullato",0,IF(I448="Lordo manuale",IF(ISNUMBER(P448),P448,""),IF(I448="Netto manuale",IF(AND(ISNUMBER(P448),ISNUMBER(Q448)),P448+Q448,""),IF(OR(W448=0,COUNTIFS('Esecuzioni'!$A$8:$A$1007,A448,'Esecuzioni'!$Q$8:$Q$1007,"&lt;&gt;OK")&gt;0),"",IF(S448="Vince",X448,IF(S448="Perde",Y448,IF(AND(S448="Coperto",ABS(X448-Y448)&lt;='Impostazioni'!$B$11),ROUND((X448+Y448)/2,2),""))))))))</x:f>
      </x:c>
      <x:c r="AB448" s="20" t="str">
        <x:f>IF(NOT(ISNUMBER(AA448)),"",IF(J448="Annullato",0,IF(ISNUMBER(Q448),Q448,ROUND(MAX(0,AA448)*IF(ISNUMBER(R448),R448,'Impostazioni'!$B$8),2))))</x:f>
      </x:c>
      <x:c r="AC448" s="20" t="str">
        <x:f>IF(AND(ISNUMBER(AA448),ISNUMBER(AB448)),ROUND(AA448-AB448,2),"")</x:f>
      </x:c>
      <x:c r="AD448" s="18" t="str">
        <x:f>IF(A448="","",IF(AQ448&lt;&gt;"OK","Incompleto",IF(J448="Aperto","Aperto",IF(J448="Annullato","Annullato",IF(AC448&gt;0,"Green",IF(AC448&lt;0,"Red","Flat"))))))</x:f>
      </x:c>
      <x:c r="AE448" s="21" t="str">
        <x:f>IF(AND(AH448=1,Z448&gt;0),AC448/Z448,"")</x:f>
      </x:c>
      <x:c r="AF448" s="22" t="str">
        <x:f>IF(AH448&lt;&gt;1,"",COUNTIFS($C$8:$C$507,"&lt;"&amp;C448,$AH$8:$AH$507,1)+COUNTIFS($C$8:$C$507,C448,$A$8:$A$507,"&lt;="&amp;A448,$AH$8:$AH$507,1))</x:f>
      </x:c>
      <x:c r="AG448" s="20" t="str">
        <x:f>IF(AH448&lt;&gt;1,"",SUMIFS($AC$8:$AC$507,$C$8:$C$507,"&lt;"&amp;C448,$AH$8:$AH$507,1)+SUMIFS($AC$8:$AC$507,$C$8:$C$507,C448,$A$8:$A$507,"&lt;="&amp;A448,$AH$8:$AH$507,1))</x:f>
      </x:c>
      <x:c r="AH448" s="22" t="str">
        <x:f>IF(A448="","",IF(AND(J448="Chiuso",AQ448="OK",ISNUMBER(AC448)),1,0))</x:f>
      </x:c>
      <x:c r="AI448" s="20" t="str">
        <x:f>IF(AH448&lt;&gt;1,"",MAX(0,_xlfn.MAXIFS($AG$8:$AG$507,$AF$8:$AF$507,"&lt;="&amp;AF448,$AH$8:$AH$507,1)))</x:f>
      </x:c>
      <x:c r="AJ448" s="20" t="str">
        <x:f>IF(AH448&lt;&gt;1,"",MAX(0,AI448-AG448))</x:f>
      </x:c>
      <x:c r="AK448" s="21" t="str">
        <x:f>IF(OR(AH448&lt;&gt;1,NOT(ISNUMBER('Impostazioni'!$B$6)),'Impostazioni'!$B$6+AI448&lt;=0),"",AJ448/('Impostazioni'!$B$6+AI448))</x:f>
      </x:c>
      <x:c r="AL448" s="22" t="str">
        <x:f>IF(AH448&lt;&gt;1,"",IF(AC448&gt;0,AF448-_xlfn.MAXIFS($AF$8:$AF$507,$AF$8:$AF$507,"&lt;="&amp;AF448,$AC$8:$AC$507,"&lt;=0",$AH$8:$AH$507,1),0))</x:f>
      </x:c>
      <x:c r="AM448" s="22" t="str">
        <x:f>IF(AH448&lt;&gt;1,"",IF(AC448&lt;0,AF448-_xlfn.MAXIFS($AF$8:$AF$507,$AF$8:$AF$507,"&lt;="&amp;AF448,$AC$8:$AC$507,"&gt;=0",$AH$8:$AH$507,1),0))</x:f>
      </x:c>
      <x:c r="AN448" s="20" t="str">
        <x:f>IF(OR(A448="",NOT(ISNUMBER(B448)),NOT(ISNUMBER('Impostazioni'!$B$6))),"",'Impostazioni'!$B$6+SUMIFS($AC$8:$AC$507,$C$8:$C$507,"&lt;"&amp;B448,$AH$8:$AH$507,1)+SUMIFS('Cassa'!$F$8:$F$307,'Cassa'!$A$8:$A$307,"&lt;="&amp;B448,'Cassa'!$G$8:$G$307,"OK"))</x:f>
      </x:c>
      <x:c r="AO448" s="21" t="str">
        <x:f>IF(AND(ISNUMBER(Z448),ISNUMBER(AN448),AN448&gt;0),Z448/AN448,"")</x:f>
      </x:c>
      <x:c r="AP448" s="18" t="str">
        <x:f>IF(NOT(ISNUMBER(AO448)),"",IF(AO448&gt;'Impostazioni'!$B$7,"Oltre soglia personale","Nella soglia personale"))</x:f>
      </x:c>
      <x:c r="AQ448" s="18" t="str">
        <x:f>IF(A448="",IF(COUNTA(B448:V448)=0,"","Inserisci ID"),IF(COUNTIFS($A$8:$A$507,A448)&lt;&gt;1,"ID duplicato",IF(OR(NOT(ISNUMBER(B448)),D448="",E448="",F448="",G448="",H448="",COUNTIFS('Impostazioni'!$J$6:$J$25,F448)&lt;&gt;1),"Completa dati / elenchi",IF(OR(AND(I448&lt;&gt;"Lordo manuale",I448&lt;&gt;"Netto manuale",I448&lt;&gt;"Esecuzioni"),AND(J448&lt;&gt;"Aperto",J448&lt;&gt;"Chiuso",J448&lt;&gt;"Annullato")),"Modalità / stato mancanti",IF(AND(J448&lt;&gt;"Aperto",OR(NOT(ISNUMBER(C448)),C448&lt;B448)),"Correggi data chiusura",IF(OR(AND(Q448&lt;&gt;"",OR(NOT(ISNUMBER(Q448)),Q448&lt;0)),AND(R448&lt;&gt;"",OR(NOT(ISNUMBER(R448)),R448&lt;0,R448&gt;1))),"Commissione non valida",IF(J448="Annullato","OK",IF(OR(NOT(ISNUMBER(Z448)),Z448&lt;0,AND(O448&lt;&gt;"",NOT(ISNUMBER(O448)))),"Inserisci rischio",IF(AND(I448="Esecuzioni",OR(W448=0,COUNTIFS('Esecuzioni'!$A$8:$A$1007,A448,'Esecuzioni'!$Q$8:$Q$1007,"&lt;&gt;OK")&gt;0)),"Correggi esecuzioni",IF(J448="Aperto","OK",IF(AND(I448="Esecuzioni",S448="Coperto",ABS(X448-Y448)&gt;'Impostazioni'!$B$11),"Copertura residua",IF(NOT(ISNUMBER(AC448)),"Completa risultato / esito",IF(AND(Z448=0,AC448&lt;&gt;0),"Rischio nullo con P/L","OK")))))))))))))</x:f>
      </x:c>
      <x:c r="AR448" s="20" t="str">
        <x:f>IF(OR(A448="",J448&lt;&gt;"Aperto",AQ448&lt;&gt;"OK"),"",IF(I448="Esecuzioni",SUMIFS('Esecuzioni'!$P$8:$P$1007,'Esecuzioni'!$A$8:$A$1007,A448,'Esecuzioni'!$B$8:$B$1007,_xlfn.MAXIFS('Esecuzioni'!$B$8:$B$1007,'Esecuzioni'!$A$8:$A$1007,A448)),IF(LEFT(U448,8)="FREEBET:",0,Z448)))</x:f>
      </x:c>
      <x:c r="AS448" s="48" t="str">
        <x:f>IF(OR(A448="",E448=""),"",IF(COUNTIFS($E$8:E448,E448)=1,COUNT($AS$7:AS447)+1,""))</x:f>
      </x:c>
    </x:row>
    <x:row r="449" ht="22" customHeight="1">
      <x:c r="A449" s="7"/>
      <x:c r="B449" s="19"/>
      <x:c r="C449" s="19"/>
      <x:c r="D449" s="7"/>
      <x:c r="E449" s="7"/>
      <x:c r="F449" s="7"/>
      <x:c r="G449" s="7"/>
      <x:c r="H449" s="7"/>
      <x:c r="I449" s="7"/>
      <x:c r="J449" s="7"/>
      <x:c r="K449" s="10"/>
      <x:c r="L449" s="7"/>
      <x:c r="M449" s="10"/>
      <x:c r="N449" s="7"/>
      <x:c r="O449" s="8"/>
      <x:c r="P449" s="8"/>
      <x:c r="Q449" s="8"/>
      <x:c r="R449" s="9"/>
      <x:c r="S449" s="7"/>
      <x:c r="T449" s="7"/>
      <x:c r="U449" s="7"/>
      <x:c r="V449" s="7"/>
      <x:c r="W449" s="22" t="str">
        <x:f>IF(A449="","",COUNTIFS('Esecuzioni'!$A$8:$A$1007,A449,'Esecuzioni'!$Q$8:$Q$1007,"OK"))</x:f>
      </x:c>
      <x:c r="X449" s="20" t="str">
        <x:f>IF(OR(A449="",I449&lt;&gt;"Esecuzioni",W449=0),"",SUMIFS('Esecuzioni'!$L$8:$L$1007,'Esecuzioni'!$A$8:$A$1007,A449))</x:f>
      </x:c>
      <x:c r="Y449" s="20" t="str">
        <x:f>IF(OR(A449="",I449&lt;&gt;"Esecuzioni",W449=0),"",SUMIFS('Esecuzioni'!$M$8:$M$1007,'Esecuzioni'!$A$8:$A$1007,A449))</x:f>
      </x:c>
      <x:c r="Z449" s="20" t="str">
        <x:f>IF(A449="","",IF(J449="Annullato",0,IF(ISNUMBER(O449),O449,IF(AND(I449="Esecuzioni",W449&gt;0),_xlfn.MAXIFS('Esecuzioni'!$P$8:$P$1007,'Esecuzioni'!$A$8:$A$1007,A449),""))))</x:f>
      </x:c>
      <x:c r="AA449" s="20" t="str">
        <x:f>IF(OR(A449="",J449="Aperto"),"",IF(J449="Annullato",0,IF(I449="Lordo manuale",IF(ISNUMBER(P449),P449,""),IF(I449="Netto manuale",IF(AND(ISNUMBER(P449),ISNUMBER(Q449)),P449+Q449,""),IF(OR(W449=0,COUNTIFS('Esecuzioni'!$A$8:$A$1007,A449,'Esecuzioni'!$Q$8:$Q$1007,"&lt;&gt;OK")&gt;0),"",IF(S449="Vince",X449,IF(S449="Perde",Y449,IF(AND(S449="Coperto",ABS(X449-Y449)&lt;='Impostazioni'!$B$11),ROUND((X449+Y449)/2,2),""))))))))</x:f>
      </x:c>
      <x:c r="AB449" s="20" t="str">
        <x:f>IF(NOT(ISNUMBER(AA449)),"",IF(J449="Annullato",0,IF(ISNUMBER(Q449),Q449,ROUND(MAX(0,AA449)*IF(ISNUMBER(R449),R449,'Impostazioni'!$B$8),2))))</x:f>
      </x:c>
      <x:c r="AC449" s="20" t="str">
        <x:f>IF(AND(ISNUMBER(AA449),ISNUMBER(AB449)),ROUND(AA449-AB449,2),"")</x:f>
      </x:c>
      <x:c r="AD449" s="18" t="str">
        <x:f>IF(A449="","",IF(AQ449&lt;&gt;"OK","Incompleto",IF(J449="Aperto","Aperto",IF(J449="Annullato","Annullato",IF(AC449&gt;0,"Green",IF(AC449&lt;0,"Red","Flat"))))))</x:f>
      </x:c>
      <x:c r="AE449" s="21" t="str">
        <x:f>IF(AND(AH449=1,Z449&gt;0),AC449/Z449,"")</x:f>
      </x:c>
      <x:c r="AF449" s="22" t="str">
        <x:f>IF(AH449&lt;&gt;1,"",COUNTIFS($C$8:$C$507,"&lt;"&amp;C449,$AH$8:$AH$507,1)+COUNTIFS($C$8:$C$507,C449,$A$8:$A$507,"&lt;="&amp;A449,$AH$8:$AH$507,1))</x:f>
      </x:c>
      <x:c r="AG449" s="20" t="str">
        <x:f>IF(AH449&lt;&gt;1,"",SUMIFS($AC$8:$AC$507,$C$8:$C$507,"&lt;"&amp;C449,$AH$8:$AH$507,1)+SUMIFS($AC$8:$AC$507,$C$8:$C$507,C449,$A$8:$A$507,"&lt;="&amp;A449,$AH$8:$AH$507,1))</x:f>
      </x:c>
      <x:c r="AH449" s="22" t="str">
        <x:f>IF(A449="","",IF(AND(J449="Chiuso",AQ449="OK",ISNUMBER(AC449)),1,0))</x:f>
      </x:c>
      <x:c r="AI449" s="20" t="str">
        <x:f>IF(AH449&lt;&gt;1,"",MAX(0,_xlfn.MAXIFS($AG$8:$AG$507,$AF$8:$AF$507,"&lt;="&amp;AF449,$AH$8:$AH$507,1)))</x:f>
      </x:c>
      <x:c r="AJ449" s="20" t="str">
        <x:f>IF(AH449&lt;&gt;1,"",MAX(0,AI449-AG449))</x:f>
      </x:c>
      <x:c r="AK449" s="21" t="str">
        <x:f>IF(OR(AH449&lt;&gt;1,NOT(ISNUMBER('Impostazioni'!$B$6)),'Impostazioni'!$B$6+AI449&lt;=0),"",AJ449/('Impostazioni'!$B$6+AI449))</x:f>
      </x:c>
      <x:c r="AL449" s="22" t="str">
        <x:f>IF(AH449&lt;&gt;1,"",IF(AC449&gt;0,AF449-_xlfn.MAXIFS($AF$8:$AF$507,$AF$8:$AF$507,"&lt;="&amp;AF449,$AC$8:$AC$507,"&lt;=0",$AH$8:$AH$507,1),0))</x:f>
      </x:c>
      <x:c r="AM449" s="22" t="str">
        <x:f>IF(AH449&lt;&gt;1,"",IF(AC449&lt;0,AF449-_xlfn.MAXIFS($AF$8:$AF$507,$AF$8:$AF$507,"&lt;="&amp;AF449,$AC$8:$AC$507,"&gt;=0",$AH$8:$AH$507,1),0))</x:f>
      </x:c>
      <x:c r="AN449" s="20" t="str">
        <x:f>IF(OR(A449="",NOT(ISNUMBER(B449)),NOT(ISNUMBER('Impostazioni'!$B$6))),"",'Impostazioni'!$B$6+SUMIFS($AC$8:$AC$507,$C$8:$C$507,"&lt;"&amp;B449,$AH$8:$AH$507,1)+SUMIFS('Cassa'!$F$8:$F$307,'Cassa'!$A$8:$A$307,"&lt;="&amp;B449,'Cassa'!$G$8:$G$307,"OK"))</x:f>
      </x:c>
      <x:c r="AO449" s="21" t="str">
        <x:f>IF(AND(ISNUMBER(Z449),ISNUMBER(AN449),AN449&gt;0),Z449/AN449,"")</x:f>
      </x:c>
      <x:c r="AP449" s="18" t="str">
        <x:f>IF(NOT(ISNUMBER(AO449)),"",IF(AO449&gt;'Impostazioni'!$B$7,"Oltre soglia personale","Nella soglia personale"))</x:f>
      </x:c>
      <x:c r="AQ449" s="18" t="str">
        <x:f>IF(A449="",IF(COUNTA(B449:V449)=0,"","Inserisci ID"),IF(COUNTIFS($A$8:$A$507,A449)&lt;&gt;1,"ID duplicato",IF(OR(NOT(ISNUMBER(B449)),D449="",E449="",F449="",G449="",H449="",COUNTIFS('Impostazioni'!$J$6:$J$25,F449)&lt;&gt;1),"Completa dati / elenchi",IF(OR(AND(I449&lt;&gt;"Lordo manuale",I449&lt;&gt;"Netto manuale",I449&lt;&gt;"Esecuzioni"),AND(J449&lt;&gt;"Aperto",J449&lt;&gt;"Chiuso",J449&lt;&gt;"Annullato")),"Modalità / stato mancanti",IF(AND(J449&lt;&gt;"Aperto",OR(NOT(ISNUMBER(C449)),C449&lt;B449)),"Correggi data chiusura",IF(OR(AND(Q449&lt;&gt;"",OR(NOT(ISNUMBER(Q449)),Q449&lt;0)),AND(R449&lt;&gt;"",OR(NOT(ISNUMBER(R449)),R449&lt;0,R449&gt;1))),"Commissione non valida",IF(J449="Annullato","OK",IF(OR(NOT(ISNUMBER(Z449)),Z449&lt;0,AND(O449&lt;&gt;"",NOT(ISNUMBER(O449)))),"Inserisci rischio",IF(AND(I449="Esecuzioni",OR(W449=0,COUNTIFS('Esecuzioni'!$A$8:$A$1007,A449,'Esecuzioni'!$Q$8:$Q$1007,"&lt;&gt;OK")&gt;0)),"Correggi esecuzioni",IF(J449="Aperto","OK",IF(AND(I449="Esecuzioni",S449="Coperto",ABS(X449-Y449)&gt;'Impostazioni'!$B$11),"Copertura residua",IF(NOT(ISNUMBER(AC449)),"Completa risultato / esito",IF(AND(Z449=0,AC449&lt;&gt;0),"Rischio nullo con P/L","OK")))))))))))))</x:f>
      </x:c>
      <x:c r="AR449" s="20" t="str">
        <x:f>IF(OR(A449="",J449&lt;&gt;"Aperto",AQ449&lt;&gt;"OK"),"",IF(I449="Esecuzioni",SUMIFS('Esecuzioni'!$P$8:$P$1007,'Esecuzioni'!$A$8:$A$1007,A449,'Esecuzioni'!$B$8:$B$1007,_xlfn.MAXIFS('Esecuzioni'!$B$8:$B$1007,'Esecuzioni'!$A$8:$A$1007,A449)),IF(LEFT(U449,8)="FREEBET:",0,Z449)))</x:f>
      </x:c>
      <x:c r="AS449" s="48" t="str">
        <x:f>IF(OR(A449="",E449=""),"",IF(COUNTIFS($E$8:E449,E449)=1,COUNT($AS$7:AS448)+1,""))</x:f>
      </x:c>
    </x:row>
    <x:row r="450" ht="22" customHeight="1">
      <x:c r="A450" s="7"/>
      <x:c r="B450" s="19"/>
      <x:c r="C450" s="19"/>
      <x:c r="D450" s="7"/>
      <x:c r="E450" s="7"/>
      <x:c r="F450" s="7"/>
      <x:c r="G450" s="7"/>
      <x:c r="H450" s="7"/>
      <x:c r="I450" s="7"/>
      <x:c r="J450" s="7"/>
      <x:c r="K450" s="10"/>
      <x:c r="L450" s="7"/>
      <x:c r="M450" s="10"/>
      <x:c r="N450" s="7"/>
      <x:c r="O450" s="8"/>
      <x:c r="P450" s="8"/>
      <x:c r="Q450" s="8"/>
      <x:c r="R450" s="9"/>
      <x:c r="S450" s="7"/>
      <x:c r="T450" s="7"/>
      <x:c r="U450" s="7"/>
      <x:c r="V450" s="7"/>
      <x:c r="W450" s="22" t="str">
        <x:f>IF(A450="","",COUNTIFS('Esecuzioni'!$A$8:$A$1007,A450,'Esecuzioni'!$Q$8:$Q$1007,"OK"))</x:f>
      </x:c>
      <x:c r="X450" s="20" t="str">
        <x:f>IF(OR(A450="",I450&lt;&gt;"Esecuzioni",W450=0),"",SUMIFS('Esecuzioni'!$L$8:$L$1007,'Esecuzioni'!$A$8:$A$1007,A450))</x:f>
      </x:c>
      <x:c r="Y450" s="20" t="str">
        <x:f>IF(OR(A450="",I450&lt;&gt;"Esecuzioni",W450=0),"",SUMIFS('Esecuzioni'!$M$8:$M$1007,'Esecuzioni'!$A$8:$A$1007,A450))</x:f>
      </x:c>
      <x:c r="Z450" s="20" t="str">
        <x:f>IF(A450="","",IF(J450="Annullato",0,IF(ISNUMBER(O450),O450,IF(AND(I450="Esecuzioni",W450&gt;0),_xlfn.MAXIFS('Esecuzioni'!$P$8:$P$1007,'Esecuzioni'!$A$8:$A$1007,A450),""))))</x:f>
      </x:c>
      <x:c r="AA450" s="20" t="str">
        <x:f>IF(OR(A450="",J450="Aperto"),"",IF(J450="Annullato",0,IF(I450="Lordo manuale",IF(ISNUMBER(P450),P450,""),IF(I450="Netto manuale",IF(AND(ISNUMBER(P450),ISNUMBER(Q450)),P450+Q450,""),IF(OR(W450=0,COUNTIFS('Esecuzioni'!$A$8:$A$1007,A450,'Esecuzioni'!$Q$8:$Q$1007,"&lt;&gt;OK")&gt;0),"",IF(S450="Vince",X450,IF(S450="Perde",Y450,IF(AND(S450="Coperto",ABS(X450-Y450)&lt;='Impostazioni'!$B$11),ROUND((X450+Y450)/2,2),""))))))))</x:f>
      </x:c>
      <x:c r="AB450" s="20" t="str">
        <x:f>IF(NOT(ISNUMBER(AA450)),"",IF(J450="Annullato",0,IF(ISNUMBER(Q450),Q450,ROUND(MAX(0,AA450)*IF(ISNUMBER(R450),R450,'Impostazioni'!$B$8),2))))</x:f>
      </x:c>
      <x:c r="AC450" s="20" t="str">
        <x:f>IF(AND(ISNUMBER(AA450),ISNUMBER(AB450)),ROUND(AA450-AB450,2),"")</x:f>
      </x:c>
      <x:c r="AD450" s="18" t="str">
        <x:f>IF(A450="","",IF(AQ450&lt;&gt;"OK","Incompleto",IF(J450="Aperto","Aperto",IF(J450="Annullato","Annullato",IF(AC450&gt;0,"Green",IF(AC450&lt;0,"Red","Flat"))))))</x:f>
      </x:c>
      <x:c r="AE450" s="21" t="str">
        <x:f>IF(AND(AH450=1,Z450&gt;0),AC450/Z450,"")</x:f>
      </x:c>
      <x:c r="AF450" s="22" t="str">
        <x:f>IF(AH450&lt;&gt;1,"",COUNTIFS($C$8:$C$507,"&lt;"&amp;C450,$AH$8:$AH$507,1)+COUNTIFS($C$8:$C$507,C450,$A$8:$A$507,"&lt;="&amp;A450,$AH$8:$AH$507,1))</x:f>
      </x:c>
      <x:c r="AG450" s="20" t="str">
        <x:f>IF(AH450&lt;&gt;1,"",SUMIFS($AC$8:$AC$507,$C$8:$C$507,"&lt;"&amp;C450,$AH$8:$AH$507,1)+SUMIFS($AC$8:$AC$507,$C$8:$C$507,C450,$A$8:$A$507,"&lt;="&amp;A450,$AH$8:$AH$507,1))</x:f>
      </x:c>
      <x:c r="AH450" s="22" t="str">
        <x:f>IF(A450="","",IF(AND(J450="Chiuso",AQ450="OK",ISNUMBER(AC450)),1,0))</x:f>
      </x:c>
      <x:c r="AI450" s="20" t="str">
        <x:f>IF(AH450&lt;&gt;1,"",MAX(0,_xlfn.MAXIFS($AG$8:$AG$507,$AF$8:$AF$507,"&lt;="&amp;AF450,$AH$8:$AH$507,1)))</x:f>
      </x:c>
      <x:c r="AJ450" s="20" t="str">
        <x:f>IF(AH450&lt;&gt;1,"",MAX(0,AI450-AG450))</x:f>
      </x:c>
      <x:c r="AK450" s="21" t="str">
        <x:f>IF(OR(AH450&lt;&gt;1,NOT(ISNUMBER('Impostazioni'!$B$6)),'Impostazioni'!$B$6+AI450&lt;=0),"",AJ450/('Impostazioni'!$B$6+AI450))</x:f>
      </x:c>
      <x:c r="AL450" s="22" t="str">
        <x:f>IF(AH450&lt;&gt;1,"",IF(AC450&gt;0,AF450-_xlfn.MAXIFS($AF$8:$AF$507,$AF$8:$AF$507,"&lt;="&amp;AF450,$AC$8:$AC$507,"&lt;=0",$AH$8:$AH$507,1),0))</x:f>
      </x:c>
      <x:c r="AM450" s="22" t="str">
        <x:f>IF(AH450&lt;&gt;1,"",IF(AC450&lt;0,AF450-_xlfn.MAXIFS($AF$8:$AF$507,$AF$8:$AF$507,"&lt;="&amp;AF450,$AC$8:$AC$507,"&gt;=0",$AH$8:$AH$507,1),0))</x:f>
      </x:c>
      <x:c r="AN450" s="20" t="str">
        <x:f>IF(OR(A450="",NOT(ISNUMBER(B450)),NOT(ISNUMBER('Impostazioni'!$B$6))),"",'Impostazioni'!$B$6+SUMIFS($AC$8:$AC$507,$C$8:$C$507,"&lt;"&amp;B450,$AH$8:$AH$507,1)+SUMIFS('Cassa'!$F$8:$F$307,'Cassa'!$A$8:$A$307,"&lt;="&amp;B450,'Cassa'!$G$8:$G$307,"OK"))</x:f>
      </x:c>
      <x:c r="AO450" s="21" t="str">
        <x:f>IF(AND(ISNUMBER(Z450),ISNUMBER(AN450),AN450&gt;0),Z450/AN450,"")</x:f>
      </x:c>
      <x:c r="AP450" s="18" t="str">
        <x:f>IF(NOT(ISNUMBER(AO450)),"",IF(AO450&gt;'Impostazioni'!$B$7,"Oltre soglia personale","Nella soglia personale"))</x:f>
      </x:c>
      <x:c r="AQ450" s="18" t="str">
        <x:f>IF(A450="",IF(COUNTA(B450:V450)=0,"","Inserisci ID"),IF(COUNTIFS($A$8:$A$507,A450)&lt;&gt;1,"ID duplicato",IF(OR(NOT(ISNUMBER(B450)),D450="",E450="",F450="",G450="",H450="",COUNTIFS('Impostazioni'!$J$6:$J$25,F450)&lt;&gt;1),"Completa dati / elenchi",IF(OR(AND(I450&lt;&gt;"Lordo manuale",I450&lt;&gt;"Netto manuale",I450&lt;&gt;"Esecuzioni"),AND(J450&lt;&gt;"Aperto",J450&lt;&gt;"Chiuso",J450&lt;&gt;"Annullato")),"Modalità / stato mancanti",IF(AND(J450&lt;&gt;"Aperto",OR(NOT(ISNUMBER(C450)),C450&lt;B450)),"Correggi data chiusura",IF(OR(AND(Q450&lt;&gt;"",OR(NOT(ISNUMBER(Q450)),Q450&lt;0)),AND(R450&lt;&gt;"",OR(NOT(ISNUMBER(R450)),R450&lt;0,R450&gt;1))),"Commissione non valida",IF(J450="Annullato","OK",IF(OR(NOT(ISNUMBER(Z450)),Z450&lt;0,AND(O450&lt;&gt;"",NOT(ISNUMBER(O450)))),"Inserisci rischio",IF(AND(I450="Esecuzioni",OR(W450=0,COUNTIFS('Esecuzioni'!$A$8:$A$1007,A450,'Esecuzioni'!$Q$8:$Q$1007,"&lt;&gt;OK")&gt;0)),"Correggi esecuzioni",IF(J450="Aperto","OK",IF(AND(I450="Esecuzioni",S450="Coperto",ABS(X450-Y450)&gt;'Impostazioni'!$B$11),"Copertura residua",IF(NOT(ISNUMBER(AC450)),"Completa risultato / esito",IF(AND(Z450=0,AC450&lt;&gt;0),"Rischio nullo con P/L","OK")))))))))))))</x:f>
      </x:c>
      <x:c r="AR450" s="20" t="str">
        <x:f>IF(OR(A450="",J450&lt;&gt;"Aperto",AQ450&lt;&gt;"OK"),"",IF(I450="Esecuzioni",SUMIFS('Esecuzioni'!$P$8:$P$1007,'Esecuzioni'!$A$8:$A$1007,A450,'Esecuzioni'!$B$8:$B$1007,_xlfn.MAXIFS('Esecuzioni'!$B$8:$B$1007,'Esecuzioni'!$A$8:$A$1007,A450)),IF(LEFT(U450,8)="FREEBET:",0,Z450)))</x:f>
      </x:c>
      <x:c r="AS450" s="48" t="str">
        <x:f>IF(OR(A450="",E450=""),"",IF(COUNTIFS($E$8:E450,E450)=1,COUNT($AS$7:AS449)+1,""))</x:f>
      </x:c>
    </x:row>
    <x:row r="451" ht="22" customHeight="1">
      <x:c r="A451" s="7"/>
      <x:c r="B451" s="19"/>
      <x:c r="C451" s="19"/>
      <x:c r="D451" s="7"/>
      <x:c r="E451" s="7"/>
      <x:c r="F451" s="7"/>
      <x:c r="G451" s="7"/>
      <x:c r="H451" s="7"/>
      <x:c r="I451" s="7"/>
      <x:c r="J451" s="7"/>
      <x:c r="K451" s="10"/>
      <x:c r="L451" s="7"/>
      <x:c r="M451" s="10"/>
      <x:c r="N451" s="7"/>
      <x:c r="O451" s="8"/>
      <x:c r="P451" s="8"/>
      <x:c r="Q451" s="8"/>
      <x:c r="R451" s="9"/>
      <x:c r="S451" s="7"/>
      <x:c r="T451" s="7"/>
      <x:c r="U451" s="7"/>
      <x:c r="V451" s="7"/>
      <x:c r="W451" s="22" t="str">
        <x:f>IF(A451="","",COUNTIFS('Esecuzioni'!$A$8:$A$1007,A451,'Esecuzioni'!$Q$8:$Q$1007,"OK"))</x:f>
      </x:c>
      <x:c r="X451" s="20" t="str">
        <x:f>IF(OR(A451="",I451&lt;&gt;"Esecuzioni",W451=0),"",SUMIFS('Esecuzioni'!$L$8:$L$1007,'Esecuzioni'!$A$8:$A$1007,A451))</x:f>
      </x:c>
      <x:c r="Y451" s="20" t="str">
        <x:f>IF(OR(A451="",I451&lt;&gt;"Esecuzioni",W451=0),"",SUMIFS('Esecuzioni'!$M$8:$M$1007,'Esecuzioni'!$A$8:$A$1007,A451))</x:f>
      </x:c>
      <x:c r="Z451" s="20" t="str">
        <x:f>IF(A451="","",IF(J451="Annullato",0,IF(ISNUMBER(O451),O451,IF(AND(I451="Esecuzioni",W451&gt;0),_xlfn.MAXIFS('Esecuzioni'!$P$8:$P$1007,'Esecuzioni'!$A$8:$A$1007,A451),""))))</x:f>
      </x:c>
      <x:c r="AA451" s="20" t="str">
        <x:f>IF(OR(A451="",J451="Aperto"),"",IF(J451="Annullato",0,IF(I451="Lordo manuale",IF(ISNUMBER(P451),P451,""),IF(I451="Netto manuale",IF(AND(ISNUMBER(P451),ISNUMBER(Q451)),P451+Q451,""),IF(OR(W451=0,COUNTIFS('Esecuzioni'!$A$8:$A$1007,A451,'Esecuzioni'!$Q$8:$Q$1007,"&lt;&gt;OK")&gt;0),"",IF(S451="Vince",X451,IF(S451="Perde",Y451,IF(AND(S451="Coperto",ABS(X451-Y451)&lt;='Impostazioni'!$B$11),ROUND((X451+Y451)/2,2),""))))))))</x:f>
      </x:c>
      <x:c r="AB451" s="20" t="str">
        <x:f>IF(NOT(ISNUMBER(AA451)),"",IF(J451="Annullato",0,IF(ISNUMBER(Q451),Q451,ROUND(MAX(0,AA451)*IF(ISNUMBER(R451),R451,'Impostazioni'!$B$8),2))))</x:f>
      </x:c>
      <x:c r="AC451" s="20" t="str">
        <x:f>IF(AND(ISNUMBER(AA451),ISNUMBER(AB451)),ROUND(AA451-AB451,2),"")</x:f>
      </x:c>
      <x:c r="AD451" s="18" t="str">
        <x:f>IF(A451="","",IF(AQ451&lt;&gt;"OK","Incompleto",IF(J451="Aperto","Aperto",IF(J451="Annullato","Annullato",IF(AC451&gt;0,"Green",IF(AC451&lt;0,"Red","Flat"))))))</x:f>
      </x:c>
      <x:c r="AE451" s="21" t="str">
        <x:f>IF(AND(AH451=1,Z451&gt;0),AC451/Z451,"")</x:f>
      </x:c>
      <x:c r="AF451" s="22" t="str">
        <x:f>IF(AH451&lt;&gt;1,"",COUNTIFS($C$8:$C$507,"&lt;"&amp;C451,$AH$8:$AH$507,1)+COUNTIFS($C$8:$C$507,C451,$A$8:$A$507,"&lt;="&amp;A451,$AH$8:$AH$507,1))</x:f>
      </x:c>
      <x:c r="AG451" s="20" t="str">
        <x:f>IF(AH451&lt;&gt;1,"",SUMIFS($AC$8:$AC$507,$C$8:$C$507,"&lt;"&amp;C451,$AH$8:$AH$507,1)+SUMIFS($AC$8:$AC$507,$C$8:$C$507,C451,$A$8:$A$507,"&lt;="&amp;A451,$AH$8:$AH$507,1))</x:f>
      </x:c>
      <x:c r="AH451" s="22" t="str">
        <x:f>IF(A451="","",IF(AND(J451="Chiuso",AQ451="OK",ISNUMBER(AC451)),1,0))</x:f>
      </x:c>
      <x:c r="AI451" s="20" t="str">
        <x:f>IF(AH451&lt;&gt;1,"",MAX(0,_xlfn.MAXIFS($AG$8:$AG$507,$AF$8:$AF$507,"&lt;="&amp;AF451,$AH$8:$AH$507,1)))</x:f>
      </x:c>
      <x:c r="AJ451" s="20" t="str">
        <x:f>IF(AH451&lt;&gt;1,"",MAX(0,AI451-AG451))</x:f>
      </x:c>
      <x:c r="AK451" s="21" t="str">
        <x:f>IF(OR(AH451&lt;&gt;1,NOT(ISNUMBER('Impostazioni'!$B$6)),'Impostazioni'!$B$6+AI451&lt;=0),"",AJ451/('Impostazioni'!$B$6+AI451))</x:f>
      </x:c>
      <x:c r="AL451" s="22" t="str">
        <x:f>IF(AH451&lt;&gt;1,"",IF(AC451&gt;0,AF451-_xlfn.MAXIFS($AF$8:$AF$507,$AF$8:$AF$507,"&lt;="&amp;AF451,$AC$8:$AC$507,"&lt;=0",$AH$8:$AH$507,1),0))</x:f>
      </x:c>
      <x:c r="AM451" s="22" t="str">
        <x:f>IF(AH451&lt;&gt;1,"",IF(AC451&lt;0,AF451-_xlfn.MAXIFS($AF$8:$AF$507,$AF$8:$AF$507,"&lt;="&amp;AF451,$AC$8:$AC$507,"&gt;=0",$AH$8:$AH$507,1),0))</x:f>
      </x:c>
      <x:c r="AN451" s="20" t="str">
        <x:f>IF(OR(A451="",NOT(ISNUMBER(B451)),NOT(ISNUMBER('Impostazioni'!$B$6))),"",'Impostazioni'!$B$6+SUMIFS($AC$8:$AC$507,$C$8:$C$507,"&lt;"&amp;B451,$AH$8:$AH$507,1)+SUMIFS('Cassa'!$F$8:$F$307,'Cassa'!$A$8:$A$307,"&lt;="&amp;B451,'Cassa'!$G$8:$G$307,"OK"))</x:f>
      </x:c>
      <x:c r="AO451" s="21" t="str">
        <x:f>IF(AND(ISNUMBER(Z451),ISNUMBER(AN451),AN451&gt;0),Z451/AN451,"")</x:f>
      </x:c>
      <x:c r="AP451" s="18" t="str">
        <x:f>IF(NOT(ISNUMBER(AO451)),"",IF(AO451&gt;'Impostazioni'!$B$7,"Oltre soglia personale","Nella soglia personale"))</x:f>
      </x:c>
      <x:c r="AQ451" s="18" t="str">
        <x:f>IF(A451="",IF(COUNTA(B451:V451)=0,"","Inserisci ID"),IF(COUNTIFS($A$8:$A$507,A451)&lt;&gt;1,"ID duplicato",IF(OR(NOT(ISNUMBER(B451)),D451="",E451="",F451="",G451="",H451="",COUNTIFS('Impostazioni'!$J$6:$J$25,F451)&lt;&gt;1),"Completa dati / elenchi",IF(OR(AND(I451&lt;&gt;"Lordo manuale",I451&lt;&gt;"Netto manuale",I451&lt;&gt;"Esecuzioni"),AND(J451&lt;&gt;"Aperto",J451&lt;&gt;"Chiuso",J451&lt;&gt;"Annullato")),"Modalità / stato mancanti",IF(AND(J451&lt;&gt;"Aperto",OR(NOT(ISNUMBER(C451)),C451&lt;B451)),"Correggi data chiusura",IF(OR(AND(Q451&lt;&gt;"",OR(NOT(ISNUMBER(Q451)),Q451&lt;0)),AND(R451&lt;&gt;"",OR(NOT(ISNUMBER(R451)),R451&lt;0,R451&gt;1))),"Commissione non valida",IF(J451="Annullato","OK",IF(OR(NOT(ISNUMBER(Z451)),Z451&lt;0,AND(O451&lt;&gt;"",NOT(ISNUMBER(O451)))),"Inserisci rischio",IF(AND(I451="Esecuzioni",OR(W451=0,COUNTIFS('Esecuzioni'!$A$8:$A$1007,A451,'Esecuzioni'!$Q$8:$Q$1007,"&lt;&gt;OK")&gt;0)),"Correggi esecuzioni",IF(J451="Aperto","OK",IF(AND(I451="Esecuzioni",S451="Coperto",ABS(X451-Y451)&gt;'Impostazioni'!$B$11),"Copertura residua",IF(NOT(ISNUMBER(AC451)),"Completa risultato / esito",IF(AND(Z451=0,AC451&lt;&gt;0),"Rischio nullo con P/L","OK")))))))))))))</x:f>
      </x:c>
      <x:c r="AR451" s="20" t="str">
        <x:f>IF(OR(A451="",J451&lt;&gt;"Aperto",AQ451&lt;&gt;"OK"),"",IF(I451="Esecuzioni",SUMIFS('Esecuzioni'!$P$8:$P$1007,'Esecuzioni'!$A$8:$A$1007,A451,'Esecuzioni'!$B$8:$B$1007,_xlfn.MAXIFS('Esecuzioni'!$B$8:$B$1007,'Esecuzioni'!$A$8:$A$1007,A451)),IF(LEFT(U451,8)="FREEBET:",0,Z451)))</x:f>
      </x:c>
      <x:c r="AS451" s="48" t="str">
        <x:f>IF(OR(A451="",E451=""),"",IF(COUNTIFS($E$8:E451,E451)=1,COUNT($AS$7:AS450)+1,""))</x:f>
      </x:c>
    </x:row>
    <x:row r="452" ht="22" customHeight="1">
      <x:c r="A452" s="7"/>
      <x:c r="B452" s="19"/>
      <x:c r="C452" s="19"/>
      <x:c r="D452" s="7"/>
      <x:c r="E452" s="7"/>
      <x:c r="F452" s="7"/>
      <x:c r="G452" s="7"/>
      <x:c r="H452" s="7"/>
      <x:c r="I452" s="7"/>
      <x:c r="J452" s="7"/>
      <x:c r="K452" s="10"/>
      <x:c r="L452" s="7"/>
      <x:c r="M452" s="10"/>
      <x:c r="N452" s="7"/>
      <x:c r="O452" s="8"/>
      <x:c r="P452" s="8"/>
      <x:c r="Q452" s="8"/>
      <x:c r="R452" s="9"/>
      <x:c r="S452" s="7"/>
      <x:c r="T452" s="7"/>
      <x:c r="U452" s="7"/>
      <x:c r="V452" s="7"/>
      <x:c r="W452" s="22" t="str">
        <x:f>IF(A452="","",COUNTIFS('Esecuzioni'!$A$8:$A$1007,A452,'Esecuzioni'!$Q$8:$Q$1007,"OK"))</x:f>
      </x:c>
      <x:c r="X452" s="20" t="str">
        <x:f>IF(OR(A452="",I452&lt;&gt;"Esecuzioni",W452=0),"",SUMIFS('Esecuzioni'!$L$8:$L$1007,'Esecuzioni'!$A$8:$A$1007,A452))</x:f>
      </x:c>
      <x:c r="Y452" s="20" t="str">
        <x:f>IF(OR(A452="",I452&lt;&gt;"Esecuzioni",W452=0),"",SUMIFS('Esecuzioni'!$M$8:$M$1007,'Esecuzioni'!$A$8:$A$1007,A452))</x:f>
      </x:c>
      <x:c r="Z452" s="20" t="str">
        <x:f>IF(A452="","",IF(J452="Annullato",0,IF(ISNUMBER(O452),O452,IF(AND(I452="Esecuzioni",W452&gt;0),_xlfn.MAXIFS('Esecuzioni'!$P$8:$P$1007,'Esecuzioni'!$A$8:$A$1007,A452),""))))</x:f>
      </x:c>
      <x:c r="AA452" s="20" t="str">
        <x:f>IF(OR(A452="",J452="Aperto"),"",IF(J452="Annullato",0,IF(I452="Lordo manuale",IF(ISNUMBER(P452),P452,""),IF(I452="Netto manuale",IF(AND(ISNUMBER(P452),ISNUMBER(Q452)),P452+Q452,""),IF(OR(W452=0,COUNTIFS('Esecuzioni'!$A$8:$A$1007,A452,'Esecuzioni'!$Q$8:$Q$1007,"&lt;&gt;OK")&gt;0),"",IF(S452="Vince",X452,IF(S452="Perde",Y452,IF(AND(S452="Coperto",ABS(X452-Y452)&lt;='Impostazioni'!$B$11),ROUND((X452+Y452)/2,2),""))))))))</x:f>
      </x:c>
      <x:c r="AB452" s="20" t="str">
        <x:f>IF(NOT(ISNUMBER(AA452)),"",IF(J452="Annullato",0,IF(ISNUMBER(Q452),Q452,ROUND(MAX(0,AA452)*IF(ISNUMBER(R452),R452,'Impostazioni'!$B$8),2))))</x:f>
      </x:c>
      <x:c r="AC452" s="20" t="str">
        <x:f>IF(AND(ISNUMBER(AA452),ISNUMBER(AB452)),ROUND(AA452-AB452,2),"")</x:f>
      </x:c>
      <x:c r="AD452" s="18" t="str">
        <x:f>IF(A452="","",IF(AQ452&lt;&gt;"OK","Incompleto",IF(J452="Aperto","Aperto",IF(J452="Annullato","Annullato",IF(AC452&gt;0,"Green",IF(AC452&lt;0,"Red","Flat"))))))</x:f>
      </x:c>
      <x:c r="AE452" s="21" t="str">
        <x:f>IF(AND(AH452=1,Z452&gt;0),AC452/Z452,"")</x:f>
      </x:c>
      <x:c r="AF452" s="22" t="str">
        <x:f>IF(AH452&lt;&gt;1,"",COUNTIFS($C$8:$C$507,"&lt;"&amp;C452,$AH$8:$AH$507,1)+COUNTIFS($C$8:$C$507,C452,$A$8:$A$507,"&lt;="&amp;A452,$AH$8:$AH$507,1))</x:f>
      </x:c>
      <x:c r="AG452" s="20" t="str">
        <x:f>IF(AH452&lt;&gt;1,"",SUMIFS($AC$8:$AC$507,$C$8:$C$507,"&lt;"&amp;C452,$AH$8:$AH$507,1)+SUMIFS($AC$8:$AC$507,$C$8:$C$507,C452,$A$8:$A$507,"&lt;="&amp;A452,$AH$8:$AH$507,1))</x:f>
      </x:c>
      <x:c r="AH452" s="22" t="str">
        <x:f>IF(A452="","",IF(AND(J452="Chiuso",AQ452="OK",ISNUMBER(AC452)),1,0))</x:f>
      </x:c>
      <x:c r="AI452" s="20" t="str">
        <x:f>IF(AH452&lt;&gt;1,"",MAX(0,_xlfn.MAXIFS($AG$8:$AG$507,$AF$8:$AF$507,"&lt;="&amp;AF452,$AH$8:$AH$507,1)))</x:f>
      </x:c>
      <x:c r="AJ452" s="20" t="str">
        <x:f>IF(AH452&lt;&gt;1,"",MAX(0,AI452-AG452))</x:f>
      </x:c>
      <x:c r="AK452" s="21" t="str">
        <x:f>IF(OR(AH452&lt;&gt;1,NOT(ISNUMBER('Impostazioni'!$B$6)),'Impostazioni'!$B$6+AI452&lt;=0),"",AJ452/('Impostazioni'!$B$6+AI452))</x:f>
      </x:c>
      <x:c r="AL452" s="22" t="str">
        <x:f>IF(AH452&lt;&gt;1,"",IF(AC452&gt;0,AF452-_xlfn.MAXIFS($AF$8:$AF$507,$AF$8:$AF$507,"&lt;="&amp;AF452,$AC$8:$AC$507,"&lt;=0",$AH$8:$AH$507,1),0))</x:f>
      </x:c>
      <x:c r="AM452" s="22" t="str">
        <x:f>IF(AH452&lt;&gt;1,"",IF(AC452&lt;0,AF452-_xlfn.MAXIFS($AF$8:$AF$507,$AF$8:$AF$507,"&lt;="&amp;AF452,$AC$8:$AC$507,"&gt;=0",$AH$8:$AH$507,1),0))</x:f>
      </x:c>
      <x:c r="AN452" s="20" t="str">
        <x:f>IF(OR(A452="",NOT(ISNUMBER(B452)),NOT(ISNUMBER('Impostazioni'!$B$6))),"",'Impostazioni'!$B$6+SUMIFS($AC$8:$AC$507,$C$8:$C$507,"&lt;"&amp;B452,$AH$8:$AH$507,1)+SUMIFS('Cassa'!$F$8:$F$307,'Cassa'!$A$8:$A$307,"&lt;="&amp;B452,'Cassa'!$G$8:$G$307,"OK"))</x:f>
      </x:c>
      <x:c r="AO452" s="21" t="str">
        <x:f>IF(AND(ISNUMBER(Z452),ISNUMBER(AN452),AN452&gt;0),Z452/AN452,"")</x:f>
      </x:c>
      <x:c r="AP452" s="18" t="str">
        <x:f>IF(NOT(ISNUMBER(AO452)),"",IF(AO452&gt;'Impostazioni'!$B$7,"Oltre soglia personale","Nella soglia personale"))</x:f>
      </x:c>
      <x:c r="AQ452" s="18" t="str">
        <x:f>IF(A452="",IF(COUNTA(B452:V452)=0,"","Inserisci ID"),IF(COUNTIFS($A$8:$A$507,A452)&lt;&gt;1,"ID duplicato",IF(OR(NOT(ISNUMBER(B452)),D452="",E452="",F452="",G452="",H452="",COUNTIFS('Impostazioni'!$J$6:$J$25,F452)&lt;&gt;1),"Completa dati / elenchi",IF(OR(AND(I452&lt;&gt;"Lordo manuale",I452&lt;&gt;"Netto manuale",I452&lt;&gt;"Esecuzioni"),AND(J452&lt;&gt;"Aperto",J452&lt;&gt;"Chiuso",J452&lt;&gt;"Annullato")),"Modalità / stato mancanti",IF(AND(J452&lt;&gt;"Aperto",OR(NOT(ISNUMBER(C452)),C452&lt;B452)),"Correggi data chiusura",IF(OR(AND(Q452&lt;&gt;"",OR(NOT(ISNUMBER(Q452)),Q452&lt;0)),AND(R452&lt;&gt;"",OR(NOT(ISNUMBER(R452)),R452&lt;0,R452&gt;1))),"Commissione non valida",IF(J452="Annullato","OK",IF(OR(NOT(ISNUMBER(Z452)),Z452&lt;0,AND(O452&lt;&gt;"",NOT(ISNUMBER(O452)))),"Inserisci rischio",IF(AND(I452="Esecuzioni",OR(W452=0,COUNTIFS('Esecuzioni'!$A$8:$A$1007,A452,'Esecuzioni'!$Q$8:$Q$1007,"&lt;&gt;OK")&gt;0)),"Correggi esecuzioni",IF(J452="Aperto","OK",IF(AND(I452="Esecuzioni",S452="Coperto",ABS(X452-Y452)&gt;'Impostazioni'!$B$11),"Copertura residua",IF(NOT(ISNUMBER(AC452)),"Completa risultato / esito",IF(AND(Z452=0,AC452&lt;&gt;0),"Rischio nullo con P/L","OK")))))))))))))</x:f>
      </x:c>
      <x:c r="AR452" s="20" t="str">
        <x:f>IF(OR(A452="",J452&lt;&gt;"Aperto",AQ452&lt;&gt;"OK"),"",IF(I452="Esecuzioni",SUMIFS('Esecuzioni'!$P$8:$P$1007,'Esecuzioni'!$A$8:$A$1007,A452,'Esecuzioni'!$B$8:$B$1007,_xlfn.MAXIFS('Esecuzioni'!$B$8:$B$1007,'Esecuzioni'!$A$8:$A$1007,A452)),IF(LEFT(U452,8)="FREEBET:",0,Z452)))</x:f>
      </x:c>
      <x:c r="AS452" s="48" t="str">
        <x:f>IF(OR(A452="",E452=""),"",IF(COUNTIFS($E$8:E452,E452)=1,COUNT($AS$7:AS451)+1,""))</x:f>
      </x:c>
    </x:row>
    <x:row r="453" ht="22" customHeight="1">
      <x:c r="A453" s="7"/>
      <x:c r="B453" s="19"/>
      <x:c r="C453" s="19"/>
      <x:c r="D453" s="7"/>
      <x:c r="E453" s="7"/>
      <x:c r="F453" s="7"/>
      <x:c r="G453" s="7"/>
      <x:c r="H453" s="7"/>
      <x:c r="I453" s="7"/>
      <x:c r="J453" s="7"/>
      <x:c r="K453" s="10"/>
      <x:c r="L453" s="7"/>
      <x:c r="M453" s="10"/>
      <x:c r="N453" s="7"/>
      <x:c r="O453" s="8"/>
      <x:c r="P453" s="8"/>
      <x:c r="Q453" s="8"/>
      <x:c r="R453" s="9"/>
      <x:c r="S453" s="7"/>
      <x:c r="T453" s="7"/>
      <x:c r="U453" s="7"/>
      <x:c r="V453" s="7"/>
      <x:c r="W453" s="22" t="str">
        <x:f>IF(A453="","",COUNTIFS('Esecuzioni'!$A$8:$A$1007,A453,'Esecuzioni'!$Q$8:$Q$1007,"OK"))</x:f>
      </x:c>
      <x:c r="X453" s="20" t="str">
        <x:f>IF(OR(A453="",I453&lt;&gt;"Esecuzioni",W453=0),"",SUMIFS('Esecuzioni'!$L$8:$L$1007,'Esecuzioni'!$A$8:$A$1007,A453))</x:f>
      </x:c>
      <x:c r="Y453" s="20" t="str">
        <x:f>IF(OR(A453="",I453&lt;&gt;"Esecuzioni",W453=0),"",SUMIFS('Esecuzioni'!$M$8:$M$1007,'Esecuzioni'!$A$8:$A$1007,A453))</x:f>
      </x:c>
      <x:c r="Z453" s="20" t="str">
        <x:f>IF(A453="","",IF(J453="Annullato",0,IF(ISNUMBER(O453),O453,IF(AND(I453="Esecuzioni",W453&gt;0),_xlfn.MAXIFS('Esecuzioni'!$P$8:$P$1007,'Esecuzioni'!$A$8:$A$1007,A453),""))))</x:f>
      </x:c>
      <x:c r="AA453" s="20" t="str">
        <x:f>IF(OR(A453="",J453="Aperto"),"",IF(J453="Annullato",0,IF(I453="Lordo manuale",IF(ISNUMBER(P453),P453,""),IF(I453="Netto manuale",IF(AND(ISNUMBER(P453),ISNUMBER(Q453)),P453+Q453,""),IF(OR(W453=0,COUNTIFS('Esecuzioni'!$A$8:$A$1007,A453,'Esecuzioni'!$Q$8:$Q$1007,"&lt;&gt;OK")&gt;0),"",IF(S453="Vince",X453,IF(S453="Perde",Y453,IF(AND(S453="Coperto",ABS(X453-Y453)&lt;='Impostazioni'!$B$11),ROUND((X453+Y453)/2,2),""))))))))</x:f>
      </x:c>
      <x:c r="AB453" s="20" t="str">
        <x:f>IF(NOT(ISNUMBER(AA453)),"",IF(J453="Annullato",0,IF(ISNUMBER(Q453),Q453,ROUND(MAX(0,AA453)*IF(ISNUMBER(R453),R453,'Impostazioni'!$B$8),2))))</x:f>
      </x:c>
      <x:c r="AC453" s="20" t="str">
        <x:f>IF(AND(ISNUMBER(AA453),ISNUMBER(AB453)),ROUND(AA453-AB453,2),"")</x:f>
      </x:c>
      <x:c r="AD453" s="18" t="str">
        <x:f>IF(A453="","",IF(AQ453&lt;&gt;"OK","Incompleto",IF(J453="Aperto","Aperto",IF(J453="Annullato","Annullato",IF(AC453&gt;0,"Green",IF(AC453&lt;0,"Red","Flat"))))))</x:f>
      </x:c>
      <x:c r="AE453" s="21" t="str">
        <x:f>IF(AND(AH453=1,Z453&gt;0),AC453/Z453,"")</x:f>
      </x:c>
      <x:c r="AF453" s="22" t="str">
        <x:f>IF(AH453&lt;&gt;1,"",COUNTIFS($C$8:$C$507,"&lt;"&amp;C453,$AH$8:$AH$507,1)+COUNTIFS($C$8:$C$507,C453,$A$8:$A$507,"&lt;="&amp;A453,$AH$8:$AH$507,1))</x:f>
      </x:c>
      <x:c r="AG453" s="20" t="str">
        <x:f>IF(AH453&lt;&gt;1,"",SUMIFS($AC$8:$AC$507,$C$8:$C$507,"&lt;"&amp;C453,$AH$8:$AH$507,1)+SUMIFS($AC$8:$AC$507,$C$8:$C$507,C453,$A$8:$A$507,"&lt;="&amp;A453,$AH$8:$AH$507,1))</x:f>
      </x:c>
      <x:c r="AH453" s="22" t="str">
        <x:f>IF(A453="","",IF(AND(J453="Chiuso",AQ453="OK",ISNUMBER(AC453)),1,0))</x:f>
      </x:c>
      <x:c r="AI453" s="20" t="str">
        <x:f>IF(AH453&lt;&gt;1,"",MAX(0,_xlfn.MAXIFS($AG$8:$AG$507,$AF$8:$AF$507,"&lt;="&amp;AF453,$AH$8:$AH$507,1)))</x:f>
      </x:c>
      <x:c r="AJ453" s="20" t="str">
        <x:f>IF(AH453&lt;&gt;1,"",MAX(0,AI453-AG453))</x:f>
      </x:c>
      <x:c r="AK453" s="21" t="str">
        <x:f>IF(OR(AH453&lt;&gt;1,NOT(ISNUMBER('Impostazioni'!$B$6)),'Impostazioni'!$B$6+AI453&lt;=0),"",AJ453/('Impostazioni'!$B$6+AI453))</x:f>
      </x:c>
      <x:c r="AL453" s="22" t="str">
        <x:f>IF(AH453&lt;&gt;1,"",IF(AC453&gt;0,AF453-_xlfn.MAXIFS($AF$8:$AF$507,$AF$8:$AF$507,"&lt;="&amp;AF453,$AC$8:$AC$507,"&lt;=0",$AH$8:$AH$507,1),0))</x:f>
      </x:c>
      <x:c r="AM453" s="22" t="str">
        <x:f>IF(AH453&lt;&gt;1,"",IF(AC453&lt;0,AF453-_xlfn.MAXIFS($AF$8:$AF$507,$AF$8:$AF$507,"&lt;="&amp;AF453,$AC$8:$AC$507,"&gt;=0",$AH$8:$AH$507,1),0))</x:f>
      </x:c>
      <x:c r="AN453" s="20" t="str">
        <x:f>IF(OR(A453="",NOT(ISNUMBER(B453)),NOT(ISNUMBER('Impostazioni'!$B$6))),"",'Impostazioni'!$B$6+SUMIFS($AC$8:$AC$507,$C$8:$C$507,"&lt;"&amp;B453,$AH$8:$AH$507,1)+SUMIFS('Cassa'!$F$8:$F$307,'Cassa'!$A$8:$A$307,"&lt;="&amp;B453,'Cassa'!$G$8:$G$307,"OK"))</x:f>
      </x:c>
      <x:c r="AO453" s="21" t="str">
        <x:f>IF(AND(ISNUMBER(Z453),ISNUMBER(AN453),AN453&gt;0),Z453/AN453,"")</x:f>
      </x:c>
      <x:c r="AP453" s="18" t="str">
        <x:f>IF(NOT(ISNUMBER(AO453)),"",IF(AO453&gt;'Impostazioni'!$B$7,"Oltre soglia personale","Nella soglia personale"))</x:f>
      </x:c>
      <x:c r="AQ453" s="18" t="str">
        <x:f>IF(A453="",IF(COUNTA(B453:V453)=0,"","Inserisci ID"),IF(COUNTIFS($A$8:$A$507,A453)&lt;&gt;1,"ID duplicato",IF(OR(NOT(ISNUMBER(B453)),D453="",E453="",F453="",G453="",H453="",COUNTIFS('Impostazioni'!$J$6:$J$25,F453)&lt;&gt;1),"Completa dati / elenchi",IF(OR(AND(I453&lt;&gt;"Lordo manuale",I453&lt;&gt;"Netto manuale",I453&lt;&gt;"Esecuzioni"),AND(J453&lt;&gt;"Aperto",J453&lt;&gt;"Chiuso",J453&lt;&gt;"Annullato")),"Modalità / stato mancanti",IF(AND(J453&lt;&gt;"Aperto",OR(NOT(ISNUMBER(C453)),C453&lt;B453)),"Correggi data chiusura",IF(OR(AND(Q453&lt;&gt;"",OR(NOT(ISNUMBER(Q453)),Q453&lt;0)),AND(R453&lt;&gt;"",OR(NOT(ISNUMBER(R453)),R453&lt;0,R453&gt;1))),"Commissione non valida",IF(J453="Annullato","OK",IF(OR(NOT(ISNUMBER(Z453)),Z453&lt;0,AND(O453&lt;&gt;"",NOT(ISNUMBER(O453)))),"Inserisci rischio",IF(AND(I453="Esecuzioni",OR(W453=0,COUNTIFS('Esecuzioni'!$A$8:$A$1007,A453,'Esecuzioni'!$Q$8:$Q$1007,"&lt;&gt;OK")&gt;0)),"Correggi esecuzioni",IF(J453="Aperto","OK",IF(AND(I453="Esecuzioni",S453="Coperto",ABS(X453-Y453)&gt;'Impostazioni'!$B$11),"Copertura residua",IF(NOT(ISNUMBER(AC453)),"Completa risultato / esito",IF(AND(Z453=0,AC453&lt;&gt;0),"Rischio nullo con P/L","OK")))))))))))))</x:f>
      </x:c>
      <x:c r="AR453" s="20" t="str">
        <x:f>IF(OR(A453="",J453&lt;&gt;"Aperto",AQ453&lt;&gt;"OK"),"",IF(I453="Esecuzioni",SUMIFS('Esecuzioni'!$P$8:$P$1007,'Esecuzioni'!$A$8:$A$1007,A453,'Esecuzioni'!$B$8:$B$1007,_xlfn.MAXIFS('Esecuzioni'!$B$8:$B$1007,'Esecuzioni'!$A$8:$A$1007,A453)),IF(LEFT(U453,8)="FREEBET:",0,Z453)))</x:f>
      </x:c>
      <x:c r="AS453" s="48" t="str">
        <x:f>IF(OR(A453="",E453=""),"",IF(COUNTIFS($E$8:E453,E453)=1,COUNT($AS$7:AS452)+1,""))</x:f>
      </x:c>
    </x:row>
    <x:row r="454" ht="22" customHeight="1">
      <x:c r="A454" s="7"/>
      <x:c r="B454" s="19"/>
      <x:c r="C454" s="19"/>
      <x:c r="D454" s="7"/>
      <x:c r="E454" s="7"/>
      <x:c r="F454" s="7"/>
      <x:c r="G454" s="7"/>
      <x:c r="H454" s="7"/>
      <x:c r="I454" s="7"/>
      <x:c r="J454" s="7"/>
      <x:c r="K454" s="10"/>
      <x:c r="L454" s="7"/>
      <x:c r="M454" s="10"/>
      <x:c r="N454" s="7"/>
      <x:c r="O454" s="8"/>
      <x:c r="P454" s="8"/>
      <x:c r="Q454" s="8"/>
      <x:c r="R454" s="9"/>
      <x:c r="S454" s="7"/>
      <x:c r="T454" s="7"/>
      <x:c r="U454" s="7"/>
      <x:c r="V454" s="7"/>
      <x:c r="W454" s="22" t="str">
        <x:f>IF(A454="","",COUNTIFS('Esecuzioni'!$A$8:$A$1007,A454,'Esecuzioni'!$Q$8:$Q$1007,"OK"))</x:f>
      </x:c>
      <x:c r="X454" s="20" t="str">
        <x:f>IF(OR(A454="",I454&lt;&gt;"Esecuzioni",W454=0),"",SUMIFS('Esecuzioni'!$L$8:$L$1007,'Esecuzioni'!$A$8:$A$1007,A454))</x:f>
      </x:c>
      <x:c r="Y454" s="20" t="str">
        <x:f>IF(OR(A454="",I454&lt;&gt;"Esecuzioni",W454=0),"",SUMIFS('Esecuzioni'!$M$8:$M$1007,'Esecuzioni'!$A$8:$A$1007,A454))</x:f>
      </x:c>
      <x:c r="Z454" s="20" t="str">
        <x:f>IF(A454="","",IF(J454="Annullato",0,IF(ISNUMBER(O454),O454,IF(AND(I454="Esecuzioni",W454&gt;0),_xlfn.MAXIFS('Esecuzioni'!$P$8:$P$1007,'Esecuzioni'!$A$8:$A$1007,A454),""))))</x:f>
      </x:c>
      <x:c r="AA454" s="20" t="str">
        <x:f>IF(OR(A454="",J454="Aperto"),"",IF(J454="Annullato",0,IF(I454="Lordo manuale",IF(ISNUMBER(P454),P454,""),IF(I454="Netto manuale",IF(AND(ISNUMBER(P454),ISNUMBER(Q454)),P454+Q454,""),IF(OR(W454=0,COUNTIFS('Esecuzioni'!$A$8:$A$1007,A454,'Esecuzioni'!$Q$8:$Q$1007,"&lt;&gt;OK")&gt;0),"",IF(S454="Vince",X454,IF(S454="Perde",Y454,IF(AND(S454="Coperto",ABS(X454-Y454)&lt;='Impostazioni'!$B$11),ROUND((X454+Y454)/2,2),""))))))))</x:f>
      </x:c>
      <x:c r="AB454" s="20" t="str">
        <x:f>IF(NOT(ISNUMBER(AA454)),"",IF(J454="Annullato",0,IF(ISNUMBER(Q454),Q454,ROUND(MAX(0,AA454)*IF(ISNUMBER(R454),R454,'Impostazioni'!$B$8),2))))</x:f>
      </x:c>
      <x:c r="AC454" s="20" t="str">
        <x:f>IF(AND(ISNUMBER(AA454),ISNUMBER(AB454)),ROUND(AA454-AB454,2),"")</x:f>
      </x:c>
      <x:c r="AD454" s="18" t="str">
        <x:f>IF(A454="","",IF(AQ454&lt;&gt;"OK","Incompleto",IF(J454="Aperto","Aperto",IF(J454="Annullato","Annullato",IF(AC454&gt;0,"Green",IF(AC454&lt;0,"Red","Flat"))))))</x:f>
      </x:c>
      <x:c r="AE454" s="21" t="str">
        <x:f>IF(AND(AH454=1,Z454&gt;0),AC454/Z454,"")</x:f>
      </x:c>
      <x:c r="AF454" s="22" t="str">
        <x:f>IF(AH454&lt;&gt;1,"",COUNTIFS($C$8:$C$507,"&lt;"&amp;C454,$AH$8:$AH$507,1)+COUNTIFS($C$8:$C$507,C454,$A$8:$A$507,"&lt;="&amp;A454,$AH$8:$AH$507,1))</x:f>
      </x:c>
      <x:c r="AG454" s="20" t="str">
        <x:f>IF(AH454&lt;&gt;1,"",SUMIFS($AC$8:$AC$507,$C$8:$C$507,"&lt;"&amp;C454,$AH$8:$AH$507,1)+SUMIFS($AC$8:$AC$507,$C$8:$C$507,C454,$A$8:$A$507,"&lt;="&amp;A454,$AH$8:$AH$507,1))</x:f>
      </x:c>
      <x:c r="AH454" s="22" t="str">
        <x:f>IF(A454="","",IF(AND(J454="Chiuso",AQ454="OK",ISNUMBER(AC454)),1,0))</x:f>
      </x:c>
      <x:c r="AI454" s="20" t="str">
        <x:f>IF(AH454&lt;&gt;1,"",MAX(0,_xlfn.MAXIFS($AG$8:$AG$507,$AF$8:$AF$507,"&lt;="&amp;AF454,$AH$8:$AH$507,1)))</x:f>
      </x:c>
      <x:c r="AJ454" s="20" t="str">
        <x:f>IF(AH454&lt;&gt;1,"",MAX(0,AI454-AG454))</x:f>
      </x:c>
      <x:c r="AK454" s="21" t="str">
        <x:f>IF(OR(AH454&lt;&gt;1,NOT(ISNUMBER('Impostazioni'!$B$6)),'Impostazioni'!$B$6+AI454&lt;=0),"",AJ454/('Impostazioni'!$B$6+AI454))</x:f>
      </x:c>
      <x:c r="AL454" s="22" t="str">
        <x:f>IF(AH454&lt;&gt;1,"",IF(AC454&gt;0,AF454-_xlfn.MAXIFS($AF$8:$AF$507,$AF$8:$AF$507,"&lt;="&amp;AF454,$AC$8:$AC$507,"&lt;=0",$AH$8:$AH$507,1),0))</x:f>
      </x:c>
      <x:c r="AM454" s="22" t="str">
        <x:f>IF(AH454&lt;&gt;1,"",IF(AC454&lt;0,AF454-_xlfn.MAXIFS($AF$8:$AF$507,$AF$8:$AF$507,"&lt;="&amp;AF454,$AC$8:$AC$507,"&gt;=0",$AH$8:$AH$507,1),0))</x:f>
      </x:c>
      <x:c r="AN454" s="20" t="str">
        <x:f>IF(OR(A454="",NOT(ISNUMBER(B454)),NOT(ISNUMBER('Impostazioni'!$B$6))),"",'Impostazioni'!$B$6+SUMIFS($AC$8:$AC$507,$C$8:$C$507,"&lt;"&amp;B454,$AH$8:$AH$507,1)+SUMIFS('Cassa'!$F$8:$F$307,'Cassa'!$A$8:$A$307,"&lt;="&amp;B454,'Cassa'!$G$8:$G$307,"OK"))</x:f>
      </x:c>
      <x:c r="AO454" s="21" t="str">
        <x:f>IF(AND(ISNUMBER(Z454),ISNUMBER(AN454),AN454&gt;0),Z454/AN454,"")</x:f>
      </x:c>
      <x:c r="AP454" s="18" t="str">
        <x:f>IF(NOT(ISNUMBER(AO454)),"",IF(AO454&gt;'Impostazioni'!$B$7,"Oltre soglia personale","Nella soglia personale"))</x:f>
      </x:c>
      <x:c r="AQ454" s="18" t="str">
        <x:f>IF(A454="",IF(COUNTA(B454:V454)=0,"","Inserisci ID"),IF(COUNTIFS($A$8:$A$507,A454)&lt;&gt;1,"ID duplicato",IF(OR(NOT(ISNUMBER(B454)),D454="",E454="",F454="",G454="",H454="",COUNTIFS('Impostazioni'!$J$6:$J$25,F454)&lt;&gt;1),"Completa dati / elenchi",IF(OR(AND(I454&lt;&gt;"Lordo manuale",I454&lt;&gt;"Netto manuale",I454&lt;&gt;"Esecuzioni"),AND(J454&lt;&gt;"Aperto",J454&lt;&gt;"Chiuso",J454&lt;&gt;"Annullato")),"Modalità / stato mancanti",IF(AND(J454&lt;&gt;"Aperto",OR(NOT(ISNUMBER(C454)),C454&lt;B454)),"Correggi data chiusura",IF(OR(AND(Q454&lt;&gt;"",OR(NOT(ISNUMBER(Q454)),Q454&lt;0)),AND(R454&lt;&gt;"",OR(NOT(ISNUMBER(R454)),R454&lt;0,R454&gt;1))),"Commissione non valida",IF(J454="Annullato","OK",IF(OR(NOT(ISNUMBER(Z454)),Z454&lt;0,AND(O454&lt;&gt;"",NOT(ISNUMBER(O454)))),"Inserisci rischio",IF(AND(I454="Esecuzioni",OR(W454=0,COUNTIFS('Esecuzioni'!$A$8:$A$1007,A454,'Esecuzioni'!$Q$8:$Q$1007,"&lt;&gt;OK")&gt;0)),"Correggi esecuzioni",IF(J454="Aperto","OK",IF(AND(I454="Esecuzioni",S454="Coperto",ABS(X454-Y454)&gt;'Impostazioni'!$B$11),"Copertura residua",IF(NOT(ISNUMBER(AC454)),"Completa risultato / esito",IF(AND(Z454=0,AC454&lt;&gt;0),"Rischio nullo con P/L","OK")))))))))))))</x:f>
      </x:c>
      <x:c r="AR454" s="20" t="str">
        <x:f>IF(OR(A454="",J454&lt;&gt;"Aperto",AQ454&lt;&gt;"OK"),"",IF(I454="Esecuzioni",SUMIFS('Esecuzioni'!$P$8:$P$1007,'Esecuzioni'!$A$8:$A$1007,A454,'Esecuzioni'!$B$8:$B$1007,_xlfn.MAXIFS('Esecuzioni'!$B$8:$B$1007,'Esecuzioni'!$A$8:$A$1007,A454)),IF(LEFT(U454,8)="FREEBET:",0,Z454)))</x:f>
      </x:c>
      <x:c r="AS454" s="48" t="str">
        <x:f>IF(OR(A454="",E454=""),"",IF(COUNTIFS($E$8:E454,E454)=1,COUNT($AS$7:AS453)+1,""))</x:f>
      </x:c>
    </x:row>
    <x:row r="455" ht="22" customHeight="1">
      <x:c r="A455" s="7"/>
      <x:c r="B455" s="19"/>
      <x:c r="C455" s="19"/>
      <x:c r="D455" s="7"/>
      <x:c r="E455" s="7"/>
      <x:c r="F455" s="7"/>
      <x:c r="G455" s="7"/>
      <x:c r="H455" s="7"/>
      <x:c r="I455" s="7"/>
      <x:c r="J455" s="7"/>
      <x:c r="K455" s="10"/>
      <x:c r="L455" s="7"/>
      <x:c r="M455" s="10"/>
      <x:c r="N455" s="7"/>
      <x:c r="O455" s="8"/>
      <x:c r="P455" s="8"/>
      <x:c r="Q455" s="8"/>
      <x:c r="R455" s="9"/>
      <x:c r="S455" s="7"/>
      <x:c r="T455" s="7"/>
      <x:c r="U455" s="7"/>
      <x:c r="V455" s="7"/>
      <x:c r="W455" s="22" t="str">
        <x:f>IF(A455="","",COUNTIFS('Esecuzioni'!$A$8:$A$1007,A455,'Esecuzioni'!$Q$8:$Q$1007,"OK"))</x:f>
      </x:c>
      <x:c r="X455" s="20" t="str">
        <x:f>IF(OR(A455="",I455&lt;&gt;"Esecuzioni",W455=0),"",SUMIFS('Esecuzioni'!$L$8:$L$1007,'Esecuzioni'!$A$8:$A$1007,A455))</x:f>
      </x:c>
      <x:c r="Y455" s="20" t="str">
        <x:f>IF(OR(A455="",I455&lt;&gt;"Esecuzioni",W455=0),"",SUMIFS('Esecuzioni'!$M$8:$M$1007,'Esecuzioni'!$A$8:$A$1007,A455))</x:f>
      </x:c>
      <x:c r="Z455" s="20" t="str">
        <x:f>IF(A455="","",IF(J455="Annullato",0,IF(ISNUMBER(O455),O455,IF(AND(I455="Esecuzioni",W455&gt;0),_xlfn.MAXIFS('Esecuzioni'!$P$8:$P$1007,'Esecuzioni'!$A$8:$A$1007,A455),""))))</x:f>
      </x:c>
      <x:c r="AA455" s="20" t="str">
        <x:f>IF(OR(A455="",J455="Aperto"),"",IF(J455="Annullato",0,IF(I455="Lordo manuale",IF(ISNUMBER(P455),P455,""),IF(I455="Netto manuale",IF(AND(ISNUMBER(P455),ISNUMBER(Q455)),P455+Q455,""),IF(OR(W455=0,COUNTIFS('Esecuzioni'!$A$8:$A$1007,A455,'Esecuzioni'!$Q$8:$Q$1007,"&lt;&gt;OK")&gt;0),"",IF(S455="Vince",X455,IF(S455="Perde",Y455,IF(AND(S455="Coperto",ABS(X455-Y455)&lt;='Impostazioni'!$B$11),ROUND((X455+Y455)/2,2),""))))))))</x:f>
      </x:c>
      <x:c r="AB455" s="20" t="str">
        <x:f>IF(NOT(ISNUMBER(AA455)),"",IF(J455="Annullato",0,IF(ISNUMBER(Q455),Q455,ROUND(MAX(0,AA455)*IF(ISNUMBER(R455),R455,'Impostazioni'!$B$8),2))))</x:f>
      </x:c>
      <x:c r="AC455" s="20" t="str">
        <x:f>IF(AND(ISNUMBER(AA455),ISNUMBER(AB455)),ROUND(AA455-AB455,2),"")</x:f>
      </x:c>
      <x:c r="AD455" s="18" t="str">
        <x:f>IF(A455="","",IF(AQ455&lt;&gt;"OK","Incompleto",IF(J455="Aperto","Aperto",IF(J455="Annullato","Annullato",IF(AC455&gt;0,"Green",IF(AC455&lt;0,"Red","Flat"))))))</x:f>
      </x:c>
      <x:c r="AE455" s="21" t="str">
        <x:f>IF(AND(AH455=1,Z455&gt;0),AC455/Z455,"")</x:f>
      </x:c>
      <x:c r="AF455" s="22" t="str">
        <x:f>IF(AH455&lt;&gt;1,"",COUNTIFS($C$8:$C$507,"&lt;"&amp;C455,$AH$8:$AH$507,1)+COUNTIFS($C$8:$C$507,C455,$A$8:$A$507,"&lt;="&amp;A455,$AH$8:$AH$507,1))</x:f>
      </x:c>
      <x:c r="AG455" s="20" t="str">
        <x:f>IF(AH455&lt;&gt;1,"",SUMIFS($AC$8:$AC$507,$C$8:$C$507,"&lt;"&amp;C455,$AH$8:$AH$507,1)+SUMIFS($AC$8:$AC$507,$C$8:$C$507,C455,$A$8:$A$507,"&lt;="&amp;A455,$AH$8:$AH$507,1))</x:f>
      </x:c>
      <x:c r="AH455" s="22" t="str">
        <x:f>IF(A455="","",IF(AND(J455="Chiuso",AQ455="OK",ISNUMBER(AC455)),1,0))</x:f>
      </x:c>
      <x:c r="AI455" s="20" t="str">
        <x:f>IF(AH455&lt;&gt;1,"",MAX(0,_xlfn.MAXIFS($AG$8:$AG$507,$AF$8:$AF$507,"&lt;="&amp;AF455,$AH$8:$AH$507,1)))</x:f>
      </x:c>
      <x:c r="AJ455" s="20" t="str">
        <x:f>IF(AH455&lt;&gt;1,"",MAX(0,AI455-AG455))</x:f>
      </x:c>
      <x:c r="AK455" s="21" t="str">
        <x:f>IF(OR(AH455&lt;&gt;1,NOT(ISNUMBER('Impostazioni'!$B$6)),'Impostazioni'!$B$6+AI455&lt;=0),"",AJ455/('Impostazioni'!$B$6+AI455))</x:f>
      </x:c>
      <x:c r="AL455" s="22" t="str">
        <x:f>IF(AH455&lt;&gt;1,"",IF(AC455&gt;0,AF455-_xlfn.MAXIFS($AF$8:$AF$507,$AF$8:$AF$507,"&lt;="&amp;AF455,$AC$8:$AC$507,"&lt;=0",$AH$8:$AH$507,1),0))</x:f>
      </x:c>
      <x:c r="AM455" s="22" t="str">
        <x:f>IF(AH455&lt;&gt;1,"",IF(AC455&lt;0,AF455-_xlfn.MAXIFS($AF$8:$AF$507,$AF$8:$AF$507,"&lt;="&amp;AF455,$AC$8:$AC$507,"&gt;=0",$AH$8:$AH$507,1),0))</x:f>
      </x:c>
      <x:c r="AN455" s="20" t="str">
        <x:f>IF(OR(A455="",NOT(ISNUMBER(B455)),NOT(ISNUMBER('Impostazioni'!$B$6))),"",'Impostazioni'!$B$6+SUMIFS($AC$8:$AC$507,$C$8:$C$507,"&lt;"&amp;B455,$AH$8:$AH$507,1)+SUMIFS('Cassa'!$F$8:$F$307,'Cassa'!$A$8:$A$307,"&lt;="&amp;B455,'Cassa'!$G$8:$G$307,"OK"))</x:f>
      </x:c>
      <x:c r="AO455" s="21" t="str">
        <x:f>IF(AND(ISNUMBER(Z455),ISNUMBER(AN455),AN455&gt;0),Z455/AN455,"")</x:f>
      </x:c>
      <x:c r="AP455" s="18" t="str">
        <x:f>IF(NOT(ISNUMBER(AO455)),"",IF(AO455&gt;'Impostazioni'!$B$7,"Oltre soglia personale","Nella soglia personale"))</x:f>
      </x:c>
      <x:c r="AQ455" s="18" t="str">
        <x:f>IF(A455="",IF(COUNTA(B455:V455)=0,"","Inserisci ID"),IF(COUNTIFS($A$8:$A$507,A455)&lt;&gt;1,"ID duplicato",IF(OR(NOT(ISNUMBER(B455)),D455="",E455="",F455="",G455="",H455="",COUNTIFS('Impostazioni'!$J$6:$J$25,F455)&lt;&gt;1),"Completa dati / elenchi",IF(OR(AND(I455&lt;&gt;"Lordo manuale",I455&lt;&gt;"Netto manuale",I455&lt;&gt;"Esecuzioni"),AND(J455&lt;&gt;"Aperto",J455&lt;&gt;"Chiuso",J455&lt;&gt;"Annullato")),"Modalità / stato mancanti",IF(AND(J455&lt;&gt;"Aperto",OR(NOT(ISNUMBER(C455)),C455&lt;B455)),"Correggi data chiusura",IF(OR(AND(Q455&lt;&gt;"",OR(NOT(ISNUMBER(Q455)),Q455&lt;0)),AND(R455&lt;&gt;"",OR(NOT(ISNUMBER(R455)),R455&lt;0,R455&gt;1))),"Commissione non valida",IF(J455="Annullato","OK",IF(OR(NOT(ISNUMBER(Z455)),Z455&lt;0,AND(O455&lt;&gt;"",NOT(ISNUMBER(O455)))),"Inserisci rischio",IF(AND(I455="Esecuzioni",OR(W455=0,COUNTIFS('Esecuzioni'!$A$8:$A$1007,A455,'Esecuzioni'!$Q$8:$Q$1007,"&lt;&gt;OK")&gt;0)),"Correggi esecuzioni",IF(J455="Aperto","OK",IF(AND(I455="Esecuzioni",S455="Coperto",ABS(X455-Y455)&gt;'Impostazioni'!$B$11),"Copertura residua",IF(NOT(ISNUMBER(AC455)),"Completa risultato / esito",IF(AND(Z455=0,AC455&lt;&gt;0),"Rischio nullo con P/L","OK")))))))))))))</x:f>
      </x:c>
      <x:c r="AR455" s="20" t="str">
        <x:f>IF(OR(A455="",J455&lt;&gt;"Aperto",AQ455&lt;&gt;"OK"),"",IF(I455="Esecuzioni",SUMIFS('Esecuzioni'!$P$8:$P$1007,'Esecuzioni'!$A$8:$A$1007,A455,'Esecuzioni'!$B$8:$B$1007,_xlfn.MAXIFS('Esecuzioni'!$B$8:$B$1007,'Esecuzioni'!$A$8:$A$1007,A455)),IF(LEFT(U455,8)="FREEBET:",0,Z455)))</x:f>
      </x:c>
      <x:c r="AS455" s="48" t="str">
        <x:f>IF(OR(A455="",E455=""),"",IF(COUNTIFS($E$8:E455,E455)=1,COUNT($AS$7:AS454)+1,""))</x:f>
      </x:c>
    </x:row>
    <x:row r="456" ht="22" customHeight="1">
      <x:c r="A456" s="7"/>
      <x:c r="B456" s="19"/>
      <x:c r="C456" s="19"/>
      <x:c r="D456" s="7"/>
      <x:c r="E456" s="7"/>
      <x:c r="F456" s="7"/>
      <x:c r="G456" s="7"/>
      <x:c r="H456" s="7"/>
      <x:c r="I456" s="7"/>
      <x:c r="J456" s="7"/>
      <x:c r="K456" s="10"/>
      <x:c r="L456" s="7"/>
      <x:c r="M456" s="10"/>
      <x:c r="N456" s="7"/>
      <x:c r="O456" s="8"/>
      <x:c r="P456" s="8"/>
      <x:c r="Q456" s="8"/>
      <x:c r="R456" s="9"/>
      <x:c r="S456" s="7"/>
      <x:c r="T456" s="7"/>
      <x:c r="U456" s="7"/>
      <x:c r="V456" s="7"/>
      <x:c r="W456" s="22" t="str">
        <x:f>IF(A456="","",COUNTIFS('Esecuzioni'!$A$8:$A$1007,A456,'Esecuzioni'!$Q$8:$Q$1007,"OK"))</x:f>
      </x:c>
      <x:c r="X456" s="20" t="str">
        <x:f>IF(OR(A456="",I456&lt;&gt;"Esecuzioni",W456=0),"",SUMIFS('Esecuzioni'!$L$8:$L$1007,'Esecuzioni'!$A$8:$A$1007,A456))</x:f>
      </x:c>
      <x:c r="Y456" s="20" t="str">
        <x:f>IF(OR(A456="",I456&lt;&gt;"Esecuzioni",W456=0),"",SUMIFS('Esecuzioni'!$M$8:$M$1007,'Esecuzioni'!$A$8:$A$1007,A456))</x:f>
      </x:c>
      <x:c r="Z456" s="20" t="str">
        <x:f>IF(A456="","",IF(J456="Annullato",0,IF(ISNUMBER(O456),O456,IF(AND(I456="Esecuzioni",W456&gt;0),_xlfn.MAXIFS('Esecuzioni'!$P$8:$P$1007,'Esecuzioni'!$A$8:$A$1007,A456),""))))</x:f>
      </x:c>
      <x:c r="AA456" s="20" t="str">
        <x:f>IF(OR(A456="",J456="Aperto"),"",IF(J456="Annullato",0,IF(I456="Lordo manuale",IF(ISNUMBER(P456),P456,""),IF(I456="Netto manuale",IF(AND(ISNUMBER(P456),ISNUMBER(Q456)),P456+Q456,""),IF(OR(W456=0,COUNTIFS('Esecuzioni'!$A$8:$A$1007,A456,'Esecuzioni'!$Q$8:$Q$1007,"&lt;&gt;OK")&gt;0),"",IF(S456="Vince",X456,IF(S456="Perde",Y456,IF(AND(S456="Coperto",ABS(X456-Y456)&lt;='Impostazioni'!$B$11),ROUND((X456+Y456)/2,2),""))))))))</x:f>
      </x:c>
      <x:c r="AB456" s="20" t="str">
        <x:f>IF(NOT(ISNUMBER(AA456)),"",IF(J456="Annullato",0,IF(ISNUMBER(Q456),Q456,ROUND(MAX(0,AA456)*IF(ISNUMBER(R456),R456,'Impostazioni'!$B$8),2))))</x:f>
      </x:c>
      <x:c r="AC456" s="20" t="str">
        <x:f>IF(AND(ISNUMBER(AA456),ISNUMBER(AB456)),ROUND(AA456-AB456,2),"")</x:f>
      </x:c>
      <x:c r="AD456" s="18" t="str">
        <x:f>IF(A456="","",IF(AQ456&lt;&gt;"OK","Incompleto",IF(J456="Aperto","Aperto",IF(J456="Annullato","Annullato",IF(AC456&gt;0,"Green",IF(AC456&lt;0,"Red","Flat"))))))</x:f>
      </x:c>
      <x:c r="AE456" s="21" t="str">
        <x:f>IF(AND(AH456=1,Z456&gt;0),AC456/Z456,"")</x:f>
      </x:c>
      <x:c r="AF456" s="22" t="str">
        <x:f>IF(AH456&lt;&gt;1,"",COUNTIFS($C$8:$C$507,"&lt;"&amp;C456,$AH$8:$AH$507,1)+COUNTIFS($C$8:$C$507,C456,$A$8:$A$507,"&lt;="&amp;A456,$AH$8:$AH$507,1))</x:f>
      </x:c>
      <x:c r="AG456" s="20" t="str">
        <x:f>IF(AH456&lt;&gt;1,"",SUMIFS($AC$8:$AC$507,$C$8:$C$507,"&lt;"&amp;C456,$AH$8:$AH$507,1)+SUMIFS($AC$8:$AC$507,$C$8:$C$507,C456,$A$8:$A$507,"&lt;="&amp;A456,$AH$8:$AH$507,1))</x:f>
      </x:c>
      <x:c r="AH456" s="22" t="str">
        <x:f>IF(A456="","",IF(AND(J456="Chiuso",AQ456="OK",ISNUMBER(AC456)),1,0))</x:f>
      </x:c>
      <x:c r="AI456" s="20" t="str">
        <x:f>IF(AH456&lt;&gt;1,"",MAX(0,_xlfn.MAXIFS($AG$8:$AG$507,$AF$8:$AF$507,"&lt;="&amp;AF456,$AH$8:$AH$507,1)))</x:f>
      </x:c>
      <x:c r="AJ456" s="20" t="str">
        <x:f>IF(AH456&lt;&gt;1,"",MAX(0,AI456-AG456))</x:f>
      </x:c>
      <x:c r="AK456" s="21" t="str">
        <x:f>IF(OR(AH456&lt;&gt;1,NOT(ISNUMBER('Impostazioni'!$B$6)),'Impostazioni'!$B$6+AI456&lt;=0),"",AJ456/('Impostazioni'!$B$6+AI456))</x:f>
      </x:c>
      <x:c r="AL456" s="22" t="str">
        <x:f>IF(AH456&lt;&gt;1,"",IF(AC456&gt;0,AF456-_xlfn.MAXIFS($AF$8:$AF$507,$AF$8:$AF$507,"&lt;="&amp;AF456,$AC$8:$AC$507,"&lt;=0",$AH$8:$AH$507,1),0))</x:f>
      </x:c>
      <x:c r="AM456" s="22" t="str">
        <x:f>IF(AH456&lt;&gt;1,"",IF(AC456&lt;0,AF456-_xlfn.MAXIFS($AF$8:$AF$507,$AF$8:$AF$507,"&lt;="&amp;AF456,$AC$8:$AC$507,"&gt;=0",$AH$8:$AH$507,1),0))</x:f>
      </x:c>
      <x:c r="AN456" s="20" t="str">
        <x:f>IF(OR(A456="",NOT(ISNUMBER(B456)),NOT(ISNUMBER('Impostazioni'!$B$6))),"",'Impostazioni'!$B$6+SUMIFS($AC$8:$AC$507,$C$8:$C$507,"&lt;"&amp;B456,$AH$8:$AH$507,1)+SUMIFS('Cassa'!$F$8:$F$307,'Cassa'!$A$8:$A$307,"&lt;="&amp;B456,'Cassa'!$G$8:$G$307,"OK"))</x:f>
      </x:c>
      <x:c r="AO456" s="21" t="str">
        <x:f>IF(AND(ISNUMBER(Z456),ISNUMBER(AN456),AN456&gt;0),Z456/AN456,"")</x:f>
      </x:c>
      <x:c r="AP456" s="18" t="str">
        <x:f>IF(NOT(ISNUMBER(AO456)),"",IF(AO456&gt;'Impostazioni'!$B$7,"Oltre soglia personale","Nella soglia personale"))</x:f>
      </x:c>
      <x:c r="AQ456" s="18" t="str">
        <x:f>IF(A456="",IF(COUNTA(B456:V456)=0,"","Inserisci ID"),IF(COUNTIFS($A$8:$A$507,A456)&lt;&gt;1,"ID duplicato",IF(OR(NOT(ISNUMBER(B456)),D456="",E456="",F456="",G456="",H456="",COUNTIFS('Impostazioni'!$J$6:$J$25,F456)&lt;&gt;1),"Completa dati / elenchi",IF(OR(AND(I456&lt;&gt;"Lordo manuale",I456&lt;&gt;"Netto manuale",I456&lt;&gt;"Esecuzioni"),AND(J456&lt;&gt;"Aperto",J456&lt;&gt;"Chiuso",J456&lt;&gt;"Annullato")),"Modalità / stato mancanti",IF(AND(J456&lt;&gt;"Aperto",OR(NOT(ISNUMBER(C456)),C456&lt;B456)),"Correggi data chiusura",IF(OR(AND(Q456&lt;&gt;"",OR(NOT(ISNUMBER(Q456)),Q456&lt;0)),AND(R456&lt;&gt;"",OR(NOT(ISNUMBER(R456)),R456&lt;0,R456&gt;1))),"Commissione non valida",IF(J456="Annullato","OK",IF(OR(NOT(ISNUMBER(Z456)),Z456&lt;0,AND(O456&lt;&gt;"",NOT(ISNUMBER(O456)))),"Inserisci rischio",IF(AND(I456="Esecuzioni",OR(W456=0,COUNTIFS('Esecuzioni'!$A$8:$A$1007,A456,'Esecuzioni'!$Q$8:$Q$1007,"&lt;&gt;OK")&gt;0)),"Correggi esecuzioni",IF(J456="Aperto","OK",IF(AND(I456="Esecuzioni",S456="Coperto",ABS(X456-Y456)&gt;'Impostazioni'!$B$11),"Copertura residua",IF(NOT(ISNUMBER(AC456)),"Completa risultato / esito",IF(AND(Z456=0,AC456&lt;&gt;0),"Rischio nullo con P/L","OK")))))))))))))</x:f>
      </x:c>
      <x:c r="AR456" s="20" t="str">
        <x:f>IF(OR(A456="",J456&lt;&gt;"Aperto",AQ456&lt;&gt;"OK"),"",IF(I456="Esecuzioni",SUMIFS('Esecuzioni'!$P$8:$P$1007,'Esecuzioni'!$A$8:$A$1007,A456,'Esecuzioni'!$B$8:$B$1007,_xlfn.MAXIFS('Esecuzioni'!$B$8:$B$1007,'Esecuzioni'!$A$8:$A$1007,A456)),IF(LEFT(U456,8)="FREEBET:",0,Z456)))</x:f>
      </x:c>
      <x:c r="AS456" s="48" t="str">
        <x:f>IF(OR(A456="",E456=""),"",IF(COUNTIFS($E$8:E456,E456)=1,COUNT($AS$7:AS455)+1,""))</x:f>
      </x:c>
    </x:row>
    <x:row r="457" ht="22" customHeight="1">
      <x:c r="A457" s="7"/>
      <x:c r="B457" s="19"/>
      <x:c r="C457" s="19"/>
      <x:c r="D457" s="7"/>
      <x:c r="E457" s="7"/>
      <x:c r="F457" s="7"/>
      <x:c r="G457" s="7"/>
      <x:c r="H457" s="7"/>
      <x:c r="I457" s="7"/>
      <x:c r="J457" s="7"/>
      <x:c r="K457" s="10"/>
      <x:c r="L457" s="7"/>
      <x:c r="M457" s="10"/>
      <x:c r="N457" s="7"/>
      <x:c r="O457" s="8"/>
      <x:c r="P457" s="8"/>
      <x:c r="Q457" s="8"/>
      <x:c r="R457" s="9"/>
      <x:c r="S457" s="7"/>
      <x:c r="T457" s="7"/>
      <x:c r="U457" s="7"/>
      <x:c r="V457" s="7"/>
      <x:c r="W457" s="22" t="str">
        <x:f>IF(A457="","",COUNTIFS('Esecuzioni'!$A$8:$A$1007,A457,'Esecuzioni'!$Q$8:$Q$1007,"OK"))</x:f>
      </x:c>
      <x:c r="X457" s="20" t="str">
        <x:f>IF(OR(A457="",I457&lt;&gt;"Esecuzioni",W457=0),"",SUMIFS('Esecuzioni'!$L$8:$L$1007,'Esecuzioni'!$A$8:$A$1007,A457))</x:f>
      </x:c>
      <x:c r="Y457" s="20" t="str">
        <x:f>IF(OR(A457="",I457&lt;&gt;"Esecuzioni",W457=0),"",SUMIFS('Esecuzioni'!$M$8:$M$1007,'Esecuzioni'!$A$8:$A$1007,A457))</x:f>
      </x:c>
      <x:c r="Z457" s="20" t="str">
        <x:f>IF(A457="","",IF(J457="Annullato",0,IF(ISNUMBER(O457),O457,IF(AND(I457="Esecuzioni",W457&gt;0),_xlfn.MAXIFS('Esecuzioni'!$P$8:$P$1007,'Esecuzioni'!$A$8:$A$1007,A457),""))))</x:f>
      </x:c>
      <x:c r="AA457" s="20" t="str">
        <x:f>IF(OR(A457="",J457="Aperto"),"",IF(J457="Annullato",0,IF(I457="Lordo manuale",IF(ISNUMBER(P457),P457,""),IF(I457="Netto manuale",IF(AND(ISNUMBER(P457),ISNUMBER(Q457)),P457+Q457,""),IF(OR(W457=0,COUNTIFS('Esecuzioni'!$A$8:$A$1007,A457,'Esecuzioni'!$Q$8:$Q$1007,"&lt;&gt;OK")&gt;0),"",IF(S457="Vince",X457,IF(S457="Perde",Y457,IF(AND(S457="Coperto",ABS(X457-Y457)&lt;='Impostazioni'!$B$11),ROUND((X457+Y457)/2,2),""))))))))</x:f>
      </x:c>
      <x:c r="AB457" s="20" t="str">
        <x:f>IF(NOT(ISNUMBER(AA457)),"",IF(J457="Annullato",0,IF(ISNUMBER(Q457),Q457,ROUND(MAX(0,AA457)*IF(ISNUMBER(R457),R457,'Impostazioni'!$B$8),2))))</x:f>
      </x:c>
      <x:c r="AC457" s="20" t="str">
        <x:f>IF(AND(ISNUMBER(AA457),ISNUMBER(AB457)),ROUND(AA457-AB457,2),"")</x:f>
      </x:c>
      <x:c r="AD457" s="18" t="str">
        <x:f>IF(A457="","",IF(AQ457&lt;&gt;"OK","Incompleto",IF(J457="Aperto","Aperto",IF(J457="Annullato","Annullato",IF(AC457&gt;0,"Green",IF(AC457&lt;0,"Red","Flat"))))))</x:f>
      </x:c>
      <x:c r="AE457" s="21" t="str">
        <x:f>IF(AND(AH457=1,Z457&gt;0),AC457/Z457,"")</x:f>
      </x:c>
      <x:c r="AF457" s="22" t="str">
        <x:f>IF(AH457&lt;&gt;1,"",COUNTIFS($C$8:$C$507,"&lt;"&amp;C457,$AH$8:$AH$507,1)+COUNTIFS($C$8:$C$507,C457,$A$8:$A$507,"&lt;="&amp;A457,$AH$8:$AH$507,1))</x:f>
      </x:c>
      <x:c r="AG457" s="20" t="str">
        <x:f>IF(AH457&lt;&gt;1,"",SUMIFS($AC$8:$AC$507,$C$8:$C$507,"&lt;"&amp;C457,$AH$8:$AH$507,1)+SUMIFS($AC$8:$AC$507,$C$8:$C$507,C457,$A$8:$A$507,"&lt;="&amp;A457,$AH$8:$AH$507,1))</x:f>
      </x:c>
      <x:c r="AH457" s="22" t="str">
        <x:f>IF(A457="","",IF(AND(J457="Chiuso",AQ457="OK",ISNUMBER(AC457)),1,0))</x:f>
      </x:c>
      <x:c r="AI457" s="20" t="str">
        <x:f>IF(AH457&lt;&gt;1,"",MAX(0,_xlfn.MAXIFS($AG$8:$AG$507,$AF$8:$AF$507,"&lt;="&amp;AF457,$AH$8:$AH$507,1)))</x:f>
      </x:c>
      <x:c r="AJ457" s="20" t="str">
        <x:f>IF(AH457&lt;&gt;1,"",MAX(0,AI457-AG457))</x:f>
      </x:c>
      <x:c r="AK457" s="21" t="str">
        <x:f>IF(OR(AH457&lt;&gt;1,NOT(ISNUMBER('Impostazioni'!$B$6)),'Impostazioni'!$B$6+AI457&lt;=0),"",AJ457/('Impostazioni'!$B$6+AI457))</x:f>
      </x:c>
      <x:c r="AL457" s="22" t="str">
        <x:f>IF(AH457&lt;&gt;1,"",IF(AC457&gt;0,AF457-_xlfn.MAXIFS($AF$8:$AF$507,$AF$8:$AF$507,"&lt;="&amp;AF457,$AC$8:$AC$507,"&lt;=0",$AH$8:$AH$507,1),0))</x:f>
      </x:c>
      <x:c r="AM457" s="22" t="str">
        <x:f>IF(AH457&lt;&gt;1,"",IF(AC457&lt;0,AF457-_xlfn.MAXIFS($AF$8:$AF$507,$AF$8:$AF$507,"&lt;="&amp;AF457,$AC$8:$AC$507,"&gt;=0",$AH$8:$AH$507,1),0))</x:f>
      </x:c>
      <x:c r="AN457" s="20" t="str">
        <x:f>IF(OR(A457="",NOT(ISNUMBER(B457)),NOT(ISNUMBER('Impostazioni'!$B$6))),"",'Impostazioni'!$B$6+SUMIFS($AC$8:$AC$507,$C$8:$C$507,"&lt;"&amp;B457,$AH$8:$AH$507,1)+SUMIFS('Cassa'!$F$8:$F$307,'Cassa'!$A$8:$A$307,"&lt;="&amp;B457,'Cassa'!$G$8:$G$307,"OK"))</x:f>
      </x:c>
      <x:c r="AO457" s="21" t="str">
        <x:f>IF(AND(ISNUMBER(Z457),ISNUMBER(AN457),AN457&gt;0),Z457/AN457,"")</x:f>
      </x:c>
      <x:c r="AP457" s="18" t="str">
        <x:f>IF(NOT(ISNUMBER(AO457)),"",IF(AO457&gt;'Impostazioni'!$B$7,"Oltre soglia personale","Nella soglia personale"))</x:f>
      </x:c>
      <x:c r="AQ457" s="18" t="str">
        <x:f>IF(A457="",IF(COUNTA(B457:V457)=0,"","Inserisci ID"),IF(COUNTIFS($A$8:$A$507,A457)&lt;&gt;1,"ID duplicato",IF(OR(NOT(ISNUMBER(B457)),D457="",E457="",F457="",G457="",H457="",COUNTIFS('Impostazioni'!$J$6:$J$25,F457)&lt;&gt;1),"Completa dati / elenchi",IF(OR(AND(I457&lt;&gt;"Lordo manuale",I457&lt;&gt;"Netto manuale",I457&lt;&gt;"Esecuzioni"),AND(J457&lt;&gt;"Aperto",J457&lt;&gt;"Chiuso",J457&lt;&gt;"Annullato")),"Modalità / stato mancanti",IF(AND(J457&lt;&gt;"Aperto",OR(NOT(ISNUMBER(C457)),C457&lt;B457)),"Correggi data chiusura",IF(OR(AND(Q457&lt;&gt;"",OR(NOT(ISNUMBER(Q457)),Q457&lt;0)),AND(R457&lt;&gt;"",OR(NOT(ISNUMBER(R457)),R457&lt;0,R457&gt;1))),"Commissione non valida",IF(J457="Annullato","OK",IF(OR(NOT(ISNUMBER(Z457)),Z457&lt;0,AND(O457&lt;&gt;"",NOT(ISNUMBER(O457)))),"Inserisci rischio",IF(AND(I457="Esecuzioni",OR(W457=0,COUNTIFS('Esecuzioni'!$A$8:$A$1007,A457,'Esecuzioni'!$Q$8:$Q$1007,"&lt;&gt;OK")&gt;0)),"Correggi esecuzioni",IF(J457="Aperto","OK",IF(AND(I457="Esecuzioni",S457="Coperto",ABS(X457-Y457)&gt;'Impostazioni'!$B$11),"Copertura residua",IF(NOT(ISNUMBER(AC457)),"Completa risultato / esito",IF(AND(Z457=0,AC457&lt;&gt;0),"Rischio nullo con P/L","OK")))))))))))))</x:f>
      </x:c>
      <x:c r="AR457" s="20" t="str">
        <x:f>IF(OR(A457="",J457&lt;&gt;"Aperto",AQ457&lt;&gt;"OK"),"",IF(I457="Esecuzioni",SUMIFS('Esecuzioni'!$P$8:$P$1007,'Esecuzioni'!$A$8:$A$1007,A457,'Esecuzioni'!$B$8:$B$1007,_xlfn.MAXIFS('Esecuzioni'!$B$8:$B$1007,'Esecuzioni'!$A$8:$A$1007,A457)),IF(LEFT(U457,8)="FREEBET:",0,Z457)))</x:f>
      </x:c>
      <x:c r="AS457" s="48" t="str">
        <x:f>IF(OR(A457="",E457=""),"",IF(COUNTIFS($E$8:E457,E457)=1,COUNT($AS$7:AS456)+1,""))</x:f>
      </x:c>
    </x:row>
    <x:row r="458" ht="22" customHeight="1">
      <x:c r="A458" s="7"/>
      <x:c r="B458" s="19"/>
      <x:c r="C458" s="19"/>
      <x:c r="D458" s="7"/>
      <x:c r="E458" s="7"/>
      <x:c r="F458" s="7"/>
      <x:c r="G458" s="7"/>
      <x:c r="H458" s="7"/>
      <x:c r="I458" s="7"/>
      <x:c r="J458" s="7"/>
      <x:c r="K458" s="10"/>
      <x:c r="L458" s="7"/>
      <x:c r="M458" s="10"/>
      <x:c r="N458" s="7"/>
      <x:c r="O458" s="8"/>
      <x:c r="P458" s="8"/>
      <x:c r="Q458" s="8"/>
      <x:c r="R458" s="9"/>
      <x:c r="S458" s="7"/>
      <x:c r="T458" s="7"/>
      <x:c r="U458" s="7"/>
      <x:c r="V458" s="7"/>
      <x:c r="W458" s="22" t="str">
        <x:f>IF(A458="","",COUNTIFS('Esecuzioni'!$A$8:$A$1007,A458,'Esecuzioni'!$Q$8:$Q$1007,"OK"))</x:f>
      </x:c>
      <x:c r="X458" s="20" t="str">
        <x:f>IF(OR(A458="",I458&lt;&gt;"Esecuzioni",W458=0),"",SUMIFS('Esecuzioni'!$L$8:$L$1007,'Esecuzioni'!$A$8:$A$1007,A458))</x:f>
      </x:c>
      <x:c r="Y458" s="20" t="str">
        <x:f>IF(OR(A458="",I458&lt;&gt;"Esecuzioni",W458=0),"",SUMIFS('Esecuzioni'!$M$8:$M$1007,'Esecuzioni'!$A$8:$A$1007,A458))</x:f>
      </x:c>
      <x:c r="Z458" s="20" t="str">
        <x:f>IF(A458="","",IF(J458="Annullato",0,IF(ISNUMBER(O458),O458,IF(AND(I458="Esecuzioni",W458&gt;0),_xlfn.MAXIFS('Esecuzioni'!$P$8:$P$1007,'Esecuzioni'!$A$8:$A$1007,A458),""))))</x:f>
      </x:c>
      <x:c r="AA458" s="20" t="str">
        <x:f>IF(OR(A458="",J458="Aperto"),"",IF(J458="Annullato",0,IF(I458="Lordo manuale",IF(ISNUMBER(P458),P458,""),IF(I458="Netto manuale",IF(AND(ISNUMBER(P458),ISNUMBER(Q458)),P458+Q458,""),IF(OR(W458=0,COUNTIFS('Esecuzioni'!$A$8:$A$1007,A458,'Esecuzioni'!$Q$8:$Q$1007,"&lt;&gt;OK")&gt;0),"",IF(S458="Vince",X458,IF(S458="Perde",Y458,IF(AND(S458="Coperto",ABS(X458-Y458)&lt;='Impostazioni'!$B$11),ROUND((X458+Y458)/2,2),""))))))))</x:f>
      </x:c>
      <x:c r="AB458" s="20" t="str">
        <x:f>IF(NOT(ISNUMBER(AA458)),"",IF(J458="Annullato",0,IF(ISNUMBER(Q458),Q458,ROUND(MAX(0,AA458)*IF(ISNUMBER(R458),R458,'Impostazioni'!$B$8),2))))</x:f>
      </x:c>
      <x:c r="AC458" s="20" t="str">
        <x:f>IF(AND(ISNUMBER(AA458),ISNUMBER(AB458)),ROUND(AA458-AB458,2),"")</x:f>
      </x:c>
      <x:c r="AD458" s="18" t="str">
        <x:f>IF(A458="","",IF(AQ458&lt;&gt;"OK","Incompleto",IF(J458="Aperto","Aperto",IF(J458="Annullato","Annullato",IF(AC458&gt;0,"Green",IF(AC458&lt;0,"Red","Flat"))))))</x:f>
      </x:c>
      <x:c r="AE458" s="21" t="str">
        <x:f>IF(AND(AH458=1,Z458&gt;0),AC458/Z458,"")</x:f>
      </x:c>
      <x:c r="AF458" s="22" t="str">
        <x:f>IF(AH458&lt;&gt;1,"",COUNTIFS($C$8:$C$507,"&lt;"&amp;C458,$AH$8:$AH$507,1)+COUNTIFS($C$8:$C$507,C458,$A$8:$A$507,"&lt;="&amp;A458,$AH$8:$AH$507,1))</x:f>
      </x:c>
      <x:c r="AG458" s="20" t="str">
        <x:f>IF(AH458&lt;&gt;1,"",SUMIFS($AC$8:$AC$507,$C$8:$C$507,"&lt;"&amp;C458,$AH$8:$AH$507,1)+SUMIFS($AC$8:$AC$507,$C$8:$C$507,C458,$A$8:$A$507,"&lt;="&amp;A458,$AH$8:$AH$507,1))</x:f>
      </x:c>
      <x:c r="AH458" s="22" t="str">
        <x:f>IF(A458="","",IF(AND(J458="Chiuso",AQ458="OK",ISNUMBER(AC458)),1,0))</x:f>
      </x:c>
      <x:c r="AI458" s="20" t="str">
        <x:f>IF(AH458&lt;&gt;1,"",MAX(0,_xlfn.MAXIFS($AG$8:$AG$507,$AF$8:$AF$507,"&lt;="&amp;AF458,$AH$8:$AH$507,1)))</x:f>
      </x:c>
      <x:c r="AJ458" s="20" t="str">
        <x:f>IF(AH458&lt;&gt;1,"",MAX(0,AI458-AG458))</x:f>
      </x:c>
      <x:c r="AK458" s="21" t="str">
        <x:f>IF(OR(AH458&lt;&gt;1,NOT(ISNUMBER('Impostazioni'!$B$6)),'Impostazioni'!$B$6+AI458&lt;=0),"",AJ458/('Impostazioni'!$B$6+AI458))</x:f>
      </x:c>
      <x:c r="AL458" s="22" t="str">
        <x:f>IF(AH458&lt;&gt;1,"",IF(AC458&gt;0,AF458-_xlfn.MAXIFS($AF$8:$AF$507,$AF$8:$AF$507,"&lt;="&amp;AF458,$AC$8:$AC$507,"&lt;=0",$AH$8:$AH$507,1),0))</x:f>
      </x:c>
      <x:c r="AM458" s="22" t="str">
        <x:f>IF(AH458&lt;&gt;1,"",IF(AC458&lt;0,AF458-_xlfn.MAXIFS($AF$8:$AF$507,$AF$8:$AF$507,"&lt;="&amp;AF458,$AC$8:$AC$507,"&gt;=0",$AH$8:$AH$507,1),0))</x:f>
      </x:c>
      <x:c r="AN458" s="20" t="str">
        <x:f>IF(OR(A458="",NOT(ISNUMBER(B458)),NOT(ISNUMBER('Impostazioni'!$B$6))),"",'Impostazioni'!$B$6+SUMIFS($AC$8:$AC$507,$C$8:$C$507,"&lt;"&amp;B458,$AH$8:$AH$507,1)+SUMIFS('Cassa'!$F$8:$F$307,'Cassa'!$A$8:$A$307,"&lt;="&amp;B458,'Cassa'!$G$8:$G$307,"OK"))</x:f>
      </x:c>
      <x:c r="AO458" s="21" t="str">
        <x:f>IF(AND(ISNUMBER(Z458),ISNUMBER(AN458),AN458&gt;0),Z458/AN458,"")</x:f>
      </x:c>
      <x:c r="AP458" s="18" t="str">
        <x:f>IF(NOT(ISNUMBER(AO458)),"",IF(AO458&gt;'Impostazioni'!$B$7,"Oltre soglia personale","Nella soglia personale"))</x:f>
      </x:c>
      <x:c r="AQ458" s="18" t="str">
        <x:f>IF(A458="",IF(COUNTA(B458:V458)=0,"","Inserisci ID"),IF(COUNTIFS($A$8:$A$507,A458)&lt;&gt;1,"ID duplicato",IF(OR(NOT(ISNUMBER(B458)),D458="",E458="",F458="",G458="",H458="",COUNTIFS('Impostazioni'!$J$6:$J$25,F458)&lt;&gt;1),"Completa dati / elenchi",IF(OR(AND(I458&lt;&gt;"Lordo manuale",I458&lt;&gt;"Netto manuale",I458&lt;&gt;"Esecuzioni"),AND(J458&lt;&gt;"Aperto",J458&lt;&gt;"Chiuso",J458&lt;&gt;"Annullato")),"Modalità / stato mancanti",IF(AND(J458&lt;&gt;"Aperto",OR(NOT(ISNUMBER(C458)),C458&lt;B458)),"Correggi data chiusura",IF(OR(AND(Q458&lt;&gt;"",OR(NOT(ISNUMBER(Q458)),Q458&lt;0)),AND(R458&lt;&gt;"",OR(NOT(ISNUMBER(R458)),R458&lt;0,R458&gt;1))),"Commissione non valida",IF(J458="Annullato","OK",IF(OR(NOT(ISNUMBER(Z458)),Z458&lt;0,AND(O458&lt;&gt;"",NOT(ISNUMBER(O458)))),"Inserisci rischio",IF(AND(I458="Esecuzioni",OR(W458=0,COUNTIFS('Esecuzioni'!$A$8:$A$1007,A458,'Esecuzioni'!$Q$8:$Q$1007,"&lt;&gt;OK")&gt;0)),"Correggi esecuzioni",IF(J458="Aperto","OK",IF(AND(I458="Esecuzioni",S458="Coperto",ABS(X458-Y458)&gt;'Impostazioni'!$B$11),"Copertura residua",IF(NOT(ISNUMBER(AC458)),"Completa risultato / esito",IF(AND(Z458=0,AC458&lt;&gt;0),"Rischio nullo con P/L","OK")))))))))))))</x:f>
      </x:c>
      <x:c r="AR458" s="20" t="str">
        <x:f>IF(OR(A458="",J458&lt;&gt;"Aperto",AQ458&lt;&gt;"OK"),"",IF(I458="Esecuzioni",SUMIFS('Esecuzioni'!$P$8:$P$1007,'Esecuzioni'!$A$8:$A$1007,A458,'Esecuzioni'!$B$8:$B$1007,_xlfn.MAXIFS('Esecuzioni'!$B$8:$B$1007,'Esecuzioni'!$A$8:$A$1007,A458)),IF(LEFT(U458,8)="FREEBET:",0,Z458)))</x:f>
      </x:c>
      <x:c r="AS458" s="48" t="str">
        <x:f>IF(OR(A458="",E458=""),"",IF(COUNTIFS($E$8:E458,E458)=1,COUNT($AS$7:AS457)+1,""))</x:f>
      </x:c>
    </x:row>
    <x:row r="459" ht="22" customHeight="1">
      <x:c r="A459" s="7"/>
      <x:c r="B459" s="19"/>
      <x:c r="C459" s="19"/>
      <x:c r="D459" s="7"/>
      <x:c r="E459" s="7"/>
      <x:c r="F459" s="7"/>
      <x:c r="G459" s="7"/>
      <x:c r="H459" s="7"/>
      <x:c r="I459" s="7"/>
      <x:c r="J459" s="7"/>
      <x:c r="K459" s="10"/>
      <x:c r="L459" s="7"/>
      <x:c r="M459" s="10"/>
      <x:c r="N459" s="7"/>
      <x:c r="O459" s="8"/>
      <x:c r="P459" s="8"/>
      <x:c r="Q459" s="8"/>
      <x:c r="R459" s="9"/>
      <x:c r="S459" s="7"/>
      <x:c r="T459" s="7"/>
      <x:c r="U459" s="7"/>
      <x:c r="V459" s="7"/>
      <x:c r="W459" s="22" t="str">
        <x:f>IF(A459="","",COUNTIFS('Esecuzioni'!$A$8:$A$1007,A459,'Esecuzioni'!$Q$8:$Q$1007,"OK"))</x:f>
      </x:c>
      <x:c r="X459" s="20" t="str">
        <x:f>IF(OR(A459="",I459&lt;&gt;"Esecuzioni",W459=0),"",SUMIFS('Esecuzioni'!$L$8:$L$1007,'Esecuzioni'!$A$8:$A$1007,A459))</x:f>
      </x:c>
      <x:c r="Y459" s="20" t="str">
        <x:f>IF(OR(A459="",I459&lt;&gt;"Esecuzioni",W459=0),"",SUMIFS('Esecuzioni'!$M$8:$M$1007,'Esecuzioni'!$A$8:$A$1007,A459))</x:f>
      </x:c>
      <x:c r="Z459" s="20" t="str">
        <x:f>IF(A459="","",IF(J459="Annullato",0,IF(ISNUMBER(O459),O459,IF(AND(I459="Esecuzioni",W459&gt;0),_xlfn.MAXIFS('Esecuzioni'!$P$8:$P$1007,'Esecuzioni'!$A$8:$A$1007,A459),""))))</x:f>
      </x:c>
      <x:c r="AA459" s="20" t="str">
        <x:f>IF(OR(A459="",J459="Aperto"),"",IF(J459="Annullato",0,IF(I459="Lordo manuale",IF(ISNUMBER(P459),P459,""),IF(I459="Netto manuale",IF(AND(ISNUMBER(P459),ISNUMBER(Q459)),P459+Q459,""),IF(OR(W459=0,COUNTIFS('Esecuzioni'!$A$8:$A$1007,A459,'Esecuzioni'!$Q$8:$Q$1007,"&lt;&gt;OK")&gt;0),"",IF(S459="Vince",X459,IF(S459="Perde",Y459,IF(AND(S459="Coperto",ABS(X459-Y459)&lt;='Impostazioni'!$B$11),ROUND((X459+Y459)/2,2),""))))))))</x:f>
      </x:c>
      <x:c r="AB459" s="20" t="str">
        <x:f>IF(NOT(ISNUMBER(AA459)),"",IF(J459="Annullato",0,IF(ISNUMBER(Q459),Q459,ROUND(MAX(0,AA459)*IF(ISNUMBER(R459),R459,'Impostazioni'!$B$8),2))))</x:f>
      </x:c>
      <x:c r="AC459" s="20" t="str">
        <x:f>IF(AND(ISNUMBER(AA459),ISNUMBER(AB459)),ROUND(AA459-AB459,2),"")</x:f>
      </x:c>
      <x:c r="AD459" s="18" t="str">
        <x:f>IF(A459="","",IF(AQ459&lt;&gt;"OK","Incompleto",IF(J459="Aperto","Aperto",IF(J459="Annullato","Annullato",IF(AC459&gt;0,"Green",IF(AC459&lt;0,"Red","Flat"))))))</x:f>
      </x:c>
      <x:c r="AE459" s="21" t="str">
        <x:f>IF(AND(AH459=1,Z459&gt;0),AC459/Z459,"")</x:f>
      </x:c>
      <x:c r="AF459" s="22" t="str">
        <x:f>IF(AH459&lt;&gt;1,"",COUNTIFS($C$8:$C$507,"&lt;"&amp;C459,$AH$8:$AH$507,1)+COUNTIFS($C$8:$C$507,C459,$A$8:$A$507,"&lt;="&amp;A459,$AH$8:$AH$507,1))</x:f>
      </x:c>
      <x:c r="AG459" s="20" t="str">
        <x:f>IF(AH459&lt;&gt;1,"",SUMIFS($AC$8:$AC$507,$C$8:$C$507,"&lt;"&amp;C459,$AH$8:$AH$507,1)+SUMIFS($AC$8:$AC$507,$C$8:$C$507,C459,$A$8:$A$507,"&lt;="&amp;A459,$AH$8:$AH$507,1))</x:f>
      </x:c>
      <x:c r="AH459" s="22" t="str">
        <x:f>IF(A459="","",IF(AND(J459="Chiuso",AQ459="OK",ISNUMBER(AC459)),1,0))</x:f>
      </x:c>
      <x:c r="AI459" s="20" t="str">
        <x:f>IF(AH459&lt;&gt;1,"",MAX(0,_xlfn.MAXIFS($AG$8:$AG$507,$AF$8:$AF$507,"&lt;="&amp;AF459,$AH$8:$AH$507,1)))</x:f>
      </x:c>
      <x:c r="AJ459" s="20" t="str">
        <x:f>IF(AH459&lt;&gt;1,"",MAX(0,AI459-AG459))</x:f>
      </x:c>
      <x:c r="AK459" s="21" t="str">
        <x:f>IF(OR(AH459&lt;&gt;1,NOT(ISNUMBER('Impostazioni'!$B$6)),'Impostazioni'!$B$6+AI459&lt;=0),"",AJ459/('Impostazioni'!$B$6+AI459))</x:f>
      </x:c>
      <x:c r="AL459" s="22" t="str">
        <x:f>IF(AH459&lt;&gt;1,"",IF(AC459&gt;0,AF459-_xlfn.MAXIFS($AF$8:$AF$507,$AF$8:$AF$507,"&lt;="&amp;AF459,$AC$8:$AC$507,"&lt;=0",$AH$8:$AH$507,1),0))</x:f>
      </x:c>
      <x:c r="AM459" s="22" t="str">
        <x:f>IF(AH459&lt;&gt;1,"",IF(AC459&lt;0,AF459-_xlfn.MAXIFS($AF$8:$AF$507,$AF$8:$AF$507,"&lt;="&amp;AF459,$AC$8:$AC$507,"&gt;=0",$AH$8:$AH$507,1),0))</x:f>
      </x:c>
      <x:c r="AN459" s="20" t="str">
        <x:f>IF(OR(A459="",NOT(ISNUMBER(B459)),NOT(ISNUMBER('Impostazioni'!$B$6))),"",'Impostazioni'!$B$6+SUMIFS($AC$8:$AC$507,$C$8:$C$507,"&lt;"&amp;B459,$AH$8:$AH$507,1)+SUMIFS('Cassa'!$F$8:$F$307,'Cassa'!$A$8:$A$307,"&lt;="&amp;B459,'Cassa'!$G$8:$G$307,"OK"))</x:f>
      </x:c>
      <x:c r="AO459" s="21" t="str">
        <x:f>IF(AND(ISNUMBER(Z459),ISNUMBER(AN459),AN459&gt;0),Z459/AN459,"")</x:f>
      </x:c>
      <x:c r="AP459" s="18" t="str">
        <x:f>IF(NOT(ISNUMBER(AO459)),"",IF(AO459&gt;'Impostazioni'!$B$7,"Oltre soglia personale","Nella soglia personale"))</x:f>
      </x:c>
      <x:c r="AQ459" s="18" t="str">
        <x:f>IF(A459="",IF(COUNTA(B459:V459)=0,"","Inserisci ID"),IF(COUNTIFS($A$8:$A$507,A459)&lt;&gt;1,"ID duplicato",IF(OR(NOT(ISNUMBER(B459)),D459="",E459="",F459="",G459="",H459="",COUNTIFS('Impostazioni'!$J$6:$J$25,F459)&lt;&gt;1),"Completa dati / elenchi",IF(OR(AND(I459&lt;&gt;"Lordo manuale",I459&lt;&gt;"Netto manuale",I459&lt;&gt;"Esecuzioni"),AND(J459&lt;&gt;"Aperto",J459&lt;&gt;"Chiuso",J459&lt;&gt;"Annullato")),"Modalità / stato mancanti",IF(AND(J459&lt;&gt;"Aperto",OR(NOT(ISNUMBER(C459)),C459&lt;B459)),"Correggi data chiusura",IF(OR(AND(Q459&lt;&gt;"",OR(NOT(ISNUMBER(Q459)),Q459&lt;0)),AND(R459&lt;&gt;"",OR(NOT(ISNUMBER(R459)),R459&lt;0,R459&gt;1))),"Commissione non valida",IF(J459="Annullato","OK",IF(OR(NOT(ISNUMBER(Z459)),Z459&lt;0,AND(O459&lt;&gt;"",NOT(ISNUMBER(O459)))),"Inserisci rischio",IF(AND(I459="Esecuzioni",OR(W459=0,COUNTIFS('Esecuzioni'!$A$8:$A$1007,A459,'Esecuzioni'!$Q$8:$Q$1007,"&lt;&gt;OK")&gt;0)),"Correggi esecuzioni",IF(J459="Aperto","OK",IF(AND(I459="Esecuzioni",S459="Coperto",ABS(X459-Y459)&gt;'Impostazioni'!$B$11),"Copertura residua",IF(NOT(ISNUMBER(AC459)),"Completa risultato / esito",IF(AND(Z459=0,AC459&lt;&gt;0),"Rischio nullo con P/L","OK")))))))))))))</x:f>
      </x:c>
      <x:c r="AR459" s="20" t="str">
        <x:f>IF(OR(A459="",J459&lt;&gt;"Aperto",AQ459&lt;&gt;"OK"),"",IF(I459="Esecuzioni",SUMIFS('Esecuzioni'!$P$8:$P$1007,'Esecuzioni'!$A$8:$A$1007,A459,'Esecuzioni'!$B$8:$B$1007,_xlfn.MAXIFS('Esecuzioni'!$B$8:$B$1007,'Esecuzioni'!$A$8:$A$1007,A459)),IF(LEFT(U459,8)="FREEBET:",0,Z459)))</x:f>
      </x:c>
      <x:c r="AS459" s="48" t="str">
        <x:f>IF(OR(A459="",E459=""),"",IF(COUNTIFS($E$8:E459,E459)=1,COUNT($AS$7:AS458)+1,""))</x:f>
      </x:c>
    </x:row>
    <x:row r="460" ht="22" customHeight="1">
      <x:c r="A460" s="7"/>
      <x:c r="B460" s="19"/>
      <x:c r="C460" s="19"/>
      <x:c r="D460" s="7"/>
      <x:c r="E460" s="7"/>
      <x:c r="F460" s="7"/>
      <x:c r="G460" s="7"/>
      <x:c r="H460" s="7"/>
      <x:c r="I460" s="7"/>
      <x:c r="J460" s="7"/>
      <x:c r="K460" s="10"/>
      <x:c r="L460" s="7"/>
      <x:c r="M460" s="10"/>
      <x:c r="N460" s="7"/>
      <x:c r="O460" s="8"/>
      <x:c r="P460" s="8"/>
      <x:c r="Q460" s="8"/>
      <x:c r="R460" s="9"/>
      <x:c r="S460" s="7"/>
      <x:c r="T460" s="7"/>
      <x:c r="U460" s="7"/>
      <x:c r="V460" s="7"/>
      <x:c r="W460" s="22" t="str">
        <x:f>IF(A460="","",COUNTIFS('Esecuzioni'!$A$8:$A$1007,A460,'Esecuzioni'!$Q$8:$Q$1007,"OK"))</x:f>
      </x:c>
      <x:c r="X460" s="20" t="str">
        <x:f>IF(OR(A460="",I460&lt;&gt;"Esecuzioni",W460=0),"",SUMIFS('Esecuzioni'!$L$8:$L$1007,'Esecuzioni'!$A$8:$A$1007,A460))</x:f>
      </x:c>
      <x:c r="Y460" s="20" t="str">
        <x:f>IF(OR(A460="",I460&lt;&gt;"Esecuzioni",W460=0),"",SUMIFS('Esecuzioni'!$M$8:$M$1007,'Esecuzioni'!$A$8:$A$1007,A460))</x:f>
      </x:c>
      <x:c r="Z460" s="20" t="str">
        <x:f>IF(A460="","",IF(J460="Annullato",0,IF(ISNUMBER(O460),O460,IF(AND(I460="Esecuzioni",W460&gt;0),_xlfn.MAXIFS('Esecuzioni'!$P$8:$P$1007,'Esecuzioni'!$A$8:$A$1007,A460),""))))</x:f>
      </x:c>
      <x:c r="AA460" s="20" t="str">
        <x:f>IF(OR(A460="",J460="Aperto"),"",IF(J460="Annullato",0,IF(I460="Lordo manuale",IF(ISNUMBER(P460),P460,""),IF(I460="Netto manuale",IF(AND(ISNUMBER(P460),ISNUMBER(Q460)),P460+Q460,""),IF(OR(W460=0,COUNTIFS('Esecuzioni'!$A$8:$A$1007,A460,'Esecuzioni'!$Q$8:$Q$1007,"&lt;&gt;OK")&gt;0),"",IF(S460="Vince",X460,IF(S460="Perde",Y460,IF(AND(S460="Coperto",ABS(X460-Y460)&lt;='Impostazioni'!$B$11),ROUND((X460+Y460)/2,2),""))))))))</x:f>
      </x:c>
      <x:c r="AB460" s="20" t="str">
        <x:f>IF(NOT(ISNUMBER(AA460)),"",IF(J460="Annullato",0,IF(ISNUMBER(Q460),Q460,ROUND(MAX(0,AA460)*IF(ISNUMBER(R460),R460,'Impostazioni'!$B$8),2))))</x:f>
      </x:c>
      <x:c r="AC460" s="20" t="str">
        <x:f>IF(AND(ISNUMBER(AA460),ISNUMBER(AB460)),ROUND(AA460-AB460,2),"")</x:f>
      </x:c>
      <x:c r="AD460" s="18" t="str">
        <x:f>IF(A460="","",IF(AQ460&lt;&gt;"OK","Incompleto",IF(J460="Aperto","Aperto",IF(J460="Annullato","Annullato",IF(AC460&gt;0,"Green",IF(AC460&lt;0,"Red","Flat"))))))</x:f>
      </x:c>
      <x:c r="AE460" s="21" t="str">
        <x:f>IF(AND(AH460=1,Z460&gt;0),AC460/Z460,"")</x:f>
      </x:c>
      <x:c r="AF460" s="22" t="str">
        <x:f>IF(AH460&lt;&gt;1,"",COUNTIFS($C$8:$C$507,"&lt;"&amp;C460,$AH$8:$AH$507,1)+COUNTIFS($C$8:$C$507,C460,$A$8:$A$507,"&lt;="&amp;A460,$AH$8:$AH$507,1))</x:f>
      </x:c>
      <x:c r="AG460" s="20" t="str">
        <x:f>IF(AH460&lt;&gt;1,"",SUMIFS($AC$8:$AC$507,$C$8:$C$507,"&lt;"&amp;C460,$AH$8:$AH$507,1)+SUMIFS($AC$8:$AC$507,$C$8:$C$507,C460,$A$8:$A$507,"&lt;="&amp;A460,$AH$8:$AH$507,1))</x:f>
      </x:c>
      <x:c r="AH460" s="22" t="str">
        <x:f>IF(A460="","",IF(AND(J460="Chiuso",AQ460="OK",ISNUMBER(AC460)),1,0))</x:f>
      </x:c>
      <x:c r="AI460" s="20" t="str">
        <x:f>IF(AH460&lt;&gt;1,"",MAX(0,_xlfn.MAXIFS($AG$8:$AG$507,$AF$8:$AF$507,"&lt;="&amp;AF460,$AH$8:$AH$507,1)))</x:f>
      </x:c>
      <x:c r="AJ460" s="20" t="str">
        <x:f>IF(AH460&lt;&gt;1,"",MAX(0,AI460-AG460))</x:f>
      </x:c>
      <x:c r="AK460" s="21" t="str">
        <x:f>IF(OR(AH460&lt;&gt;1,NOT(ISNUMBER('Impostazioni'!$B$6)),'Impostazioni'!$B$6+AI460&lt;=0),"",AJ460/('Impostazioni'!$B$6+AI460))</x:f>
      </x:c>
      <x:c r="AL460" s="22" t="str">
        <x:f>IF(AH460&lt;&gt;1,"",IF(AC460&gt;0,AF460-_xlfn.MAXIFS($AF$8:$AF$507,$AF$8:$AF$507,"&lt;="&amp;AF460,$AC$8:$AC$507,"&lt;=0",$AH$8:$AH$507,1),0))</x:f>
      </x:c>
      <x:c r="AM460" s="22" t="str">
        <x:f>IF(AH460&lt;&gt;1,"",IF(AC460&lt;0,AF460-_xlfn.MAXIFS($AF$8:$AF$507,$AF$8:$AF$507,"&lt;="&amp;AF460,$AC$8:$AC$507,"&gt;=0",$AH$8:$AH$507,1),0))</x:f>
      </x:c>
      <x:c r="AN460" s="20" t="str">
        <x:f>IF(OR(A460="",NOT(ISNUMBER(B460)),NOT(ISNUMBER('Impostazioni'!$B$6))),"",'Impostazioni'!$B$6+SUMIFS($AC$8:$AC$507,$C$8:$C$507,"&lt;"&amp;B460,$AH$8:$AH$507,1)+SUMIFS('Cassa'!$F$8:$F$307,'Cassa'!$A$8:$A$307,"&lt;="&amp;B460,'Cassa'!$G$8:$G$307,"OK"))</x:f>
      </x:c>
      <x:c r="AO460" s="21" t="str">
        <x:f>IF(AND(ISNUMBER(Z460),ISNUMBER(AN460),AN460&gt;0),Z460/AN460,"")</x:f>
      </x:c>
      <x:c r="AP460" s="18" t="str">
        <x:f>IF(NOT(ISNUMBER(AO460)),"",IF(AO460&gt;'Impostazioni'!$B$7,"Oltre soglia personale","Nella soglia personale"))</x:f>
      </x:c>
      <x:c r="AQ460" s="18" t="str">
        <x:f>IF(A460="",IF(COUNTA(B460:V460)=0,"","Inserisci ID"),IF(COUNTIFS($A$8:$A$507,A460)&lt;&gt;1,"ID duplicato",IF(OR(NOT(ISNUMBER(B460)),D460="",E460="",F460="",G460="",H460="",COUNTIFS('Impostazioni'!$J$6:$J$25,F460)&lt;&gt;1),"Completa dati / elenchi",IF(OR(AND(I460&lt;&gt;"Lordo manuale",I460&lt;&gt;"Netto manuale",I460&lt;&gt;"Esecuzioni"),AND(J460&lt;&gt;"Aperto",J460&lt;&gt;"Chiuso",J460&lt;&gt;"Annullato")),"Modalità / stato mancanti",IF(AND(J460&lt;&gt;"Aperto",OR(NOT(ISNUMBER(C460)),C460&lt;B460)),"Correggi data chiusura",IF(OR(AND(Q460&lt;&gt;"",OR(NOT(ISNUMBER(Q460)),Q460&lt;0)),AND(R460&lt;&gt;"",OR(NOT(ISNUMBER(R460)),R460&lt;0,R460&gt;1))),"Commissione non valida",IF(J460="Annullato","OK",IF(OR(NOT(ISNUMBER(Z460)),Z460&lt;0,AND(O460&lt;&gt;"",NOT(ISNUMBER(O460)))),"Inserisci rischio",IF(AND(I460="Esecuzioni",OR(W460=0,COUNTIFS('Esecuzioni'!$A$8:$A$1007,A460,'Esecuzioni'!$Q$8:$Q$1007,"&lt;&gt;OK")&gt;0)),"Correggi esecuzioni",IF(J460="Aperto","OK",IF(AND(I460="Esecuzioni",S460="Coperto",ABS(X460-Y460)&gt;'Impostazioni'!$B$11),"Copertura residua",IF(NOT(ISNUMBER(AC460)),"Completa risultato / esito",IF(AND(Z460=0,AC460&lt;&gt;0),"Rischio nullo con P/L","OK")))))))))))))</x:f>
      </x:c>
      <x:c r="AR460" s="20" t="str">
        <x:f>IF(OR(A460="",J460&lt;&gt;"Aperto",AQ460&lt;&gt;"OK"),"",IF(I460="Esecuzioni",SUMIFS('Esecuzioni'!$P$8:$P$1007,'Esecuzioni'!$A$8:$A$1007,A460,'Esecuzioni'!$B$8:$B$1007,_xlfn.MAXIFS('Esecuzioni'!$B$8:$B$1007,'Esecuzioni'!$A$8:$A$1007,A460)),IF(LEFT(U460,8)="FREEBET:",0,Z460)))</x:f>
      </x:c>
      <x:c r="AS460" s="48" t="str">
        <x:f>IF(OR(A460="",E460=""),"",IF(COUNTIFS($E$8:E460,E460)=1,COUNT($AS$7:AS459)+1,""))</x:f>
      </x:c>
    </x:row>
    <x:row r="461" ht="22" customHeight="1">
      <x:c r="A461" s="7"/>
      <x:c r="B461" s="19"/>
      <x:c r="C461" s="19"/>
      <x:c r="D461" s="7"/>
      <x:c r="E461" s="7"/>
      <x:c r="F461" s="7"/>
      <x:c r="G461" s="7"/>
      <x:c r="H461" s="7"/>
      <x:c r="I461" s="7"/>
      <x:c r="J461" s="7"/>
      <x:c r="K461" s="10"/>
      <x:c r="L461" s="7"/>
      <x:c r="M461" s="10"/>
      <x:c r="N461" s="7"/>
      <x:c r="O461" s="8"/>
      <x:c r="P461" s="8"/>
      <x:c r="Q461" s="8"/>
      <x:c r="R461" s="9"/>
      <x:c r="S461" s="7"/>
      <x:c r="T461" s="7"/>
      <x:c r="U461" s="7"/>
      <x:c r="V461" s="7"/>
      <x:c r="W461" s="22" t="str">
        <x:f>IF(A461="","",COUNTIFS('Esecuzioni'!$A$8:$A$1007,A461,'Esecuzioni'!$Q$8:$Q$1007,"OK"))</x:f>
      </x:c>
      <x:c r="X461" s="20" t="str">
        <x:f>IF(OR(A461="",I461&lt;&gt;"Esecuzioni",W461=0),"",SUMIFS('Esecuzioni'!$L$8:$L$1007,'Esecuzioni'!$A$8:$A$1007,A461))</x:f>
      </x:c>
      <x:c r="Y461" s="20" t="str">
        <x:f>IF(OR(A461="",I461&lt;&gt;"Esecuzioni",W461=0),"",SUMIFS('Esecuzioni'!$M$8:$M$1007,'Esecuzioni'!$A$8:$A$1007,A461))</x:f>
      </x:c>
      <x:c r="Z461" s="20" t="str">
        <x:f>IF(A461="","",IF(J461="Annullato",0,IF(ISNUMBER(O461),O461,IF(AND(I461="Esecuzioni",W461&gt;0),_xlfn.MAXIFS('Esecuzioni'!$P$8:$P$1007,'Esecuzioni'!$A$8:$A$1007,A461),""))))</x:f>
      </x:c>
      <x:c r="AA461" s="20" t="str">
        <x:f>IF(OR(A461="",J461="Aperto"),"",IF(J461="Annullato",0,IF(I461="Lordo manuale",IF(ISNUMBER(P461),P461,""),IF(I461="Netto manuale",IF(AND(ISNUMBER(P461),ISNUMBER(Q461)),P461+Q461,""),IF(OR(W461=0,COUNTIFS('Esecuzioni'!$A$8:$A$1007,A461,'Esecuzioni'!$Q$8:$Q$1007,"&lt;&gt;OK")&gt;0),"",IF(S461="Vince",X461,IF(S461="Perde",Y461,IF(AND(S461="Coperto",ABS(X461-Y461)&lt;='Impostazioni'!$B$11),ROUND((X461+Y461)/2,2),""))))))))</x:f>
      </x:c>
      <x:c r="AB461" s="20" t="str">
        <x:f>IF(NOT(ISNUMBER(AA461)),"",IF(J461="Annullato",0,IF(ISNUMBER(Q461),Q461,ROUND(MAX(0,AA461)*IF(ISNUMBER(R461),R461,'Impostazioni'!$B$8),2))))</x:f>
      </x:c>
      <x:c r="AC461" s="20" t="str">
        <x:f>IF(AND(ISNUMBER(AA461),ISNUMBER(AB461)),ROUND(AA461-AB461,2),"")</x:f>
      </x:c>
      <x:c r="AD461" s="18" t="str">
        <x:f>IF(A461="","",IF(AQ461&lt;&gt;"OK","Incompleto",IF(J461="Aperto","Aperto",IF(J461="Annullato","Annullato",IF(AC461&gt;0,"Green",IF(AC461&lt;0,"Red","Flat"))))))</x:f>
      </x:c>
      <x:c r="AE461" s="21" t="str">
        <x:f>IF(AND(AH461=1,Z461&gt;0),AC461/Z461,"")</x:f>
      </x:c>
      <x:c r="AF461" s="22" t="str">
        <x:f>IF(AH461&lt;&gt;1,"",COUNTIFS($C$8:$C$507,"&lt;"&amp;C461,$AH$8:$AH$507,1)+COUNTIFS($C$8:$C$507,C461,$A$8:$A$507,"&lt;="&amp;A461,$AH$8:$AH$507,1))</x:f>
      </x:c>
      <x:c r="AG461" s="20" t="str">
        <x:f>IF(AH461&lt;&gt;1,"",SUMIFS($AC$8:$AC$507,$C$8:$C$507,"&lt;"&amp;C461,$AH$8:$AH$507,1)+SUMIFS($AC$8:$AC$507,$C$8:$C$507,C461,$A$8:$A$507,"&lt;="&amp;A461,$AH$8:$AH$507,1))</x:f>
      </x:c>
      <x:c r="AH461" s="22" t="str">
        <x:f>IF(A461="","",IF(AND(J461="Chiuso",AQ461="OK",ISNUMBER(AC461)),1,0))</x:f>
      </x:c>
      <x:c r="AI461" s="20" t="str">
        <x:f>IF(AH461&lt;&gt;1,"",MAX(0,_xlfn.MAXIFS($AG$8:$AG$507,$AF$8:$AF$507,"&lt;="&amp;AF461,$AH$8:$AH$507,1)))</x:f>
      </x:c>
      <x:c r="AJ461" s="20" t="str">
        <x:f>IF(AH461&lt;&gt;1,"",MAX(0,AI461-AG461))</x:f>
      </x:c>
      <x:c r="AK461" s="21" t="str">
        <x:f>IF(OR(AH461&lt;&gt;1,NOT(ISNUMBER('Impostazioni'!$B$6)),'Impostazioni'!$B$6+AI461&lt;=0),"",AJ461/('Impostazioni'!$B$6+AI461))</x:f>
      </x:c>
      <x:c r="AL461" s="22" t="str">
        <x:f>IF(AH461&lt;&gt;1,"",IF(AC461&gt;0,AF461-_xlfn.MAXIFS($AF$8:$AF$507,$AF$8:$AF$507,"&lt;="&amp;AF461,$AC$8:$AC$507,"&lt;=0",$AH$8:$AH$507,1),0))</x:f>
      </x:c>
      <x:c r="AM461" s="22" t="str">
        <x:f>IF(AH461&lt;&gt;1,"",IF(AC461&lt;0,AF461-_xlfn.MAXIFS($AF$8:$AF$507,$AF$8:$AF$507,"&lt;="&amp;AF461,$AC$8:$AC$507,"&gt;=0",$AH$8:$AH$507,1),0))</x:f>
      </x:c>
      <x:c r="AN461" s="20" t="str">
        <x:f>IF(OR(A461="",NOT(ISNUMBER(B461)),NOT(ISNUMBER('Impostazioni'!$B$6))),"",'Impostazioni'!$B$6+SUMIFS($AC$8:$AC$507,$C$8:$C$507,"&lt;"&amp;B461,$AH$8:$AH$507,1)+SUMIFS('Cassa'!$F$8:$F$307,'Cassa'!$A$8:$A$307,"&lt;="&amp;B461,'Cassa'!$G$8:$G$307,"OK"))</x:f>
      </x:c>
      <x:c r="AO461" s="21" t="str">
        <x:f>IF(AND(ISNUMBER(Z461),ISNUMBER(AN461),AN461&gt;0),Z461/AN461,"")</x:f>
      </x:c>
      <x:c r="AP461" s="18" t="str">
        <x:f>IF(NOT(ISNUMBER(AO461)),"",IF(AO461&gt;'Impostazioni'!$B$7,"Oltre soglia personale","Nella soglia personale"))</x:f>
      </x:c>
      <x:c r="AQ461" s="18" t="str">
        <x:f>IF(A461="",IF(COUNTA(B461:V461)=0,"","Inserisci ID"),IF(COUNTIFS($A$8:$A$507,A461)&lt;&gt;1,"ID duplicato",IF(OR(NOT(ISNUMBER(B461)),D461="",E461="",F461="",G461="",H461="",COUNTIFS('Impostazioni'!$J$6:$J$25,F461)&lt;&gt;1),"Completa dati / elenchi",IF(OR(AND(I461&lt;&gt;"Lordo manuale",I461&lt;&gt;"Netto manuale",I461&lt;&gt;"Esecuzioni"),AND(J461&lt;&gt;"Aperto",J461&lt;&gt;"Chiuso",J461&lt;&gt;"Annullato")),"Modalità / stato mancanti",IF(AND(J461&lt;&gt;"Aperto",OR(NOT(ISNUMBER(C461)),C461&lt;B461)),"Correggi data chiusura",IF(OR(AND(Q461&lt;&gt;"",OR(NOT(ISNUMBER(Q461)),Q461&lt;0)),AND(R461&lt;&gt;"",OR(NOT(ISNUMBER(R461)),R461&lt;0,R461&gt;1))),"Commissione non valida",IF(J461="Annullato","OK",IF(OR(NOT(ISNUMBER(Z461)),Z461&lt;0,AND(O461&lt;&gt;"",NOT(ISNUMBER(O461)))),"Inserisci rischio",IF(AND(I461="Esecuzioni",OR(W461=0,COUNTIFS('Esecuzioni'!$A$8:$A$1007,A461,'Esecuzioni'!$Q$8:$Q$1007,"&lt;&gt;OK")&gt;0)),"Correggi esecuzioni",IF(J461="Aperto","OK",IF(AND(I461="Esecuzioni",S461="Coperto",ABS(X461-Y461)&gt;'Impostazioni'!$B$11),"Copertura residua",IF(NOT(ISNUMBER(AC461)),"Completa risultato / esito",IF(AND(Z461=0,AC461&lt;&gt;0),"Rischio nullo con P/L","OK")))))))))))))</x:f>
      </x:c>
      <x:c r="AR461" s="20" t="str">
        <x:f>IF(OR(A461="",J461&lt;&gt;"Aperto",AQ461&lt;&gt;"OK"),"",IF(I461="Esecuzioni",SUMIFS('Esecuzioni'!$P$8:$P$1007,'Esecuzioni'!$A$8:$A$1007,A461,'Esecuzioni'!$B$8:$B$1007,_xlfn.MAXIFS('Esecuzioni'!$B$8:$B$1007,'Esecuzioni'!$A$8:$A$1007,A461)),IF(LEFT(U461,8)="FREEBET:",0,Z461)))</x:f>
      </x:c>
      <x:c r="AS461" s="48" t="str">
        <x:f>IF(OR(A461="",E461=""),"",IF(COUNTIFS($E$8:E461,E461)=1,COUNT($AS$7:AS460)+1,""))</x:f>
      </x:c>
    </x:row>
    <x:row r="462" ht="22" customHeight="1">
      <x:c r="A462" s="7"/>
      <x:c r="B462" s="19"/>
      <x:c r="C462" s="19"/>
      <x:c r="D462" s="7"/>
      <x:c r="E462" s="7"/>
      <x:c r="F462" s="7"/>
      <x:c r="G462" s="7"/>
      <x:c r="H462" s="7"/>
      <x:c r="I462" s="7"/>
      <x:c r="J462" s="7"/>
      <x:c r="K462" s="10"/>
      <x:c r="L462" s="7"/>
      <x:c r="M462" s="10"/>
      <x:c r="N462" s="7"/>
      <x:c r="O462" s="8"/>
      <x:c r="P462" s="8"/>
      <x:c r="Q462" s="8"/>
      <x:c r="R462" s="9"/>
      <x:c r="S462" s="7"/>
      <x:c r="T462" s="7"/>
      <x:c r="U462" s="7"/>
      <x:c r="V462" s="7"/>
      <x:c r="W462" s="22" t="str">
        <x:f>IF(A462="","",COUNTIFS('Esecuzioni'!$A$8:$A$1007,A462,'Esecuzioni'!$Q$8:$Q$1007,"OK"))</x:f>
      </x:c>
      <x:c r="X462" s="20" t="str">
        <x:f>IF(OR(A462="",I462&lt;&gt;"Esecuzioni",W462=0),"",SUMIFS('Esecuzioni'!$L$8:$L$1007,'Esecuzioni'!$A$8:$A$1007,A462))</x:f>
      </x:c>
      <x:c r="Y462" s="20" t="str">
        <x:f>IF(OR(A462="",I462&lt;&gt;"Esecuzioni",W462=0),"",SUMIFS('Esecuzioni'!$M$8:$M$1007,'Esecuzioni'!$A$8:$A$1007,A462))</x:f>
      </x:c>
      <x:c r="Z462" s="20" t="str">
        <x:f>IF(A462="","",IF(J462="Annullato",0,IF(ISNUMBER(O462),O462,IF(AND(I462="Esecuzioni",W462&gt;0),_xlfn.MAXIFS('Esecuzioni'!$P$8:$P$1007,'Esecuzioni'!$A$8:$A$1007,A462),""))))</x:f>
      </x:c>
      <x:c r="AA462" s="20" t="str">
        <x:f>IF(OR(A462="",J462="Aperto"),"",IF(J462="Annullato",0,IF(I462="Lordo manuale",IF(ISNUMBER(P462),P462,""),IF(I462="Netto manuale",IF(AND(ISNUMBER(P462),ISNUMBER(Q462)),P462+Q462,""),IF(OR(W462=0,COUNTIFS('Esecuzioni'!$A$8:$A$1007,A462,'Esecuzioni'!$Q$8:$Q$1007,"&lt;&gt;OK")&gt;0),"",IF(S462="Vince",X462,IF(S462="Perde",Y462,IF(AND(S462="Coperto",ABS(X462-Y462)&lt;='Impostazioni'!$B$11),ROUND((X462+Y462)/2,2),""))))))))</x:f>
      </x:c>
      <x:c r="AB462" s="20" t="str">
        <x:f>IF(NOT(ISNUMBER(AA462)),"",IF(J462="Annullato",0,IF(ISNUMBER(Q462),Q462,ROUND(MAX(0,AA462)*IF(ISNUMBER(R462),R462,'Impostazioni'!$B$8),2))))</x:f>
      </x:c>
      <x:c r="AC462" s="20" t="str">
        <x:f>IF(AND(ISNUMBER(AA462),ISNUMBER(AB462)),ROUND(AA462-AB462,2),"")</x:f>
      </x:c>
      <x:c r="AD462" s="18" t="str">
        <x:f>IF(A462="","",IF(AQ462&lt;&gt;"OK","Incompleto",IF(J462="Aperto","Aperto",IF(J462="Annullato","Annullato",IF(AC462&gt;0,"Green",IF(AC462&lt;0,"Red","Flat"))))))</x:f>
      </x:c>
      <x:c r="AE462" s="21" t="str">
        <x:f>IF(AND(AH462=1,Z462&gt;0),AC462/Z462,"")</x:f>
      </x:c>
      <x:c r="AF462" s="22" t="str">
        <x:f>IF(AH462&lt;&gt;1,"",COUNTIFS($C$8:$C$507,"&lt;"&amp;C462,$AH$8:$AH$507,1)+COUNTIFS($C$8:$C$507,C462,$A$8:$A$507,"&lt;="&amp;A462,$AH$8:$AH$507,1))</x:f>
      </x:c>
      <x:c r="AG462" s="20" t="str">
        <x:f>IF(AH462&lt;&gt;1,"",SUMIFS($AC$8:$AC$507,$C$8:$C$507,"&lt;"&amp;C462,$AH$8:$AH$507,1)+SUMIFS($AC$8:$AC$507,$C$8:$C$507,C462,$A$8:$A$507,"&lt;="&amp;A462,$AH$8:$AH$507,1))</x:f>
      </x:c>
      <x:c r="AH462" s="22" t="str">
        <x:f>IF(A462="","",IF(AND(J462="Chiuso",AQ462="OK",ISNUMBER(AC462)),1,0))</x:f>
      </x:c>
      <x:c r="AI462" s="20" t="str">
        <x:f>IF(AH462&lt;&gt;1,"",MAX(0,_xlfn.MAXIFS($AG$8:$AG$507,$AF$8:$AF$507,"&lt;="&amp;AF462,$AH$8:$AH$507,1)))</x:f>
      </x:c>
      <x:c r="AJ462" s="20" t="str">
        <x:f>IF(AH462&lt;&gt;1,"",MAX(0,AI462-AG462))</x:f>
      </x:c>
      <x:c r="AK462" s="21" t="str">
        <x:f>IF(OR(AH462&lt;&gt;1,NOT(ISNUMBER('Impostazioni'!$B$6)),'Impostazioni'!$B$6+AI462&lt;=0),"",AJ462/('Impostazioni'!$B$6+AI462))</x:f>
      </x:c>
      <x:c r="AL462" s="22" t="str">
        <x:f>IF(AH462&lt;&gt;1,"",IF(AC462&gt;0,AF462-_xlfn.MAXIFS($AF$8:$AF$507,$AF$8:$AF$507,"&lt;="&amp;AF462,$AC$8:$AC$507,"&lt;=0",$AH$8:$AH$507,1),0))</x:f>
      </x:c>
      <x:c r="AM462" s="22" t="str">
        <x:f>IF(AH462&lt;&gt;1,"",IF(AC462&lt;0,AF462-_xlfn.MAXIFS($AF$8:$AF$507,$AF$8:$AF$507,"&lt;="&amp;AF462,$AC$8:$AC$507,"&gt;=0",$AH$8:$AH$507,1),0))</x:f>
      </x:c>
      <x:c r="AN462" s="20" t="str">
        <x:f>IF(OR(A462="",NOT(ISNUMBER(B462)),NOT(ISNUMBER('Impostazioni'!$B$6))),"",'Impostazioni'!$B$6+SUMIFS($AC$8:$AC$507,$C$8:$C$507,"&lt;"&amp;B462,$AH$8:$AH$507,1)+SUMIFS('Cassa'!$F$8:$F$307,'Cassa'!$A$8:$A$307,"&lt;="&amp;B462,'Cassa'!$G$8:$G$307,"OK"))</x:f>
      </x:c>
      <x:c r="AO462" s="21" t="str">
        <x:f>IF(AND(ISNUMBER(Z462),ISNUMBER(AN462),AN462&gt;0),Z462/AN462,"")</x:f>
      </x:c>
      <x:c r="AP462" s="18" t="str">
        <x:f>IF(NOT(ISNUMBER(AO462)),"",IF(AO462&gt;'Impostazioni'!$B$7,"Oltre soglia personale","Nella soglia personale"))</x:f>
      </x:c>
      <x:c r="AQ462" s="18" t="str">
        <x:f>IF(A462="",IF(COUNTA(B462:V462)=0,"","Inserisci ID"),IF(COUNTIFS($A$8:$A$507,A462)&lt;&gt;1,"ID duplicato",IF(OR(NOT(ISNUMBER(B462)),D462="",E462="",F462="",G462="",H462="",COUNTIFS('Impostazioni'!$J$6:$J$25,F462)&lt;&gt;1),"Completa dati / elenchi",IF(OR(AND(I462&lt;&gt;"Lordo manuale",I462&lt;&gt;"Netto manuale",I462&lt;&gt;"Esecuzioni"),AND(J462&lt;&gt;"Aperto",J462&lt;&gt;"Chiuso",J462&lt;&gt;"Annullato")),"Modalità / stato mancanti",IF(AND(J462&lt;&gt;"Aperto",OR(NOT(ISNUMBER(C462)),C462&lt;B462)),"Correggi data chiusura",IF(OR(AND(Q462&lt;&gt;"",OR(NOT(ISNUMBER(Q462)),Q462&lt;0)),AND(R462&lt;&gt;"",OR(NOT(ISNUMBER(R462)),R462&lt;0,R462&gt;1))),"Commissione non valida",IF(J462="Annullato","OK",IF(OR(NOT(ISNUMBER(Z462)),Z462&lt;0,AND(O462&lt;&gt;"",NOT(ISNUMBER(O462)))),"Inserisci rischio",IF(AND(I462="Esecuzioni",OR(W462=0,COUNTIFS('Esecuzioni'!$A$8:$A$1007,A462,'Esecuzioni'!$Q$8:$Q$1007,"&lt;&gt;OK")&gt;0)),"Correggi esecuzioni",IF(J462="Aperto","OK",IF(AND(I462="Esecuzioni",S462="Coperto",ABS(X462-Y462)&gt;'Impostazioni'!$B$11),"Copertura residua",IF(NOT(ISNUMBER(AC462)),"Completa risultato / esito",IF(AND(Z462=0,AC462&lt;&gt;0),"Rischio nullo con P/L","OK")))))))))))))</x:f>
      </x:c>
      <x:c r="AR462" s="20" t="str">
        <x:f>IF(OR(A462="",J462&lt;&gt;"Aperto",AQ462&lt;&gt;"OK"),"",IF(I462="Esecuzioni",SUMIFS('Esecuzioni'!$P$8:$P$1007,'Esecuzioni'!$A$8:$A$1007,A462,'Esecuzioni'!$B$8:$B$1007,_xlfn.MAXIFS('Esecuzioni'!$B$8:$B$1007,'Esecuzioni'!$A$8:$A$1007,A462)),IF(LEFT(U462,8)="FREEBET:",0,Z462)))</x:f>
      </x:c>
      <x:c r="AS462" s="48" t="str">
        <x:f>IF(OR(A462="",E462=""),"",IF(COUNTIFS($E$8:E462,E462)=1,COUNT($AS$7:AS461)+1,""))</x:f>
      </x:c>
    </x:row>
    <x:row r="463" ht="22" customHeight="1">
      <x:c r="A463" s="7"/>
      <x:c r="B463" s="19"/>
      <x:c r="C463" s="19"/>
      <x:c r="D463" s="7"/>
      <x:c r="E463" s="7"/>
      <x:c r="F463" s="7"/>
      <x:c r="G463" s="7"/>
      <x:c r="H463" s="7"/>
      <x:c r="I463" s="7"/>
      <x:c r="J463" s="7"/>
      <x:c r="K463" s="10"/>
      <x:c r="L463" s="7"/>
      <x:c r="M463" s="10"/>
      <x:c r="N463" s="7"/>
      <x:c r="O463" s="8"/>
      <x:c r="P463" s="8"/>
      <x:c r="Q463" s="8"/>
      <x:c r="R463" s="9"/>
      <x:c r="S463" s="7"/>
      <x:c r="T463" s="7"/>
      <x:c r="U463" s="7"/>
      <x:c r="V463" s="7"/>
      <x:c r="W463" s="22" t="str">
        <x:f>IF(A463="","",COUNTIFS('Esecuzioni'!$A$8:$A$1007,A463,'Esecuzioni'!$Q$8:$Q$1007,"OK"))</x:f>
      </x:c>
      <x:c r="X463" s="20" t="str">
        <x:f>IF(OR(A463="",I463&lt;&gt;"Esecuzioni",W463=0),"",SUMIFS('Esecuzioni'!$L$8:$L$1007,'Esecuzioni'!$A$8:$A$1007,A463))</x:f>
      </x:c>
      <x:c r="Y463" s="20" t="str">
        <x:f>IF(OR(A463="",I463&lt;&gt;"Esecuzioni",W463=0),"",SUMIFS('Esecuzioni'!$M$8:$M$1007,'Esecuzioni'!$A$8:$A$1007,A463))</x:f>
      </x:c>
      <x:c r="Z463" s="20" t="str">
        <x:f>IF(A463="","",IF(J463="Annullato",0,IF(ISNUMBER(O463),O463,IF(AND(I463="Esecuzioni",W463&gt;0),_xlfn.MAXIFS('Esecuzioni'!$P$8:$P$1007,'Esecuzioni'!$A$8:$A$1007,A463),""))))</x:f>
      </x:c>
      <x:c r="AA463" s="20" t="str">
        <x:f>IF(OR(A463="",J463="Aperto"),"",IF(J463="Annullato",0,IF(I463="Lordo manuale",IF(ISNUMBER(P463),P463,""),IF(I463="Netto manuale",IF(AND(ISNUMBER(P463),ISNUMBER(Q463)),P463+Q463,""),IF(OR(W463=0,COUNTIFS('Esecuzioni'!$A$8:$A$1007,A463,'Esecuzioni'!$Q$8:$Q$1007,"&lt;&gt;OK")&gt;0),"",IF(S463="Vince",X463,IF(S463="Perde",Y463,IF(AND(S463="Coperto",ABS(X463-Y463)&lt;='Impostazioni'!$B$11),ROUND((X463+Y463)/2,2),""))))))))</x:f>
      </x:c>
      <x:c r="AB463" s="20" t="str">
        <x:f>IF(NOT(ISNUMBER(AA463)),"",IF(J463="Annullato",0,IF(ISNUMBER(Q463),Q463,ROUND(MAX(0,AA463)*IF(ISNUMBER(R463),R463,'Impostazioni'!$B$8),2))))</x:f>
      </x:c>
      <x:c r="AC463" s="20" t="str">
        <x:f>IF(AND(ISNUMBER(AA463),ISNUMBER(AB463)),ROUND(AA463-AB463,2),"")</x:f>
      </x:c>
      <x:c r="AD463" s="18" t="str">
        <x:f>IF(A463="","",IF(AQ463&lt;&gt;"OK","Incompleto",IF(J463="Aperto","Aperto",IF(J463="Annullato","Annullato",IF(AC463&gt;0,"Green",IF(AC463&lt;0,"Red","Flat"))))))</x:f>
      </x:c>
      <x:c r="AE463" s="21" t="str">
        <x:f>IF(AND(AH463=1,Z463&gt;0),AC463/Z463,"")</x:f>
      </x:c>
      <x:c r="AF463" s="22" t="str">
        <x:f>IF(AH463&lt;&gt;1,"",COUNTIFS($C$8:$C$507,"&lt;"&amp;C463,$AH$8:$AH$507,1)+COUNTIFS($C$8:$C$507,C463,$A$8:$A$507,"&lt;="&amp;A463,$AH$8:$AH$507,1))</x:f>
      </x:c>
      <x:c r="AG463" s="20" t="str">
        <x:f>IF(AH463&lt;&gt;1,"",SUMIFS($AC$8:$AC$507,$C$8:$C$507,"&lt;"&amp;C463,$AH$8:$AH$507,1)+SUMIFS($AC$8:$AC$507,$C$8:$C$507,C463,$A$8:$A$507,"&lt;="&amp;A463,$AH$8:$AH$507,1))</x:f>
      </x:c>
      <x:c r="AH463" s="22" t="str">
        <x:f>IF(A463="","",IF(AND(J463="Chiuso",AQ463="OK",ISNUMBER(AC463)),1,0))</x:f>
      </x:c>
      <x:c r="AI463" s="20" t="str">
        <x:f>IF(AH463&lt;&gt;1,"",MAX(0,_xlfn.MAXIFS($AG$8:$AG$507,$AF$8:$AF$507,"&lt;="&amp;AF463,$AH$8:$AH$507,1)))</x:f>
      </x:c>
      <x:c r="AJ463" s="20" t="str">
        <x:f>IF(AH463&lt;&gt;1,"",MAX(0,AI463-AG463))</x:f>
      </x:c>
      <x:c r="AK463" s="21" t="str">
        <x:f>IF(OR(AH463&lt;&gt;1,NOT(ISNUMBER('Impostazioni'!$B$6)),'Impostazioni'!$B$6+AI463&lt;=0),"",AJ463/('Impostazioni'!$B$6+AI463))</x:f>
      </x:c>
      <x:c r="AL463" s="22" t="str">
        <x:f>IF(AH463&lt;&gt;1,"",IF(AC463&gt;0,AF463-_xlfn.MAXIFS($AF$8:$AF$507,$AF$8:$AF$507,"&lt;="&amp;AF463,$AC$8:$AC$507,"&lt;=0",$AH$8:$AH$507,1),0))</x:f>
      </x:c>
      <x:c r="AM463" s="22" t="str">
        <x:f>IF(AH463&lt;&gt;1,"",IF(AC463&lt;0,AF463-_xlfn.MAXIFS($AF$8:$AF$507,$AF$8:$AF$507,"&lt;="&amp;AF463,$AC$8:$AC$507,"&gt;=0",$AH$8:$AH$507,1),0))</x:f>
      </x:c>
      <x:c r="AN463" s="20" t="str">
        <x:f>IF(OR(A463="",NOT(ISNUMBER(B463)),NOT(ISNUMBER('Impostazioni'!$B$6))),"",'Impostazioni'!$B$6+SUMIFS($AC$8:$AC$507,$C$8:$C$507,"&lt;"&amp;B463,$AH$8:$AH$507,1)+SUMIFS('Cassa'!$F$8:$F$307,'Cassa'!$A$8:$A$307,"&lt;="&amp;B463,'Cassa'!$G$8:$G$307,"OK"))</x:f>
      </x:c>
      <x:c r="AO463" s="21" t="str">
        <x:f>IF(AND(ISNUMBER(Z463),ISNUMBER(AN463),AN463&gt;0),Z463/AN463,"")</x:f>
      </x:c>
      <x:c r="AP463" s="18" t="str">
        <x:f>IF(NOT(ISNUMBER(AO463)),"",IF(AO463&gt;'Impostazioni'!$B$7,"Oltre soglia personale","Nella soglia personale"))</x:f>
      </x:c>
      <x:c r="AQ463" s="18" t="str">
        <x:f>IF(A463="",IF(COUNTA(B463:V463)=0,"","Inserisci ID"),IF(COUNTIFS($A$8:$A$507,A463)&lt;&gt;1,"ID duplicato",IF(OR(NOT(ISNUMBER(B463)),D463="",E463="",F463="",G463="",H463="",COUNTIFS('Impostazioni'!$J$6:$J$25,F463)&lt;&gt;1),"Completa dati / elenchi",IF(OR(AND(I463&lt;&gt;"Lordo manuale",I463&lt;&gt;"Netto manuale",I463&lt;&gt;"Esecuzioni"),AND(J463&lt;&gt;"Aperto",J463&lt;&gt;"Chiuso",J463&lt;&gt;"Annullato")),"Modalità / stato mancanti",IF(AND(J463&lt;&gt;"Aperto",OR(NOT(ISNUMBER(C463)),C463&lt;B463)),"Correggi data chiusura",IF(OR(AND(Q463&lt;&gt;"",OR(NOT(ISNUMBER(Q463)),Q463&lt;0)),AND(R463&lt;&gt;"",OR(NOT(ISNUMBER(R463)),R463&lt;0,R463&gt;1))),"Commissione non valida",IF(J463="Annullato","OK",IF(OR(NOT(ISNUMBER(Z463)),Z463&lt;0,AND(O463&lt;&gt;"",NOT(ISNUMBER(O463)))),"Inserisci rischio",IF(AND(I463="Esecuzioni",OR(W463=0,COUNTIFS('Esecuzioni'!$A$8:$A$1007,A463,'Esecuzioni'!$Q$8:$Q$1007,"&lt;&gt;OK")&gt;0)),"Correggi esecuzioni",IF(J463="Aperto","OK",IF(AND(I463="Esecuzioni",S463="Coperto",ABS(X463-Y463)&gt;'Impostazioni'!$B$11),"Copertura residua",IF(NOT(ISNUMBER(AC463)),"Completa risultato / esito",IF(AND(Z463=0,AC463&lt;&gt;0),"Rischio nullo con P/L","OK")))))))))))))</x:f>
      </x:c>
      <x:c r="AR463" s="20" t="str">
        <x:f>IF(OR(A463="",J463&lt;&gt;"Aperto",AQ463&lt;&gt;"OK"),"",IF(I463="Esecuzioni",SUMIFS('Esecuzioni'!$P$8:$P$1007,'Esecuzioni'!$A$8:$A$1007,A463,'Esecuzioni'!$B$8:$B$1007,_xlfn.MAXIFS('Esecuzioni'!$B$8:$B$1007,'Esecuzioni'!$A$8:$A$1007,A463)),IF(LEFT(U463,8)="FREEBET:",0,Z463)))</x:f>
      </x:c>
      <x:c r="AS463" s="48" t="str">
        <x:f>IF(OR(A463="",E463=""),"",IF(COUNTIFS($E$8:E463,E463)=1,COUNT($AS$7:AS462)+1,""))</x:f>
      </x:c>
    </x:row>
    <x:row r="464" ht="22" customHeight="1">
      <x:c r="A464" s="7"/>
      <x:c r="B464" s="19"/>
      <x:c r="C464" s="19"/>
      <x:c r="D464" s="7"/>
      <x:c r="E464" s="7"/>
      <x:c r="F464" s="7"/>
      <x:c r="G464" s="7"/>
      <x:c r="H464" s="7"/>
      <x:c r="I464" s="7"/>
      <x:c r="J464" s="7"/>
      <x:c r="K464" s="10"/>
      <x:c r="L464" s="7"/>
      <x:c r="M464" s="10"/>
      <x:c r="N464" s="7"/>
      <x:c r="O464" s="8"/>
      <x:c r="P464" s="8"/>
      <x:c r="Q464" s="8"/>
      <x:c r="R464" s="9"/>
      <x:c r="S464" s="7"/>
      <x:c r="T464" s="7"/>
      <x:c r="U464" s="7"/>
      <x:c r="V464" s="7"/>
      <x:c r="W464" s="22" t="str">
        <x:f>IF(A464="","",COUNTIFS('Esecuzioni'!$A$8:$A$1007,A464,'Esecuzioni'!$Q$8:$Q$1007,"OK"))</x:f>
      </x:c>
      <x:c r="X464" s="20" t="str">
        <x:f>IF(OR(A464="",I464&lt;&gt;"Esecuzioni",W464=0),"",SUMIFS('Esecuzioni'!$L$8:$L$1007,'Esecuzioni'!$A$8:$A$1007,A464))</x:f>
      </x:c>
      <x:c r="Y464" s="20" t="str">
        <x:f>IF(OR(A464="",I464&lt;&gt;"Esecuzioni",W464=0),"",SUMIFS('Esecuzioni'!$M$8:$M$1007,'Esecuzioni'!$A$8:$A$1007,A464))</x:f>
      </x:c>
      <x:c r="Z464" s="20" t="str">
        <x:f>IF(A464="","",IF(J464="Annullato",0,IF(ISNUMBER(O464),O464,IF(AND(I464="Esecuzioni",W464&gt;0),_xlfn.MAXIFS('Esecuzioni'!$P$8:$P$1007,'Esecuzioni'!$A$8:$A$1007,A464),""))))</x:f>
      </x:c>
      <x:c r="AA464" s="20" t="str">
        <x:f>IF(OR(A464="",J464="Aperto"),"",IF(J464="Annullato",0,IF(I464="Lordo manuale",IF(ISNUMBER(P464),P464,""),IF(I464="Netto manuale",IF(AND(ISNUMBER(P464),ISNUMBER(Q464)),P464+Q464,""),IF(OR(W464=0,COUNTIFS('Esecuzioni'!$A$8:$A$1007,A464,'Esecuzioni'!$Q$8:$Q$1007,"&lt;&gt;OK")&gt;0),"",IF(S464="Vince",X464,IF(S464="Perde",Y464,IF(AND(S464="Coperto",ABS(X464-Y464)&lt;='Impostazioni'!$B$11),ROUND((X464+Y464)/2,2),""))))))))</x:f>
      </x:c>
      <x:c r="AB464" s="20" t="str">
        <x:f>IF(NOT(ISNUMBER(AA464)),"",IF(J464="Annullato",0,IF(ISNUMBER(Q464),Q464,ROUND(MAX(0,AA464)*IF(ISNUMBER(R464),R464,'Impostazioni'!$B$8),2))))</x:f>
      </x:c>
      <x:c r="AC464" s="20" t="str">
        <x:f>IF(AND(ISNUMBER(AA464),ISNUMBER(AB464)),ROUND(AA464-AB464,2),"")</x:f>
      </x:c>
      <x:c r="AD464" s="18" t="str">
        <x:f>IF(A464="","",IF(AQ464&lt;&gt;"OK","Incompleto",IF(J464="Aperto","Aperto",IF(J464="Annullato","Annullato",IF(AC464&gt;0,"Green",IF(AC464&lt;0,"Red","Flat"))))))</x:f>
      </x:c>
      <x:c r="AE464" s="21" t="str">
        <x:f>IF(AND(AH464=1,Z464&gt;0),AC464/Z464,"")</x:f>
      </x:c>
      <x:c r="AF464" s="22" t="str">
        <x:f>IF(AH464&lt;&gt;1,"",COUNTIFS($C$8:$C$507,"&lt;"&amp;C464,$AH$8:$AH$507,1)+COUNTIFS($C$8:$C$507,C464,$A$8:$A$507,"&lt;="&amp;A464,$AH$8:$AH$507,1))</x:f>
      </x:c>
      <x:c r="AG464" s="20" t="str">
        <x:f>IF(AH464&lt;&gt;1,"",SUMIFS($AC$8:$AC$507,$C$8:$C$507,"&lt;"&amp;C464,$AH$8:$AH$507,1)+SUMIFS($AC$8:$AC$507,$C$8:$C$507,C464,$A$8:$A$507,"&lt;="&amp;A464,$AH$8:$AH$507,1))</x:f>
      </x:c>
      <x:c r="AH464" s="22" t="str">
        <x:f>IF(A464="","",IF(AND(J464="Chiuso",AQ464="OK",ISNUMBER(AC464)),1,0))</x:f>
      </x:c>
      <x:c r="AI464" s="20" t="str">
        <x:f>IF(AH464&lt;&gt;1,"",MAX(0,_xlfn.MAXIFS($AG$8:$AG$507,$AF$8:$AF$507,"&lt;="&amp;AF464,$AH$8:$AH$507,1)))</x:f>
      </x:c>
      <x:c r="AJ464" s="20" t="str">
        <x:f>IF(AH464&lt;&gt;1,"",MAX(0,AI464-AG464))</x:f>
      </x:c>
      <x:c r="AK464" s="21" t="str">
        <x:f>IF(OR(AH464&lt;&gt;1,NOT(ISNUMBER('Impostazioni'!$B$6)),'Impostazioni'!$B$6+AI464&lt;=0),"",AJ464/('Impostazioni'!$B$6+AI464))</x:f>
      </x:c>
      <x:c r="AL464" s="22" t="str">
        <x:f>IF(AH464&lt;&gt;1,"",IF(AC464&gt;0,AF464-_xlfn.MAXIFS($AF$8:$AF$507,$AF$8:$AF$507,"&lt;="&amp;AF464,$AC$8:$AC$507,"&lt;=0",$AH$8:$AH$507,1),0))</x:f>
      </x:c>
      <x:c r="AM464" s="22" t="str">
        <x:f>IF(AH464&lt;&gt;1,"",IF(AC464&lt;0,AF464-_xlfn.MAXIFS($AF$8:$AF$507,$AF$8:$AF$507,"&lt;="&amp;AF464,$AC$8:$AC$507,"&gt;=0",$AH$8:$AH$507,1),0))</x:f>
      </x:c>
      <x:c r="AN464" s="20" t="str">
        <x:f>IF(OR(A464="",NOT(ISNUMBER(B464)),NOT(ISNUMBER('Impostazioni'!$B$6))),"",'Impostazioni'!$B$6+SUMIFS($AC$8:$AC$507,$C$8:$C$507,"&lt;"&amp;B464,$AH$8:$AH$507,1)+SUMIFS('Cassa'!$F$8:$F$307,'Cassa'!$A$8:$A$307,"&lt;="&amp;B464,'Cassa'!$G$8:$G$307,"OK"))</x:f>
      </x:c>
      <x:c r="AO464" s="21" t="str">
        <x:f>IF(AND(ISNUMBER(Z464),ISNUMBER(AN464),AN464&gt;0),Z464/AN464,"")</x:f>
      </x:c>
      <x:c r="AP464" s="18" t="str">
        <x:f>IF(NOT(ISNUMBER(AO464)),"",IF(AO464&gt;'Impostazioni'!$B$7,"Oltre soglia personale","Nella soglia personale"))</x:f>
      </x:c>
      <x:c r="AQ464" s="18" t="str">
        <x:f>IF(A464="",IF(COUNTA(B464:V464)=0,"","Inserisci ID"),IF(COUNTIFS($A$8:$A$507,A464)&lt;&gt;1,"ID duplicato",IF(OR(NOT(ISNUMBER(B464)),D464="",E464="",F464="",G464="",H464="",COUNTIFS('Impostazioni'!$J$6:$J$25,F464)&lt;&gt;1),"Completa dati / elenchi",IF(OR(AND(I464&lt;&gt;"Lordo manuale",I464&lt;&gt;"Netto manuale",I464&lt;&gt;"Esecuzioni"),AND(J464&lt;&gt;"Aperto",J464&lt;&gt;"Chiuso",J464&lt;&gt;"Annullato")),"Modalità / stato mancanti",IF(AND(J464&lt;&gt;"Aperto",OR(NOT(ISNUMBER(C464)),C464&lt;B464)),"Correggi data chiusura",IF(OR(AND(Q464&lt;&gt;"",OR(NOT(ISNUMBER(Q464)),Q464&lt;0)),AND(R464&lt;&gt;"",OR(NOT(ISNUMBER(R464)),R464&lt;0,R464&gt;1))),"Commissione non valida",IF(J464="Annullato","OK",IF(OR(NOT(ISNUMBER(Z464)),Z464&lt;0,AND(O464&lt;&gt;"",NOT(ISNUMBER(O464)))),"Inserisci rischio",IF(AND(I464="Esecuzioni",OR(W464=0,COUNTIFS('Esecuzioni'!$A$8:$A$1007,A464,'Esecuzioni'!$Q$8:$Q$1007,"&lt;&gt;OK")&gt;0)),"Correggi esecuzioni",IF(J464="Aperto","OK",IF(AND(I464="Esecuzioni",S464="Coperto",ABS(X464-Y464)&gt;'Impostazioni'!$B$11),"Copertura residua",IF(NOT(ISNUMBER(AC464)),"Completa risultato / esito",IF(AND(Z464=0,AC464&lt;&gt;0),"Rischio nullo con P/L","OK")))))))))))))</x:f>
      </x:c>
      <x:c r="AR464" s="20" t="str">
        <x:f>IF(OR(A464="",J464&lt;&gt;"Aperto",AQ464&lt;&gt;"OK"),"",IF(I464="Esecuzioni",SUMIFS('Esecuzioni'!$P$8:$P$1007,'Esecuzioni'!$A$8:$A$1007,A464,'Esecuzioni'!$B$8:$B$1007,_xlfn.MAXIFS('Esecuzioni'!$B$8:$B$1007,'Esecuzioni'!$A$8:$A$1007,A464)),IF(LEFT(U464,8)="FREEBET:",0,Z464)))</x:f>
      </x:c>
      <x:c r="AS464" s="48" t="str">
        <x:f>IF(OR(A464="",E464=""),"",IF(COUNTIFS($E$8:E464,E464)=1,COUNT($AS$7:AS463)+1,""))</x:f>
      </x:c>
    </x:row>
    <x:row r="465" ht="22" customHeight="1">
      <x:c r="A465" s="7"/>
      <x:c r="B465" s="19"/>
      <x:c r="C465" s="19"/>
      <x:c r="D465" s="7"/>
      <x:c r="E465" s="7"/>
      <x:c r="F465" s="7"/>
      <x:c r="G465" s="7"/>
      <x:c r="H465" s="7"/>
      <x:c r="I465" s="7"/>
      <x:c r="J465" s="7"/>
      <x:c r="K465" s="10"/>
      <x:c r="L465" s="7"/>
      <x:c r="M465" s="10"/>
      <x:c r="N465" s="7"/>
      <x:c r="O465" s="8"/>
      <x:c r="P465" s="8"/>
      <x:c r="Q465" s="8"/>
      <x:c r="R465" s="9"/>
      <x:c r="S465" s="7"/>
      <x:c r="T465" s="7"/>
      <x:c r="U465" s="7"/>
      <x:c r="V465" s="7"/>
      <x:c r="W465" s="22" t="str">
        <x:f>IF(A465="","",COUNTIFS('Esecuzioni'!$A$8:$A$1007,A465,'Esecuzioni'!$Q$8:$Q$1007,"OK"))</x:f>
      </x:c>
      <x:c r="X465" s="20" t="str">
        <x:f>IF(OR(A465="",I465&lt;&gt;"Esecuzioni",W465=0),"",SUMIFS('Esecuzioni'!$L$8:$L$1007,'Esecuzioni'!$A$8:$A$1007,A465))</x:f>
      </x:c>
      <x:c r="Y465" s="20" t="str">
        <x:f>IF(OR(A465="",I465&lt;&gt;"Esecuzioni",W465=0),"",SUMIFS('Esecuzioni'!$M$8:$M$1007,'Esecuzioni'!$A$8:$A$1007,A465))</x:f>
      </x:c>
      <x:c r="Z465" s="20" t="str">
        <x:f>IF(A465="","",IF(J465="Annullato",0,IF(ISNUMBER(O465),O465,IF(AND(I465="Esecuzioni",W465&gt;0),_xlfn.MAXIFS('Esecuzioni'!$P$8:$P$1007,'Esecuzioni'!$A$8:$A$1007,A465),""))))</x:f>
      </x:c>
      <x:c r="AA465" s="20" t="str">
        <x:f>IF(OR(A465="",J465="Aperto"),"",IF(J465="Annullato",0,IF(I465="Lordo manuale",IF(ISNUMBER(P465),P465,""),IF(I465="Netto manuale",IF(AND(ISNUMBER(P465),ISNUMBER(Q465)),P465+Q465,""),IF(OR(W465=0,COUNTIFS('Esecuzioni'!$A$8:$A$1007,A465,'Esecuzioni'!$Q$8:$Q$1007,"&lt;&gt;OK")&gt;0),"",IF(S465="Vince",X465,IF(S465="Perde",Y465,IF(AND(S465="Coperto",ABS(X465-Y465)&lt;='Impostazioni'!$B$11),ROUND((X465+Y465)/2,2),""))))))))</x:f>
      </x:c>
      <x:c r="AB465" s="20" t="str">
        <x:f>IF(NOT(ISNUMBER(AA465)),"",IF(J465="Annullato",0,IF(ISNUMBER(Q465),Q465,ROUND(MAX(0,AA465)*IF(ISNUMBER(R465),R465,'Impostazioni'!$B$8),2))))</x:f>
      </x:c>
      <x:c r="AC465" s="20" t="str">
        <x:f>IF(AND(ISNUMBER(AA465),ISNUMBER(AB465)),ROUND(AA465-AB465,2),"")</x:f>
      </x:c>
      <x:c r="AD465" s="18" t="str">
        <x:f>IF(A465="","",IF(AQ465&lt;&gt;"OK","Incompleto",IF(J465="Aperto","Aperto",IF(J465="Annullato","Annullato",IF(AC465&gt;0,"Green",IF(AC465&lt;0,"Red","Flat"))))))</x:f>
      </x:c>
      <x:c r="AE465" s="21" t="str">
        <x:f>IF(AND(AH465=1,Z465&gt;0),AC465/Z465,"")</x:f>
      </x:c>
      <x:c r="AF465" s="22" t="str">
        <x:f>IF(AH465&lt;&gt;1,"",COUNTIFS($C$8:$C$507,"&lt;"&amp;C465,$AH$8:$AH$507,1)+COUNTIFS($C$8:$C$507,C465,$A$8:$A$507,"&lt;="&amp;A465,$AH$8:$AH$507,1))</x:f>
      </x:c>
      <x:c r="AG465" s="20" t="str">
        <x:f>IF(AH465&lt;&gt;1,"",SUMIFS($AC$8:$AC$507,$C$8:$C$507,"&lt;"&amp;C465,$AH$8:$AH$507,1)+SUMIFS($AC$8:$AC$507,$C$8:$C$507,C465,$A$8:$A$507,"&lt;="&amp;A465,$AH$8:$AH$507,1))</x:f>
      </x:c>
      <x:c r="AH465" s="22" t="str">
        <x:f>IF(A465="","",IF(AND(J465="Chiuso",AQ465="OK",ISNUMBER(AC465)),1,0))</x:f>
      </x:c>
      <x:c r="AI465" s="20" t="str">
        <x:f>IF(AH465&lt;&gt;1,"",MAX(0,_xlfn.MAXIFS($AG$8:$AG$507,$AF$8:$AF$507,"&lt;="&amp;AF465,$AH$8:$AH$507,1)))</x:f>
      </x:c>
      <x:c r="AJ465" s="20" t="str">
        <x:f>IF(AH465&lt;&gt;1,"",MAX(0,AI465-AG465))</x:f>
      </x:c>
      <x:c r="AK465" s="21" t="str">
        <x:f>IF(OR(AH465&lt;&gt;1,NOT(ISNUMBER('Impostazioni'!$B$6)),'Impostazioni'!$B$6+AI465&lt;=0),"",AJ465/('Impostazioni'!$B$6+AI465))</x:f>
      </x:c>
      <x:c r="AL465" s="22" t="str">
        <x:f>IF(AH465&lt;&gt;1,"",IF(AC465&gt;0,AF465-_xlfn.MAXIFS($AF$8:$AF$507,$AF$8:$AF$507,"&lt;="&amp;AF465,$AC$8:$AC$507,"&lt;=0",$AH$8:$AH$507,1),0))</x:f>
      </x:c>
      <x:c r="AM465" s="22" t="str">
        <x:f>IF(AH465&lt;&gt;1,"",IF(AC465&lt;0,AF465-_xlfn.MAXIFS($AF$8:$AF$507,$AF$8:$AF$507,"&lt;="&amp;AF465,$AC$8:$AC$507,"&gt;=0",$AH$8:$AH$507,1),0))</x:f>
      </x:c>
      <x:c r="AN465" s="20" t="str">
        <x:f>IF(OR(A465="",NOT(ISNUMBER(B465)),NOT(ISNUMBER('Impostazioni'!$B$6))),"",'Impostazioni'!$B$6+SUMIFS($AC$8:$AC$507,$C$8:$C$507,"&lt;"&amp;B465,$AH$8:$AH$507,1)+SUMIFS('Cassa'!$F$8:$F$307,'Cassa'!$A$8:$A$307,"&lt;="&amp;B465,'Cassa'!$G$8:$G$307,"OK"))</x:f>
      </x:c>
      <x:c r="AO465" s="21" t="str">
        <x:f>IF(AND(ISNUMBER(Z465),ISNUMBER(AN465),AN465&gt;0),Z465/AN465,"")</x:f>
      </x:c>
      <x:c r="AP465" s="18" t="str">
        <x:f>IF(NOT(ISNUMBER(AO465)),"",IF(AO465&gt;'Impostazioni'!$B$7,"Oltre soglia personale","Nella soglia personale"))</x:f>
      </x:c>
      <x:c r="AQ465" s="18" t="str">
        <x:f>IF(A465="",IF(COUNTA(B465:V465)=0,"","Inserisci ID"),IF(COUNTIFS($A$8:$A$507,A465)&lt;&gt;1,"ID duplicato",IF(OR(NOT(ISNUMBER(B465)),D465="",E465="",F465="",G465="",H465="",COUNTIFS('Impostazioni'!$J$6:$J$25,F465)&lt;&gt;1),"Completa dati / elenchi",IF(OR(AND(I465&lt;&gt;"Lordo manuale",I465&lt;&gt;"Netto manuale",I465&lt;&gt;"Esecuzioni"),AND(J465&lt;&gt;"Aperto",J465&lt;&gt;"Chiuso",J465&lt;&gt;"Annullato")),"Modalità / stato mancanti",IF(AND(J465&lt;&gt;"Aperto",OR(NOT(ISNUMBER(C465)),C465&lt;B465)),"Correggi data chiusura",IF(OR(AND(Q465&lt;&gt;"",OR(NOT(ISNUMBER(Q465)),Q465&lt;0)),AND(R465&lt;&gt;"",OR(NOT(ISNUMBER(R465)),R465&lt;0,R465&gt;1))),"Commissione non valida",IF(J465="Annullato","OK",IF(OR(NOT(ISNUMBER(Z465)),Z465&lt;0,AND(O465&lt;&gt;"",NOT(ISNUMBER(O465)))),"Inserisci rischio",IF(AND(I465="Esecuzioni",OR(W465=0,COUNTIFS('Esecuzioni'!$A$8:$A$1007,A465,'Esecuzioni'!$Q$8:$Q$1007,"&lt;&gt;OK")&gt;0)),"Correggi esecuzioni",IF(J465="Aperto","OK",IF(AND(I465="Esecuzioni",S465="Coperto",ABS(X465-Y465)&gt;'Impostazioni'!$B$11),"Copertura residua",IF(NOT(ISNUMBER(AC465)),"Completa risultato / esito",IF(AND(Z465=0,AC465&lt;&gt;0),"Rischio nullo con P/L","OK")))))))))))))</x:f>
      </x:c>
      <x:c r="AR465" s="20" t="str">
        <x:f>IF(OR(A465="",J465&lt;&gt;"Aperto",AQ465&lt;&gt;"OK"),"",IF(I465="Esecuzioni",SUMIFS('Esecuzioni'!$P$8:$P$1007,'Esecuzioni'!$A$8:$A$1007,A465,'Esecuzioni'!$B$8:$B$1007,_xlfn.MAXIFS('Esecuzioni'!$B$8:$B$1007,'Esecuzioni'!$A$8:$A$1007,A465)),IF(LEFT(U465,8)="FREEBET:",0,Z465)))</x:f>
      </x:c>
      <x:c r="AS465" s="48" t="str">
        <x:f>IF(OR(A465="",E465=""),"",IF(COUNTIFS($E$8:E465,E465)=1,COUNT($AS$7:AS464)+1,""))</x:f>
      </x:c>
    </x:row>
    <x:row r="466" ht="22" customHeight="1">
      <x:c r="A466" s="7"/>
      <x:c r="B466" s="19"/>
      <x:c r="C466" s="19"/>
      <x:c r="D466" s="7"/>
      <x:c r="E466" s="7"/>
      <x:c r="F466" s="7"/>
      <x:c r="G466" s="7"/>
      <x:c r="H466" s="7"/>
      <x:c r="I466" s="7"/>
      <x:c r="J466" s="7"/>
      <x:c r="K466" s="10"/>
      <x:c r="L466" s="7"/>
      <x:c r="M466" s="10"/>
      <x:c r="N466" s="7"/>
      <x:c r="O466" s="8"/>
      <x:c r="P466" s="8"/>
      <x:c r="Q466" s="8"/>
      <x:c r="R466" s="9"/>
      <x:c r="S466" s="7"/>
      <x:c r="T466" s="7"/>
      <x:c r="U466" s="7"/>
      <x:c r="V466" s="7"/>
      <x:c r="W466" s="22" t="str">
        <x:f>IF(A466="","",COUNTIFS('Esecuzioni'!$A$8:$A$1007,A466,'Esecuzioni'!$Q$8:$Q$1007,"OK"))</x:f>
      </x:c>
      <x:c r="X466" s="20" t="str">
        <x:f>IF(OR(A466="",I466&lt;&gt;"Esecuzioni",W466=0),"",SUMIFS('Esecuzioni'!$L$8:$L$1007,'Esecuzioni'!$A$8:$A$1007,A466))</x:f>
      </x:c>
      <x:c r="Y466" s="20" t="str">
        <x:f>IF(OR(A466="",I466&lt;&gt;"Esecuzioni",W466=0),"",SUMIFS('Esecuzioni'!$M$8:$M$1007,'Esecuzioni'!$A$8:$A$1007,A466))</x:f>
      </x:c>
      <x:c r="Z466" s="20" t="str">
        <x:f>IF(A466="","",IF(J466="Annullato",0,IF(ISNUMBER(O466),O466,IF(AND(I466="Esecuzioni",W466&gt;0),_xlfn.MAXIFS('Esecuzioni'!$P$8:$P$1007,'Esecuzioni'!$A$8:$A$1007,A466),""))))</x:f>
      </x:c>
      <x:c r="AA466" s="20" t="str">
        <x:f>IF(OR(A466="",J466="Aperto"),"",IF(J466="Annullato",0,IF(I466="Lordo manuale",IF(ISNUMBER(P466),P466,""),IF(I466="Netto manuale",IF(AND(ISNUMBER(P466),ISNUMBER(Q466)),P466+Q466,""),IF(OR(W466=0,COUNTIFS('Esecuzioni'!$A$8:$A$1007,A466,'Esecuzioni'!$Q$8:$Q$1007,"&lt;&gt;OK")&gt;0),"",IF(S466="Vince",X466,IF(S466="Perde",Y466,IF(AND(S466="Coperto",ABS(X466-Y466)&lt;='Impostazioni'!$B$11),ROUND((X466+Y466)/2,2),""))))))))</x:f>
      </x:c>
      <x:c r="AB466" s="20" t="str">
        <x:f>IF(NOT(ISNUMBER(AA466)),"",IF(J466="Annullato",0,IF(ISNUMBER(Q466),Q466,ROUND(MAX(0,AA466)*IF(ISNUMBER(R466),R466,'Impostazioni'!$B$8),2))))</x:f>
      </x:c>
      <x:c r="AC466" s="20" t="str">
        <x:f>IF(AND(ISNUMBER(AA466),ISNUMBER(AB466)),ROUND(AA466-AB466,2),"")</x:f>
      </x:c>
      <x:c r="AD466" s="18" t="str">
        <x:f>IF(A466="","",IF(AQ466&lt;&gt;"OK","Incompleto",IF(J466="Aperto","Aperto",IF(J466="Annullato","Annullato",IF(AC466&gt;0,"Green",IF(AC466&lt;0,"Red","Flat"))))))</x:f>
      </x:c>
      <x:c r="AE466" s="21" t="str">
        <x:f>IF(AND(AH466=1,Z466&gt;0),AC466/Z466,"")</x:f>
      </x:c>
      <x:c r="AF466" s="22" t="str">
        <x:f>IF(AH466&lt;&gt;1,"",COUNTIFS($C$8:$C$507,"&lt;"&amp;C466,$AH$8:$AH$507,1)+COUNTIFS($C$8:$C$507,C466,$A$8:$A$507,"&lt;="&amp;A466,$AH$8:$AH$507,1))</x:f>
      </x:c>
      <x:c r="AG466" s="20" t="str">
        <x:f>IF(AH466&lt;&gt;1,"",SUMIFS($AC$8:$AC$507,$C$8:$C$507,"&lt;"&amp;C466,$AH$8:$AH$507,1)+SUMIFS($AC$8:$AC$507,$C$8:$C$507,C466,$A$8:$A$507,"&lt;="&amp;A466,$AH$8:$AH$507,1))</x:f>
      </x:c>
      <x:c r="AH466" s="22" t="str">
        <x:f>IF(A466="","",IF(AND(J466="Chiuso",AQ466="OK",ISNUMBER(AC466)),1,0))</x:f>
      </x:c>
      <x:c r="AI466" s="20" t="str">
        <x:f>IF(AH466&lt;&gt;1,"",MAX(0,_xlfn.MAXIFS($AG$8:$AG$507,$AF$8:$AF$507,"&lt;="&amp;AF466,$AH$8:$AH$507,1)))</x:f>
      </x:c>
      <x:c r="AJ466" s="20" t="str">
        <x:f>IF(AH466&lt;&gt;1,"",MAX(0,AI466-AG466))</x:f>
      </x:c>
      <x:c r="AK466" s="21" t="str">
        <x:f>IF(OR(AH466&lt;&gt;1,NOT(ISNUMBER('Impostazioni'!$B$6)),'Impostazioni'!$B$6+AI466&lt;=0),"",AJ466/('Impostazioni'!$B$6+AI466))</x:f>
      </x:c>
      <x:c r="AL466" s="22" t="str">
        <x:f>IF(AH466&lt;&gt;1,"",IF(AC466&gt;0,AF466-_xlfn.MAXIFS($AF$8:$AF$507,$AF$8:$AF$507,"&lt;="&amp;AF466,$AC$8:$AC$507,"&lt;=0",$AH$8:$AH$507,1),0))</x:f>
      </x:c>
      <x:c r="AM466" s="22" t="str">
        <x:f>IF(AH466&lt;&gt;1,"",IF(AC466&lt;0,AF466-_xlfn.MAXIFS($AF$8:$AF$507,$AF$8:$AF$507,"&lt;="&amp;AF466,$AC$8:$AC$507,"&gt;=0",$AH$8:$AH$507,1),0))</x:f>
      </x:c>
      <x:c r="AN466" s="20" t="str">
        <x:f>IF(OR(A466="",NOT(ISNUMBER(B466)),NOT(ISNUMBER('Impostazioni'!$B$6))),"",'Impostazioni'!$B$6+SUMIFS($AC$8:$AC$507,$C$8:$C$507,"&lt;"&amp;B466,$AH$8:$AH$507,1)+SUMIFS('Cassa'!$F$8:$F$307,'Cassa'!$A$8:$A$307,"&lt;="&amp;B466,'Cassa'!$G$8:$G$307,"OK"))</x:f>
      </x:c>
      <x:c r="AO466" s="21" t="str">
        <x:f>IF(AND(ISNUMBER(Z466),ISNUMBER(AN466),AN466&gt;0),Z466/AN466,"")</x:f>
      </x:c>
      <x:c r="AP466" s="18" t="str">
        <x:f>IF(NOT(ISNUMBER(AO466)),"",IF(AO466&gt;'Impostazioni'!$B$7,"Oltre soglia personale","Nella soglia personale"))</x:f>
      </x:c>
      <x:c r="AQ466" s="18" t="str">
        <x:f>IF(A466="",IF(COUNTA(B466:V466)=0,"","Inserisci ID"),IF(COUNTIFS($A$8:$A$507,A466)&lt;&gt;1,"ID duplicato",IF(OR(NOT(ISNUMBER(B466)),D466="",E466="",F466="",G466="",H466="",COUNTIFS('Impostazioni'!$J$6:$J$25,F466)&lt;&gt;1),"Completa dati / elenchi",IF(OR(AND(I466&lt;&gt;"Lordo manuale",I466&lt;&gt;"Netto manuale",I466&lt;&gt;"Esecuzioni"),AND(J466&lt;&gt;"Aperto",J466&lt;&gt;"Chiuso",J466&lt;&gt;"Annullato")),"Modalità / stato mancanti",IF(AND(J466&lt;&gt;"Aperto",OR(NOT(ISNUMBER(C466)),C466&lt;B466)),"Correggi data chiusura",IF(OR(AND(Q466&lt;&gt;"",OR(NOT(ISNUMBER(Q466)),Q466&lt;0)),AND(R466&lt;&gt;"",OR(NOT(ISNUMBER(R466)),R466&lt;0,R466&gt;1))),"Commissione non valida",IF(J466="Annullato","OK",IF(OR(NOT(ISNUMBER(Z466)),Z466&lt;0,AND(O466&lt;&gt;"",NOT(ISNUMBER(O466)))),"Inserisci rischio",IF(AND(I466="Esecuzioni",OR(W466=0,COUNTIFS('Esecuzioni'!$A$8:$A$1007,A466,'Esecuzioni'!$Q$8:$Q$1007,"&lt;&gt;OK")&gt;0)),"Correggi esecuzioni",IF(J466="Aperto","OK",IF(AND(I466="Esecuzioni",S466="Coperto",ABS(X466-Y466)&gt;'Impostazioni'!$B$11),"Copertura residua",IF(NOT(ISNUMBER(AC466)),"Completa risultato / esito",IF(AND(Z466=0,AC466&lt;&gt;0),"Rischio nullo con P/L","OK")))))))))))))</x:f>
      </x:c>
      <x:c r="AR466" s="20" t="str">
        <x:f>IF(OR(A466="",J466&lt;&gt;"Aperto",AQ466&lt;&gt;"OK"),"",IF(I466="Esecuzioni",SUMIFS('Esecuzioni'!$P$8:$P$1007,'Esecuzioni'!$A$8:$A$1007,A466,'Esecuzioni'!$B$8:$B$1007,_xlfn.MAXIFS('Esecuzioni'!$B$8:$B$1007,'Esecuzioni'!$A$8:$A$1007,A466)),IF(LEFT(U466,8)="FREEBET:",0,Z466)))</x:f>
      </x:c>
      <x:c r="AS466" s="48" t="str">
        <x:f>IF(OR(A466="",E466=""),"",IF(COUNTIFS($E$8:E466,E466)=1,COUNT($AS$7:AS465)+1,""))</x:f>
      </x:c>
    </x:row>
    <x:row r="467" ht="22" customHeight="1">
      <x:c r="A467" s="7"/>
      <x:c r="B467" s="19"/>
      <x:c r="C467" s="19"/>
      <x:c r="D467" s="7"/>
      <x:c r="E467" s="7"/>
      <x:c r="F467" s="7"/>
      <x:c r="G467" s="7"/>
      <x:c r="H467" s="7"/>
      <x:c r="I467" s="7"/>
      <x:c r="J467" s="7"/>
      <x:c r="K467" s="10"/>
      <x:c r="L467" s="7"/>
      <x:c r="M467" s="10"/>
      <x:c r="N467" s="7"/>
      <x:c r="O467" s="8"/>
      <x:c r="P467" s="8"/>
      <x:c r="Q467" s="8"/>
      <x:c r="R467" s="9"/>
      <x:c r="S467" s="7"/>
      <x:c r="T467" s="7"/>
      <x:c r="U467" s="7"/>
      <x:c r="V467" s="7"/>
      <x:c r="W467" s="22" t="str">
        <x:f>IF(A467="","",COUNTIFS('Esecuzioni'!$A$8:$A$1007,A467,'Esecuzioni'!$Q$8:$Q$1007,"OK"))</x:f>
      </x:c>
      <x:c r="X467" s="20" t="str">
        <x:f>IF(OR(A467="",I467&lt;&gt;"Esecuzioni",W467=0),"",SUMIFS('Esecuzioni'!$L$8:$L$1007,'Esecuzioni'!$A$8:$A$1007,A467))</x:f>
      </x:c>
      <x:c r="Y467" s="20" t="str">
        <x:f>IF(OR(A467="",I467&lt;&gt;"Esecuzioni",W467=0),"",SUMIFS('Esecuzioni'!$M$8:$M$1007,'Esecuzioni'!$A$8:$A$1007,A467))</x:f>
      </x:c>
      <x:c r="Z467" s="20" t="str">
        <x:f>IF(A467="","",IF(J467="Annullato",0,IF(ISNUMBER(O467),O467,IF(AND(I467="Esecuzioni",W467&gt;0),_xlfn.MAXIFS('Esecuzioni'!$P$8:$P$1007,'Esecuzioni'!$A$8:$A$1007,A467),""))))</x:f>
      </x:c>
      <x:c r="AA467" s="20" t="str">
        <x:f>IF(OR(A467="",J467="Aperto"),"",IF(J467="Annullato",0,IF(I467="Lordo manuale",IF(ISNUMBER(P467),P467,""),IF(I467="Netto manuale",IF(AND(ISNUMBER(P467),ISNUMBER(Q467)),P467+Q467,""),IF(OR(W467=0,COUNTIFS('Esecuzioni'!$A$8:$A$1007,A467,'Esecuzioni'!$Q$8:$Q$1007,"&lt;&gt;OK")&gt;0),"",IF(S467="Vince",X467,IF(S467="Perde",Y467,IF(AND(S467="Coperto",ABS(X467-Y467)&lt;='Impostazioni'!$B$11),ROUND((X467+Y467)/2,2),""))))))))</x:f>
      </x:c>
      <x:c r="AB467" s="20" t="str">
        <x:f>IF(NOT(ISNUMBER(AA467)),"",IF(J467="Annullato",0,IF(ISNUMBER(Q467),Q467,ROUND(MAX(0,AA467)*IF(ISNUMBER(R467),R467,'Impostazioni'!$B$8),2))))</x:f>
      </x:c>
      <x:c r="AC467" s="20" t="str">
        <x:f>IF(AND(ISNUMBER(AA467),ISNUMBER(AB467)),ROUND(AA467-AB467,2),"")</x:f>
      </x:c>
      <x:c r="AD467" s="18" t="str">
        <x:f>IF(A467="","",IF(AQ467&lt;&gt;"OK","Incompleto",IF(J467="Aperto","Aperto",IF(J467="Annullato","Annullato",IF(AC467&gt;0,"Green",IF(AC467&lt;0,"Red","Flat"))))))</x:f>
      </x:c>
      <x:c r="AE467" s="21" t="str">
        <x:f>IF(AND(AH467=1,Z467&gt;0),AC467/Z467,"")</x:f>
      </x:c>
      <x:c r="AF467" s="22" t="str">
        <x:f>IF(AH467&lt;&gt;1,"",COUNTIFS($C$8:$C$507,"&lt;"&amp;C467,$AH$8:$AH$507,1)+COUNTIFS($C$8:$C$507,C467,$A$8:$A$507,"&lt;="&amp;A467,$AH$8:$AH$507,1))</x:f>
      </x:c>
      <x:c r="AG467" s="20" t="str">
        <x:f>IF(AH467&lt;&gt;1,"",SUMIFS($AC$8:$AC$507,$C$8:$C$507,"&lt;"&amp;C467,$AH$8:$AH$507,1)+SUMIFS($AC$8:$AC$507,$C$8:$C$507,C467,$A$8:$A$507,"&lt;="&amp;A467,$AH$8:$AH$507,1))</x:f>
      </x:c>
      <x:c r="AH467" s="22" t="str">
        <x:f>IF(A467="","",IF(AND(J467="Chiuso",AQ467="OK",ISNUMBER(AC467)),1,0))</x:f>
      </x:c>
      <x:c r="AI467" s="20" t="str">
        <x:f>IF(AH467&lt;&gt;1,"",MAX(0,_xlfn.MAXIFS($AG$8:$AG$507,$AF$8:$AF$507,"&lt;="&amp;AF467,$AH$8:$AH$507,1)))</x:f>
      </x:c>
      <x:c r="AJ467" s="20" t="str">
        <x:f>IF(AH467&lt;&gt;1,"",MAX(0,AI467-AG467))</x:f>
      </x:c>
      <x:c r="AK467" s="21" t="str">
        <x:f>IF(OR(AH467&lt;&gt;1,NOT(ISNUMBER('Impostazioni'!$B$6)),'Impostazioni'!$B$6+AI467&lt;=0),"",AJ467/('Impostazioni'!$B$6+AI467))</x:f>
      </x:c>
      <x:c r="AL467" s="22" t="str">
        <x:f>IF(AH467&lt;&gt;1,"",IF(AC467&gt;0,AF467-_xlfn.MAXIFS($AF$8:$AF$507,$AF$8:$AF$507,"&lt;="&amp;AF467,$AC$8:$AC$507,"&lt;=0",$AH$8:$AH$507,1),0))</x:f>
      </x:c>
      <x:c r="AM467" s="22" t="str">
        <x:f>IF(AH467&lt;&gt;1,"",IF(AC467&lt;0,AF467-_xlfn.MAXIFS($AF$8:$AF$507,$AF$8:$AF$507,"&lt;="&amp;AF467,$AC$8:$AC$507,"&gt;=0",$AH$8:$AH$507,1),0))</x:f>
      </x:c>
      <x:c r="AN467" s="20" t="str">
        <x:f>IF(OR(A467="",NOT(ISNUMBER(B467)),NOT(ISNUMBER('Impostazioni'!$B$6))),"",'Impostazioni'!$B$6+SUMIFS($AC$8:$AC$507,$C$8:$C$507,"&lt;"&amp;B467,$AH$8:$AH$507,1)+SUMIFS('Cassa'!$F$8:$F$307,'Cassa'!$A$8:$A$307,"&lt;="&amp;B467,'Cassa'!$G$8:$G$307,"OK"))</x:f>
      </x:c>
      <x:c r="AO467" s="21" t="str">
        <x:f>IF(AND(ISNUMBER(Z467),ISNUMBER(AN467),AN467&gt;0),Z467/AN467,"")</x:f>
      </x:c>
      <x:c r="AP467" s="18" t="str">
        <x:f>IF(NOT(ISNUMBER(AO467)),"",IF(AO467&gt;'Impostazioni'!$B$7,"Oltre soglia personale","Nella soglia personale"))</x:f>
      </x:c>
      <x:c r="AQ467" s="18" t="str">
        <x:f>IF(A467="",IF(COUNTA(B467:V467)=0,"","Inserisci ID"),IF(COUNTIFS($A$8:$A$507,A467)&lt;&gt;1,"ID duplicato",IF(OR(NOT(ISNUMBER(B467)),D467="",E467="",F467="",G467="",H467="",COUNTIFS('Impostazioni'!$J$6:$J$25,F467)&lt;&gt;1),"Completa dati / elenchi",IF(OR(AND(I467&lt;&gt;"Lordo manuale",I467&lt;&gt;"Netto manuale",I467&lt;&gt;"Esecuzioni"),AND(J467&lt;&gt;"Aperto",J467&lt;&gt;"Chiuso",J467&lt;&gt;"Annullato")),"Modalità / stato mancanti",IF(AND(J467&lt;&gt;"Aperto",OR(NOT(ISNUMBER(C467)),C467&lt;B467)),"Correggi data chiusura",IF(OR(AND(Q467&lt;&gt;"",OR(NOT(ISNUMBER(Q467)),Q467&lt;0)),AND(R467&lt;&gt;"",OR(NOT(ISNUMBER(R467)),R467&lt;0,R467&gt;1))),"Commissione non valida",IF(J467="Annullato","OK",IF(OR(NOT(ISNUMBER(Z467)),Z467&lt;0,AND(O467&lt;&gt;"",NOT(ISNUMBER(O467)))),"Inserisci rischio",IF(AND(I467="Esecuzioni",OR(W467=0,COUNTIFS('Esecuzioni'!$A$8:$A$1007,A467,'Esecuzioni'!$Q$8:$Q$1007,"&lt;&gt;OK")&gt;0)),"Correggi esecuzioni",IF(J467="Aperto","OK",IF(AND(I467="Esecuzioni",S467="Coperto",ABS(X467-Y467)&gt;'Impostazioni'!$B$11),"Copertura residua",IF(NOT(ISNUMBER(AC467)),"Completa risultato / esito",IF(AND(Z467=0,AC467&lt;&gt;0),"Rischio nullo con P/L","OK")))))))))))))</x:f>
      </x:c>
      <x:c r="AR467" s="20" t="str">
        <x:f>IF(OR(A467="",J467&lt;&gt;"Aperto",AQ467&lt;&gt;"OK"),"",IF(I467="Esecuzioni",SUMIFS('Esecuzioni'!$P$8:$P$1007,'Esecuzioni'!$A$8:$A$1007,A467,'Esecuzioni'!$B$8:$B$1007,_xlfn.MAXIFS('Esecuzioni'!$B$8:$B$1007,'Esecuzioni'!$A$8:$A$1007,A467)),IF(LEFT(U467,8)="FREEBET:",0,Z467)))</x:f>
      </x:c>
      <x:c r="AS467" s="48" t="str">
        <x:f>IF(OR(A467="",E467=""),"",IF(COUNTIFS($E$8:E467,E467)=1,COUNT($AS$7:AS466)+1,""))</x:f>
      </x:c>
    </x:row>
    <x:row r="468" ht="22" customHeight="1">
      <x:c r="A468" s="7"/>
      <x:c r="B468" s="19"/>
      <x:c r="C468" s="19"/>
      <x:c r="D468" s="7"/>
      <x:c r="E468" s="7"/>
      <x:c r="F468" s="7"/>
      <x:c r="G468" s="7"/>
      <x:c r="H468" s="7"/>
      <x:c r="I468" s="7"/>
      <x:c r="J468" s="7"/>
      <x:c r="K468" s="10"/>
      <x:c r="L468" s="7"/>
      <x:c r="M468" s="10"/>
      <x:c r="N468" s="7"/>
      <x:c r="O468" s="8"/>
      <x:c r="P468" s="8"/>
      <x:c r="Q468" s="8"/>
      <x:c r="R468" s="9"/>
      <x:c r="S468" s="7"/>
      <x:c r="T468" s="7"/>
      <x:c r="U468" s="7"/>
      <x:c r="V468" s="7"/>
      <x:c r="W468" s="22" t="str">
        <x:f>IF(A468="","",COUNTIFS('Esecuzioni'!$A$8:$A$1007,A468,'Esecuzioni'!$Q$8:$Q$1007,"OK"))</x:f>
      </x:c>
      <x:c r="X468" s="20" t="str">
        <x:f>IF(OR(A468="",I468&lt;&gt;"Esecuzioni",W468=0),"",SUMIFS('Esecuzioni'!$L$8:$L$1007,'Esecuzioni'!$A$8:$A$1007,A468))</x:f>
      </x:c>
      <x:c r="Y468" s="20" t="str">
        <x:f>IF(OR(A468="",I468&lt;&gt;"Esecuzioni",W468=0),"",SUMIFS('Esecuzioni'!$M$8:$M$1007,'Esecuzioni'!$A$8:$A$1007,A468))</x:f>
      </x:c>
      <x:c r="Z468" s="20" t="str">
        <x:f>IF(A468="","",IF(J468="Annullato",0,IF(ISNUMBER(O468),O468,IF(AND(I468="Esecuzioni",W468&gt;0),_xlfn.MAXIFS('Esecuzioni'!$P$8:$P$1007,'Esecuzioni'!$A$8:$A$1007,A468),""))))</x:f>
      </x:c>
      <x:c r="AA468" s="20" t="str">
        <x:f>IF(OR(A468="",J468="Aperto"),"",IF(J468="Annullato",0,IF(I468="Lordo manuale",IF(ISNUMBER(P468),P468,""),IF(I468="Netto manuale",IF(AND(ISNUMBER(P468),ISNUMBER(Q468)),P468+Q468,""),IF(OR(W468=0,COUNTIFS('Esecuzioni'!$A$8:$A$1007,A468,'Esecuzioni'!$Q$8:$Q$1007,"&lt;&gt;OK")&gt;0),"",IF(S468="Vince",X468,IF(S468="Perde",Y468,IF(AND(S468="Coperto",ABS(X468-Y468)&lt;='Impostazioni'!$B$11),ROUND((X468+Y468)/2,2),""))))))))</x:f>
      </x:c>
      <x:c r="AB468" s="20" t="str">
        <x:f>IF(NOT(ISNUMBER(AA468)),"",IF(J468="Annullato",0,IF(ISNUMBER(Q468),Q468,ROUND(MAX(0,AA468)*IF(ISNUMBER(R468),R468,'Impostazioni'!$B$8),2))))</x:f>
      </x:c>
      <x:c r="AC468" s="20" t="str">
        <x:f>IF(AND(ISNUMBER(AA468),ISNUMBER(AB468)),ROUND(AA468-AB468,2),"")</x:f>
      </x:c>
      <x:c r="AD468" s="18" t="str">
        <x:f>IF(A468="","",IF(AQ468&lt;&gt;"OK","Incompleto",IF(J468="Aperto","Aperto",IF(J468="Annullato","Annullato",IF(AC468&gt;0,"Green",IF(AC468&lt;0,"Red","Flat"))))))</x:f>
      </x:c>
      <x:c r="AE468" s="21" t="str">
        <x:f>IF(AND(AH468=1,Z468&gt;0),AC468/Z468,"")</x:f>
      </x:c>
      <x:c r="AF468" s="22" t="str">
        <x:f>IF(AH468&lt;&gt;1,"",COUNTIFS($C$8:$C$507,"&lt;"&amp;C468,$AH$8:$AH$507,1)+COUNTIFS($C$8:$C$507,C468,$A$8:$A$507,"&lt;="&amp;A468,$AH$8:$AH$507,1))</x:f>
      </x:c>
      <x:c r="AG468" s="20" t="str">
        <x:f>IF(AH468&lt;&gt;1,"",SUMIFS($AC$8:$AC$507,$C$8:$C$507,"&lt;"&amp;C468,$AH$8:$AH$507,1)+SUMIFS($AC$8:$AC$507,$C$8:$C$507,C468,$A$8:$A$507,"&lt;="&amp;A468,$AH$8:$AH$507,1))</x:f>
      </x:c>
      <x:c r="AH468" s="22" t="str">
        <x:f>IF(A468="","",IF(AND(J468="Chiuso",AQ468="OK",ISNUMBER(AC468)),1,0))</x:f>
      </x:c>
      <x:c r="AI468" s="20" t="str">
        <x:f>IF(AH468&lt;&gt;1,"",MAX(0,_xlfn.MAXIFS($AG$8:$AG$507,$AF$8:$AF$507,"&lt;="&amp;AF468,$AH$8:$AH$507,1)))</x:f>
      </x:c>
      <x:c r="AJ468" s="20" t="str">
        <x:f>IF(AH468&lt;&gt;1,"",MAX(0,AI468-AG468))</x:f>
      </x:c>
      <x:c r="AK468" s="21" t="str">
        <x:f>IF(OR(AH468&lt;&gt;1,NOT(ISNUMBER('Impostazioni'!$B$6)),'Impostazioni'!$B$6+AI468&lt;=0),"",AJ468/('Impostazioni'!$B$6+AI468))</x:f>
      </x:c>
      <x:c r="AL468" s="22" t="str">
        <x:f>IF(AH468&lt;&gt;1,"",IF(AC468&gt;0,AF468-_xlfn.MAXIFS($AF$8:$AF$507,$AF$8:$AF$507,"&lt;="&amp;AF468,$AC$8:$AC$507,"&lt;=0",$AH$8:$AH$507,1),0))</x:f>
      </x:c>
      <x:c r="AM468" s="22" t="str">
        <x:f>IF(AH468&lt;&gt;1,"",IF(AC468&lt;0,AF468-_xlfn.MAXIFS($AF$8:$AF$507,$AF$8:$AF$507,"&lt;="&amp;AF468,$AC$8:$AC$507,"&gt;=0",$AH$8:$AH$507,1),0))</x:f>
      </x:c>
      <x:c r="AN468" s="20" t="str">
        <x:f>IF(OR(A468="",NOT(ISNUMBER(B468)),NOT(ISNUMBER('Impostazioni'!$B$6))),"",'Impostazioni'!$B$6+SUMIFS($AC$8:$AC$507,$C$8:$C$507,"&lt;"&amp;B468,$AH$8:$AH$507,1)+SUMIFS('Cassa'!$F$8:$F$307,'Cassa'!$A$8:$A$307,"&lt;="&amp;B468,'Cassa'!$G$8:$G$307,"OK"))</x:f>
      </x:c>
      <x:c r="AO468" s="21" t="str">
        <x:f>IF(AND(ISNUMBER(Z468),ISNUMBER(AN468),AN468&gt;0),Z468/AN468,"")</x:f>
      </x:c>
      <x:c r="AP468" s="18" t="str">
        <x:f>IF(NOT(ISNUMBER(AO468)),"",IF(AO468&gt;'Impostazioni'!$B$7,"Oltre soglia personale","Nella soglia personale"))</x:f>
      </x:c>
      <x:c r="AQ468" s="18" t="str">
        <x:f>IF(A468="",IF(COUNTA(B468:V468)=0,"","Inserisci ID"),IF(COUNTIFS($A$8:$A$507,A468)&lt;&gt;1,"ID duplicato",IF(OR(NOT(ISNUMBER(B468)),D468="",E468="",F468="",G468="",H468="",COUNTIFS('Impostazioni'!$J$6:$J$25,F468)&lt;&gt;1),"Completa dati / elenchi",IF(OR(AND(I468&lt;&gt;"Lordo manuale",I468&lt;&gt;"Netto manuale",I468&lt;&gt;"Esecuzioni"),AND(J468&lt;&gt;"Aperto",J468&lt;&gt;"Chiuso",J468&lt;&gt;"Annullato")),"Modalità / stato mancanti",IF(AND(J468&lt;&gt;"Aperto",OR(NOT(ISNUMBER(C468)),C468&lt;B468)),"Correggi data chiusura",IF(OR(AND(Q468&lt;&gt;"",OR(NOT(ISNUMBER(Q468)),Q468&lt;0)),AND(R468&lt;&gt;"",OR(NOT(ISNUMBER(R468)),R468&lt;0,R468&gt;1))),"Commissione non valida",IF(J468="Annullato","OK",IF(OR(NOT(ISNUMBER(Z468)),Z468&lt;0,AND(O468&lt;&gt;"",NOT(ISNUMBER(O468)))),"Inserisci rischio",IF(AND(I468="Esecuzioni",OR(W468=0,COUNTIFS('Esecuzioni'!$A$8:$A$1007,A468,'Esecuzioni'!$Q$8:$Q$1007,"&lt;&gt;OK")&gt;0)),"Correggi esecuzioni",IF(J468="Aperto","OK",IF(AND(I468="Esecuzioni",S468="Coperto",ABS(X468-Y468)&gt;'Impostazioni'!$B$11),"Copertura residua",IF(NOT(ISNUMBER(AC468)),"Completa risultato / esito",IF(AND(Z468=0,AC468&lt;&gt;0),"Rischio nullo con P/L","OK")))))))))))))</x:f>
      </x:c>
      <x:c r="AR468" s="20" t="str">
        <x:f>IF(OR(A468="",J468&lt;&gt;"Aperto",AQ468&lt;&gt;"OK"),"",IF(I468="Esecuzioni",SUMIFS('Esecuzioni'!$P$8:$P$1007,'Esecuzioni'!$A$8:$A$1007,A468,'Esecuzioni'!$B$8:$B$1007,_xlfn.MAXIFS('Esecuzioni'!$B$8:$B$1007,'Esecuzioni'!$A$8:$A$1007,A468)),IF(LEFT(U468,8)="FREEBET:",0,Z468)))</x:f>
      </x:c>
      <x:c r="AS468" s="48" t="str">
        <x:f>IF(OR(A468="",E468=""),"",IF(COUNTIFS($E$8:E468,E468)=1,COUNT($AS$7:AS467)+1,""))</x:f>
      </x:c>
    </x:row>
    <x:row r="469" ht="22" customHeight="1">
      <x:c r="A469" s="7"/>
      <x:c r="B469" s="19"/>
      <x:c r="C469" s="19"/>
      <x:c r="D469" s="7"/>
      <x:c r="E469" s="7"/>
      <x:c r="F469" s="7"/>
      <x:c r="G469" s="7"/>
      <x:c r="H469" s="7"/>
      <x:c r="I469" s="7"/>
      <x:c r="J469" s="7"/>
      <x:c r="K469" s="10"/>
      <x:c r="L469" s="7"/>
      <x:c r="M469" s="10"/>
      <x:c r="N469" s="7"/>
      <x:c r="O469" s="8"/>
      <x:c r="P469" s="8"/>
      <x:c r="Q469" s="8"/>
      <x:c r="R469" s="9"/>
      <x:c r="S469" s="7"/>
      <x:c r="T469" s="7"/>
      <x:c r="U469" s="7"/>
      <x:c r="V469" s="7"/>
      <x:c r="W469" s="22" t="str">
        <x:f>IF(A469="","",COUNTIFS('Esecuzioni'!$A$8:$A$1007,A469,'Esecuzioni'!$Q$8:$Q$1007,"OK"))</x:f>
      </x:c>
      <x:c r="X469" s="20" t="str">
        <x:f>IF(OR(A469="",I469&lt;&gt;"Esecuzioni",W469=0),"",SUMIFS('Esecuzioni'!$L$8:$L$1007,'Esecuzioni'!$A$8:$A$1007,A469))</x:f>
      </x:c>
      <x:c r="Y469" s="20" t="str">
        <x:f>IF(OR(A469="",I469&lt;&gt;"Esecuzioni",W469=0),"",SUMIFS('Esecuzioni'!$M$8:$M$1007,'Esecuzioni'!$A$8:$A$1007,A469))</x:f>
      </x:c>
      <x:c r="Z469" s="20" t="str">
        <x:f>IF(A469="","",IF(J469="Annullato",0,IF(ISNUMBER(O469),O469,IF(AND(I469="Esecuzioni",W469&gt;0),_xlfn.MAXIFS('Esecuzioni'!$P$8:$P$1007,'Esecuzioni'!$A$8:$A$1007,A469),""))))</x:f>
      </x:c>
      <x:c r="AA469" s="20" t="str">
        <x:f>IF(OR(A469="",J469="Aperto"),"",IF(J469="Annullato",0,IF(I469="Lordo manuale",IF(ISNUMBER(P469),P469,""),IF(I469="Netto manuale",IF(AND(ISNUMBER(P469),ISNUMBER(Q469)),P469+Q469,""),IF(OR(W469=0,COUNTIFS('Esecuzioni'!$A$8:$A$1007,A469,'Esecuzioni'!$Q$8:$Q$1007,"&lt;&gt;OK")&gt;0),"",IF(S469="Vince",X469,IF(S469="Perde",Y469,IF(AND(S469="Coperto",ABS(X469-Y469)&lt;='Impostazioni'!$B$11),ROUND((X469+Y469)/2,2),""))))))))</x:f>
      </x:c>
      <x:c r="AB469" s="20" t="str">
        <x:f>IF(NOT(ISNUMBER(AA469)),"",IF(J469="Annullato",0,IF(ISNUMBER(Q469),Q469,ROUND(MAX(0,AA469)*IF(ISNUMBER(R469),R469,'Impostazioni'!$B$8),2))))</x:f>
      </x:c>
      <x:c r="AC469" s="20" t="str">
        <x:f>IF(AND(ISNUMBER(AA469),ISNUMBER(AB469)),ROUND(AA469-AB469,2),"")</x:f>
      </x:c>
      <x:c r="AD469" s="18" t="str">
        <x:f>IF(A469="","",IF(AQ469&lt;&gt;"OK","Incompleto",IF(J469="Aperto","Aperto",IF(J469="Annullato","Annullato",IF(AC469&gt;0,"Green",IF(AC469&lt;0,"Red","Flat"))))))</x:f>
      </x:c>
      <x:c r="AE469" s="21" t="str">
        <x:f>IF(AND(AH469=1,Z469&gt;0),AC469/Z469,"")</x:f>
      </x:c>
      <x:c r="AF469" s="22" t="str">
        <x:f>IF(AH469&lt;&gt;1,"",COUNTIFS($C$8:$C$507,"&lt;"&amp;C469,$AH$8:$AH$507,1)+COUNTIFS($C$8:$C$507,C469,$A$8:$A$507,"&lt;="&amp;A469,$AH$8:$AH$507,1))</x:f>
      </x:c>
      <x:c r="AG469" s="20" t="str">
        <x:f>IF(AH469&lt;&gt;1,"",SUMIFS($AC$8:$AC$507,$C$8:$C$507,"&lt;"&amp;C469,$AH$8:$AH$507,1)+SUMIFS($AC$8:$AC$507,$C$8:$C$507,C469,$A$8:$A$507,"&lt;="&amp;A469,$AH$8:$AH$507,1))</x:f>
      </x:c>
      <x:c r="AH469" s="22" t="str">
        <x:f>IF(A469="","",IF(AND(J469="Chiuso",AQ469="OK",ISNUMBER(AC469)),1,0))</x:f>
      </x:c>
      <x:c r="AI469" s="20" t="str">
        <x:f>IF(AH469&lt;&gt;1,"",MAX(0,_xlfn.MAXIFS($AG$8:$AG$507,$AF$8:$AF$507,"&lt;="&amp;AF469,$AH$8:$AH$507,1)))</x:f>
      </x:c>
      <x:c r="AJ469" s="20" t="str">
        <x:f>IF(AH469&lt;&gt;1,"",MAX(0,AI469-AG469))</x:f>
      </x:c>
      <x:c r="AK469" s="21" t="str">
        <x:f>IF(OR(AH469&lt;&gt;1,NOT(ISNUMBER('Impostazioni'!$B$6)),'Impostazioni'!$B$6+AI469&lt;=0),"",AJ469/('Impostazioni'!$B$6+AI469))</x:f>
      </x:c>
      <x:c r="AL469" s="22" t="str">
        <x:f>IF(AH469&lt;&gt;1,"",IF(AC469&gt;0,AF469-_xlfn.MAXIFS($AF$8:$AF$507,$AF$8:$AF$507,"&lt;="&amp;AF469,$AC$8:$AC$507,"&lt;=0",$AH$8:$AH$507,1),0))</x:f>
      </x:c>
      <x:c r="AM469" s="22" t="str">
        <x:f>IF(AH469&lt;&gt;1,"",IF(AC469&lt;0,AF469-_xlfn.MAXIFS($AF$8:$AF$507,$AF$8:$AF$507,"&lt;="&amp;AF469,$AC$8:$AC$507,"&gt;=0",$AH$8:$AH$507,1),0))</x:f>
      </x:c>
      <x:c r="AN469" s="20" t="str">
        <x:f>IF(OR(A469="",NOT(ISNUMBER(B469)),NOT(ISNUMBER('Impostazioni'!$B$6))),"",'Impostazioni'!$B$6+SUMIFS($AC$8:$AC$507,$C$8:$C$507,"&lt;"&amp;B469,$AH$8:$AH$507,1)+SUMIFS('Cassa'!$F$8:$F$307,'Cassa'!$A$8:$A$307,"&lt;="&amp;B469,'Cassa'!$G$8:$G$307,"OK"))</x:f>
      </x:c>
      <x:c r="AO469" s="21" t="str">
        <x:f>IF(AND(ISNUMBER(Z469),ISNUMBER(AN469),AN469&gt;0),Z469/AN469,"")</x:f>
      </x:c>
      <x:c r="AP469" s="18" t="str">
        <x:f>IF(NOT(ISNUMBER(AO469)),"",IF(AO469&gt;'Impostazioni'!$B$7,"Oltre soglia personale","Nella soglia personale"))</x:f>
      </x:c>
      <x:c r="AQ469" s="18" t="str">
        <x:f>IF(A469="",IF(COUNTA(B469:V469)=0,"","Inserisci ID"),IF(COUNTIFS($A$8:$A$507,A469)&lt;&gt;1,"ID duplicato",IF(OR(NOT(ISNUMBER(B469)),D469="",E469="",F469="",G469="",H469="",COUNTIFS('Impostazioni'!$J$6:$J$25,F469)&lt;&gt;1),"Completa dati / elenchi",IF(OR(AND(I469&lt;&gt;"Lordo manuale",I469&lt;&gt;"Netto manuale",I469&lt;&gt;"Esecuzioni"),AND(J469&lt;&gt;"Aperto",J469&lt;&gt;"Chiuso",J469&lt;&gt;"Annullato")),"Modalità / stato mancanti",IF(AND(J469&lt;&gt;"Aperto",OR(NOT(ISNUMBER(C469)),C469&lt;B469)),"Correggi data chiusura",IF(OR(AND(Q469&lt;&gt;"",OR(NOT(ISNUMBER(Q469)),Q469&lt;0)),AND(R469&lt;&gt;"",OR(NOT(ISNUMBER(R469)),R469&lt;0,R469&gt;1))),"Commissione non valida",IF(J469="Annullato","OK",IF(OR(NOT(ISNUMBER(Z469)),Z469&lt;0,AND(O469&lt;&gt;"",NOT(ISNUMBER(O469)))),"Inserisci rischio",IF(AND(I469="Esecuzioni",OR(W469=0,COUNTIFS('Esecuzioni'!$A$8:$A$1007,A469,'Esecuzioni'!$Q$8:$Q$1007,"&lt;&gt;OK")&gt;0)),"Correggi esecuzioni",IF(J469="Aperto","OK",IF(AND(I469="Esecuzioni",S469="Coperto",ABS(X469-Y469)&gt;'Impostazioni'!$B$11),"Copertura residua",IF(NOT(ISNUMBER(AC469)),"Completa risultato / esito",IF(AND(Z469=0,AC469&lt;&gt;0),"Rischio nullo con P/L","OK")))))))))))))</x:f>
      </x:c>
      <x:c r="AR469" s="20" t="str">
        <x:f>IF(OR(A469="",J469&lt;&gt;"Aperto",AQ469&lt;&gt;"OK"),"",IF(I469="Esecuzioni",SUMIFS('Esecuzioni'!$P$8:$P$1007,'Esecuzioni'!$A$8:$A$1007,A469,'Esecuzioni'!$B$8:$B$1007,_xlfn.MAXIFS('Esecuzioni'!$B$8:$B$1007,'Esecuzioni'!$A$8:$A$1007,A469)),IF(LEFT(U469,8)="FREEBET:",0,Z469)))</x:f>
      </x:c>
      <x:c r="AS469" s="48" t="str">
        <x:f>IF(OR(A469="",E469=""),"",IF(COUNTIFS($E$8:E469,E469)=1,COUNT($AS$7:AS468)+1,""))</x:f>
      </x:c>
    </x:row>
    <x:row r="470" ht="22" customHeight="1">
      <x:c r="A470" s="7"/>
      <x:c r="B470" s="19"/>
      <x:c r="C470" s="19"/>
      <x:c r="D470" s="7"/>
      <x:c r="E470" s="7"/>
      <x:c r="F470" s="7"/>
      <x:c r="G470" s="7"/>
      <x:c r="H470" s="7"/>
      <x:c r="I470" s="7"/>
      <x:c r="J470" s="7"/>
      <x:c r="K470" s="10"/>
      <x:c r="L470" s="7"/>
      <x:c r="M470" s="10"/>
      <x:c r="N470" s="7"/>
      <x:c r="O470" s="8"/>
      <x:c r="P470" s="8"/>
      <x:c r="Q470" s="8"/>
      <x:c r="R470" s="9"/>
      <x:c r="S470" s="7"/>
      <x:c r="T470" s="7"/>
      <x:c r="U470" s="7"/>
      <x:c r="V470" s="7"/>
      <x:c r="W470" s="22" t="str">
        <x:f>IF(A470="","",COUNTIFS('Esecuzioni'!$A$8:$A$1007,A470,'Esecuzioni'!$Q$8:$Q$1007,"OK"))</x:f>
      </x:c>
      <x:c r="X470" s="20" t="str">
        <x:f>IF(OR(A470="",I470&lt;&gt;"Esecuzioni",W470=0),"",SUMIFS('Esecuzioni'!$L$8:$L$1007,'Esecuzioni'!$A$8:$A$1007,A470))</x:f>
      </x:c>
      <x:c r="Y470" s="20" t="str">
        <x:f>IF(OR(A470="",I470&lt;&gt;"Esecuzioni",W470=0),"",SUMIFS('Esecuzioni'!$M$8:$M$1007,'Esecuzioni'!$A$8:$A$1007,A470))</x:f>
      </x:c>
      <x:c r="Z470" s="20" t="str">
        <x:f>IF(A470="","",IF(J470="Annullato",0,IF(ISNUMBER(O470),O470,IF(AND(I470="Esecuzioni",W470&gt;0),_xlfn.MAXIFS('Esecuzioni'!$P$8:$P$1007,'Esecuzioni'!$A$8:$A$1007,A470),""))))</x:f>
      </x:c>
      <x:c r="AA470" s="20" t="str">
        <x:f>IF(OR(A470="",J470="Aperto"),"",IF(J470="Annullato",0,IF(I470="Lordo manuale",IF(ISNUMBER(P470),P470,""),IF(I470="Netto manuale",IF(AND(ISNUMBER(P470),ISNUMBER(Q470)),P470+Q470,""),IF(OR(W470=0,COUNTIFS('Esecuzioni'!$A$8:$A$1007,A470,'Esecuzioni'!$Q$8:$Q$1007,"&lt;&gt;OK")&gt;0),"",IF(S470="Vince",X470,IF(S470="Perde",Y470,IF(AND(S470="Coperto",ABS(X470-Y470)&lt;='Impostazioni'!$B$11),ROUND((X470+Y470)/2,2),""))))))))</x:f>
      </x:c>
      <x:c r="AB470" s="20" t="str">
        <x:f>IF(NOT(ISNUMBER(AA470)),"",IF(J470="Annullato",0,IF(ISNUMBER(Q470),Q470,ROUND(MAX(0,AA470)*IF(ISNUMBER(R470),R470,'Impostazioni'!$B$8),2))))</x:f>
      </x:c>
      <x:c r="AC470" s="20" t="str">
        <x:f>IF(AND(ISNUMBER(AA470),ISNUMBER(AB470)),ROUND(AA470-AB470,2),"")</x:f>
      </x:c>
      <x:c r="AD470" s="18" t="str">
        <x:f>IF(A470="","",IF(AQ470&lt;&gt;"OK","Incompleto",IF(J470="Aperto","Aperto",IF(J470="Annullato","Annullato",IF(AC470&gt;0,"Green",IF(AC470&lt;0,"Red","Flat"))))))</x:f>
      </x:c>
      <x:c r="AE470" s="21" t="str">
        <x:f>IF(AND(AH470=1,Z470&gt;0),AC470/Z470,"")</x:f>
      </x:c>
      <x:c r="AF470" s="22" t="str">
        <x:f>IF(AH470&lt;&gt;1,"",COUNTIFS($C$8:$C$507,"&lt;"&amp;C470,$AH$8:$AH$507,1)+COUNTIFS($C$8:$C$507,C470,$A$8:$A$507,"&lt;="&amp;A470,$AH$8:$AH$507,1))</x:f>
      </x:c>
      <x:c r="AG470" s="20" t="str">
        <x:f>IF(AH470&lt;&gt;1,"",SUMIFS($AC$8:$AC$507,$C$8:$C$507,"&lt;"&amp;C470,$AH$8:$AH$507,1)+SUMIFS($AC$8:$AC$507,$C$8:$C$507,C470,$A$8:$A$507,"&lt;="&amp;A470,$AH$8:$AH$507,1))</x:f>
      </x:c>
      <x:c r="AH470" s="22" t="str">
        <x:f>IF(A470="","",IF(AND(J470="Chiuso",AQ470="OK",ISNUMBER(AC470)),1,0))</x:f>
      </x:c>
      <x:c r="AI470" s="20" t="str">
        <x:f>IF(AH470&lt;&gt;1,"",MAX(0,_xlfn.MAXIFS($AG$8:$AG$507,$AF$8:$AF$507,"&lt;="&amp;AF470,$AH$8:$AH$507,1)))</x:f>
      </x:c>
      <x:c r="AJ470" s="20" t="str">
        <x:f>IF(AH470&lt;&gt;1,"",MAX(0,AI470-AG470))</x:f>
      </x:c>
      <x:c r="AK470" s="21" t="str">
        <x:f>IF(OR(AH470&lt;&gt;1,NOT(ISNUMBER('Impostazioni'!$B$6)),'Impostazioni'!$B$6+AI470&lt;=0),"",AJ470/('Impostazioni'!$B$6+AI470))</x:f>
      </x:c>
      <x:c r="AL470" s="22" t="str">
        <x:f>IF(AH470&lt;&gt;1,"",IF(AC470&gt;0,AF470-_xlfn.MAXIFS($AF$8:$AF$507,$AF$8:$AF$507,"&lt;="&amp;AF470,$AC$8:$AC$507,"&lt;=0",$AH$8:$AH$507,1),0))</x:f>
      </x:c>
      <x:c r="AM470" s="22" t="str">
        <x:f>IF(AH470&lt;&gt;1,"",IF(AC470&lt;0,AF470-_xlfn.MAXIFS($AF$8:$AF$507,$AF$8:$AF$507,"&lt;="&amp;AF470,$AC$8:$AC$507,"&gt;=0",$AH$8:$AH$507,1),0))</x:f>
      </x:c>
      <x:c r="AN470" s="20" t="str">
        <x:f>IF(OR(A470="",NOT(ISNUMBER(B470)),NOT(ISNUMBER('Impostazioni'!$B$6))),"",'Impostazioni'!$B$6+SUMIFS($AC$8:$AC$507,$C$8:$C$507,"&lt;"&amp;B470,$AH$8:$AH$507,1)+SUMIFS('Cassa'!$F$8:$F$307,'Cassa'!$A$8:$A$307,"&lt;="&amp;B470,'Cassa'!$G$8:$G$307,"OK"))</x:f>
      </x:c>
      <x:c r="AO470" s="21" t="str">
        <x:f>IF(AND(ISNUMBER(Z470),ISNUMBER(AN470),AN470&gt;0),Z470/AN470,"")</x:f>
      </x:c>
      <x:c r="AP470" s="18" t="str">
        <x:f>IF(NOT(ISNUMBER(AO470)),"",IF(AO470&gt;'Impostazioni'!$B$7,"Oltre soglia personale","Nella soglia personale"))</x:f>
      </x:c>
      <x:c r="AQ470" s="18" t="str">
        <x:f>IF(A470="",IF(COUNTA(B470:V470)=0,"","Inserisci ID"),IF(COUNTIFS($A$8:$A$507,A470)&lt;&gt;1,"ID duplicato",IF(OR(NOT(ISNUMBER(B470)),D470="",E470="",F470="",G470="",H470="",COUNTIFS('Impostazioni'!$J$6:$J$25,F470)&lt;&gt;1),"Completa dati / elenchi",IF(OR(AND(I470&lt;&gt;"Lordo manuale",I470&lt;&gt;"Netto manuale",I470&lt;&gt;"Esecuzioni"),AND(J470&lt;&gt;"Aperto",J470&lt;&gt;"Chiuso",J470&lt;&gt;"Annullato")),"Modalità / stato mancanti",IF(AND(J470&lt;&gt;"Aperto",OR(NOT(ISNUMBER(C470)),C470&lt;B470)),"Correggi data chiusura",IF(OR(AND(Q470&lt;&gt;"",OR(NOT(ISNUMBER(Q470)),Q470&lt;0)),AND(R470&lt;&gt;"",OR(NOT(ISNUMBER(R470)),R470&lt;0,R470&gt;1))),"Commissione non valida",IF(J470="Annullato","OK",IF(OR(NOT(ISNUMBER(Z470)),Z470&lt;0,AND(O470&lt;&gt;"",NOT(ISNUMBER(O470)))),"Inserisci rischio",IF(AND(I470="Esecuzioni",OR(W470=0,COUNTIFS('Esecuzioni'!$A$8:$A$1007,A470,'Esecuzioni'!$Q$8:$Q$1007,"&lt;&gt;OK")&gt;0)),"Correggi esecuzioni",IF(J470="Aperto","OK",IF(AND(I470="Esecuzioni",S470="Coperto",ABS(X470-Y470)&gt;'Impostazioni'!$B$11),"Copertura residua",IF(NOT(ISNUMBER(AC470)),"Completa risultato / esito",IF(AND(Z470=0,AC470&lt;&gt;0),"Rischio nullo con P/L","OK")))))))))))))</x:f>
      </x:c>
      <x:c r="AR470" s="20" t="str">
        <x:f>IF(OR(A470="",J470&lt;&gt;"Aperto",AQ470&lt;&gt;"OK"),"",IF(I470="Esecuzioni",SUMIFS('Esecuzioni'!$P$8:$P$1007,'Esecuzioni'!$A$8:$A$1007,A470,'Esecuzioni'!$B$8:$B$1007,_xlfn.MAXIFS('Esecuzioni'!$B$8:$B$1007,'Esecuzioni'!$A$8:$A$1007,A470)),IF(LEFT(U470,8)="FREEBET:",0,Z470)))</x:f>
      </x:c>
      <x:c r="AS470" s="48" t="str">
        <x:f>IF(OR(A470="",E470=""),"",IF(COUNTIFS($E$8:E470,E470)=1,COUNT($AS$7:AS469)+1,""))</x:f>
      </x:c>
    </x:row>
    <x:row r="471" ht="22" customHeight="1">
      <x:c r="A471" s="7"/>
      <x:c r="B471" s="19"/>
      <x:c r="C471" s="19"/>
      <x:c r="D471" s="7"/>
      <x:c r="E471" s="7"/>
      <x:c r="F471" s="7"/>
      <x:c r="G471" s="7"/>
      <x:c r="H471" s="7"/>
      <x:c r="I471" s="7"/>
      <x:c r="J471" s="7"/>
      <x:c r="K471" s="10"/>
      <x:c r="L471" s="7"/>
      <x:c r="M471" s="10"/>
      <x:c r="N471" s="7"/>
      <x:c r="O471" s="8"/>
      <x:c r="P471" s="8"/>
      <x:c r="Q471" s="8"/>
      <x:c r="R471" s="9"/>
      <x:c r="S471" s="7"/>
      <x:c r="T471" s="7"/>
      <x:c r="U471" s="7"/>
      <x:c r="V471" s="7"/>
      <x:c r="W471" s="22" t="str">
        <x:f>IF(A471="","",COUNTIFS('Esecuzioni'!$A$8:$A$1007,A471,'Esecuzioni'!$Q$8:$Q$1007,"OK"))</x:f>
      </x:c>
      <x:c r="X471" s="20" t="str">
        <x:f>IF(OR(A471="",I471&lt;&gt;"Esecuzioni",W471=0),"",SUMIFS('Esecuzioni'!$L$8:$L$1007,'Esecuzioni'!$A$8:$A$1007,A471))</x:f>
      </x:c>
      <x:c r="Y471" s="20" t="str">
        <x:f>IF(OR(A471="",I471&lt;&gt;"Esecuzioni",W471=0),"",SUMIFS('Esecuzioni'!$M$8:$M$1007,'Esecuzioni'!$A$8:$A$1007,A471))</x:f>
      </x:c>
      <x:c r="Z471" s="20" t="str">
        <x:f>IF(A471="","",IF(J471="Annullato",0,IF(ISNUMBER(O471),O471,IF(AND(I471="Esecuzioni",W471&gt;0),_xlfn.MAXIFS('Esecuzioni'!$P$8:$P$1007,'Esecuzioni'!$A$8:$A$1007,A471),""))))</x:f>
      </x:c>
      <x:c r="AA471" s="20" t="str">
        <x:f>IF(OR(A471="",J471="Aperto"),"",IF(J471="Annullato",0,IF(I471="Lordo manuale",IF(ISNUMBER(P471),P471,""),IF(I471="Netto manuale",IF(AND(ISNUMBER(P471),ISNUMBER(Q471)),P471+Q471,""),IF(OR(W471=0,COUNTIFS('Esecuzioni'!$A$8:$A$1007,A471,'Esecuzioni'!$Q$8:$Q$1007,"&lt;&gt;OK")&gt;0),"",IF(S471="Vince",X471,IF(S471="Perde",Y471,IF(AND(S471="Coperto",ABS(X471-Y471)&lt;='Impostazioni'!$B$11),ROUND((X471+Y471)/2,2),""))))))))</x:f>
      </x:c>
      <x:c r="AB471" s="20" t="str">
        <x:f>IF(NOT(ISNUMBER(AA471)),"",IF(J471="Annullato",0,IF(ISNUMBER(Q471),Q471,ROUND(MAX(0,AA471)*IF(ISNUMBER(R471),R471,'Impostazioni'!$B$8),2))))</x:f>
      </x:c>
      <x:c r="AC471" s="20" t="str">
        <x:f>IF(AND(ISNUMBER(AA471),ISNUMBER(AB471)),ROUND(AA471-AB471,2),"")</x:f>
      </x:c>
      <x:c r="AD471" s="18" t="str">
        <x:f>IF(A471="","",IF(AQ471&lt;&gt;"OK","Incompleto",IF(J471="Aperto","Aperto",IF(J471="Annullato","Annullato",IF(AC471&gt;0,"Green",IF(AC471&lt;0,"Red","Flat"))))))</x:f>
      </x:c>
      <x:c r="AE471" s="21" t="str">
        <x:f>IF(AND(AH471=1,Z471&gt;0),AC471/Z471,"")</x:f>
      </x:c>
      <x:c r="AF471" s="22" t="str">
        <x:f>IF(AH471&lt;&gt;1,"",COUNTIFS($C$8:$C$507,"&lt;"&amp;C471,$AH$8:$AH$507,1)+COUNTIFS($C$8:$C$507,C471,$A$8:$A$507,"&lt;="&amp;A471,$AH$8:$AH$507,1))</x:f>
      </x:c>
      <x:c r="AG471" s="20" t="str">
        <x:f>IF(AH471&lt;&gt;1,"",SUMIFS($AC$8:$AC$507,$C$8:$C$507,"&lt;"&amp;C471,$AH$8:$AH$507,1)+SUMIFS($AC$8:$AC$507,$C$8:$C$507,C471,$A$8:$A$507,"&lt;="&amp;A471,$AH$8:$AH$507,1))</x:f>
      </x:c>
      <x:c r="AH471" s="22" t="str">
        <x:f>IF(A471="","",IF(AND(J471="Chiuso",AQ471="OK",ISNUMBER(AC471)),1,0))</x:f>
      </x:c>
      <x:c r="AI471" s="20" t="str">
        <x:f>IF(AH471&lt;&gt;1,"",MAX(0,_xlfn.MAXIFS($AG$8:$AG$507,$AF$8:$AF$507,"&lt;="&amp;AF471,$AH$8:$AH$507,1)))</x:f>
      </x:c>
      <x:c r="AJ471" s="20" t="str">
        <x:f>IF(AH471&lt;&gt;1,"",MAX(0,AI471-AG471))</x:f>
      </x:c>
      <x:c r="AK471" s="21" t="str">
        <x:f>IF(OR(AH471&lt;&gt;1,NOT(ISNUMBER('Impostazioni'!$B$6)),'Impostazioni'!$B$6+AI471&lt;=0),"",AJ471/('Impostazioni'!$B$6+AI471))</x:f>
      </x:c>
      <x:c r="AL471" s="22" t="str">
        <x:f>IF(AH471&lt;&gt;1,"",IF(AC471&gt;0,AF471-_xlfn.MAXIFS($AF$8:$AF$507,$AF$8:$AF$507,"&lt;="&amp;AF471,$AC$8:$AC$507,"&lt;=0",$AH$8:$AH$507,1),0))</x:f>
      </x:c>
      <x:c r="AM471" s="22" t="str">
        <x:f>IF(AH471&lt;&gt;1,"",IF(AC471&lt;0,AF471-_xlfn.MAXIFS($AF$8:$AF$507,$AF$8:$AF$507,"&lt;="&amp;AF471,$AC$8:$AC$507,"&gt;=0",$AH$8:$AH$507,1),0))</x:f>
      </x:c>
      <x:c r="AN471" s="20" t="str">
        <x:f>IF(OR(A471="",NOT(ISNUMBER(B471)),NOT(ISNUMBER('Impostazioni'!$B$6))),"",'Impostazioni'!$B$6+SUMIFS($AC$8:$AC$507,$C$8:$C$507,"&lt;"&amp;B471,$AH$8:$AH$507,1)+SUMIFS('Cassa'!$F$8:$F$307,'Cassa'!$A$8:$A$307,"&lt;="&amp;B471,'Cassa'!$G$8:$G$307,"OK"))</x:f>
      </x:c>
      <x:c r="AO471" s="21" t="str">
        <x:f>IF(AND(ISNUMBER(Z471),ISNUMBER(AN471),AN471&gt;0),Z471/AN471,"")</x:f>
      </x:c>
      <x:c r="AP471" s="18" t="str">
        <x:f>IF(NOT(ISNUMBER(AO471)),"",IF(AO471&gt;'Impostazioni'!$B$7,"Oltre soglia personale","Nella soglia personale"))</x:f>
      </x:c>
      <x:c r="AQ471" s="18" t="str">
        <x:f>IF(A471="",IF(COUNTA(B471:V471)=0,"","Inserisci ID"),IF(COUNTIFS($A$8:$A$507,A471)&lt;&gt;1,"ID duplicato",IF(OR(NOT(ISNUMBER(B471)),D471="",E471="",F471="",G471="",H471="",COUNTIFS('Impostazioni'!$J$6:$J$25,F471)&lt;&gt;1),"Completa dati / elenchi",IF(OR(AND(I471&lt;&gt;"Lordo manuale",I471&lt;&gt;"Netto manuale",I471&lt;&gt;"Esecuzioni"),AND(J471&lt;&gt;"Aperto",J471&lt;&gt;"Chiuso",J471&lt;&gt;"Annullato")),"Modalità / stato mancanti",IF(AND(J471&lt;&gt;"Aperto",OR(NOT(ISNUMBER(C471)),C471&lt;B471)),"Correggi data chiusura",IF(OR(AND(Q471&lt;&gt;"",OR(NOT(ISNUMBER(Q471)),Q471&lt;0)),AND(R471&lt;&gt;"",OR(NOT(ISNUMBER(R471)),R471&lt;0,R471&gt;1))),"Commissione non valida",IF(J471="Annullato","OK",IF(OR(NOT(ISNUMBER(Z471)),Z471&lt;0,AND(O471&lt;&gt;"",NOT(ISNUMBER(O471)))),"Inserisci rischio",IF(AND(I471="Esecuzioni",OR(W471=0,COUNTIFS('Esecuzioni'!$A$8:$A$1007,A471,'Esecuzioni'!$Q$8:$Q$1007,"&lt;&gt;OK")&gt;0)),"Correggi esecuzioni",IF(J471="Aperto","OK",IF(AND(I471="Esecuzioni",S471="Coperto",ABS(X471-Y471)&gt;'Impostazioni'!$B$11),"Copertura residua",IF(NOT(ISNUMBER(AC471)),"Completa risultato / esito",IF(AND(Z471=0,AC471&lt;&gt;0),"Rischio nullo con P/L","OK")))))))))))))</x:f>
      </x:c>
      <x:c r="AR471" s="20" t="str">
        <x:f>IF(OR(A471="",J471&lt;&gt;"Aperto",AQ471&lt;&gt;"OK"),"",IF(I471="Esecuzioni",SUMIFS('Esecuzioni'!$P$8:$P$1007,'Esecuzioni'!$A$8:$A$1007,A471,'Esecuzioni'!$B$8:$B$1007,_xlfn.MAXIFS('Esecuzioni'!$B$8:$B$1007,'Esecuzioni'!$A$8:$A$1007,A471)),IF(LEFT(U471,8)="FREEBET:",0,Z471)))</x:f>
      </x:c>
      <x:c r="AS471" s="48" t="str">
        <x:f>IF(OR(A471="",E471=""),"",IF(COUNTIFS($E$8:E471,E471)=1,COUNT($AS$7:AS470)+1,""))</x:f>
      </x:c>
    </x:row>
    <x:row r="472" ht="22" customHeight="1">
      <x:c r="A472" s="7"/>
      <x:c r="B472" s="19"/>
      <x:c r="C472" s="19"/>
      <x:c r="D472" s="7"/>
      <x:c r="E472" s="7"/>
      <x:c r="F472" s="7"/>
      <x:c r="G472" s="7"/>
      <x:c r="H472" s="7"/>
      <x:c r="I472" s="7"/>
      <x:c r="J472" s="7"/>
      <x:c r="K472" s="10"/>
      <x:c r="L472" s="7"/>
      <x:c r="M472" s="10"/>
      <x:c r="N472" s="7"/>
      <x:c r="O472" s="8"/>
      <x:c r="P472" s="8"/>
      <x:c r="Q472" s="8"/>
      <x:c r="R472" s="9"/>
      <x:c r="S472" s="7"/>
      <x:c r="T472" s="7"/>
      <x:c r="U472" s="7"/>
      <x:c r="V472" s="7"/>
      <x:c r="W472" s="22" t="str">
        <x:f>IF(A472="","",COUNTIFS('Esecuzioni'!$A$8:$A$1007,A472,'Esecuzioni'!$Q$8:$Q$1007,"OK"))</x:f>
      </x:c>
      <x:c r="X472" s="20" t="str">
        <x:f>IF(OR(A472="",I472&lt;&gt;"Esecuzioni",W472=0),"",SUMIFS('Esecuzioni'!$L$8:$L$1007,'Esecuzioni'!$A$8:$A$1007,A472))</x:f>
      </x:c>
      <x:c r="Y472" s="20" t="str">
        <x:f>IF(OR(A472="",I472&lt;&gt;"Esecuzioni",W472=0),"",SUMIFS('Esecuzioni'!$M$8:$M$1007,'Esecuzioni'!$A$8:$A$1007,A472))</x:f>
      </x:c>
      <x:c r="Z472" s="20" t="str">
        <x:f>IF(A472="","",IF(J472="Annullato",0,IF(ISNUMBER(O472),O472,IF(AND(I472="Esecuzioni",W472&gt;0),_xlfn.MAXIFS('Esecuzioni'!$P$8:$P$1007,'Esecuzioni'!$A$8:$A$1007,A472),""))))</x:f>
      </x:c>
      <x:c r="AA472" s="20" t="str">
        <x:f>IF(OR(A472="",J472="Aperto"),"",IF(J472="Annullato",0,IF(I472="Lordo manuale",IF(ISNUMBER(P472),P472,""),IF(I472="Netto manuale",IF(AND(ISNUMBER(P472),ISNUMBER(Q472)),P472+Q472,""),IF(OR(W472=0,COUNTIFS('Esecuzioni'!$A$8:$A$1007,A472,'Esecuzioni'!$Q$8:$Q$1007,"&lt;&gt;OK")&gt;0),"",IF(S472="Vince",X472,IF(S472="Perde",Y472,IF(AND(S472="Coperto",ABS(X472-Y472)&lt;='Impostazioni'!$B$11),ROUND((X472+Y472)/2,2),""))))))))</x:f>
      </x:c>
      <x:c r="AB472" s="20" t="str">
        <x:f>IF(NOT(ISNUMBER(AA472)),"",IF(J472="Annullato",0,IF(ISNUMBER(Q472),Q472,ROUND(MAX(0,AA472)*IF(ISNUMBER(R472),R472,'Impostazioni'!$B$8),2))))</x:f>
      </x:c>
      <x:c r="AC472" s="20" t="str">
        <x:f>IF(AND(ISNUMBER(AA472),ISNUMBER(AB472)),ROUND(AA472-AB472,2),"")</x:f>
      </x:c>
      <x:c r="AD472" s="18" t="str">
        <x:f>IF(A472="","",IF(AQ472&lt;&gt;"OK","Incompleto",IF(J472="Aperto","Aperto",IF(J472="Annullato","Annullato",IF(AC472&gt;0,"Green",IF(AC472&lt;0,"Red","Flat"))))))</x:f>
      </x:c>
      <x:c r="AE472" s="21" t="str">
        <x:f>IF(AND(AH472=1,Z472&gt;0),AC472/Z472,"")</x:f>
      </x:c>
      <x:c r="AF472" s="22" t="str">
        <x:f>IF(AH472&lt;&gt;1,"",COUNTIFS($C$8:$C$507,"&lt;"&amp;C472,$AH$8:$AH$507,1)+COUNTIFS($C$8:$C$507,C472,$A$8:$A$507,"&lt;="&amp;A472,$AH$8:$AH$507,1))</x:f>
      </x:c>
      <x:c r="AG472" s="20" t="str">
        <x:f>IF(AH472&lt;&gt;1,"",SUMIFS($AC$8:$AC$507,$C$8:$C$507,"&lt;"&amp;C472,$AH$8:$AH$507,1)+SUMIFS($AC$8:$AC$507,$C$8:$C$507,C472,$A$8:$A$507,"&lt;="&amp;A472,$AH$8:$AH$507,1))</x:f>
      </x:c>
      <x:c r="AH472" s="22" t="str">
        <x:f>IF(A472="","",IF(AND(J472="Chiuso",AQ472="OK",ISNUMBER(AC472)),1,0))</x:f>
      </x:c>
      <x:c r="AI472" s="20" t="str">
        <x:f>IF(AH472&lt;&gt;1,"",MAX(0,_xlfn.MAXIFS($AG$8:$AG$507,$AF$8:$AF$507,"&lt;="&amp;AF472,$AH$8:$AH$507,1)))</x:f>
      </x:c>
      <x:c r="AJ472" s="20" t="str">
        <x:f>IF(AH472&lt;&gt;1,"",MAX(0,AI472-AG472))</x:f>
      </x:c>
      <x:c r="AK472" s="21" t="str">
        <x:f>IF(OR(AH472&lt;&gt;1,NOT(ISNUMBER('Impostazioni'!$B$6)),'Impostazioni'!$B$6+AI472&lt;=0),"",AJ472/('Impostazioni'!$B$6+AI472))</x:f>
      </x:c>
      <x:c r="AL472" s="22" t="str">
        <x:f>IF(AH472&lt;&gt;1,"",IF(AC472&gt;0,AF472-_xlfn.MAXIFS($AF$8:$AF$507,$AF$8:$AF$507,"&lt;="&amp;AF472,$AC$8:$AC$507,"&lt;=0",$AH$8:$AH$507,1),0))</x:f>
      </x:c>
      <x:c r="AM472" s="22" t="str">
        <x:f>IF(AH472&lt;&gt;1,"",IF(AC472&lt;0,AF472-_xlfn.MAXIFS($AF$8:$AF$507,$AF$8:$AF$507,"&lt;="&amp;AF472,$AC$8:$AC$507,"&gt;=0",$AH$8:$AH$507,1),0))</x:f>
      </x:c>
      <x:c r="AN472" s="20" t="str">
        <x:f>IF(OR(A472="",NOT(ISNUMBER(B472)),NOT(ISNUMBER('Impostazioni'!$B$6))),"",'Impostazioni'!$B$6+SUMIFS($AC$8:$AC$507,$C$8:$C$507,"&lt;"&amp;B472,$AH$8:$AH$507,1)+SUMIFS('Cassa'!$F$8:$F$307,'Cassa'!$A$8:$A$307,"&lt;="&amp;B472,'Cassa'!$G$8:$G$307,"OK"))</x:f>
      </x:c>
      <x:c r="AO472" s="21" t="str">
        <x:f>IF(AND(ISNUMBER(Z472),ISNUMBER(AN472),AN472&gt;0),Z472/AN472,"")</x:f>
      </x:c>
      <x:c r="AP472" s="18" t="str">
        <x:f>IF(NOT(ISNUMBER(AO472)),"",IF(AO472&gt;'Impostazioni'!$B$7,"Oltre soglia personale","Nella soglia personale"))</x:f>
      </x:c>
      <x:c r="AQ472" s="18" t="str">
        <x:f>IF(A472="",IF(COUNTA(B472:V472)=0,"","Inserisci ID"),IF(COUNTIFS($A$8:$A$507,A472)&lt;&gt;1,"ID duplicato",IF(OR(NOT(ISNUMBER(B472)),D472="",E472="",F472="",G472="",H472="",COUNTIFS('Impostazioni'!$J$6:$J$25,F472)&lt;&gt;1),"Completa dati / elenchi",IF(OR(AND(I472&lt;&gt;"Lordo manuale",I472&lt;&gt;"Netto manuale",I472&lt;&gt;"Esecuzioni"),AND(J472&lt;&gt;"Aperto",J472&lt;&gt;"Chiuso",J472&lt;&gt;"Annullato")),"Modalità / stato mancanti",IF(AND(J472&lt;&gt;"Aperto",OR(NOT(ISNUMBER(C472)),C472&lt;B472)),"Correggi data chiusura",IF(OR(AND(Q472&lt;&gt;"",OR(NOT(ISNUMBER(Q472)),Q472&lt;0)),AND(R472&lt;&gt;"",OR(NOT(ISNUMBER(R472)),R472&lt;0,R472&gt;1))),"Commissione non valida",IF(J472="Annullato","OK",IF(OR(NOT(ISNUMBER(Z472)),Z472&lt;0,AND(O472&lt;&gt;"",NOT(ISNUMBER(O472)))),"Inserisci rischio",IF(AND(I472="Esecuzioni",OR(W472=0,COUNTIFS('Esecuzioni'!$A$8:$A$1007,A472,'Esecuzioni'!$Q$8:$Q$1007,"&lt;&gt;OK")&gt;0)),"Correggi esecuzioni",IF(J472="Aperto","OK",IF(AND(I472="Esecuzioni",S472="Coperto",ABS(X472-Y472)&gt;'Impostazioni'!$B$11),"Copertura residua",IF(NOT(ISNUMBER(AC472)),"Completa risultato / esito",IF(AND(Z472=0,AC472&lt;&gt;0),"Rischio nullo con P/L","OK")))))))))))))</x:f>
      </x:c>
      <x:c r="AR472" s="20" t="str">
        <x:f>IF(OR(A472="",J472&lt;&gt;"Aperto",AQ472&lt;&gt;"OK"),"",IF(I472="Esecuzioni",SUMIFS('Esecuzioni'!$P$8:$P$1007,'Esecuzioni'!$A$8:$A$1007,A472,'Esecuzioni'!$B$8:$B$1007,_xlfn.MAXIFS('Esecuzioni'!$B$8:$B$1007,'Esecuzioni'!$A$8:$A$1007,A472)),IF(LEFT(U472,8)="FREEBET:",0,Z472)))</x:f>
      </x:c>
      <x:c r="AS472" s="48" t="str">
        <x:f>IF(OR(A472="",E472=""),"",IF(COUNTIFS($E$8:E472,E472)=1,COUNT($AS$7:AS471)+1,""))</x:f>
      </x:c>
    </x:row>
    <x:row r="473" ht="22" customHeight="1">
      <x:c r="A473" s="7"/>
      <x:c r="B473" s="19"/>
      <x:c r="C473" s="19"/>
      <x:c r="D473" s="7"/>
      <x:c r="E473" s="7"/>
      <x:c r="F473" s="7"/>
      <x:c r="G473" s="7"/>
      <x:c r="H473" s="7"/>
      <x:c r="I473" s="7"/>
      <x:c r="J473" s="7"/>
      <x:c r="K473" s="10"/>
      <x:c r="L473" s="7"/>
      <x:c r="M473" s="10"/>
      <x:c r="N473" s="7"/>
      <x:c r="O473" s="8"/>
      <x:c r="P473" s="8"/>
      <x:c r="Q473" s="8"/>
      <x:c r="R473" s="9"/>
      <x:c r="S473" s="7"/>
      <x:c r="T473" s="7"/>
      <x:c r="U473" s="7"/>
      <x:c r="V473" s="7"/>
      <x:c r="W473" s="22" t="str">
        <x:f>IF(A473="","",COUNTIFS('Esecuzioni'!$A$8:$A$1007,A473,'Esecuzioni'!$Q$8:$Q$1007,"OK"))</x:f>
      </x:c>
      <x:c r="X473" s="20" t="str">
        <x:f>IF(OR(A473="",I473&lt;&gt;"Esecuzioni",W473=0),"",SUMIFS('Esecuzioni'!$L$8:$L$1007,'Esecuzioni'!$A$8:$A$1007,A473))</x:f>
      </x:c>
      <x:c r="Y473" s="20" t="str">
        <x:f>IF(OR(A473="",I473&lt;&gt;"Esecuzioni",W473=0),"",SUMIFS('Esecuzioni'!$M$8:$M$1007,'Esecuzioni'!$A$8:$A$1007,A473))</x:f>
      </x:c>
      <x:c r="Z473" s="20" t="str">
        <x:f>IF(A473="","",IF(J473="Annullato",0,IF(ISNUMBER(O473),O473,IF(AND(I473="Esecuzioni",W473&gt;0),_xlfn.MAXIFS('Esecuzioni'!$P$8:$P$1007,'Esecuzioni'!$A$8:$A$1007,A473),""))))</x:f>
      </x:c>
      <x:c r="AA473" s="20" t="str">
        <x:f>IF(OR(A473="",J473="Aperto"),"",IF(J473="Annullato",0,IF(I473="Lordo manuale",IF(ISNUMBER(P473),P473,""),IF(I473="Netto manuale",IF(AND(ISNUMBER(P473),ISNUMBER(Q473)),P473+Q473,""),IF(OR(W473=0,COUNTIFS('Esecuzioni'!$A$8:$A$1007,A473,'Esecuzioni'!$Q$8:$Q$1007,"&lt;&gt;OK")&gt;0),"",IF(S473="Vince",X473,IF(S473="Perde",Y473,IF(AND(S473="Coperto",ABS(X473-Y473)&lt;='Impostazioni'!$B$11),ROUND((X473+Y473)/2,2),""))))))))</x:f>
      </x:c>
      <x:c r="AB473" s="20" t="str">
        <x:f>IF(NOT(ISNUMBER(AA473)),"",IF(J473="Annullato",0,IF(ISNUMBER(Q473),Q473,ROUND(MAX(0,AA473)*IF(ISNUMBER(R473),R473,'Impostazioni'!$B$8),2))))</x:f>
      </x:c>
      <x:c r="AC473" s="20" t="str">
        <x:f>IF(AND(ISNUMBER(AA473),ISNUMBER(AB473)),ROUND(AA473-AB473,2),"")</x:f>
      </x:c>
      <x:c r="AD473" s="18" t="str">
        <x:f>IF(A473="","",IF(AQ473&lt;&gt;"OK","Incompleto",IF(J473="Aperto","Aperto",IF(J473="Annullato","Annullato",IF(AC473&gt;0,"Green",IF(AC473&lt;0,"Red","Flat"))))))</x:f>
      </x:c>
      <x:c r="AE473" s="21" t="str">
        <x:f>IF(AND(AH473=1,Z473&gt;0),AC473/Z473,"")</x:f>
      </x:c>
      <x:c r="AF473" s="22" t="str">
        <x:f>IF(AH473&lt;&gt;1,"",COUNTIFS($C$8:$C$507,"&lt;"&amp;C473,$AH$8:$AH$507,1)+COUNTIFS($C$8:$C$507,C473,$A$8:$A$507,"&lt;="&amp;A473,$AH$8:$AH$507,1))</x:f>
      </x:c>
      <x:c r="AG473" s="20" t="str">
        <x:f>IF(AH473&lt;&gt;1,"",SUMIFS($AC$8:$AC$507,$C$8:$C$507,"&lt;"&amp;C473,$AH$8:$AH$507,1)+SUMIFS($AC$8:$AC$507,$C$8:$C$507,C473,$A$8:$A$507,"&lt;="&amp;A473,$AH$8:$AH$507,1))</x:f>
      </x:c>
      <x:c r="AH473" s="22" t="str">
        <x:f>IF(A473="","",IF(AND(J473="Chiuso",AQ473="OK",ISNUMBER(AC473)),1,0))</x:f>
      </x:c>
      <x:c r="AI473" s="20" t="str">
        <x:f>IF(AH473&lt;&gt;1,"",MAX(0,_xlfn.MAXIFS($AG$8:$AG$507,$AF$8:$AF$507,"&lt;="&amp;AF473,$AH$8:$AH$507,1)))</x:f>
      </x:c>
      <x:c r="AJ473" s="20" t="str">
        <x:f>IF(AH473&lt;&gt;1,"",MAX(0,AI473-AG473))</x:f>
      </x:c>
      <x:c r="AK473" s="21" t="str">
        <x:f>IF(OR(AH473&lt;&gt;1,NOT(ISNUMBER('Impostazioni'!$B$6)),'Impostazioni'!$B$6+AI473&lt;=0),"",AJ473/('Impostazioni'!$B$6+AI473))</x:f>
      </x:c>
      <x:c r="AL473" s="22" t="str">
        <x:f>IF(AH473&lt;&gt;1,"",IF(AC473&gt;0,AF473-_xlfn.MAXIFS($AF$8:$AF$507,$AF$8:$AF$507,"&lt;="&amp;AF473,$AC$8:$AC$507,"&lt;=0",$AH$8:$AH$507,1),0))</x:f>
      </x:c>
      <x:c r="AM473" s="22" t="str">
        <x:f>IF(AH473&lt;&gt;1,"",IF(AC473&lt;0,AF473-_xlfn.MAXIFS($AF$8:$AF$507,$AF$8:$AF$507,"&lt;="&amp;AF473,$AC$8:$AC$507,"&gt;=0",$AH$8:$AH$507,1),0))</x:f>
      </x:c>
      <x:c r="AN473" s="20" t="str">
        <x:f>IF(OR(A473="",NOT(ISNUMBER(B473)),NOT(ISNUMBER('Impostazioni'!$B$6))),"",'Impostazioni'!$B$6+SUMIFS($AC$8:$AC$507,$C$8:$C$507,"&lt;"&amp;B473,$AH$8:$AH$507,1)+SUMIFS('Cassa'!$F$8:$F$307,'Cassa'!$A$8:$A$307,"&lt;="&amp;B473,'Cassa'!$G$8:$G$307,"OK"))</x:f>
      </x:c>
      <x:c r="AO473" s="21" t="str">
        <x:f>IF(AND(ISNUMBER(Z473),ISNUMBER(AN473),AN473&gt;0),Z473/AN473,"")</x:f>
      </x:c>
      <x:c r="AP473" s="18" t="str">
        <x:f>IF(NOT(ISNUMBER(AO473)),"",IF(AO473&gt;'Impostazioni'!$B$7,"Oltre soglia personale","Nella soglia personale"))</x:f>
      </x:c>
      <x:c r="AQ473" s="18" t="str">
        <x:f>IF(A473="",IF(COUNTA(B473:V473)=0,"","Inserisci ID"),IF(COUNTIFS($A$8:$A$507,A473)&lt;&gt;1,"ID duplicato",IF(OR(NOT(ISNUMBER(B473)),D473="",E473="",F473="",G473="",H473="",COUNTIFS('Impostazioni'!$J$6:$J$25,F473)&lt;&gt;1),"Completa dati / elenchi",IF(OR(AND(I473&lt;&gt;"Lordo manuale",I473&lt;&gt;"Netto manuale",I473&lt;&gt;"Esecuzioni"),AND(J473&lt;&gt;"Aperto",J473&lt;&gt;"Chiuso",J473&lt;&gt;"Annullato")),"Modalità / stato mancanti",IF(AND(J473&lt;&gt;"Aperto",OR(NOT(ISNUMBER(C473)),C473&lt;B473)),"Correggi data chiusura",IF(OR(AND(Q473&lt;&gt;"",OR(NOT(ISNUMBER(Q473)),Q473&lt;0)),AND(R473&lt;&gt;"",OR(NOT(ISNUMBER(R473)),R473&lt;0,R473&gt;1))),"Commissione non valida",IF(J473="Annullato","OK",IF(OR(NOT(ISNUMBER(Z473)),Z473&lt;0,AND(O473&lt;&gt;"",NOT(ISNUMBER(O473)))),"Inserisci rischio",IF(AND(I473="Esecuzioni",OR(W473=0,COUNTIFS('Esecuzioni'!$A$8:$A$1007,A473,'Esecuzioni'!$Q$8:$Q$1007,"&lt;&gt;OK")&gt;0)),"Correggi esecuzioni",IF(J473="Aperto","OK",IF(AND(I473="Esecuzioni",S473="Coperto",ABS(X473-Y473)&gt;'Impostazioni'!$B$11),"Copertura residua",IF(NOT(ISNUMBER(AC473)),"Completa risultato / esito",IF(AND(Z473=0,AC473&lt;&gt;0),"Rischio nullo con P/L","OK")))))))))))))</x:f>
      </x:c>
      <x:c r="AR473" s="20" t="str">
        <x:f>IF(OR(A473="",J473&lt;&gt;"Aperto",AQ473&lt;&gt;"OK"),"",IF(I473="Esecuzioni",SUMIFS('Esecuzioni'!$P$8:$P$1007,'Esecuzioni'!$A$8:$A$1007,A473,'Esecuzioni'!$B$8:$B$1007,_xlfn.MAXIFS('Esecuzioni'!$B$8:$B$1007,'Esecuzioni'!$A$8:$A$1007,A473)),IF(LEFT(U473,8)="FREEBET:",0,Z473)))</x:f>
      </x:c>
      <x:c r="AS473" s="48" t="str">
        <x:f>IF(OR(A473="",E473=""),"",IF(COUNTIFS($E$8:E473,E473)=1,COUNT($AS$7:AS472)+1,""))</x:f>
      </x:c>
    </x:row>
    <x:row r="474" ht="22" customHeight="1">
      <x:c r="A474" s="7"/>
      <x:c r="B474" s="19"/>
      <x:c r="C474" s="19"/>
      <x:c r="D474" s="7"/>
      <x:c r="E474" s="7"/>
      <x:c r="F474" s="7"/>
      <x:c r="G474" s="7"/>
      <x:c r="H474" s="7"/>
      <x:c r="I474" s="7"/>
      <x:c r="J474" s="7"/>
      <x:c r="K474" s="10"/>
      <x:c r="L474" s="7"/>
      <x:c r="M474" s="10"/>
      <x:c r="N474" s="7"/>
      <x:c r="O474" s="8"/>
      <x:c r="P474" s="8"/>
      <x:c r="Q474" s="8"/>
      <x:c r="R474" s="9"/>
      <x:c r="S474" s="7"/>
      <x:c r="T474" s="7"/>
      <x:c r="U474" s="7"/>
      <x:c r="V474" s="7"/>
      <x:c r="W474" s="22" t="str">
        <x:f>IF(A474="","",COUNTIFS('Esecuzioni'!$A$8:$A$1007,A474,'Esecuzioni'!$Q$8:$Q$1007,"OK"))</x:f>
      </x:c>
      <x:c r="X474" s="20" t="str">
        <x:f>IF(OR(A474="",I474&lt;&gt;"Esecuzioni",W474=0),"",SUMIFS('Esecuzioni'!$L$8:$L$1007,'Esecuzioni'!$A$8:$A$1007,A474))</x:f>
      </x:c>
      <x:c r="Y474" s="20" t="str">
        <x:f>IF(OR(A474="",I474&lt;&gt;"Esecuzioni",W474=0),"",SUMIFS('Esecuzioni'!$M$8:$M$1007,'Esecuzioni'!$A$8:$A$1007,A474))</x:f>
      </x:c>
      <x:c r="Z474" s="20" t="str">
        <x:f>IF(A474="","",IF(J474="Annullato",0,IF(ISNUMBER(O474),O474,IF(AND(I474="Esecuzioni",W474&gt;0),_xlfn.MAXIFS('Esecuzioni'!$P$8:$P$1007,'Esecuzioni'!$A$8:$A$1007,A474),""))))</x:f>
      </x:c>
      <x:c r="AA474" s="20" t="str">
        <x:f>IF(OR(A474="",J474="Aperto"),"",IF(J474="Annullato",0,IF(I474="Lordo manuale",IF(ISNUMBER(P474),P474,""),IF(I474="Netto manuale",IF(AND(ISNUMBER(P474),ISNUMBER(Q474)),P474+Q474,""),IF(OR(W474=0,COUNTIFS('Esecuzioni'!$A$8:$A$1007,A474,'Esecuzioni'!$Q$8:$Q$1007,"&lt;&gt;OK")&gt;0),"",IF(S474="Vince",X474,IF(S474="Perde",Y474,IF(AND(S474="Coperto",ABS(X474-Y474)&lt;='Impostazioni'!$B$11),ROUND((X474+Y474)/2,2),""))))))))</x:f>
      </x:c>
      <x:c r="AB474" s="20" t="str">
        <x:f>IF(NOT(ISNUMBER(AA474)),"",IF(J474="Annullato",0,IF(ISNUMBER(Q474),Q474,ROUND(MAX(0,AA474)*IF(ISNUMBER(R474),R474,'Impostazioni'!$B$8),2))))</x:f>
      </x:c>
      <x:c r="AC474" s="20" t="str">
        <x:f>IF(AND(ISNUMBER(AA474),ISNUMBER(AB474)),ROUND(AA474-AB474,2),"")</x:f>
      </x:c>
      <x:c r="AD474" s="18" t="str">
        <x:f>IF(A474="","",IF(AQ474&lt;&gt;"OK","Incompleto",IF(J474="Aperto","Aperto",IF(J474="Annullato","Annullato",IF(AC474&gt;0,"Green",IF(AC474&lt;0,"Red","Flat"))))))</x:f>
      </x:c>
      <x:c r="AE474" s="21" t="str">
        <x:f>IF(AND(AH474=1,Z474&gt;0),AC474/Z474,"")</x:f>
      </x:c>
      <x:c r="AF474" s="22" t="str">
        <x:f>IF(AH474&lt;&gt;1,"",COUNTIFS($C$8:$C$507,"&lt;"&amp;C474,$AH$8:$AH$507,1)+COUNTIFS($C$8:$C$507,C474,$A$8:$A$507,"&lt;="&amp;A474,$AH$8:$AH$507,1))</x:f>
      </x:c>
      <x:c r="AG474" s="20" t="str">
        <x:f>IF(AH474&lt;&gt;1,"",SUMIFS($AC$8:$AC$507,$C$8:$C$507,"&lt;"&amp;C474,$AH$8:$AH$507,1)+SUMIFS($AC$8:$AC$507,$C$8:$C$507,C474,$A$8:$A$507,"&lt;="&amp;A474,$AH$8:$AH$507,1))</x:f>
      </x:c>
      <x:c r="AH474" s="22" t="str">
        <x:f>IF(A474="","",IF(AND(J474="Chiuso",AQ474="OK",ISNUMBER(AC474)),1,0))</x:f>
      </x:c>
      <x:c r="AI474" s="20" t="str">
        <x:f>IF(AH474&lt;&gt;1,"",MAX(0,_xlfn.MAXIFS($AG$8:$AG$507,$AF$8:$AF$507,"&lt;="&amp;AF474,$AH$8:$AH$507,1)))</x:f>
      </x:c>
      <x:c r="AJ474" s="20" t="str">
        <x:f>IF(AH474&lt;&gt;1,"",MAX(0,AI474-AG474))</x:f>
      </x:c>
      <x:c r="AK474" s="21" t="str">
        <x:f>IF(OR(AH474&lt;&gt;1,NOT(ISNUMBER('Impostazioni'!$B$6)),'Impostazioni'!$B$6+AI474&lt;=0),"",AJ474/('Impostazioni'!$B$6+AI474))</x:f>
      </x:c>
      <x:c r="AL474" s="22" t="str">
        <x:f>IF(AH474&lt;&gt;1,"",IF(AC474&gt;0,AF474-_xlfn.MAXIFS($AF$8:$AF$507,$AF$8:$AF$507,"&lt;="&amp;AF474,$AC$8:$AC$507,"&lt;=0",$AH$8:$AH$507,1),0))</x:f>
      </x:c>
      <x:c r="AM474" s="22" t="str">
        <x:f>IF(AH474&lt;&gt;1,"",IF(AC474&lt;0,AF474-_xlfn.MAXIFS($AF$8:$AF$507,$AF$8:$AF$507,"&lt;="&amp;AF474,$AC$8:$AC$507,"&gt;=0",$AH$8:$AH$507,1),0))</x:f>
      </x:c>
      <x:c r="AN474" s="20" t="str">
        <x:f>IF(OR(A474="",NOT(ISNUMBER(B474)),NOT(ISNUMBER('Impostazioni'!$B$6))),"",'Impostazioni'!$B$6+SUMIFS($AC$8:$AC$507,$C$8:$C$507,"&lt;"&amp;B474,$AH$8:$AH$507,1)+SUMIFS('Cassa'!$F$8:$F$307,'Cassa'!$A$8:$A$307,"&lt;="&amp;B474,'Cassa'!$G$8:$G$307,"OK"))</x:f>
      </x:c>
      <x:c r="AO474" s="21" t="str">
        <x:f>IF(AND(ISNUMBER(Z474),ISNUMBER(AN474),AN474&gt;0),Z474/AN474,"")</x:f>
      </x:c>
      <x:c r="AP474" s="18" t="str">
        <x:f>IF(NOT(ISNUMBER(AO474)),"",IF(AO474&gt;'Impostazioni'!$B$7,"Oltre soglia personale","Nella soglia personale"))</x:f>
      </x:c>
      <x:c r="AQ474" s="18" t="str">
        <x:f>IF(A474="",IF(COUNTA(B474:V474)=0,"","Inserisci ID"),IF(COUNTIFS($A$8:$A$507,A474)&lt;&gt;1,"ID duplicato",IF(OR(NOT(ISNUMBER(B474)),D474="",E474="",F474="",G474="",H474="",COUNTIFS('Impostazioni'!$J$6:$J$25,F474)&lt;&gt;1),"Completa dati / elenchi",IF(OR(AND(I474&lt;&gt;"Lordo manuale",I474&lt;&gt;"Netto manuale",I474&lt;&gt;"Esecuzioni"),AND(J474&lt;&gt;"Aperto",J474&lt;&gt;"Chiuso",J474&lt;&gt;"Annullato")),"Modalità / stato mancanti",IF(AND(J474&lt;&gt;"Aperto",OR(NOT(ISNUMBER(C474)),C474&lt;B474)),"Correggi data chiusura",IF(OR(AND(Q474&lt;&gt;"",OR(NOT(ISNUMBER(Q474)),Q474&lt;0)),AND(R474&lt;&gt;"",OR(NOT(ISNUMBER(R474)),R474&lt;0,R474&gt;1))),"Commissione non valida",IF(J474="Annullato","OK",IF(OR(NOT(ISNUMBER(Z474)),Z474&lt;0,AND(O474&lt;&gt;"",NOT(ISNUMBER(O474)))),"Inserisci rischio",IF(AND(I474="Esecuzioni",OR(W474=0,COUNTIFS('Esecuzioni'!$A$8:$A$1007,A474,'Esecuzioni'!$Q$8:$Q$1007,"&lt;&gt;OK")&gt;0)),"Correggi esecuzioni",IF(J474="Aperto","OK",IF(AND(I474="Esecuzioni",S474="Coperto",ABS(X474-Y474)&gt;'Impostazioni'!$B$11),"Copertura residua",IF(NOT(ISNUMBER(AC474)),"Completa risultato / esito",IF(AND(Z474=0,AC474&lt;&gt;0),"Rischio nullo con P/L","OK")))))))))))))</x:f>
      </x:c>
      <x:c r="AR474" s="20" t="str">
        <x:f>IF(OR(A474="",J474&lt;&gt;"Aperto",AQ474&lt;&gt;"OK"),"",IF(I474="Esecuzioni",SUMIFS('Esecuzioni'!$P$8:$P$1007,'Esecuzioni'!$A$8:$A$1007,A474,'Esecuzioni'!$B$8:$B$1007,_xlfn.MAXIFS('Esecuzioni'!$B$8:$B$1007,'Esecuzioni'!$A$8:$A$1007,A474)),IF(LEFT(U474,8)="FREEBET:",0,Z474)))</x:f>
      </x:c>
      <x:c r="AS474" s="48" t="str">
        <x:f>IF(OR(A474="",E474=""),"",IF(COUNTIFS($E$8:E474,E474)=1,COUNT($AS$7:AS473)+1,""))</x:f>
      </x:c>
    </x:row>
    <x:row r="475" ht="22" customHeight="1">
      <x:c r="A475" s="7"/>
      <x:c r="B475" s="19"/>
      <x:c r="C475" s="19"/>
      <x:c r="D475" s="7"/>
      <x:c r="E475" s="7"/>
      <x:c r="F475" s="7"/>
      <x:c r="G475" s="7"/>
      <x:c r="H475" s="7"/>
      <x:c r="I475" s="7"/>
      <x:c r="J475" s="7"/>
      <x:c r="K475" s="10"/>
      <x:c r="L475" s="7"/>
      <x:c r="M475" s="10"/>
      <x:c r="N475" s="7"/>
      <x:c r="O475" s="8"/>
      <x:c r="P475" s="8"/>
      <x:c r="Q475" s="8"/>
      <x:c r="R475" s="9"/>
      <x:c r="S475" s="7"/>
      <x:c r="T475" s="7"/>
      <x:c r="U475" s="7"/>
      <x:c r="V475" s="7"/>
      <x:c r="W475" s="22" t="str">
        <x:f>IF(A475="","",COUNTIFS('Esecuzioni'!$A$8:$A$1007,A475,'Esecuzioni'!$Q$8:$Q$1007,"OK"))</x:f>
      </x:c>
      <x:c r="X475" s="20" t="str">
        <x:f>IF(OR(A475="",I475&lt;&gt;"Esecuzioni",W475=0),"",SUMIFS('Esecuzioni'!$L$8:$L$1007,'Esecuzioni'!$A$8:$A$1007,A475))</x:f>
      </x:c>
      <x:c r="Y475" s="20" t="str">
        <x:f>IF(OR(A475="",I475&lt;&gt;"Esecuzioni",W475=0),"",SUMIFS('Esecuzioni'!$M$8:$M$1007,'Esecuzioni'!$A$8:$A$1007,A475))</x:f>
      </x:c>
      <x:c r="Z475" s="20" t="str">
        <x:f>IF(A475="","",IF(J475="Annullato",0,IF(ISNUMBER(O475),O475,IF(AND(I475="Esecuzioni",W475&gt;0),_xlfn.MAXIFS('Esecuzioni'!$P$8:$P$1007,'Esecuzioni'!$A$8:$A$1007,A475),""))))</x:f>
      </x:c>
      <x:c r="AA475" s="20" t="str">
        <x:f>IF(OR(A475="",J475="Aperto"),"",IF(J475="Annullato",0,IF(I475="Lordo manuale",IF(ISNUMBER(P475),P475,""),IF(I475="Netto manuale",IF(AND(ISNUMBER(P475),ISNUMBER(Q475)),P475+Q475,""),IF(OR(W475=0,COUNTIFS('Esecuzioni'!$A$8:$A$1007,A475,'Esecuzioni'!$Q$8:$Q$1007,"&lt;&gt;OK")&gt;0),"",IF(S475="Vince",X475,IF(S475="Perde",Y475,IF(AND(S475="Coperto",ABS(X475-Y475)&lt;='Impostazioni'!$B$11),ROUND((X475+Y475)/2,2),""))))))))</x:f>
      </x:c>
      <x:c r="AB475" s="20" t="str">
        <x:f>IF(NOT(ISNUMBER(AA475)),"",IF(J475="Annullato",0,IF(ISNUMBER(Q475),Q475,ROUND(MAX(0,AA475)*IF(ISNUMBER(R475),R475,'Impostazioni'!$B$8),2))))</x:f>
      </x:c>
      <x:c r="AC475" s="20" t="str">
        <x:f>IF(AND(ISNUMBER(AA475),ISNUMBER(AB475)),ROUND(AA475-AB475,2),"")</x:f>
      </x:c>
      <x:c r="AD475" s="18" t="str">
        <x:f>IF(A475="","",IF(AQ475&lt;&gt;"OK","Incompleto",IF(J475="Aperto","Aperto",IF(J475="Annullato","Annullato",IF(AC475&gt;0,"Green",IF(AC475&lt;0,"Red","Flat"))))))</x:f>
      </x:c>
      <x:c r="AE475" s="21" t="str">
        <x:f>IF(AND(AH475=1,Z475&gt;0),AC475/Z475,"")</x:f>
      </x:c>
      <x:c r="AF475" s="22" t="str">
        <x:f>IF(AH475&lt;&gt;1,"",COUNTIFS($C$8:$C$507,"&lt;"&amp;C475,$AH$8:$AH$507,1)+COUNTIFS($C$8:$C$507,C475,$A$8:$A$507,"&lt;="&amp;A475,$AH$8:$AH$507,1))</x:f>
      </x:c>
      <x:c r="AG475" s="20" t="str">
        <x:f>IF(AH475&lt;&gt;1,"",SUMIFS($AC$8:$AC$507,$C$8:$C$507,"&lt;"&amp;C475,$AH$8:$AH$507,1)+SUMIFS($AC$8:$AC$507,$C$8:$C$507,C475,$A$8:$A$507,"&lt;="&amp;A475,$AH$8:$AH$507,1))</x:f>
      </x:c>
      <x:c r="AH475" s="22" t="str">
        <x:f>IF(A475="","",IF(AND(J475="Chiuso",AQ475="OK",ISNUMBER(AC475)),1,0))</x:f>
      </x:c>
      <x:c r="AI475" s="20" t="str">
        <x:f>IF(AH475&lt;&gt;1,"",MAX(0,_xlfn.MAXIFS($AG$8:$AG$507,$AF$8:$AF$507,"&lt;="&amp;AF475,$AH$8:$AH$507,1)))</x:f>
      </x:c>
      <x:c r="AJ475" s="20" t="str">
        <x:f>IF(AH475&lt;&gt;1,"",MAX(0,AI475-AG475))</x:f>
      </x:c>
      <x:c r="AK475" s="21" t="str">
        <x:f>IF(OR(AH475&lt;&gt;1,NOT(ISNUMBER('Impostazioni'!$B$6)),'Impostazioni'!$B$6+AI475&lt;=0),"",AJ475/('Impostazioni'!$B$6+AI475))</x:f>
      </x:c>
      <x:c r="AL475" s="22" t="str">
        <x:f>IF(AH475&lt;&gt;1,"",IF(AC475&gt;0,AF475-_xlfn.MAXIFS($AF$8:$AF$507,$AF$8:$AF$507,"&lt;="&amp;AF475,$AC$8:$AC$507,"&lt;=0",$AH$8:$AH$507,1),0))</x:f>
      </x:c>
      <x:c r="AM475" s="22" t="str">
        <x:f>IF(AH475&lt;&gt;1,"",IF(AC475&lt;0,AF475-_xlfn.MAXIFS($AF$8:$AF$507,$AF$8:$AF$507,"&lt;="&amp;AF475,$AC$8:$AC$507,"&gt;=0",$AH$8:$AH$507,1),0))</x:f>
      </x:c>
      <x:c r="AN475" s="20" t="str">
        <x:f>IF(OR(A475="",NOT(ISNUMBER(B475)),NOT(ISNUMBER('Impostazioni'!$B$6))),"",'Impostazioni'!$B$6+SUMIFS($AC$8:$AC$507,$C$8:$C$507,"&lt;"&amp;B475,$AH$8:$AH$507,1)+SUMIFS('Cassa'!$F$8:$F$307,'Cassa'!$A$8:$A$307,"&lt;="&amp;B475,'Cassa'!$G$8:$G$307,"OK"))</x:f>
      </x:c>
      <x:c r="AO475" s="21" t="str">
        <x:f>IF(AND(ISNUMBER(Z475),ISNUMBER(AN475),AN475&gt;0),Z475/AN475,"")</x:f>
      </x:c>
      <x:c r="AP475" s="18" t="str">
        <x:f>IF(NOT(ISNUMBER(AO475)),"",IF(AO475&gt;'Impostazioni'!$B$7,"Oltre soglia personale","Nella soglia personale"))</x:f>
      </x:c>
      <x:c r="AQ475" s="18" t="str">
        <x:f>IF(A475="",IF(COUNTA(B475:V475)=0,"","Inserisci ID"),IF(COUNTIFS($A$8:$A$507,A475)&lt;&gt;1,"ID duplicato",IF(OR(NOT(ISNUMBER(B475)),D475="",E475="",F475="",G475="",H475="",COUNTIFS('Impostazioni'!$J$6:$J$25,F475)&lt;&gt;1),"Completa dati / elenchi",IF(OR(AND(I475&lt;&gt;"Lordo manuale",I475&lt;&gt;"Netto manuale",I475&lt;&gt;"Esecuzioni"),AND(J475&lt;&gt;"Aperto",J475&lt;&gt;"Chiuso",J475&lt;&gt;"Annullato")),"Modalità / stato mancanti",IF(AND(J475&lt;&gt;"Aperto",OR(NOT(ISNUMBER(C475)),C475&lt;B475)),"Correggi data chiusura",IF(OR(AND(Q475&lt;&gt;"",OR(NOT(ISNUMBER(Q475)),Q475&lt;0)),AND(R475&lt;&gt;"",OR(NOT(ISNUMBER(R475)),R475&lt;0,R475&gt;1))),"Commissione non valida",IF(J475="Annullato","OK",IF(OR(NOT(ISNUMBER(Z475)),Z475&lt;0,AND(O475&lt;&gt;"",NOT(ISNUMBER(O475)))),"Inserisci rischio",IF(AND(I475="Esecuzioni",OR(W475=0,COUNTIFS('Esecuzioni'!$A$8:$A$1007,A475,'Esecuzioni'!$Q$8:$Q$1007,"&lt;&gt;OK")&gt;0)),"Correggi esecuzioni",IF(J475="Aperto","OK",IF(AND(I475="Esecuzioni",S475="Coperto",ABS(X475-Y475)&gt;'Impostazioni'!$B$11),"Copertura residua",IF(NOT(ISNUMBER(AC475)),"Completa risultato / esito",IF(AND(Z475=0,AC475&lt;&gt;0),"Rischio nullo con P/L","OK")))))))))))))</x:f>
      </x:c>
      <x:c r="AR475" s="20" t="str">
        <x:f>IF(OR(A475="",J475&lt;&gt;"Aperto",AQ475&lt;&gt;"OK"),"",IF(I475="Esecuzioni",SUMIFS('Esecuzioni'!$P$8:$P$1007,'Esecuzioni'!$A$8:$A$1007,A475,'Esecuzioni'!$B$8:$B$1007,_xlfn.MAXIFS('Esecuzioni'!$B$8:$B$1007,'Esecuzioni'!$A$8:$A$1007,A475)),IF(LEFT(U475,8)="FREEBET:",0,Z475)))</x:f>
      </x:c>
      <x:c r="AS475" s="48" t="str">
        <x:f>IF(OR(A475="",E475=""),"",IF(COUNTIFS($E$8:E475,E475)=1,COUNT($AS$7:AS474)+1,""))</x:f>
      </x:c>
    </x:row>
    <x:row r="476" ht="22" customHeight="1">
      <x:c r="A476" s="7"/>
      <x:c r="B476" s="19"/>
      <x:c r="C476" s="19"/>
      <x:c r="D476" s="7"/>
      <x:c r="E476" s="7"/>
      <x:c r="F476" s="7"/>
      <x:c r="G476" s="7"/>
      <x:c r="H476" s="7"/>
      <x:c r="I476" s="7"/>
      <x:c r="J476" s="7"/>
      <x:c r="K476" s="10"/>
      <x:c r="L476" s="7"/>
      <x:c r="M476" s="10"/>
      <x:c r="N476" s="7"/>
      <x:c r="O476" s="8"/>
      <x:c r="P476" s="8"/>
      <x:c r="Q476" s="8"/>
      <x:c r="R476" s="9"/>
      <x:c r="S476" s="7"/>
      <x:c r="T476" s="7"/>
      <x:c r="U476" s="7"/>
      <x:c r="V476" s="7"/>
      <x:c r="W476" s="22" t="str">
        <x:f>IF(A476="","",COUNTIFS('Esecuzioni'!$A$8:$A$1007,A476,'Esecuzioni'!$Q$8:$Q$1007,"OK"))</x:f>
      </x:c>
      <x:c r="X476" s="20" t="str">
        <x:f>IF(OR(A476="",I476&lt;&gt;"Esecuzioni",W476=0),"",SUMIFS('Esecuzioni'!$L$8:$L$1007,'Esecuzioni'!$A$8:$A$1007,A476))</x:f>
      </x:c>
      <x:c r="Y476" s="20" t="str">
        <x:f>IF(OR(A476="",I476&lt;&gt;"Esecuzioni",W476=0),"",SUMIFS('Esecuzioni'!$M$8:$M$1007,'Esecuzioni'!$A$8:$A$1007,A476))</x:f>
      </x:c>
      <x:c r="Z476" s="20" t="str">
        <x:f>IF(A476="","",IF(J476="Annullato",0,IF(ISNUMBER(O476),O476,IF(AND(I476="Esecuzioni",W476&gt;0),_xlfn.MAXIFS('Esecuzioni'!$P$8:$P$1007,'Esecuzioni'!$A$8:$A$1007,A476),""))))</x:f>
      </x:c>
      <x:c r="AA476" s="20" t="str">
        <x:f>IF(OR(A476="",J476="Aperto"),"",IF(J476="Annullato",0,IF(I476="Lordo manuale",IF(ISNUMBER(P476),P476,""),IF(I476="Netto manuale",IF(AND(ISNUMBER(P476),ISNUMBER(Q476)),P476+Q476,""),IF(OR(W476=0,COUNTIFS('Esecuzioni'!$A$8:$A$1007,A476,'Esecuzioni'!$Q$8:$Q$1007,"&lt;&gt;OK")&gt;0),"",IF(S476="Vince",X476,IF(S476="Perde",Y476,IF(AND(S476="Coperto",ABS(X476-Y476)&lt;='Impostazioni'!$B$11),ROUND((X476+Y476)/2,2),""))))))))</x:f>
      </x:c>
      <x:c r="AB476" s="20" t="str">
        <x:f>IF(NOT(ISNUMBER(AA476)),"",IF(J476="Annullato",0,IF(ISNUMBER(Q476),Q476,ROUND(MAX(0,AA476)*IF(ISNUMBER(R476),R476,'Impostazioni'!$B$8),2))))</x:f>
      </x:c>
      <x:c r="AC476" s="20" t="str">
        <x:f>IF(AND(ISNUMBER(AA476),ISNUMBER(AB476)),ROUND(AA476-AB476,2),"")</x:f>
      </x:c>
      <x:c r="AD476" s="18" t="str">
        <x:f>IF(A476="","",IF(AQ476&lt;&gt;"OK","Incompleto",IF(J476="Aperto","Aperto",IF(J476="Annullato","Annullato",IF(AC476&gt;0,"Green",IF(AC476&lt;0,"Red","Flat"))))))</x:f>
      </x:c>
      <x:c r="AE476" s="21" t="str">
        <x:f>IF(AND(AH476=1,Z476&gt;0),AC476/Z476,"")</x:f>
      </x:c>
      <x:c r="AF476" s="22" t="str">
        <x:f>IF(AH476&lt;&gt;1,"",COUNTIFS($C$8:$C$507,"&lt;"&amp;C476,$AH$8:$AH$507,1)+COUNTIFS($C$8:$C$507,C476,$A$8:$A$507,"&lt;="&amp;A476,$AH$8:$AH$507,1))</x:f>
      </x:c>
      <x:c r="AG476" s="20" t="str">
        <x:f>IF(AH476&lt;&gt;1,"",SUMIFS($AC$8:$AC$507,$C$8:$C$507,"&lt;"&amp;C476,$AH$8:$AH$507,1)+SUMIFS($AC$8:$AC$507,$C$8:$C$507,C476,$A$8:$A$507,"&lt;="&amp;A476,$AH$8:$AH$507,1))</x:f>
      </x:c>
      <x:c r="AH476" s="22" t="str">
        <x:f>IF(A476="","",IF(AND(J476="Chiuso",AQ476="OK",ISNUMBER(AC476)),1,0))</x:f>
      </x:c>
      <x:c r="AI476" s="20" t="str">
        <x:f>IF(AH476&lt;&gt;1,"",MAX(0,_xlfn.MAXIFS($AG$8:$AG$507,$AF$8:$AF$507,"&lt;="&amp;AF476,$AH$8:$AH$507,1)))</x:f>
      </x:c>
      <x:c r="AJ476" s="20" t="str">
        <x:f>IF(AH476&lt;&gt;1,"",MAX(0,AI476-AG476))</x:f>
      </x:c>
      <x:c r="AK476" s="21" t="str">
        <x:f>IF(OR(AH476&lt;&gt;1,NOT(ISNUMBER('Impostazioni'!$B$6)),'Impostazioni'!$B$6+AI476&lt;=0),"",AJ476/('Impostazioni'!$B$6+AI476))</x:f>
      </x:c>
      <x:c r="AL476" s="22" t="str">
        <x:f>IF(AH476&lt;&gt;1,"",IF(AC476&gt;0,AF476-_xlfn.MAXIFS($AF$8:$AF$507,$AF$8:$AF$507,"&lt;="&amp;AF476,$AC$8:$AC$507,"&lt;=0",$AH$8:$AH$507,1),0))</x:f>
      </x:c>
      <x:c r="AM476" s="22" t="str">
        <x:f>IF(AH476&lt;&gt;1,"",IF(AC476&lt;0,AF476-_xlfn.MAXIFS($AF$8:$AF$507,$AF$8:$AF$507,"&lt;="&amp;AF476,$AC$8:$AC$507,"&gt;=0",$AH$8:$AH$507,1),0))</x:f>
      </x:c>
      <x:c r="AN476" s="20" t="str">
        <x:f>IF(OR(A476="",NOT(ISNUMBER(B476)),NOT(ISNUMBER('Impostazioni'!$B$6))),"",'Impostazioni'!$B$6+SUMIFS($AC$8:$AC$507,$C$8:$C$507,"&lt;"&amp;B476,$AH$8:$AH$507,1)+SUMIFS('Cassa'!$F$8:$F$307,'Cassa'!$A$8:$A$307,"&lt;="&amp;B476,'Cassa'!$G$8:$G$307,"OK"))</x:f>
      </x:c>
      <x:c r="AO476" s="21" t="str">
        <x:f>IF(AND(ISNUMBER(Z476),ISNUMBER(AN476),AN476&gt;0),Z476/AN476,"")</x:f>
      </x:c>
      <x:c r="AP476" s="18" t="str">
        <x:f>IF(NOT(ISNUMBER(AO476)),"",IF(AO476&gt;'Impostazioni'!$B$7,"Oltre soglia personale","Nella soglia personale"))</x:f>
      </x:c>
      <x:c r="AQ476" s="18" t="str">
        <x:f>IF(A476="",IF(COUNTA(B476:V476)=0,"","Inserisci ID"),IF(COUNTIFS($A$8:$A$507,A476)&lt;&gt;1,"ID duplicato",IF(OR(NOT(ISNUMBER(B476)),D476="",E476="",F476="",G476="",H476="",COUNTIFS('Impostazioni'!$J$6:$J$25,F476)&lt;&gt;1),"Completa dati / elenchi",IF(OR(AND(I476&lt;&gt;"Lordo manuale",I476&lt;&gt;"Netto manuale",I476&lt;&gt;"Esecuzioni"),AND(J476&lt;&gt;"Aperto",J476&lt;&gt;"Chiuso",J476&lt;&gt;"Annullato")),"Modalità / stato mancanti",IF(AND(J476&lt;&gt;"Aperto",OR(NOT(ISNUMBER(C476)),C476&lt;B476)),"Correggi data chiusura",IF(OR(AND(Q476&lt;&gt;"",OR(NOT(ISNUMBER(Q476)),Q476&lt;0)),AND(R476&lt;&gt;"",OR(NOT(ISNUMBER(R476)),R476&lt;0,R476&gt;1))),"Commissione non valida",IF(J476="Annullato","OK",IF(OR(NOT(ISNUMBER(Z476)),Z476&lt;0,AND(O476&lt;&gt;"",NOT(ISNUMBER(O476)))),"Inserisci rischio",IF(AND(I476="Esecuzioni",OR(W476=0,COUNTIFS('Esecuzioni'!$A$8:$A$1007,A476,'Esecuzioni'!$Q$8:$Q$1007,"&lt;&gt;OK")&gt;0)),"Correggi esecuzioni",IF(J476="Aperto","OK",IF(AND(I476="Esecuzioni",S476="Coperto",ABS(X476-Y476)&gt;'Impostazioni'!$B$11),"Copertura residua",IF(NOT(ISNUMBER(AC476)),"Completa risultato / esito",IF(AND(Z476=0,AC476&lt;&gt;0),"Rischio nullo con P/L","OK")))))))))))))</x:f>
      </x:c>
      <x:c r="AR476" s="20" t="str">
        <x:f>IF(OR(A476="",J476&lt;&gt;"Aperto",AQ476&lt;&gt;"OK"),"",IF(I476="Esecuzioni",SUMIFS('Esecuzioni'!$P$8:$P$1007,'Esecuzioni'!$A$8:$A$1007,A476,'Esecuzioni'!$B$8:$B$1007,_xlfn.MAXIFS('Esecuzioni'!$B$8:$B$1007,'Esecuzioni'!$A$8:$A$1007,A476)),IF(LEFT(U476,8)="FREEBET:",0,Z476)))</x:f>
      </x:c>
      <x:c r="AS476" s="48" t="str">
        <x:f>IF(OR(A476="",E476=""),"",IF(COUNTIFS($E$8:E476,E476)=1,COUNT($AS$7:AS475)+1,""))</x:f>
      </x:c>
    </x:row>
    <x:row r="477" ht="22" customHeight="1">
      <x:c r="A477" s="7"/>
      <x:c r="B477" s="19"/>
      <x:c r="C477" s="19"/>
      <x:c r="D477" s="7"/>
      <x:c r="E477" s="7"/>
      <x:c r="F477" s="7"/>
      <x:c r="G477" s="7"/>
      <x:c r="H477" s="7"/>
      <x:c r="I477" s="7"/>
      <x:c r="J477" s="7"/>
      <x:c r="K477" s="10"/>
      <x:c r="L477" s="7"/>
      <x:c r="M477" s="10"/>
      <x:c r="N477" s="7"/>
      <x:c r="O477" s="8"/>
      <x:c r="P477" s="8"/>
      <x:c r="Q477" s="8"/>
      <x:c r="R477" s="9"/>
      <x:c r="S477" s="7"/>
      <x:c r="T477" s="7"/>
      <x:c r="U477" s="7"/>
      <x:c r="V477" s="7"/>
      <x:c r="W477" s="22" t="str">
        <x:f>IF(A477="","",COUNTIFS('Esecuzioni'!$A$8:$A$1007,A477,'Esecuzioni'!$Q$8:$Q$1007,"OK"))</x:f>
      </x:c>
      <x:c r="X477" s="20" t="str">
        <x:f>IF(OR(A477="",I477&lt;&gt;"Esecuzioni",W477=0),"",SUMIFS('Esecuzioni'!$L$8:$L$1007,'Esecuzioni'!$A$8:$A$1007,A477))</x:f>
      </x:c>
      <x:c r="Y477" s="20" t="str">
        <x:f>IF(OR(A477="",I477&lt;&gt;"Esecuzioni",W477=0),"",SUMIFS('Esecuzioni'!$M$8:$M$1007,'Esecuzioni'!$A$8:$A$1007,A477))</x:f>
      </x:c>
      <x:c r="Z477" s="20" t="str">
        <x:f>IF(A477="","",IF(J477="Annullato",0,IF(ISNUMBER(O477),O477,IF(AND(I477="Esecuzioni",W477&gt;0),_xlfn.MAXIFS('Esecuzioni'!$P$8:$P$1007,'Esecuzioni'!$A$8:$A$1007,A477),""))))</x:f>
      </x:c>
      <x:c r="AA477" s="20" t="str">
        <x:f>IF(OR(A477="",J477="Aperto"),"",IF(J477="Annullato",0,IF(I477="Lordo manuale",IF(ISNUMBER(P477),P477,""),IF(I477="Netto manuale",IF(AND(ISNUMBER(P477),ISNUMBER(Q477)),P477+Q477,""),IF(OR(W477=0,COUNTIFS('Esecuzioni'!$A$8:$A$1007,A477,'Esecuzioni'!$Q$8:$Q$1007,"&lt;&gt;OK")&gt;0),"",IF(S477="Vince",X477,IF(S477="Perde",Y477,IF(AND(S477="Coperto",ABS(X477-Y477)&lt;='Impostazioni'!$B$11),ROUND((X477+Y477)/2,2),""))))))))</x:f>
      </x:c>
      <x:c r="AB477" s="20" t="str">
        <x:f>IF(NOT(ISNUMBER(AA477)),"",IF(J477="Annullato",0,IF(ISNUMBER(Q477),Q477,ROUND(MAX(0,AA477)*IF(ISNUMBER(R477),R477,'Impostazioni'!$B$8),2))))</x:f>
      </x:c>
      <x:c r="AC477" s="20" t="str">
        <x:f>IF(AND(ISNUMBER(AA477),ISNUMBER(AB477)),ROUND(AA477-AB477,2),"")</x:f>
      </x:c>
      <x:c r="AD477" s="18" t="str">
        <x:f>IF(A477="","",IF(AQ477&lt;&gt;"OK","Incompleto",IF(J477="Aperto","Aperto",IF(J477="Annullato","Annullato",IF(AC477&gt;0,"Green",IF(AC477&lt;0,"Red","Flat"))))))</x:f>
      </x:c>
      <x:c r="AE477" s="21" t="str">
        <x:f>IF(AND(AH477=1,Z477&gt;0),AC477/Z477,"")</x:f>
      </x:c>
      <x:c r="AF477" s="22" t="str">
        <x:f>IF(AH477&lt;&gt;1,"",COUNTIFS($C$8:$C$507,"&lt;"&amp;C477,$AH$8:$AH$507,1)+COUNTIFS($C$8:$C$507,C477,$A$8:$A$507,"&lt;="&amp;A477,$AH$8:$AH$507,1))</x:f>
      </x:c>
      <x:c r="AG477" s="20" t="str">
        <x:f>IF(AH477&lt;&gt;1,"",SUMIFS($AC$8:$AC$507,$C$8:$C$507,"&lt;"&amp;C477,$AH$8:$AH$507,1)+SUMIFS($AC$8:$AC$507,$C$8:$C$507,C477,$A$8:$A$507,"&lt;="&amp;A477,$AH$8:$AH$507,1))</x:f>
      </x:c>
      <x:c r="AH477" s="22" t="str">
        <x:f>IF(A477="","",IF(AND(J477="Chiuso",AQ477="OK",ISNUMBER(AC477)),1,0))</x:f>
      </x:c>
      <x:c r="AI477" s="20" t="str">
        <x:f>IF(AH477&lt;&gt;1,"",MAX(0,_xlfn.MAXIFS($AG$8:$AG$507,$AF$8:$AF$507,"&lt;="&amp;AF477,$AH$8:$AH$507,1)))</x:f>
      </x:c>
      <x:c r="AJ477" s="20" t="str">
        <x:f>IF(AH477&lt;&gt;1,"",MAX(0,AI477-AG477))</x:f>
      </x:c>
      <x:c r="AK477" s="21" t="str">
        <x:f>IF(OR(AH477&lt;&gt;1,NOT(ISNUMBER('Impostazioni'!$B$6)),'Impostazioni'!$B$6+AI477&lt;=0),"",AJ477/('Impostazioni'!$B$6+AI477))</x:f>
      </x:c>
      <x:c r="AL477" s="22" t="str">
        <x:f>IF(AH477&lt;&gt;1,"",IF(AC477&gt;0,AF477-_xlfn.MAXIFS($AF$8:$AF$507,$AF$8:$AF$507,"&lt;="&amp;AF477,$AC$8:$AC$507,"&lt;=0",$AH$8:$AH$507,1),0))</x:f>
      </x:c>
      <x:c r="AM477" s="22" t="str">
        <x:f>IF(AH477&lt;&gt;1,"",IF(AC477&lt;0,AF477-_xlfn.MAXIFS($AF$8:$AF$507,$AF$8:$AF$507,"&lt;="&amp;AF477,$AC$8:$AC$507,"&gt;=0",$AH$8:$AH$507,1),0))</x:f>
      </x:c>
      <x:c r="AN477" s="20" t="str">
        <x:f>IF(OR(A477="",NOT(ISNUMBER(B477)),NOT(ISNUMBER('Impostazioni'!$B$6))),"",'Impostazioni'!$B$6+SUMIFS($AC$8:$AC$507,$C$8:$C$507,"&lt;"&amp;B477,$AH$8:$AH$507,1)+SUMIFS('Cassa'!$F$8:$F$307,'Cassa'!$A$8:$A$307,"&lt;="&amp;B477,'Cassa'!$G$8:$G$307,"OK"))</x:f>
      </x:c>
      <x:c r="AO477" s="21" t="str">
        <x:f>IF(AND(ISNUMBER(Z477),ISNUMBER(AN477),AN477&gt;0),Z477/AN477,"")</x:f>
      </x:c>
      <x:c r="AP477" s="18" t="str">
        <x:f>IF(NOT(ISNUMBER(AO477)),"",IF(AO477&gt;'Impostazioni'!$B$7,"Oltre soglia personale","Nella soglia personale"))</x:f>
      </x:c>
      <x:c r="AQ477" s="18" t="str">
        <x:f>IF(A477="",IF(COUNTA(B477:V477)=0,"","Inserisci ID"),IF(COUNTIFS($A$8:$A$507,A477)&lt;&gt;1,"ID duplicato",IF(OR(NOT(ISNUMBER(B477)),D477="",E477="",F477="",G477="",H477="",COUNTIFS('Impostazioni'!$J$6:$J$25,F477)&lt;&gt;1),"Completa dati / elenchi",IF(OR(AND(I477&lt;&gt;"Lordo manuale",I477&lt;&gt;"Netto manuale",I477&lt;&gt;"Esecuzioni"),AND(J477&lt;&gt;"Aperto",J477&lt;&gt;"Chiuso",J477&lt;&gt;"Annullato")),"Modalità / stato mancanti",IF(AND(J477&lt;&gt;"Aperto",OR(NOT(ISNUMBER(C477)),C477&lt;B477)),"Correggi data chiusura",IF(OR(AND(Q477&lt;&gt;"",OR(NOT(ISNUMBER(Q477)),Q477&lt;0)),AND(R477&lt;&gt;"",OR(NOT(ISNUMBER(R477)),R477&lt;0,R477&gt;1))),"Commissione non valida",IF(J477="Annullato","OK",IF(OR(NOT(ISNUMBER(Z477)),Z477&lt;0,AND(O477&lt;&gt;"",NOT(ISNUMBER(O477)))),"Inserisci rischio",IF(AND(I477="Esecuzioni",OR(W477=0,COUNTIFS('Esecuzioni'!$A$8:$A$1007,A477,'Esecuzioni'!$Q$8:$Q$1007,"&lt;&gt;OK")&gt;0)),"Correggi esecuzioni",IF(J477="Aperto","OK",IF(AND(I477="Esecuzioni",S477="Coperto",ABS(X477-Y477)&gt;'Impostazioni'!$B$11),"Copertura residua",IF(NOT(ISNUMBER(AC477)),"Completa risultato / esito",IF(AND(Z477=0,AC477&lt;&gt;0),"Rischio nullo con P/L","OK")))))))))))))</x:f>
      </x:c>
      <x:c r="AR477" s="20" t="str">
        <x:f>IF(OR(A477="",J477&lt;&gt;"Aperto",AQ477&lt;&gt;"OK"),"",IF(I477="Esecuzioni",SUMIFS('Esecuzioni'!$P$8:$P$1007,'Esecuzioni'!$A$8:$A$1007,A477,'Esecuzioni'!$B$8:$B$1007,_xlfn.MAXIFS('Esecuzioni'!$B$8:$B$1007,'Esecuzioni'!$A$8:$A$1007,A477)),IF(LEFT(U477,8)="FREEBET:",0,Z477)))</x:f>
      </x:c>
      <x:c r="AS477" s="48" t="str">
        <x:f>IF(OR(A477="",E477=""),"",IF(COUNTIFS($E$8:E477,E477)=1,COUNT($AS$7:AS476)+1,""))</x:f>
      </x:c>
    </x:row>
    <x:row r="478" ht="22" customHeight="1">
      <x:c r="A478" s="7"/>
      <x:c r="B478" s="19"/>
      <x:c r="C478" s="19"/>
      <x:c r="D478" s="7"/>
      <x:c r="E478" s="7"/>
      <x:c r="F478" s="7"/>
      <x:c r="G478" s="7"/>
      <x:c r="H478" s="7"/>
      <x:c r="I478" s="7"/>
      <x:c r="J478" s="7"/>
      <x:c r="K478" s="10"/>
      <x:c r="L478" s="7"/>
      <x:c r="M478" s="10"/>
      <x:c r="N478" s="7"/>
      <x:c r="O478" s="8"/>
      <x:c r="P478" s="8"/>
      <x:c r="Q478" s="8"/>
      <x:c r="R478" s="9"/>
      <x:c r="S478" s="7"/>
      <x:c r="T478" s="7"/>
      <x:c r="U478" s="7"/>
      <x:c r="V478" s="7"/>
      <x:c r="W478" s="22" t="str">
        <x:f>IF(A478="","",COUNTIFS('Esecuzioni'!$A$8:$A$1007,A478,'Esecuzioni'!$Q$8:$Q$1007,"OK"))</x:f>
      </x:c>
      <x:c r="X478" s="20" t="str">
        <x:f>IF(OR(A478="",I478&lt;&gt;"Esecuzioni",W478=0),"",SUMIFS('Esecuzioni'!$L$8:$L$1007,'Esecuzioni'!$A$8:$A$1007,A478))</x:f>
      </x:c>
      <x:c r="Y478" s="20" t="str">
        <x:f>IF(OR(A478="",I478&lt;&gt;"Esecuzioni",W478=0),"",SUMIFS('Esecuzioni'!$M$8:$M$1007,'Esecuzioni'!$A$8:$A$1007,A478))</x:f>
      </x:c>
      <x:c r="Z478" s="20" t="str">
        <x:f>IF(A478="","",IF(J478="Annullato",0,IF(ISNUMBER(O478),O478,IF(AND(I478="Esecuzioni",W478&gt;0),_xlfn.MAXIFS('Esecuzioni'!$P$8:$P$1007,'Esecuzioni'!$A$8:$A$1007,A478),""))))</x:f>
      </x:c>
      <x:c r="AA478" s="20" t="str">
        <x:f>IF(OR(A478="",J478="Aperto"),"",IF(J478="Annullato",0,IF(I478="Lordo manuale",IF(ISNUMBER(P478),P478,""),IF(I478="Netto manuale",IF(AND(ISNUMBER(P478),ISNUMBER(Q478)),P478+Q478,""),IF(OR(W478=0,COUNTIFS('Esecuzioni'!$A$8:$A$1007,A478,'Esecuzioni'!$Q$8:$Q$1007,"&lt;&gt;OK")&gt;0),"",IF(S478="Vince",X478,IF(S478="Perde",Y478,IF(AND(S478="Coperto",ABS(X478-Y478)&lt;='Impostazioni'!$B$11),ROUND((X478+Y478)/2,2),""))))))))</x:f>
      </x:c>
      <x:c r="AB478" s="20" t="str">
        <x:f>IF(NOT(ISNUMBER(AA478)),"",IF(J478="Annullato",0,IF(ISNUMBER(Q478),Q478,ROUND(MAX(0,AA478)*IF(ISNUMBER(R478),R478,'Impostazioni'!$B$8),2))))</x:f>
      </x:c>
      <x:c r="AC478" s="20" t="str">
        <x:f>IF(AND(ISNUMBER(AA478),ISNUMBER(AB478)),ROUND(AA478-AB478,2),"")</x:f>
      </x:c>
      <x:c r="AD478" s="18" t="str">
        <x:f>IF(A478="","",IF(AQ478&lt;&gt;"OK","Incompleto",IF(J478="Aperto","Aperto",IF(J478="Annullato","Annullato",IF(AC478&gt;0,"Green",IF(AC478&lt;0,"Red","Flat"))))))</x:f>
      </x:c>
      <x:c r="AE478" s="21" t="str">
        <x:f>IF(AND(AH478=1,Z478&gt;0),AC478/Z478,"")</x:f>
      </x:c>
      <x:c r="AF478" s="22" t="str">
        <x:f>IF(AH478&lt;&gt;1,"",COUNTIFS($C$8:$C$507,"&lt;"&amp;C478,$AH$8:$AH$507,1)+COUNTIFS($C$8:$C$507,C478,$A$8:$A$507,"&lt;="&amp;A478,$AH$8:$AH$507,1))</x:f>
      </x:c>
      <x:c r="AG478" s="20" t="str">
        <x:f>IF(AH478&lt;&gt;1,"",SUMIFS($AC$8:$AC$507,$C$8:$C$507,"&lt;"&amp;C478,$AH$8:$AH$507,1)+SUMIFS($AC$8:$AC$507,$C$8:$C$507,C478,$A$8:$A$507,"&lt;="&amp;A478,$AH$8:$AH$507,1))</x:f>
      </x:c>
      <x:c r="AH478" s="22" t="str">
        <x:f>IF(A478="","",IF(AND(J478="Chiuso",AQ478="OK",ISNUMBER(AC478)),1,0))</x:f>
      </x:c>
      <x:c r="AI478" s="20" t="str">
        <x:f>IF(AH478&lt;&gt;1,"",MAX(0,_xlfn.MAXIFS($AG$8:$AG$507,$AF$8:$AF$507,"&lt;="&amp;AF478,$AH$8:$AH$507,1)))</x:f>
      </x:c>
      <x:c r="AJ478" s="20" t="str">
        <x:f>IF(AH478&lt;&gt;1,"",MAX(0,AI478-AG478))</x:f>
      </x:c>
      <x:c r="AK478" s="21" t="str">
        <x:f>IF(OR(AH478&lt;&gt;1,NOT(ISNUMBER('Impostazioni'!$B$6)),'Impostazioni'!$B$6+AI478&lt;=0),"",AJ478/('Impostazioni'!$B$6+AI478))</x:f>
      </x:c>
      <x:c r="AL478" s="22" t="str">
        <x:f>IF(AH478&lt;&gt;1,"",IF(AC478&gt;0,AF478-_xlfn.MAXIFS($AF$8:$AF$507,$AF$8:$AF$507,"&lt;="&amp;AF478,$AC$8:$AC$507,"&lt;=0",$AH$8:$AH$507,1),0))</x:f>
      </x:c>
      <x:c r="AM478" s="22" t="str">
        <x:f>IF(AH478&lt;&gt;1,"",IF(AC478&lt;0,AF478-_xlfn.MAXIFS($AF$8:$AF$507,$AF$8:$AF$507,"&lt;="&amp;AF478,$AC$8:$AC$507,"&gt;=0",$AH$8:$AH$507,1),0))</x:f>
      </x:c>
      <x:c r="AN478" s="20" t="str">
        <x:f>IF(OR(A478="",NOT(ISNUMBER(B478)),NOT(ISNUMBER('Impostazioni'!$B$6))),"",'Impostazioni'!$B$6+SUMIFS($AC$8:$AC$507,$C$8:$C$507,"&lt;"&amp;B478,$AH$8:$AH$507,1)+SUMIFS('Cassa'!$F$8:$F$307,'Cassa'!$A$8:$A$307,"&lt;="&amp;B478,'Cassa'!$G$8:$G$307,"OK"))</x:f>
      </x:c>
      <x:c r="AO478" s="21" t="str">
        <x:f>IF(AND(ISNUMBER(Z478),ISNUMBER(AN478),AN478&gt;0),Z478/AN478,"")</x:f>
      </x:c>
      <x:c r="AP478" s="18" t="str">
        <x:f>IF(NOT(ISNUMBER(AO478)),"",IF(AO478&gt;'Impostazioni'!$B$7,"Oltre soglia personale","Nella soglia personale"))</x:f>
      </x:c>
      <x:c r="AQ478" s="18" t="str">
        <x:f>IF(A478="",IF(COUNTA(B478:V478)=0,"","Inserisci ID"),IF(COUNTIFS($A$8:$A$507,A478)&lt;&gt;1,"ID duplicato",IF(OR(NOT(ISNUMBER(B478)),D478="",E478="",F478="",G478="",H478="",COUNTIFS('Impostazioni'!$J$6:$J$25,F478)&lt;&gt;1),"Completa dati / elenchi",IF(OR(AND(I478&lt;&gt;"Lordo manuale",I478&lt;&gt;"Netto manuale",I478&lt;&gt;"Esecuzioni"),AND(J478&lt;&gt;"Aperto",J478&lt;&gt;"Chiuso",J478&lt;&gt;"Annullato")),"Modalità / stato mancanti",IF(AND(J478&lt;&gt;"Aperto",OR(NOT(ISNUMBER(C478)),C478&lt;B478)),"Correggi data chiusura",IF(OR(AND(Q478&lt;&gt;"",OR(NOT(ISNUMBER(Q478)),Q478&lt;0)),AND(R478&lt;&gt;"",OR(NOT(ISNUMBER(R478)),R478&lt;0,R478&gt;1))),"Commissione non valida",IF(J478="Annullato","OK",IF(OR(NOT(ISNUMBER(Z478)),Z478&lt;0,AND(O478&lt;&gt;"",NOT(ISNUMBER(O478)))),"Inserisci rischio",IF(AND(I478="Esecuzioni",OR(W478=0,COUNTIFS('Esecuzioni'!$A$8:$A$1007,A478,'Esecuzioni'!$Q$8:$Q$1007,"&lt;&gt;OK")&gt;0)),"Correggi esecuzioni",IF(J478="Aperto","OK",IF(AND(I478="Esecuzioni",S478="Coperto",ABS(X478-Y478)&gt;'Impostazioni'!$B$11),"Copertura residua",IF(NOT(ISNUMBER(AC478)),"Completa risultato / esito",IF(AND(Z478=0,AC478&lt;&gt;0),"Rischio nullo con P/L","OK")))))))))))))</x:f>
      </x:c>
      <x:c r="AR478" s="20" t="str">
        <x:f>IF(OR(A478="",J478&lt;&gt;"Aperto",AQ478&lt;&gt;"OK"),"",IF(I478="Esecuzioni",SUMIFS('Esecuzioni'!$P$8:$P$1007,'Esecuzioni'!$A$8:$A$1007,A478,'Esecuzioni'!$B$8:$B$1007,_xlfn.MAXIFS('Esecuzioni'!$B$8:$B$1007,'Esecuzioni'!$A$8:$A$1007,A478)),IF(LEFT(U478,8)="FREEBET:",0,Z478)))</x:f>
      </x:c>
      <x:c r="AS478" s="48" t="str">
        <x:f>IF(OR(A478="",E478=""),"",IF(COUNTIFS($E$8:E478,E478)=1,COUNT($AS$7:AS477)+1,""))</x:f>
      </x:c>
    </x:row>
    <x:row r="479" ht="22" customHeight="1">
      <x:c r="A479" s="7"/>
      <x:c r="B479" s="19"/>
      <x:c r="C479" s="19"/>
      <x:c r="D479" s="7"/>
      <x:c r="E479" s="7"/>
      <x:c r="F479" s="7"/>
      <x:c r="G479" s="7"/>
      <x:c r="H479" s="7"/>
      <x:c r="I479" s="7"/>
      <x:c r="J479" s="7"/>
      <x:c r="K479" s="10"/>
      <x:c r="L479" s="7"/>
      <x:c r="M479" s="10"/>
      <x:c r="N479" s="7"/>
      <x:c r="O479" s="8"/>
      <x:c r="P479" s="8"/>
      <x:c r="Q479" s="8"/>
      <x:c r="R479" s="9"/>
      <x:c r="S479" s="7"/>
      <x:c r="T479" s="7"/>
      <x:c r="U479" s="7"/>
      <x:c r="V479" s="7"/>
      <x:c r="W479" s="22" t="str">
        <x:f>IF(A479="","",COUNTIFS('Esecuzioni'!$A$8:$A$1007,A479,'Esecuzioni'!$Q$8:$Q$1007,"OK"))</x:f>
      </x:c>
      <x:c r="X479" s="20" t="str">
        <x:f>IF(OR(A479="",I479&lt;&gt;"Esecuzioni",W479=0),"",SUMIFS('Esecuzioni'!$L$8:$L$1007,'Esecuzioni'!$A$8:$A$1007,A479))</x:f>
      </x:c>
      <x:c r="Y479" s="20" t="str">
        <x:f>IF(OR(A479="",I479&lt;&gt;"Esecuzioni",W479=0),"",SUMIFS('Esecuzioni'!$M$8:$M$1007,'Esecuzioni'!$A$8:$A$1007,A479))</x:f>
      </x:c>
      <x:c r="Z479" s="20" t="str">
        <x:f>IF(A479="","",IF(J479="Annullato",0,IF(ISNUMBER(O479),O479,IF(AND(I479="Esecuzioni",W479&gt;0),_xlfn.MAXIFS('Esecuzioni'!$P$8:$P$1007,'Esecuzioni'!$A$8:$A$1007,A479),""))))</x:f>
      </x:c>
      <x:c r="AA479" s="20" t="str">
        <x:f>IF(OR(A479="",J479="Aperto"),"",IF(J479="Annullato",0,IF(I479="Lordo manuale",IF(ISNUMBER(P479),P479,""),IF(I479="Netto manuale",IF(AND(ISNUMBER(P479),ISNUMBER(Q479)),P479+Q479,""),IF(OR(W479=0,COUNTIFS('Esecuzioni'!$A$8:$A$1007,A479,'Esecuzioni'!$Q$8:$Q$1007,"&lt;&gt;OK")&gt;0),"",IF(S479="Vince",X479,IF(S479="Perde",Y479,IF(AND(S479="Coperto",ABS(X479-Y479)&lt;='Impostazioni'!$B$11),ROUND((X479+Y479)/2,2),""))))))))</x:f>
      </x:c>
      <x:c r="AB479" s="20" t="str">
        <x:f>IF(NOT(ISNUMBER(AA479)),"",IF(J479="Annullato",0,IF(ISNUMBER(Q479),Q479,ROUND(MAX(0,AA479)*IF(ISNUMBER(R479),R479,'Impostazioni'!$B$8),2))))</x:f>
      </x:c>
      <x:c r="AC479" s="20" t="str">
        <x:f>IF(AND(ISNUMBER(AA479),ISNUMBER(AB479)),ROUND(AA479-AB479,2),"")</x:f>
      </x:c>
      <x:c r="AD479" s="18" t="str">
        <x:f>IF(A479="","",IF(AQ479&lt;&gt;"OK","Incompleto",IF(J479="Aperto","Aperto",IF(J479="Annullato","Annullato",IF(AC479&gt;0,"Green",IF(AC479&lt;0,"Red","Flat"))))))</x:f>
      </x:c>
      <x:c r="AE479" s="21" t="str">
        <x:f>IF(AND(AH479=1,Z479&gt;0),AC479/Z479,"")</x:f>
      </x:c>
      <x:c r="AF479" s="22" t="str">
        <x:f>IF(AH479&lt;&gt;1,"",COUNTIFS($C$8:$C$507,"&lt;"&amp;C479,$AH$8:$AH$507,1)+COUNTIFS($C$8:$C$507,C479,$A$8:$A$507,"&lt;="&amp;A479,$AH$8:$AH$507,1))</x:f>
      </x:c>
      <x:c r="AG479" s="20" t="str">
        <x:f>IF(AH479&lt;&gt;1,"",SUMIFS($AC$8:$AC$507,$C$8:$C$507,"&lt;"&amp;C479,$AH$8:$AH$507,1)+SUMIFS($AC$8:$AC$507,$C$8:$C$507,C479,$A$8:$A$507,"&lt;="&amp;A479,$AH$8:$AH$507,1))</x:f>
      </x:c>
      <x:c r="AH479" s="22" t="str">
        <x:f>IF(A479="","",IF(AND(J479="Chiuso",AQ479="OK",ISNUMBER(AC479)),1,0))</x:f>
      </x:c>
      <x:c r="AI479" s="20" t="str">
        <x:f>IF(AH479&lt;&gt;1,"",MAX(0,_xlfn.MAXIFS($AG$8:$AG$507,$AF$8:$AF$507,"&lt;="&amp;AF479,$AH$8:$AH$507,1)))</x:f>
      </x:c>
      <x:c r="AJ479" s="20" t="str">
        <x:f>IF(AH479&lt;&gt;1,"",MAX(0,AI479-AG479))</x:f>
      </x:c>
      <x:c r="AK479" s="21" t="str">
        <x:f>IF(OR(AH479&lt;&gt;1,NOT(ISNUMBER('Impostazioni'!$B$6)),'Impostazioni'!$B$6+AI479&lt;=0),"",AJ479/('Impostazioni'!$B$6+AI479))</x:f>
      </x:c>
      <x:c r="AL479" s="22" t="str">
        <x:f>IF(AH479&lt;&gt;1,"",IF(AC479&gt;0,AF479-_xlfn.MAXIFS($AF$8:$AF$507,$AF$8:$AF$507,"&lt;="&amp;AF479,$AC$8:$AC$507,"&lt;=0",$AH$8:$AH$507,1),0))</x:f>
      </x:c>
      <x:c r="AM479" s="22" t="str">
        <x:f>IF(AH479&lt;&gt;1,"",IF(AC479&lt;0,AF479-_xlfn.MAXIFS($AF$8:$AF$507,$AF$8:$AF$507,"&lt;="&amp;AF479,$AC$8:$AC$507,"&gt;=0",$AH$8:$AH$507,1),0))</x:f>
      </x:c>
      <x:c r="AN479" s="20" t="str">
        <x:f>IF(OR(A479="",NOT(ISNUMBER(B479)),NOT(ISNUMBER('Impostazioni'!$B$6))),"",'Impostazioni'!$B$6+SUMIFS($AC$8:$AC$507,$C$8:$C$507,"&lt;"&amp;B479,$AH$8:$AH$507,1)+SUMIFS('Cassa'!$F$8:$F$307,'Cassa'!$A$8:$A$307,"&lt;="&amp;B479,'Cassa'!$G$8:$G$307,"OK"))</x:f>
      </x:c>
      <x:c r="AO479" s="21" t="str">
        <x:f>IF(AND(ISNUMBER(Z479),ISNUMBER(AN479),AN479&gt;0),Z479/AN479,"")</x:f>
      </x:c>
      <x:c r="AP479" s="18" t="str">
        <x:f>IF(NOT(ISNUMBER(AO479)),"",IF(AO479&gt;'Impostazioni'!$B$7,"Oltre soglia personale","Nella soglia personale"))</x:f>
      </x:c>
      <x:c r="AQ479" s="18" t="str">
        <x:f>IF(A479="",IF(COUNTA(B479:V479)=0,"","Inserisci ID"),IF(COUNTIFS($A$8:$A$507,A479)&lt;&gt;1,"ID duplicato",IF(OR(NOT(ISNUMBER(B479)),D479="",E479="",F479="",G479="",H479="",COUNTIFS('Impostazioni'!$J$6:$J$25,F479)&lt;&gt;1),"Completa dati / elenchi",IF(OR(AND(I479&lt;&gt;"Lordo manuale",I479&lt;&gt;"Netto manuale",I479&lt;&gt;"Esecuzioni"),AND(J479&lt;&gt;"Aperto",J479&lt;&gt;"Chiuso",J479&lt;&gt;"Annullato")),"Modalità / stato mancanti",IF(AND(J479&lt;&gt;"Aperto",OR(NOT(ISNUMBER(C479)),C479&lt;B479)),"Correggi data chiusura",IF(OR(AND(Q479&lt;&gt;"",OR(NOT(ISNUMBER(Q479)),Q479&lt;0)),AND(R479&lt;&gt;"",OR(NOT(ISNUMBER(R479)),R479&lt;0,R479&gt;1))),"Commissione non valida",IF(J479="Annullato","OK",IF(OR(NOT(ISNUMBER(Z479)),Z479&lt;0,AND(O479&lt;&gt;"",NOT(ISNUMBER(O479)))),"Inserisci rischio",IF(AND(I479="Esecuzioni",OR(W479=0,COUNTIFS('Esecuzioni'!$A$8:$A$1007,A479,'Esecuzioni'!$Q$8:$Q$1007,"&lt;&gt;OK")&gt;0)),"Correggi esecuzioni",IF(J479="Aperto","OK",IF(AND(I479="Esecuzioni",S479="Coperto",ABS(X479-Y479)&gt;'Impostazioni'!$B$11),"Copertura residua",IF(NOT(ISNUMBER(AC479)),"Completa risultato / esito",IF(AND(Z479=0,AC479&lt;&gt;0),"Rischio nullo con P/L","OK")))))))))))))</x:f>
      </x:c>
      <x:c r="AR479" s="20" t="str">
        <x:f>IF(OR(A479="",J479&lt;&gt;"Aperto",AQ479&lt;&gt;"OK"),"",IF(I479="Esecuzioni",SUMIFS('Esecuzioni'!$P$8:$P$1007,'Esecuzioni'!$A$8:$A$1007,A479,'Esecuzioni'!$B$8:$B$1007,_xlfn.MAXIFS('Esecuzioni'!$B$8:$B$1007,'Esecuzioni'!$A$8:$A$1007,A479)),IF(LEFT(U479,8)="FREEBET:",0,Z479)))</x:f>
      </x:c>
      <x:c r="AS479" s="48" t="str">
        <x:f>IF(OR(A479="",E479=""),"",IF(COUNTIFS($E$8:E479,E479)=1,COUNT($AS$7:AS478)+1,""))</x:f>
      </x:c>
    </x:row>
    <x:row r="480" ht="22" customHeight="1">
      <x:c r="A480" s="7"/>
      <x:c r="B480" s="19"/>
      <x:c r="C480" s="19"/>
      <x:c r="D480" s="7"/>
      <x:c r="E480" s="7"/>
      <x:c r="F480" s="7"/>
      <x:c r="G480" s="7"/>
      <x:c r="H480" s="7"/>
      <x:c r="I480" s="7"/>
      <x:c r="J480" s="7"/>
      <x:c r="K480" s="10"/>
      <x:c r="L480" s="7"/>
      <x:c r="M480" s="10"/>
      <x:c r="N480" s="7"/>
      <x:c r="O480" s="8"/>
      <x:c r="P480" s="8"/>
      <x:c r="Q480" s="8"/>
      <x:c r="R480" s="9"/>
      <x:c r="S480" s="7"/>
      <x:c r="T480" s="7"/>
      <x:c r="U480" s="7"/>
      <x:c r="V480" s="7"/>
      <x:c r="W480" s="22" t="str">
        <x:f>IF(A480="","",COUNTIFS('Esecuzioni'!$A$8:$A$1007,A480,'Esecuzioni'!$Q$8:$Q$1007,"OK"))</x:f>
      </x:c>
      <x:c r="X480" s="20" t="str">
        <x:f>IF(OR(A480="",I480&lt;&gt;"Esecuzioni",W480=0),"",SUMIFS('Esecuzioni'!$L$8:$L$1007,'Esecuzioni'!$A$8:$A$1007,A480))</x:f>
      </x:c>
      <x:c r="Y480" s="20" t="str">
        <x:f>IF(OR(A480="",I480&lt;&gt;"Esecuzioni",W480=0),"",SUMIFS('Esecuzioni'!$M$8:$M$1007,'Esecuzioni'!$A$8:$A$1007,A480))</x:f>
      </x:c>
      <x:c r="Z480" s="20" t="str">
        <x:f>IF(A480="","",IF(J480="Annullato",0,IF(ISNUMBER(O480),O480,IF(AND(I480="Esecuzioni",W480&gt;0),_xlfn.MAXIFS('Esecuzioni'!$P$8:$P$1007,'Esecuzioni'!$A$8:$A$1007,A480),""))))</x:f>
      </x:c>
      <x:c r="AA480" s="20" t="str">
        <x:f>IF(OR(A480="",J480="Aperto"),"",IF(J480="Annullato",0,IF(I480="Lordo manuale",IF(ISNUMBER(P480),P480,""),IF(I480="Netto manuale",IF(AND(ISNUMBER(P480),ISNUMBER(Q480)),P480+Q480,""),IF(OR(W480=0,COUNTIFS('Esecuzioni'!$A$8:$A$1007,A480,'Esecuzioni'!$Q$8:$Q$1007,"&lt;&gt;OK")&gt;0),"",IF(S480="Vince",X480,IF(S480="Perde",Y480,IF(AND(S480="Coperto",ABS(X480-Y480)&lt;='Impostazioni'!$B$11),ROUND((X480+Y480)/2,2),""))))))))</x:f>
      </x:c>
      <x:c r="AB480" s="20" t="str">
        <x:f>IF(NOT(ISNUMBER(AA480)),"",IF(J480="Annullato",0,IF(ISNUMBER(Q480),Q480,ROUND(MAX(0,AA480)*IF(ISNUMBER(R480),R480,'Impostazioni'!$B$8),2))))</x:f>
      </x:c>
      <x:c r="AC480" s="20" t="str">
        <x:f>IF(AND(ISNUMBER(AA480),ISNUMBER(AB480)),ROUND(AA480-AB480,2),"")</x:f>
      </x:c>
      <x:c r="AD480" s="18" t="str">
        <x:f>IF(A480="","",IF(AQ480&lt;&gt;"OK","Incompleto",IF(J480="Aperto","Aperto",IF(J480="Annullato","Annullato",IF(AC480&gt;0,"Green",IF(AC480&lt;0,"Red","Flat"))))))</x:f>
      </x:c>
      <x:c r="AE480" s="21" t="str">
        <x:f>IF(AND(AH480=1,Z480&gt;0),AC480/Z480,"")</x:f>
      </x:c>
      <x:c r="AF480" s="22" t="str">
        <x:f>IF(AH480&lt;&gt;1,"",COUNTIFS($C$8:$C$507,"&lt;"&amp;C480,$AH$8:$AH$507,1)+COUNTIFS($C$8:$C$507,C480,$A$8:$A$507,"&lt;="&amp;A480,$AH$8:$AH$507,1))</x:f>
      </x:c>
      <x:c r="AG480" s="20" t="str">
        <x:f>IF(AH480&lt;&gt;1,"",SUMIFS($AC$8:$AC$507,$C$8:$C$507,"&lt;"&amp;C480,$AH$8:$AH$507,1)+SUMIFS($AC$8:$AC$507,$C$8:$C$507,C480,$A$8:$A$507,"&lt;="&amp;A480,$AH$8:$AH$507,1))</x:f>
      </x:c>
      <x:c r="AH480" s="22" t="str">
        <x:f>IF(A480="","",IF(AND(J480="Chiuso",AQ480="OK",ISNUMBER(AC480)),1,0))</x:f>
      </x:c>
      <x:c r="AI480" s="20" t="str">
        <x:f>IF(AH480&lt;&gt;1,"",MAX(0,_xlfn.MAXIFS($AG$8:$AG$507,$AF$8:$AF$507,"&lt;="&amp;AF480,$AH$8:$AH$507,1)))</x:f>
      </x:c>
      <x:c r="AJ480" s="20" t="str">
        <x:f>IF(AH480&lt;&gt;1,"",MAX(0,AI480-AG480))</x:f>
      </x:c>
      <x:c r="AK480" s="21" t="str">
        <x:f>IF(OR(AH480&lt;&gt;1,NOT(ISNUMBER('Impostazioni'!$B$6)),'Impostazioni'!$B$6+AI480&lt;=0),"",AJ480/('Impostazioni'!$B$6+AI480))</x:f>
      </x:c>
      <x:c r="AL480" s="22" t="str">
        <x:f>IF(AH480&lt;&gt;1,"",IF(AC480&gt;0,AF480-_xlfn.MAXIFS($AF$8:$AF$507,$AF$8:$AF$507,"&lt;="&amp;AF480,$AC$8:$AC$507,"&lt;=0",$AH$8:$AH$507,1),0))</x:f>
      </x:c>
      <x:c r="AM480" s="22" t="str">
        <x:f>IF(AH480&lt;&gt;1,"",IF(AC480&lt;0,AF480-_xlfn.MAXIFS($AF$8:$AF$507,$AF$8:$AF$507,"&lt;="&amp;AF480,$AC$8:$AC$507,"&gt;=0",$AH$8:$AH$507,1),0))</x:f>
      </x:c>
      <x:c r="AN480" s="20" t="str">
        <x:f>IF(OR(A480="",NOT(ISNUMBER(B480)),NOT(ISNUMBER('Impostazioni'!$B$6))),"",'Impostazioni'!$B$6+SUMIFS($AC$8:$AC$507,$C$8:$C$507,"&lt;"&amp;B480,$AH$8:$AH$507,1)+SUMIFS('Cassa'!$F$8:$F$307,'Cassa'!$A$8:$A$307,"&lt;="&amp;B480,'Cassa'!$G$8:$G$307,"OK"))</x:f>
      </x:c>
      <x:c r="AO480" s="21" t="str">
        <x:f>IF(AND(ISNUMBER(Z480),ISNUMBER(AN480),AN480&gt;0),Z480/AN480,"")</x:f>
      </x:c>
      <x:c r="AP480" s="18" t="str">
        <x:f>IF(NOT(ISNUMBER(AO480)),"",IF(AO480&gt;'Impostazioni'!$B$7,"Oltre soglia personale","Nella soglia personale"))</x:f>
      </x:c>
      <x:c r="AQ480" s="18" t="str">
        <x:f>IF(A480="",IF(COUNTA(B480:V480)=0,"","Inserisci ID"),IF(COUNTIFS($A$8:$A$507,A480)&lt;&gt;1,"ID duplicato",IF(OR(NOT(ISNUMBER(B480)),D480="",E480="",F480="",G480="",H480="",COUNTIFS('Impostazioni'!$J$6:$J$25,F480)&lt;&gt;1),"Completa dati / elenchi",IF(OR(AND(I480&lt;&gt;"Lordo manuale",I480&lt;&gt;"Netto manuale",I480&lt;&gt;"Esecuzioni"),AND(J480&lt;&gt;"Aperto",J480&lt;&gt;"Chiuso",J480&lt;&gt;"Annullato")),"Modalità / stato mancanti",IF(AND(J480&lt;&gt;"Aperto",OR(NOT(ISNUMBER(C480)),C480&lt;B480)),"Correggi data chiusura",IF(OR(AND(Q480&lt;&gt;"",OR(NOT(ISNUMBER(Q480)),Q480&lt;0)),AND(R480&lt;&gt;"",OR(NOT(ISNUMBER(R480)),R480&lt;0,R480&gt;1))),"Commissione non valida",IF(J480="Annullato","OK",IF(OR(NOT(ISNUMBER(Z480)),Z480&lt;0,AND(O480&lt;&gt;"",NOT(ISNUMBER(O480)))),"Inserisci rischio",IF(AND(I480="Esecuzioni",OR(W480=0,COUNTIFS('Esecuzioni'!$A$8:$A$1007,A480,'Esecuzioni'!$Q$8:$Q$1007,"&lt;&gt;OK")&gt;0)),"Correggi esecuzioni",IF(J480="Aperto","OK",IF(AND(I480="Esecuzioni",S480="Coperto",ABS(X480-Y480)&gt;'Impostazioni'!$B$11),"Copertura residua",IF(NOT(ISNUMBER(AC480)),"Completa risultato / esito",IF(AND(Z480=0,AC480&lt;&gt;0),"Rischio nullo con P/L","OK")))))))))))))</x:f>
      </x:c>
      <x:c r="AR480" s="20" t="str">
        <x:f>IF(OR(A480="",J480&lt;&gt;"Aperto",AQ480&lt;&gt;"OK"),"",IF(I480="Esecuzioni",SUMIFS('Esecuzioni'!$P$8:$P$1007,'Esecuzioni'!$A$8:$A$1007,A480,'Esecuzioni'!$B$8:$B$1007,_xlfn.MAXIFS('Esecuzioni'!$B$8:$B$1007,'Esecuzioni'!$A$8:$A$1007,A480)),IF(LEFT(U480,8)="FREEBET:",0,Z480)))</x:f>
      </x:c>
      <x:c r="AS480" s="48" t="str">
        <x:f>IF(OR(A480="",E480=""),"",IF(COUNTIFS($E$8:E480,E480)=1,COUNT($AS$7:AS479)+1,""))</x:f>
      </x:c>
    </x:row>
    <x:row r="481" ht="22" customHeight="1">
      <x:c r="A481" s="7"/>
      <x:c r="B481" s="19"/>
      <x:c r="C481" s="19"/>
      <x:c r="D481" s="7"/>
      <x:c r="E481" s="7"/>
      <x:c r="F481" s="7"/>
      <x:c r="G481" s="7"/>
      <x:c r="H481" s="7"/>
      <x:c r="I481" s="7"/>
      <x:c r="J481" s="7"/>
      <x:c r="K481" s="10"/>
      <x:c r="L481" s="7"/>
      <x:c r="M481" s="10"/>
      <x:c r="N481" s="7"/>
      <x:c r="O481" s="8"/>
      <x:c r="P481" s="8"/>
      <x:c r="Q481" s="8"/>
      <x:c r="R481" s="9"/>
      <x:c r="S481" s="7"/>
      <x:c r="T481" s="7"/>
      <x:c r="U481" s="7"/>
      <x:c r="V481" s="7"/>
      <x:c r="W481" s="22" t="str">
        <x:f>IF(A481="","",COUNTIFS('Esecuzioni'!$A$8:$A$1007,A481,'Esecuzioni'!$Q$8:$Q$1007,"OK"))</x:f>
      </x:c>
      <x:c r="X481" s="20" t="str">
        <x:f>IF(OR(A481="",I481&lt;&gt;"Esecuzioni",W481=0),"",SUMIFS('Esecuzioni'!$L$8:$L$1007,'Esecuzioni'!$A$8:$A$1007,A481))</x:f>
      </x:c>
      <x:c r="Y481" s="20" t="str">
        <x:f>IF(OR(A481="",I481&lt;&gt;"Esecuzioni",W481=0),"",SUMIFS('Esecuzioni'!$M$8:$M$1007,'Esecuzioni'!$A$8:$A$1007,A481))</x:f>
      </x:c>
      <x:c r="Z481" s="20" t="str">
        <x:f>IF(A481="","",IF(J481="Annullato",0,IF(ISNUMBER(O481),O481,IF(AND(I481="Esecuzioni",W481&gt;0),_xlfn.MAXIFS('Esecuzioni'!$P$8:$P$1007,'Esecuzioni'!$A$8:$A$1007,A481),""))))</x:f>
      </x:c>
      <x:c r="AA481" s="20" t="str">
        <x:f>IF(OR(A481="",J481="Aperto"),"",IF(J481="Annullato",0,IF(I481="Lordo manuale",IF(ISNUMBER(P481),P481,""),IF(I481="Netto manuale",IF(AND(ISNUMBER(P481),ISNUMBER(Q481)),P481+Q481,""),IF(OR(W481=0,COUNTIFS('Esecuzioni'!$A$8:$A$1007,A481,'Esecuzioni'!$Q$8:$Q$1007,"&lt;&gt;OK")&gt;0),"",IF(S481="Vince",X481,IF(S481="Perde",Y481,IF(AND(S481="Coperto",ABS(X481-Y481)&lt;='Impostazioni'!$B$11),ROUND((X481+Y481)/2,2),""))))))))</x:f>
      </x:c>
      <x:c r="AB481" s="20" t="str">
        <x:f>IF(NOT(ISNUMBER(AA481)),"",IF(J481="Annullato",0,IF(ISNUMBER(Q481),Q481,ROUND(MAX(0,AA481)*IF(ISNUMBER(R481),R481,'Impostazioni'!$B$8),2))))</x:f>
      </x:c>
      <x:c r="AC481" s="20" t="str">
        <x:f>IF(AND(ISNUMBER(AA481),ISNUMBER(AB481)),ROUND(AA481-AB481,2),"")</x:f>
      </x:c>
      <x:c r="AD481" s="18" t="str">
        <x:f>IF(A481="","",IF(AQ481&lt;&gt;"OK","Incompleto",IF(J481="Aperto","Aperto",IF(J481="Annullato","Annullato",IF(AC481&gt;0,"Green",IF(AC481&lt;0,"Red","Flat"))))))</x:f>
      </x:c>
      <x:c r="AE481" s="21" t="str">
        <x:f>IF(AND(AH481=1,Z481&gt;0),AC481/Z481,"")</x:f>
      </x:c>
      <x:c r="AF481" s="22" t="str">
        <x:f>IF(AH481&lt;&gt;1,"",COUNTIFS($C$8:$C$507,"&lt;"&amp;C481,$AH$8:$AH$507,1)+COUNTIFS($C$8:$C$507,C481,$A$8:$A$507,"&lt;="&amp;A481,$AH$8:$AH$507,1))</x:f>
      </x:c>
      <x:c r="AG481" s="20" t="str">
        <x:f>IF(AH481&lt;&gt;1,"",SUMIFS($AC$8:$AC$507,$C$8:$C$507,"&lt;"&amp;C481,$AH$8:$AH$507,1)+SUMIFS($AC$8:$AC$507,$C$8:$C$507,C481,$A$8:$A$507,"&lt;="&amp;A481,$AH$8:$AH$507,1))</x:f>
      </x:c>
      <x:c r="AH481" s="22" t="str">
        <x:f>IF(A481="","",IF(AND(J481="Chiuso",AQ481="OK",ISNUMBER(AC481)),1,0))</x:f>
      </x:c>
      <x:c r="AI481" s="20" t="str">
        <x:f>IF(AH481&lt;&gt;1,"",MAX(0,_xlfn.MAXIFS($AG$8:$AG$507,$AF$8:$AF$507,"&lt;="&amp;AF481,$AH$8:$AH$507,1)))</x:f>
      </x:c>
      <x:c r="AJ481" s="20" t="str">
        <x:f>IF(AH481&lt;&gt;1,"",MAX(0,AI481-AG481))</x:f>
      </x:c>
      <x:c r="AK481" s="21" t="str">
        <x:f>IF(OR(AH481&lt;&gt;1,NOT(ISNUMBER('Impostazioni'!$B$6)),'Impostazioni'!$B$6+AI481&lt;=0),"",AJ481/('Impostazioni'!$B$6+AI481))</x:f>
      </x:c>
      <x:c r="AL481" s="22" t="str">
        <x:f>IF(AH481&lt;&gt;1,"",IF(AC481&gt;0,AF481-_xlfn.MAXIFS($AF$8:$AF$507,$AF$8:$AF$507,"&lt;="&amp;AF481,$AC$8:$AC$507,"&lt;=0",$AH$8:$AH$507,1),0))</x:f>
      </x:c>
      <x:c r="AM481" s="22" t="str">
        <x:f>IF(AH481&lt;&gt;1,"",IF(AC481&lt;0,AF481-_xlfn.MAXIFS($AF$8:$AF$507,$AF$8:$AF$507,"&lt;="&amp;AF481,$AC$8:$AC$507,"&gt;=0",$AH$8:$AH$507,1),0))</x:f>
      </x:c>
      <x:c r="AN481" s="20" t="str">
        <x:f>IF(OR(A481="",NOT(ISNUMBER(B481)),NOT(ISNUMBER('Impostazioni'!$B$6))),"",'Impostazioni'!$B$6+SUMIFS($AC$8:$AC$507,$C$8:$C$507,"&lt;"&amp;B481,$AH$8:$AH$507,1)+SUMIFS('Cassa'!$F$8:$F$307,'Cassa'!$A$8:$A$307,"&lt;="&amp;B481,'Cassa'!$G$8:$G$307,"OK"))</x:f>
      </x:c>
      <x:c r="AO481" s="21" t="str">
        <x:f>IF(AND(ISNUMBER(Z481),ISNUMBER(AN481),AN481&gt;0),Z481/AN481,"")</x:f>
      </x:c>
      <x:c r="AP481" s="18" t="str">
        <x:f>IF(NOT(ISNUMBER(AO481)),"",IF(AO481&gt;'Impostazioni'!$B$7,"Oltre soglia personale","Nella soglia personale"))</x:f>
      </x:c>
      <x:c r="AQ481" s="18" t="str">
        <x:f>IF(A481="",IF(COUNTA(B481:V481)=0,"","Inserisci ID"),IF(COUNTIFS($A$8:$A$507,A481)&lt;&gt;1,"ID duplicato",IF(OR(NOT(ISNUMBER(B481)),D481="",E481="",F481="",G481="",H481="",COUNTIFS('Impostazioni'!$J$6:$J$25,F481)&lt;&gt;1),"Completa dati / elenchi",IF(OR(AND(I481&lt;&gt;"Lordo manuale",I481&lt;&gt;"Netto manuale",I481&lt;&gt;"Esecuzioni"),AND(J481&lt;&gt;"Aperto",J481&lt;&gt;"Chiuso",J481&lt;&gt;"Annullato")),"Modalità / stato mancanti",IF(AND(J481&lt;&gt;"Aperto",OR(NOT(ISNUMBER(C481)),C481&lt;B481)),"Correggi data chiusura",IF(OR(AND(Q481&lt;&gt;"",OR(NOT(ISNUMBER(Q481)),Q481&lt;0)),AND(R481&lt;&gt;"",OR(NOT(ISNUMBER(R481)),R481&lt;0,R481&gt;1))),"Commissione non valida",IF(J481="Annullato","OK",IF(OR(NOT(ISNUMBER(Z481)),Z481&lt;0,AND(O481&lt;&gt;"",NOT(ISNUMBER(O481)))),"Inserisci rischio",IF(AND(I481="Esecuzioni",OR(W481=0,COUNTIFS('Esecuzioni'!$A$8:$A$1007,A481,'Esecuzioni'!$Q$8:$Q$1007,"&lt;&gt;OK")&gt;0)),"Correggi esecuzioni",IF(J481="Aperto","OK",IF(AND(I481="Esecuzioni",S481="Coperto",ABS(X481-Y481)&gt;'Impostazioni'!$B$11),"Copertura residua",IF(NOT(ISNUMBER(AC481)),"Completa risultato / esito",IF(AND(Z481=0,AC481&lt;&gt;0),"Rischio nullo con P/L","OK")))))))))))))</x:f>
      </x:c>
      <x:c r="AR481" s="20" t="str">
        <x:f>IF(OR(A481="",J481&lt;&gt;"Aperto",AQ481&lt;&gt;"OK"),"",IF(I481="Esecuzioni",SUMIFS('Esecuzioni'!$P$8:$P$1007,'Esecuzioni'!$A$8:$A$1007,A481,'Esecuzioni'!$B$8:$B$1007,_xlfn.MAXIFS('Esecuzioni'!$B$8:$B$1007,'Esecuzioni'!$A$8:$A$1007,A481)),IF(LEFT(U481,8)="FREEBET:",0,Z481)))</x:f>
      </x:c>
      <x:c r="AS481" s="48" t="str">
        <x:f>IF(OR(A481="",E481=""),"",IF(COUNTIFS($E$8:E481,E481)=1,COUNT($AS$7:AS480)+1,""))</x:f>
      </x:c>
    </x:row>
    <x:row r="482" ht="22" customHeight="1">
      <x:c r="A482" s="7"/>
      <x:c r="B482" s="19"/>
      <x:c r="C482" s="19"/>
      <x:c r="D482" s="7"/>
      <x:c r="E482" s="7"/>
      <x:c r="F482" s="7"/>
      <x:c r="G482" s="7"/>
      <x:c r="H482" s="7"/>
      <x:c r="I482" s="7"/>
      <x:c r="J482" s="7"/>
      <x:c r="K482" s="10"/>
      <x:c r="L482" s="7"/>
      <x:c r="M482" s="10"/>
      <x:c r="N482" s="7"/>
      <x:c r="O482" s="8"/>
      <x:c r="P482" s="8"/>
      <x:c r="Q482" s="8"/>
      <x:c r="R482" s="9"/>
      <x:c r="S482" s="7"/>
      <x:c r="T482" s="7"/>
      <x:c r="U482" s="7"/>
      <x:c r="V482" s="7"/>
      <x:c r="W482" s="22" t="str">
        <x:f>IF(A482="","",COUNTIFS('Esecuzioni'!$A$8:$A$1007,A482,'Esecuzioni'!$Q$8:$Q$1007,"OK"))</x:f>
      </x:c>
      <x:c r="X482" s="20" t="str">
        <x:f>IF(OR(A482="",I482&lt;&gt;"Esecuzioni",W482=0),"",SUMIFS('Esecuzioni'!$L$8:$L$1007,'Esecuzioni'!$A$8:$A$1007,A482))</x:f>
      </x:c>
      <x:c r="Y482" s="20" t="str">
        <x:f>IF(OR(A482="",I482&lt;&gt;"Esecuzioni",W482=0),"",SUMIFS('Esecuzioni'!$M$8:$M$1007,'Esecuzioni'!$A$8:$A$1007,A482))</x:f>
      </x:c>
      <x:c r="Z482" s="20" t="str">
        <x:f>IF(A482="","",IF(J482="Annullato",0,IF(ISNUMBER(O482),O482,IF(AND(I482="Esecuzioni",W482&gt;0),_xlfn.MAXIFS('Esecuzioni'!$P$8:$P$1007,'Esecuzioni'!$A$8:$A$1007,A482),""))))</x:f>
      </x:c>
      <x:c r="AA482" s="20" t="str">
        <x:f>IF(OR(A482="",J482="Aperto"),"",IF(J482="Annullato",0,IF(I482="Lordo manuale",IF(ISNUMBER(P482),P482,""),IF(I482="Netto manuale",IF(AND(ISNUMBER(P482),ISNUMBER(Q482)),P482+Q482,""),IF(OR(W482=0,COUNTIFS('Esecuzioni'!$A$8:$A$1007,A482,'Esecuzioni'!$Q$8:$Q$1007,"&lt;&gt;OK")&gt;0),"",IF(S482="Vince",X482,IF(S482="Perde",Y482,IF(AND(S482="Coperto",ABS(X482-Y482)&lt;='Impostazioni'!$B$11),ROUND((X482+Y482)/2,2),""))))))))</x:f>
      </x:c>
      <x:c r="AB482" s="20" t="str">
        <x:f>IF(NOT(ISNUMBER(AA482)),"",IF(J482="Annullato",0,IF(ISNUMBER(Q482),Q482,ROUND(MAX(0,AA482)*IF(ISNUMBER(R482),R482,'Impostazioni'!$B$8),2))))</x:f>
      </x:c>
      <x:c r="AC482" s="20" t="str">
        <x:f>IF(AND(ISNUMBER(AA482),ISNUMBER(AB482)),ROUND(AA482-AB482,2),"")</x:f>
      </x:c>
      <x:c r="AD482" s="18" t="str">
        <x:f>IF(A482="","",IF(AQ482&lt;&gt;"OK","Incompleto",IF(J482="Aperto","Aperto",IF(J482="Annullato","Annullato",IF(AC482&gt;0,"Green",IF(AC482&lt;0,"Red","Flat"))))))</x:f>
      </x:c>
      <x:c r="AE482" s="21" t="str">
        <x:f>IF(AND(AH482=1,Z482&gt;0),AC482/Z482,"")</x:f>
      </x:c>
      <x:c r="AF482" s="22" t="str">
        <x:f>IF(AH482&lt;&gt;1,"",COUNTIFS($C$8:$C$507,"&lt;"&amp;C482,$AH$8:$AH$507,1)+COUNTIFS($C$8:$C$507,C482,$A$8:$A$507,"&lt;="&amp;A482,$AH$8:$AH$507,1))</x:f>
      </x:c>
      <x:c r="AG482" s="20" t="str">
        <x:f>IF(AH482&lt;&gt;1,"",SUMIFS($AC$8:$AC$507,$C$8:$C$507,"&lt;"&amp;C482,$AH$8:$AH$507,1)+SUMIFS($AC$8:$AC$507,$C$8:$C$507,C482,$A$8:$A$507,"&lt;="&amp;A482,$AH$8:$AH$507,1))</x:f>
      </x:c>
      <x:c r="AH482" s="22" t="str">
        <x:f>IF(A482="","",IF(AND(J482="Chiuso",AQ482="OK",ISNUMBER(AC482)),1,0))</x:f>
      </x:c>
      <x:c r="AI482" s="20" t="str">
        <x:f>IF(AH482&lt;&gt;1,"",MAX(0,_xlfn.MAXIFS($AG$8:$AG$507,$AF$8:$AF$507,"&lt;="&amp;AF482,$AH$8:$AH$507,1)))</x:f>
      </x:c>
      <x:c r="AJ482" s="20" t="str">
        <x:f>IF(AH482&lt;&gt;1,"",MAX(0,AI482-AG482))</x:f>
      </x:c>
      <x:c r="AK482" s="21" t="str">
        <x:f>IF(OR(AH482&lt;&gt;1,NOT(ISNUMBER('Impostazioni'!$B$6)),'Impostazioni'!$B$6+AI482&lt;=0),"",AJ482/('Impostazioni'!$B$6+AI482))</x:f>
      </x:c>
      <x:c r="AL482" s="22" t="str">
        <x:f>IF(AH482&lt;&gt;1,"",IF(AC482&gt;0,AF482-_xlfn.MAXIFS($AF$8:$AF$507,$AF$8:$AF$507,"&lt;="&amp;AF482,$AC$8:$AC$507,"&lt;=0",$AH$8:$AH$507,1),0))</x:f>
      </x:c>
      <x:c r="AM482" s="22" t="str">
        <x:f>IF(AH482&lt;&gt;1,"",IF(AC482&lt;0,AF482-_xlfn.MAXIFS($AF$8:$AF$507,$AF$8:$AF$507,"&lt;="&amp;AF482,$AC$8:$AC$507,"&gt;=0",$AH$8:$AH$507,1),0))</x:f>
      </x:c>
      <x:c r="AN482" s="20" t="str">
        <x:f>IF(OR(A482="",NOT(ISNUMBER(B482)),NOT(ISNUMBER('Impostazioni'!$B$6))),"",'Impostazioni'!$B$6+SUMIFS($AC$8:$AC$507,$C$8:$C$507,"&lt;"&amp;B482,$AH$8:$AH$507,1)+SUMIFS('Cassa'!$F$8:$F$307,'Cassa'!$A$8:$A$307,"&lt;="&amp;B482,'Cassa'!$G$8:$G$307,"OK"))</x:f>
      </x:c>
      <x:c r="AO482" s="21" t="str">
        <x:f>IF(AND(ISNUMBER(Z482),ISNUMBER(AN482),AN482&gt;0),Z482/AN482,"")</x:f>
      </x:c>
      <x:c r="AP482" s="18" t="str">
        <x:f>IF(NOT(ISNUMBER(AO482)),"",IF(AO482&gt;'Impostazioni'!$B$7,"Oltre soglia personale","Nella soglia personale"))</x:f>
      </x:c>
      <x:c r="AQ482" s="18" t="str">
        <x:f>IF(A482="",IF(COUNTA(B482:V482)=0,"","Inserisci ID"),IF(COUNTIFS($A$8:$A$507,A482)&lt;&gt;1,"ID duplicato",IF(OR(NOT(ISNUMBER(B482)),D482="",E482="",F482="",G482="",H482="",COUNTIFS('Impostazioni'!$J$6:$J$25,F482)&lt;&gt;1),"Completa dati / elenchi",IF(OR(AND(I482&lt;&gt;"Lordo manuale",I482&lt;&gt;"Netto manuale",I482&lt;&gt;"Esecuzioni"),AND(J482&lt;&gt;"Aperto",J482&lt;&gt;"Chiuso",J482&lt;&gt;"Annullato")),"Modalità / stato mancanti",IF(AND(J482&lt;&gt;"Aperto",OR(NOT(ISNUMBER(C482)),C482&lt;B482)),"Correggi data chiusura",IF(OR(AND(Q482&lt;&gt;"",OR(NOT(ISNUMBER(Q482)),Q482&lt;0)),AND(R482&lt;&gt;"",OR(NOT(ISNUMBER(R482)),R482&lt;0,R482&gt;1))),"Commissione non valida",IF(J482="Annullato","OK",IF(OR(NOT(ISNUMBER(Z482)),Z482&lt;0,AND(O482&lt;&gt;"",NOT(ISNUMBER(O482)))),"Inserisci rischio",IF(AND(I482="Esecuzioni",OR(W482=0,COUNTIFS('Esecuzioni'!$A$8:$A$1007,A482,'Esecuzioni'!$Q$8:$Q$1007,"&lt;&gt;OK")&gt;0)),"Correggi esecuzioni",IF(J482="Aperto","OK",IF(AND(I482="Esecuzioni",S482="Coperto",ABS(X482-Y482)&gt;'Impostazioni'!$B$11),"Copertura residua",IF(NOT(ISNUMBER(AC482)),"Completa risultato / esito",IF(AND(Z482=0,AC482&lt;&gt;0),"Rischio nullo con P/L","OK")))))))))))))</x:f>
      </x:c>
      <x:c r="AR482" s="20" t="str">
        <x:f>IF(OR(A482="",J482&lt;&gt;"Aperto",AQ482&lt;&gt;"OK"),"",IF(I482="Esecuzioni",SUMIFS('Esecuzioni'!$P$8:$P$1007,'Esecuzioni'!$A$8:$A$1007,A482,'Esecuzioni'!$B$8:$B$1007,_xlfn.MAXIFS('Esecuzioni'!$B$8:$B$1007,'Esecuzioni'!$A$8:$A$1007,A482)),IF(LEFT(U482,8)="FREEBET:",0,Z482)))</x:f>
      </x:c>
      <x:c r="AS482" s="48" t="str">
        <x:f>IF(OR(A482="",E482=""),"",IF(COUNTIFS($E$8:E482,E482)=1,COUNT($AS$7:AS481)+1,""))</x:f>
      </x:c>
    </x:row>
    <x:row r="483" ht="22" customHeight="1">
      <x:c r="A483" s="7"/>
      <x:c r="B483" s="19"/>
      <x:c r="C483" s="19"/>
      <x:c r="D483" s="7"/>
      <x:c r="E483" s="7"/>
      <x:c r="F483" s="7"/>
      <x:c r="G483" s="7"/>
      <x:c r="H483" s="7"/>
      <x:c r="I483" s="7"/>
      <x:c r="J483" s="7"/>
      <x:c r="K483" s="10"/>
      <x:c r="L483" s="7"/>
      <x:c r="M483" s="10"/>
      <x:c r="N483" s="7"/>
      <x:c r="O483" s="8"/>
      <x:c r="P483" s="8"/>
      <x:c r="Q483" s="8"/>
      <x:c r="R483" s="9"/>
      <x:c r="S483" s="7"/>
      <x:c r="T483" s="7"/>
      <x:c r="U483" s="7"/>
      <x:c r="V483" s="7"/>
      <x:c r="W483" s="22" t="str">
        <x:f>IF(A483="","",COUNTIFS('Esecuzioni'!$A$8:$A$1007,A483,'Esecuzioni'!$Q$8:$Q$1007,"OK"))</x:f>
      </x:c>
      <x:c r="X483" s="20" t="str">
        <x:f>IF(OR(A483="",I483&lt;&gt;"Esecuzioni",W483=0),"",SUMIFS('Esecuzioni'!$L$8:$L$1007,'Esecuzioni'!$A$8:$A$1007,A483))</x:f>
      </x:c>
      <x:c r="Y483" s="20" t="str">
        <x:f>IF(OR(A483="",I483&lt;&gt;"Esecuzioni",W483=0),"",SUMIFS('Esecuzioni'!$M$8:$M$1007,'Esecuzioni'!$A$8:$A$1007,A483))</x:f>
      </x:c>
      <x:c r="Z483" s="20" t="str">
        <x:f>IF(A483="","",IF(J483="Annullato",0,IF(ISNUMBER(O483),O483,IF(AND(I483="Esecuzioni",W483&gt;0),_xlfn.MAXIFS('Esecuzioni'!$P$8:$P$1007,'Esecuzioni'!$A$8:$A$1007,A483),""))))</x:f>
      </x:c>
      <x:c r="AA483" s="20" t="str">
        <x:f>IF(OR(A483="",J483="Aperto"),"",IF(J483="Annullato",0,IF(I483="Lordo manuale",IF(ISNUMBER(P483),P483,""),IF(I483="Netto manuale",IF(AND(ISNUMBER(P483),ISNUMBER(Q483)),P483+Q483,""),IF(OR(W483=0,COUNTIFS('Esecuzioni'!$A$8:$A$1007,A483,'Esecuzioni'!$Q$8:$Q$1007,"&lt;&gt;OK")&gt;0),"",IF(S483="Vince",X483,IF(S483="Perde",Y483,IF(AND(S483="Coperto",ABS(X483-Y483)&lt;='Impostazioni'!$B$11),ROUND((X483+Y483)/2,2),""))))))))</x:f>
      </x:c>
      <x:c r="AB483" s="20" t="str">
        <x:f>IF(NOT(ISNUMBER(AA483)),"",IF(J483="Annullato",0,IF(ISNUMBER(Q483),Q483,ROUND(MAX(0,AA483)*IF(ISNUMBER(R483),R483,'Impostazioni'!$B$8),2))))</x:f>
      </x:c>
      <x:c r="AC483" s="20" t="str">
        <x:f>IF(AND(ISNUMBER(AA483),ISNUMBER(AB483)),ROUND(AA483-AB483,2),"")</x:f>
      </x:c>
      <x:c r="AD483" s="18" t="str">
        <x:f>IF(A483="","",IF(AQ483&lt;&gt;"OK","Incompleto",IF(J483="Aperto","Aperto",IF(J483="Annullato","Annullato",IF(AC483&gt;0,"Green",IF(AC483&lt;0,"Red","Flat"))))))</x:f>
      </x:c>
      <x:c r="AE483" s="21" t="str">
        <x:f>IF(AND(AH483=1,Z483&gt;0),AC483/Z483,"")</x:f>
      </x:c>
      <x:c r="AF483" s="22" t="str">
        <x:f>IF(AH483&lt;&gt;1,"",COUNTIFS($C$8:$C$507,"&lt;"&amp;C483,$AH$8:$AH$507,1)+COUNTIFS($C$8:$C$507,C483,$A$8:$A$507,"&lt;="&amp;A483,$AH$8:$AH$507,1))</x:f>
      </x:c>
      <x:c r="AG483" s="20" t="str">
        <x:f>IF(AH483&lt;&gt;1,"",SUMIFS($AC$8:$AC$507,$C$8:$C$507,"&lt;"&amp;C483,$AH$8:$AH$507,1)+SUMIFS($AC$8:$AC$507,$C$8:$C$507,C483,$A$8:$A$507,"&lt;="&amp;A483,$AH$8:$AH$507,1))</x:f>
      </x:c>
      <x:c r="AH483" s="22" t="str">
        <x:f>IF(A483="","",IF(AND(J483="Chiuso",AQ483="OK",ISNUMBER(AC483)),1,0))</x:f>
      </x:c>
      <x:c r="AI483" s="20" t="str">
        <x:f>IF(AH483&lt;&gt;1,"",MAX(0,_xlfn.MAXIFS($AG$8:$AG$507,$AF$8:$AF$507,"&lt;="&amp;AF483,$AH$8:$AH$507,1)))</x:f>
      </x:c>
      <x:c r="AJ483" s="20" t="str">
        <x:f>IF(AH483&lt;&gt;1,"",MAX(0,AI483-AG483))</x:f>
      </x:c>
      <x:c r="AK483" s="21" t="str">
        <x:f>IF(OR(AH483&lt;&gt;1,NOT(ISNUMBER('Impostazioni'!$B$6)),'Impostazioni'!$B$6+AI483&lt;=0),"",AJ483/('Impostazioni'!$B$6+AI483))</x:f>
      </x:c>
      <x:c r="AL483" s="22" t="str">
        <x:f>IF(AH483&lt;&gt;1,"",IF(AC483&gt;0,AF483-_xlfn.MAXIFS($AF$8:$AF$507,$AF$8:$AF$507,"&lt;="&amp;AF483,$AC$8:$AC$507,"&lt;=0",$AH$8:$AH$507,1),0))</x:f>
      </x:c>
      <x:c r="AM483" s="22" t="str">
        <x:f>IF(AH483&lt;&gt;1,"",IF(AC483&lt;0,AF483-_xlfn.MAXIFS($AF$8:$AF$507,$AF$8:$AF$507,"&lt;="&amp;AF483,$AC$8:$AC$507,"&gt;=0",$AH$8:$AH$507,1),0))</x:f>
      </x:c>
      <x:c r="AN483" s="20" t="str">
        <x:f>IF(OR(A483="",NOT(ISNUMBER(B483)),NOT(ISNUMBER('Impostazioni'!$B$6))),"",'Impostazioni'!$B$6+SUMIFS($AC$8:$AC$507,$C$8:$C$507,"&lt;"&amp;B483,$AH$8:$AH$507,1)+SUMIFS('Cassa'!$F$8:$F$307,'Cassa'!$A$8:$A$307,"&lt;="&amp;B483,'Cassa'!$G$8:$G$307,"OK"))</x:f>
      </x:c>
      <x:c r="AO483" s="21" t="str">
        <x:f>IF(AND(ISNUMBER(Z483),ISNUMBER(AN483),AN483&gt;0),Z483/AN483,"")</x:f>
      </x:c>
      <x:c r="AP483" s="18" t="str">
        <x:f>IF(NOT(ISNUMBER(AO483)),"",IF(AO483&gt;'Impostazioni'!$B$7,"Oltre soglia personale","Nella soglia personale"))</x:f>
      </x:c>
      <x:c r="AQ483" s="18" t="str">
        <x:f>IF(A483="",IF(COUNTA(B483:V483)=0,"","Inserisci ID"),IF(COUNTIFS($A$8:$A$507,A483)&lt;&gt;1,"ID duplicato",IF(OR(NOT(ISNUMBER(B483)),D483="",E483="",F483="",G483="",H483="",COUNTIFS('Impostazioni'!$J$6:$J$25,F483)&lt;&gt;1),"Completa dati / elenchi",IF(OR(AND(I483&lt;&gt;"Lordo manuale",I483&lt;&gt;"Netto manuale",I483&lt;&gt;"Esecuzioni"),AND(J483&lt;&gt;"Aperto",J483&lt;&gt;"Chiuso",J483&lt;&gt;"Annullato")),"Modalità / stato mancanti",IF(AND(J483&lt;&gt;"Aperto",OR(NOT(ISNUMBER(C483)),C483&lt;B483)),"Correggi data chiusura",IF(OR(AND(Q483&lt;&gt;"",OR(NOT(ISNUMBER(Q483)),Q483&lt;0)),AND(R483&lt;&gt;"",OR(NOT(ISNUMBER(R483)),R483&lt;0,R483&gt;1))),"Commissione non valida",IF(J483="Annullato","OK",IF(OR(NOT(ISNUMBER(Z483)),Z483&lt;0,AND(O483&lt;&gt;"",NOT(ISNUMBER(O483)))),"Inserisci rischio",IF(AND(I483="Esecuzioni",OR(W483=0,COUNTIFS('Esecuzioni'!$A$8:$A$1007,A483,'Esecuzioni'!$Q$8:$Q$1007,"&lt;&gt;OK")&gt;0)),"Correggi esecuzioni",IF(J483="Aperto","OK",IF(AND(I483="Esecuzioni",S483="Coperto",ABS(X483-Y483)&gt;'Impostazioni'!$B$11),"Copertura residua",IF(NOT(ISNUMBER(AC483)),"Completa risultato / esito",IF(AND(Z483=0,AC483&lt;&gt;0),"Rischio nullo con P/L","OK")))))))))))))</x:f>
      </x:c>
      <x:c r="AR483" s="20" t="str">
        <x:f>IF(OR(A483="",J483&lt;&gt;"Aperto",AQ483&lt;&gt;"OK"),"",IF(I483="Esecuzioni",SUMIFS('Esecuzioni'!$P$8:$P$1007,'Esecuzioni'!$A$8:$A$1007,A483,'Esecuzioni'!$B$8:$B$1007,_xlfn.MAXIFS('Esecuzioni'!$B$8:$B$1007,'Esecuzioni'!$A$8:$A$1007,A483)),IF(LEFT(U483,8)="FREEBET:",0,Z483)))</x:f>
      </x:c>
      <x:c r="AS483" s="48" t="str">
        <x:f>IF(OR(A483="",E483=""),"",IF(COUNTIFS($E$8:E483,E483)=1,COUNT($AS$7:AS482)+1,""))</x:f>
      </x:c>
    </x:row>
    <x:row r="484" ht="22" customHeight="1">
      <x:c r="A484" s="7"/>
      <x:c r="B484" s="19"/>
      <x:c r="C484" s="19"/>
      <x:c r="D484" s="7"/>
      <x:c r="E484" s="7"/>
      <x:c r="F484" s="7"/>
      <x:c r="G484" s="7"/>
      <x:c r="H484" s="7"/>
      <x:c r="I484" s="7"/>
      <x:c r="J484" s="7"/>
      <x:c r="K484" s="10"/>
      <x:c r="L484" s="7"/>
      <x:c r="M484" s="10"/>
      <x:c r="N484" s="7"/>
      <x:c r="O484" s="8"/>
      <x:c r="P484" s="8"/>
      <x:c r="Q484" s="8"/>
      <x:c r="R484" s="9"/>
      <x:c r="S484" s="7"/>
      <x:c r="T484" s="7"/>
      <x:c r="U484" s="7"/>
      <x:c r="V484" s="7"/>
      <x:c r="W484" s="22" t="str">
        <x:f>IF(A484="","",COUNTIFS('Esecuzioni'!$A$8:$A$1007,A484,'Esecuzioni'!$Q$8:$Q$1007,"OK"))</x:f>
      </x:c>
      <x:c r="X484" s="20" t="str">
        <x:f>IF(OR(A484="",I484&lt;&gt;"Esecuzioni",W484=0),"",SUMIFS('Esecuzioni'!$L$8:$L$1007,'Esecuzioni'!$A$8:$A$1007,A484))</x:f>
      </x:c>
      <x:c r="Y484" s="20" t="str">
        <x:f>IF(OR(A484="",I484&lt;&gt;"Esecuzioni",W484=0),"",SUMIFS('Esecuzioni'!$M$8:$M$1007,'Esecuzioni'!$A$8:$A$1007,A484))</x:f>
      </x:c>
      <x:c r="Z484" s="20" t="str">
        <x:f>IF(A484="","",IF(J484="Annullato",0,IF(ISNUMBER(O484),O484,IF(AND(I484="Esecuzioni",W484&gt;0),_xlfn.MAXIFS('Esecuzioni'!$P$8:$P$1007,'Esecuzioni'!$A$8:$A$1007,A484),""))))</x:f>
      </x:c>
      <x:c r="AA484" s="20" t="str">
        <x:f>IF(OR(A484="",J484="Aperto"),"",IF(J484="Annullato",0,IF(I484="Lordo manuale",IF(ISNUMBER(P484),P484,""),IF(I484="Netto manuale",IF(AND(ISNUMBER(P484),ISNUMBER(Q484)),P484+Q484,""),IF(OR(W484=0,COUNTIFS('Esecuzioni'!$A$8:$A$1007,A484,'Esecuzioni'!$Q$8:$Q$1007,"&lt;&gt;OK")&gt;0),"",IF(S484="Vince",X484,IF(S484="Perde",Y484,IF(AND(S484="Coperto",ABS(X484-Y484)&lt;='Impostazioni'!$B$11),ROUND((X484+Y484)/2,2),""))))))))</x:f>
      </x:c>
      <x:c r="AB484" s="20" t="str">
        <x:f>IF(NOT(ISNUMBER(AA484)),"",IF(J484="Annullato",0,IF(ISNUMBER(Q484),Q484,ROUND(MAX(0,AA484)*IF(ISNUMBER(R484),R484,'Impostazioni'!$B$8),2))))</x:f>
      </x:c>
      <x:c r="AC484" s="20" t="str">
        <x:f>IF(AND(ISNUMBER(AA484),ISNUMBER(AB484)),ROUND(AA484-AB484,2),"")</x:f>
      </x:c>
      <x:c r="AD484" s="18" t="str">
        <x:f>IF(A484="","",IF(AQ484&lt;&gt;"OK","Incompleto",IF(J484="Aperto","Aperto",IF(J484="Annullato","Annullato",IF(AC484&gt;0,"Green",IF(AC484&lt;0,"Red","Flat"))))))</x:f>
      </x:c>
      <x:c r="AE484" s="21" t="str">
        <x:f>IF(AND(AH484=1,Z484&gt;0),AC484/Z484,"")</x:f>
      </x:c>
      <x:c r="AF484" s="22" t="str">
        <x:f>IF(AH484&lt;&gt;1,"",COUNTIFS($C$8:$C$507,"&lt;"&amp;C484,$AH$8:$AH$507,1)+COUNTIFS($C$8:$C$507,C484,$A$8:$A$507,"&lt;="&amp;A484,$AH$8:$AH$507,1))</x:f>
      </x:c>
      <x:c r="AG484" s="20" t="str">
        <x:f>IF(AH484&lt;&gt;1,"",SUMIFS($AC$8:$AC$507,$C$8:$C$507,"&lt;"&amp;C484,$AH$8:$AH$507,1)+SUMIFS($AC$8:$AC$507,$C$8:$C$507,C484,$A$8:$A$507,"&lt;="&amp;A484,$AH$8:$AH$507,1))</x:f>
      </x:c>
      <x:c r="AH484" s="22" t="str">
        <x:f>IF(A484="","",IF(AND(J484="Chiuso",AQ484="OK",ISNUMBER(AC484)),1,0))</x:f>
      </x:c>
      <x:c r="AI484" s="20" t="str">
        <x:f>IF(AH484&lt;&gt;1,"",MAX(0,_xlfn.MAXIFS($AG$8:$AG$507,$AF$8:$AF$507,"&lt;="&amp;AF484,$AH$8:$AH$507,1)))</x:f>
      </x:c>
      <x:c r="AJ484" s="20" t="str">
        <x:f>IF(AH484&lt;&gt;1,"",MAX(0,AI484-AG484))</x:f>
      </x:c>
      <x:c r="AK484" s="21" t="str">
        <x:f>IF(OR(AH484&lt;&gt;1,NOT(ISNUMBER('Impostazioni'!$B$6)),'Impostazioni'!$B$6+AI484&lt;=0),"",AJ484/('Impostazioni'!$B$6+AI484))</x:f>
      </x:c>
      <x:c r="AL484" s="22" t="str">
        <x:f>IF(AH484&lt;&gt;1,"",IF(AC484&gt;0,AF484-_xlfn.MAXIFS($AF$8:$AF$507,$AF$8:$AF$507,"&lt;="&amp;AF484,$AC$8:$AC$507,"&lt;=0",$AH$8:$AH$507,1),0))</x:f>
      </x:c>
      <x:c r="AM484" s="22" t="str">
        <x:f>IF(AH484&lt;&gt;1,"",IF(AC484&lt;0,AF484-_xlfn.MAXIFS($AF$8:$AF$507,$AF$8:$AF$507,"&lt;="&amp;AF484,$AC$8:$AC$507,"&gt;=0",$AH$8:$AH$507,1),0))</x:f>
      </x:c>
      <x:c r="AN484" s="20" t="str">
        <x:f>IF(OR(A484="",NOT(ISNUMBER(B484)),NOT(ISNUMBER('Impostazioni'!$B$6))),"",'Impostazioni'!$B$6+SUMIFS($AC$8:$AC$507,$C$8:$C$507,"&lt;"&amp;B484,$AH$8:$AH$507,1)+SUMIFS('Cassa'!$F$8:$F$307,'Cassa'!$A$8:$A$307,"&lt;="&amp;B484,'Cassa'!$G$8:$G$307,"OK"))</x:f>
      </x:c>
      <x:c r="AO484" s="21" t="str">
        <x:f>IF(AND(ISNUMBER(Z484),ISNUMBER(AN484),AN484&gt;0),Z484/AN484,"")</x:f>
      </x:c>
      <x:c r="AP484" s="18" t="str">
        <x:f>IF(NOT(ISNUMBER(AO484)),"",IF(AO484&gt;'Impostazioni'!$B$7,"Oltre soglia personale","Nella soglia personale"))</x:f>
      </x:c>
      <x:c r="AQ484" s="18" t="str">
        <x:f>IF(A484="",IF(COUNTA(B484:V484)=0,"","Inserisci ID"),IF(COUNTIFS($A$8:$A$507,A484)&lt;&gt;1,"ID duplicato",IF(OR(NOT(ISNUMBER(B484)),D484="",E484="",F484="",G484="",H484="",COUNTIFS('Impostazioni'!$J$6:$J$25,F484)&lt;&gt;1),"Completa dati / elenchi",IF(OR(AND(I484&lt;&gt;"Lordo manuale",I484&lt;&gt;"Netto manuale",I484&lt;&gt;"Esecuzioni"),AND(J484&lt;&gt;"Aperto",J484&lt;&gt;"Chiuso",J484&lt;&gt;"Annullato")),"Modalità / stato mancanti",IF(AND(J484&lt;&gt;"Aperto",OR(NOT(ISNUMBER(C484)),C484&lt;B484)),"Correggi data chiusura",IF(OR(AND(Q484&lt;&gt;"",OR(NOT(ISNUMBER(Q484)),Q484&lt;0)),AND(R484&lt;&gt;"",OR(NOT(ISNUMBER(R484)),R484&lt;0,R484&gt;1))),"Commissione non valida",IF(J484="Annullato","OK",IF(OR(NOT(ISNUMBER(Z484)),Z484&lt;0,AND(O484&lt;&gt;"",NOT(ISNUMBER(O484)))),"Inserisci rischio",IF(AND(I484="Esecuzioni",OR(W484=0,COUNTIFS('Esecuzioni'!$A$8:$A$1007,A484,'Esecuzioni'!$Q$8:$Q$1007,"&lt;&gt;OK")&gt;0)),"Correggi esecuzioni",IF(J484="Aperto","OK",IF(AND(I484="Esecuzioni",S484="Coperto",ABS(X484-Y484)&gt;'Impostazioni'!$B$11),"Copertura residua",IF(NOT(ISNUMBER(AC484)),"Completa risultato / esito",IF(AND(Z484=0,AC484&lt;&gt;0),"Rischio nullo con P/L","OK")))))))))))))</x:f>
      </x:c>
      <x:c r="AR484" s="20" t="str">
        <x:f>IF(OR(A484="",J484&lt;&gt;"Aperto",AQ484&lt;&gt;"OK"),"",IF(I484="Esecuzioni",SUMIFS('Esecuzioni'!$P$8:$P$1007,'Esecuzioni'!$A$8:$A$1007,A484,'Esecuzioni'!$B$8:$B$1007,_xlfn.MAXIFS('Esecuzioni'!$B$8:$B$1007,'Esecuzioni'!$A$8:$A$1007,A484)),IF(LEFT(U484,8)="FREEBET:",0,Z484)))</x:f>
      </x:c>
      <x:c r="AS484" s="48" t="str">
        <x:f>IF(OR(A484="",E484=""),"",IF(COUNTIFS($E$8:E484,E484)=1,COUNT($AS$7:AS483)+1,""))</x:f>
      </x:c>
    </x:row>
    <x:row r="485" ht="22" customHeight="1">
      <x:c r="A485" s="7"/>
      <x:c r="B485" s="19"/>
      <x:c r="C485" s="19"/>
      <x:c r="D485" s="7"/>
      <x:c r="E485" s="7"/>
      <x:c r="F485" s="7"/>
      <x:c r="G485" s="7"/>
      <x:c r="H485" s="7"/>
      <x:c r="I485" s="7"/>
      <x:c r="J485" s="7"/>
      <x:c r="K485" s="10"/>
      <x:c r="L485" s="7"/>
      <x:c r="M485" s="10"/>
      <x:c r="N485" s="7"/>
      <x:c r="O485" s="8"/>
      <x:c r="P485" s="8"/>
      <x:c r="Q485" s="8"/>
      <x:c r="R485" s="9"/>
      <x:c r="S485" s="7"/>
      <x:c r="T485" s="7"/>
      <x:c r="U485" s="7"/>
      <x:c r="V485" s="7"/>
      <x:c r="W485" s="22" t="str">
        <x:f>IF(A485="","",COUNTIFS('Esecuzioni'!$A$8:$A$1007,A485,'Esecuzioni'!$Q$8:$Q$1007,"OK"))</x:f>
      </x:c>
      <x:c r="X485" s="20" t="str">
        <x:f>IF(OR(A485="",I485&lt;&gt;"Esecuzioni",W485=0),"",SUMIFS('Esecuzioni'!$L$8:$L$1007,'Esecuzioni'!$A$8:$A$1007,A485))</x:f>
      </x:c>
      <x:c r="Y485" s="20" t="str">
        <x:f>IF(OR(A485="",I485&lt;&gt;"Esecuzioni",W485=0),"",SUMIFS('Esecuzioni'!$M$8:$M$1007,'Esecuzioni'!$A$8:$A$1007,A485))</x:f>
      </x:c>
      <x:c r="Z485" s="20" t="str">
        <x:f>IF(A485="","",IF(J485="Annullato",0,IF(ISNUMBER(O485),O485,IF(AND(I485="Esecuzioni",W485&gt;0),_xlfn.MAXIFS('Esecuzioni'!$P$8:$P$1007,'Esecuzioni'!$A$8:$A$1007,A485),""))))</x:f>
      </x:c>
      <x:c r="AA485" s="20" t="str">
        <x:f>IF(OR(A485="",J485="Aperto"),"",IF(J485="Annullato",0,IF(I485="Lordo manuale",IF(ISNUMBER(P485),P485,""),IF(I485="Netto manuale",IF(AND(ISNUMBER(P485),ISNUMBER(Q485)),P485+Q485,""),IF(OR(W485=0,COUNTIFS('Esecuzioni'!$A$8:$A$1007,A485,'Esecuzioni'!$Q$8:$Q$1007,"&lt;&gt;OK")&gt;0),"",IF(S485="Vince",X485,IF(S485="Perde",Y485,IF(AND(S485="Coperto",ABS(X485-Y485)&lt;='Impostazioni'!$B$11),ROUND((X485+Y485)/2,2),""))))))))</x:f>
      </x:c>
      <x:c r="AB485" s="20" t="str">
        <x:f>IF(NOT(ISNUMBER(AA485)),"",IF(J485="Annullato",0,IF(ISNUMBER(Q485),Q485,ROUND(MAX(0,AA485)*IF(ISNUMBER(R485),R485,'Impostazioni'!$B$8),2))))</x:f>
      </x:c>
      <x:c r="AC485" s="20" t="str">
        <x:f>IF(AND(ISNUMBER(AA485),ISNUMBER(AB485)),ROUND(AA485-AB485,2),"")</x:f>
      </x:c>
      <x:c r="AD485" s="18" t="str">
        <x:f>IF(A485="","",IF(AQ485&lt;&gt;"OK","Incompleto",IF(J485="Aperto","Aperto",IF(J485="Annullato","Annullato",IF(AC485&gt;0,"Green",IF(AC485&lt;0,"Red","Flat"))))))</x:f>
      </x:c>
      <x:c r="AE485" s="21" t="str">
        <x:f>IF(AND(AH485=1,Z485&gt;0),AC485/Z485,"")</x:f>
      </x:c>
      <x:c r="AF485" s="22" t="str">
        <x:f>IF(AH485&lt;&gt;1,"",COUNTIFS($C$8:$C$507,"&lt;"&amp;C485,$AH$8:$AH$507,1)+COUNTIFS($C$8:$C$507,C485,$A$8:$A$507,"&lt;="&amp;A485,$AH$8:$AH$507,1))</x:f>
      </x:c>
      <x:c r="AG485" s="20" t="str">
        <x:f>IF(AH485&lt;&gt;1,"",SUMIFS($AC$8:$AC$507,$C$8:$C$507,"&lt;"&amp;C485,$AH$8:$AH$507,1)+SUMIFS($AC$8:$AC$507,$C$8:$C$507,C485,$A$8:$A$507,"&lt;="&amp;A485,$AH$8:$AH$507,1))</x:f>
      </x:c>
      <x:c r="AH485" s="22" t="str">
        <x:f>IF(A485="","",IF(AND(J485="Chiuso",AQ485="OK",ISNUMBER(AC485)),1,0))</x:f>
      </x:c>
      <x:c r="AI485" s="20" t="str">
        <x:f>IF(AH485&lt;&gt;1,"",MAX(0,_xlfn.MAXIFS($AG$8:$AG$507,$AF$8:$AF$507,"&lt;="&amp;AF485,$AH$8:$AH$507,1)))</x:f>
      </x:c>
      <x:c r="AJ485" s="20" t="str">
        <x:f>IF(AH485&lt;&gt;1,"",MAX(0,AI485-AG485))</x:f>
      </x:c>
      <x:c r="AK485" s="21" t="str">
        <x:f>IF(OR(AH485&lt;&gt;1,NOT(ISNUMBER('Impostazioni'!$B$6)),'Impostazioni'!$B$6+AI485&lt;=0),"",AJ485/('Impostazioni'!$B$6+AI485))</x:f>
      </x:c>
      <x:c r="AL485" s="22" t="str">
        <x:f>IF(AH485&lt;&gt;1,"",IF(AC485&gt;0,AF485-_xlfn.MAXIFS($AF$8:$AF$507,$AF$8:$AF$507,"&lt;="&amp;AF485,$AC$8:$AC$507,"&lt;=0",$AH$8:$AH$507,1),0))</x:f>
      </x:c>
      <x:c r="AM485" s="22" t="str">
        <x:f>IF(AH485&lt;&gt;1,"",IF(AC485&lt;0,AF485-_xlfn.MAXIFS($AF$8:$AF$507,$AF$8:$AF$507,"&lt;="&amp;AF485,$AC$8:$AC$507,"&gt;=0",$AH$8:$AH$507,1),0))</x:f>
      </x:c>
      <x:c r="AN485" s="20" t="str">
        <x:f>IF(OR(A485="",NOT(ISNUMBER(B485)),NOT(ISNUMBER('Impostazioni'!$B$6))),"",'Impostazioni'!$B$6+SUMIFS($AC$8:$AC$507,$C$8:$C$507,"&lt;"&amp;B485,$AH$8:$AH$507,1)+SUMIFS('Cassa'!$F$8:$F$307,'Cassa'!$A$8:$A$307,"&lt;="&amp;B485,'Cassa'!$G$8:$G$307,"OK"))</x:f>
      </x:c>
      <x:c r="AO485" s="21" t="str">
        <x:f>IF(AND(ISNUMBER(Z485),ISNUMBER(AN485),AN485&gt;0),Z485/AN485,"")</x:f>
      </x:c>
      <x:c r="AP485" s="18" t="str">
        <x:f>IF(NOT(ISNUMBER(AO485)),"",IF(AO485&gt;'Impostazioni'!$B$7,"Oltre soglia personale","Nella soglia personale"))</x:f>
      </x:c>
      <x:c r="AQ485" s="18" t="str">
        <x:f>IF(A485="",IF(COUNTA(B485:V485)=0,"","Inserisci ID"),IF(COUNTIFS($A$8:$A$507,A485)&lt;&gt;1,"ID duplicato",IF(OR(NOT(ISNUMBER(B485)),D485="",E485="",F485="",G485="",H485="",COUNTIFS('Impostazioni'!$J$6:$J$25,F485)&lt;&gt;1),"Completa dati / elenchi",IF(OR(AND(I485&lt;&gt;"Lordo manuale",I485&lt;&gt;"Netto manuale",I485&lt;&gt;"Esecuzioni"),AND(J485&lt;&gt;"Aperto",J485&lt;&gt;"Chiuso",J485&lt;&gt;"Annullato")),"Modalità / stato mancanti",IF(AND(J485&lt;&gt;"Aperto",OR(NOT(ISNUMBER(C485)),C485&lt;B485)),"Correggi data chiusura",IF(OR(AND(Q485&lt;&gt;"",OR(NOT(ISNUMBER(Q485)),Q485&lt;0)),AND(R485&lt;&gt;"",OR(NOT(ISNUMBER(R485)),R485&lt;0,R485&gt;1))),"Commissione non valida",IF(J485="Annullato","OK",IF(OR(NOT(ISNUMBER(Z485)),Z485&lt;0,AND(O485&lt;&gt;"",NOT(ISNUMBER(O485)))),"Inserisci rischio",IF(AND(I485="Esecuzioni",OR(W485=0,COUNTIFS('Esecuzioni'!$A$8:$A$1007,A485,'Esecuzioni'!$Q$8:$Q$1007,"&lt;&gt;OK")&gt;0)),"Correggi esecuzioni",IF(J485="Aperto","OK",IF(AND(I485="Esecuzioni",S485="Coperto",ABS(X485-Y485)&gt;'Impostazioni'!$B$11),"Copertura residua",IF(NOT(ISNUMBER(AC485)),"Completa risultato / esito",IF(AND(Z485=0,AC485&lt;&gt;0),"Rischio nullo con P/L","OK")))))))))))))</x:f>
      </x:c>
      <x:c r="AR485" s="20" t="str">
        <x:f>IF(OR(A485="",J485&lt;&gt;"Aperto",AQ485&lt;&gt;"OK"),"",IF(I485="Esecuzioni",SUMIFS('Esecuzioni'!$P$8:$P$1007,'Esecuzioni'!$A$8:$A$1007,A485,'Esecuzioni'!$B$8:$B$1007,_xlfn.MAXIFS('Esecuzioni'!$B$8:$B$1007,'Esecuzioni'!$A$8:$A$1007,A485)),IF(LEFT(U485,8)="FREEBET:",0,Z485)))</x:f>
      </x:c>
      <x:c r="AS485" s="48" t="str">
        <x:f>IF(OR(A485="",E485=""),"",IF(COUNTIFS($E$8:E485,E485)=1,COUNT($AS$7:AS484)+1,""))</x:f>
      </x:c>
    </x:row>
    <x:row r="486" ht="22" customHeight="1">
      <x:c r="A486" s="7"/>
      <x:c r="B486" s="19"/>
      <x:c r="C486" s="19"/>
      <x:c r="D486" s="7"/>
      <x:c r="E486" s="7"/>
      <x:c r="F486" s="7"/>
      <x:c r="G486" s="7"/>
      <x:c r="H486" s="7"/>
      <x:c r="I486" s="7"/>
      <x:c r="J486" s="7"/>
      <x:c r="K486" s="10"/>
      <x:c r="L486" s="7"/>
      <x:c r="M486" s="10"/>
      <x:c r="N486" s="7"/>
      <x:c r="O486" s="8"/>
      <x:c r="P486" s="8"/>
      <x:c r="Q486" s="8"/>
      <x:c r="R486" s="9"/>
      <x:c r="S486" s="7"/>
      <x:c r="T486" s="7"/>
      <x:c r="U486" s="7"/>
      <x:c r="V486" s="7"/>
      <x:c r="W486" s="22" t="str">
        <x:f>IF(A486="","",COUNTIFS('Esecuzioni'!$A$8:$A$1007,A486,'Esecuzioni'!$Q$8:$Q$1007,"OK"))</x:f>
      </x:c>
      <x:c r="X486" s="20" t="str">
        <x:f>IF(OR(A486="",I486&lt;&gt;"Esecuzioni",W486=0),"",SUMIFS('Esecuzioni'!$L$8:$L$1007,'Esecuzioni'!$A$8:$A$1007,A486))</x:f>
      </x:c>
      <x:c r="Y486" s="20" t="str">
        <x:f>IF(OR(A486="",I486&lt;&gt;"Esecuzioni",W486=0),"",SUMIFS('Esecuzioni'!$M$8:$M$1007,'Esecuzioni'!$A$8:$A$1007,A486))</x:f>
      </x:c>
      <x:c r="Z486" s="20" t="str">
        <x:f>IF(A486="","",IF(J486="Annullato",0,IF(ISNUMBER(O486),O486,IF(AND(I486="Esecuzioni",W486&gt;0),_xlfn.MAXIFS('Esecuzioni'!$P$8:$P$1007,'Esecuzioni'!$A$8:$A$1007,A486),""))))</x:f>
      </x:c>
      <x:c r="AA486" s="20" t="str">
        <x:f>IF(OR(A486="",J486="Aperto"),"",IF(J486="Annullato",0,IF(I486="Lordo manuale",IF(ISNUMBER(P486),P486,""),IF(I486="Netto manuale",IF(AND(ISNUMBER(P486),ISNUMBER(Q486)),P486+Q486,""),IF(OR(W486=0,COUNTIFS('Esecuzioni'!$A$8:$A$1007,A486,'Esecuzioni'!$Q$8:$Q$1007,"&lt;&gt;OK")&gt;0),"",IF(S486="Vince",X486,IF(S486="Perde",Y486,IF(AND(S486="Coperto",ABS(X486-Y486)&lt;='Impostazioni'!$B$11),ROUND((X486+Y486)/2,2),""))))))))</x:f>
      </x:c>
      <x:c r="AB486" s="20" t="str">
        <x:f>IF(NOT(ISNUMBER(AA486)),"",IF(J486="Annullato",0,IF(ISNUMBER(Q486),Q486,ROUND(MAX(0,AA486)*IF(ISNUMBER(R486),R486,'Impostazioni'!$B$8),2))))</x:f>
      </x:c>
      <x:c r="AC486" s="20" t="str">
        <x:f>IF(AND(ISNUMBER(AA486),ISNUMBER(AB486)),ROUND(AA486-AB486,2),"")</x:f>
      </x:c>
      <x:c r="AD486" s="18" t="str">
        <x:f>IF(A486="","",IF(AQ486&lt;&gt;"OK","Incompleto",IF(J486="Aperto","Aperto",IF(J486="Annullato","Annullato",IF(AC486&gt;0,"Green",IF(AC486&lt;0,"Red","Flat"))))))</x:f>
      </x:c>
      <x:c r="AE486" s="21" t="str">
        <x:f>IF(AND(AH486=1,Z486&gt;0),AC486/Z486,"")</x:f>
      </x:c>
      <x:c r="AF486" s="22" t="str">
        <x:f>IF(AH486&lt;&gt;1,"",COUNTIFS($C$8:$C$507,"&lt;"&amp;C486,$AH$8:$AH$507,1)+COUNTIFS($C$8:$C$507,C486,$A$8:$A$507,"&lt;="&amp;A486,$AH$8:$AH$507,1))</x:f>
      </x:c>
      <x:c r="AG486" s="20" t="str">
        <x:f>IF(AH486&lt;&gt;1,"",SUMIFS($AC$8:$AC$507,$C$8:$C$507,"&lt;"&amp;C486,$AH$8:$AH$507,1)+SUMIFS($AC$8:$AC$507,$C$8:$C$507,C486,$A$8:$A$507,"&lt;="&amp;A486,$AH$8:$AH$507,1))</x:f>
      </x:c>
      <x:c r="AH486" s="22" t="str">
        <x:f>IF(A486="","",IF(AND(J486="Chiuso",AQ486="OK",ISNUMBER(AC486)),1,0))</x:f>
      </x:c>
      <x:c r="AI486" s="20" t="str">
        <x:f>IF(AH486&lt;&gt;1,"",MAX(0,_xlfn.MAXIFS($AG$8:$AG$507,$AF$8:$AF$507,"&lt;="&amp;AF486,$AH$8:$AH$507,1)))</x:f>
      </x:c>
      <x:c r="AJ486" s="20" t="str">
        <x:f>IF(AH486&lt;&gt;1,"",MAX(0,AI486-AG486))</x:f>
      </x:c>
      <x:c r="AK486" s="21" t="str">
        <x:f>IF(OR(AH486&lt;&gt;1,NOT(ISNUMBER('Impostazioni'!$B$6)),'Impostazioni'!$B$6+AI486&lt;=0),"",AJ486/('Impostazioni'!$B$6+AI486))</x:f>
      </x:c>
      <x:c r="AL486" s="22" t="str">
        <x:f>IF(AH486&lt;&gt;1,"",IF(AC486&gt;0,AF486-_xlfn.MAXIFS($AF$8:$AF$507,$AF$8:$AF$507,"&lt;="&amp;AF486,$AC$8:$AC$507,"&lt;=0",$AH$8:$AH$507,1),0))</x:f>
      </x:c>
      <x:c r="AM486" s="22" t="str">
        <x:f>IF(AH486&lt;&gt;1,"",IF(AC486&lt;0,AF486-_xlfn.MAXIFS($AF$8:$AF$507,$AF$8:$AF$507,"&lt;="&amp;AF486,$AC$8:$AC$507,"&gt;=0",$AH$8:$AH$507,1),0))</x:f>
      </x:c>
      <x:c r="AN486" s="20" t="str">
        <x:f>IF(OR(A486="",NOT(ISNUMBER(B486)),NOT(ISNUMBER('Impostazioni'!$B$6))),"",'Impostazioni'!$B$6+SUMIFS($AC$8:$AC$507,$C$8:$C$507,"&lt;"&amp;B486,$AH$8:$AH$507,1)+SUMIFS('Cassa'!$F$8:$F$307,'Cassa'!$A$8:$A$307,"&lt;="&amp;B486,'Cassa'!$G$8:$G$307,"OK"))</x:f>
      </x:c>
      <x:c r="AO486" s="21" t="str">
        <x:f>IF(AND(ISNUMBER(Z486),ISNUMBER(AN486),AN486&gt;0),Z486/AN486,"")</x:f>
      </x:c>
      <x:c r="AP486" s="18" t="str">
        <x:f>IF(NOT(ISNUMBER(AO486)),"",IF(AO486&gt;'Impostazioni'!$B$7,"Oltre soglia personale","Nella soglia personale"))</x:f>
      </x:c>
      <x:c r="AQ486" s="18" t="str">
        <x:f>IF(A486="",IF(COUNTA(B486:V486)=0,"","Inserisci ID"),IF(COUNTIFS($A$8:$A$507,A486)&lt;&gt;1,"ID duplicato",IF(OR(NOT(ISNUMBER(B486)),D486="",E486="",F486="",G486="",H486="",COUNTIFS('Impostazioni'!$J$6:$J$25,F486)&lt;&gt;1),"Completa dati / elenchi",IF(OR(AND(I486&lt;&gt;"Lordo manuale",I486&lt;&gt;"Netto manuale",I486&lt;&gt;"Esecuzioni"),AND(J486&lt;&gt;"Aperto",J486&lt;&gt;"Chiuso",J486&lt;&gt;"Annullato")),"Modalità / stato mancanti",IF(AND(J486&lt;&gt;"Aperto",OR(NOT(ISNUMBER(C486)),C486&lt;B486)),"Correggi data chiusura",IF(OR(AND(Q486&lt;&gt;"",OR(NOT(ISNUMBER(Q486)),Q486&lt;0)),AND(R486&lt;&gt;"",OR(NOT(ISNUMBER(R486)),R486&lt;0,R486&gt;1))),"Commissione non valida",IF(J486="Annullato","OK",IF(OR(NOT(ISNUMBER(Z486)),Z486&lt;0,AND(O486&lt;&gt;"",NOT(ISNUMBER(O486)))),"Inserisci rischio",IF(AND(I486="Esecuzioni",OR(W486=0,COUNTIFS('Esecuzioni'!$A$8:$A$1007,A486,'Esecuzioni'!$Q$8:$Q$1007,"&lt;&gt;OK")&gt;0)),"Correggi esecuzioni",IF(J486="Aperto","OK",IF(AND(I486="Esecuzioni",S486="Coperto",ABS(X486-Y486)&gt;'Impostazioni'!$B$11),"Copertura residua",IF(NOT(ISNUMBER(AC486)),"Completa risultato / esito",IF(AND(Z486=0,AC486&lt;&gt;0),"Rischio nullo con P/L","OK")))))))))))))</x:f>
      </x:c>
      <x:c r="AR486" s="20" t="str">
        <x:f>IF(OR(A486="",J486&lt;&gt;"Aperto",AQ486&lt;&gt;"OK"),"",IF(I486="Esecuzioni",SUMIFS('Esecuzioni'!$P$8:$P$1007,'Esecuzioni'!$A$8:$A$1007,A486,'Esecuzioni'!$B$8:$B$1007,_xlfn.MAXIFS('Esecuzioni'!$B$8:$B$1007,'Esecuzioni'!$A$8:$A$1007,A486)),IF(LEFT(U486,8)="FREEBET:",0,Z486)))</x:f>
      </x:c>
      <x:c r="AS486" s="48" t="str">
        <x:f>IF(OR(A486="",E486=""),"",IF(COUNTIFS($E$8:E486,E486)=1,COUNT($AS$7:AS485)+1,""))</x:f>
      </x:c>
    </x:row>
    <x:row r="487" ht="22" customHeight="1">
      <x:c r="A487" s="7"/>
      <x:c r="B487" s="19"/>
      <x:c r="C487" s="19"/>
      <x:c r="D487" s="7"/>
      <x:c r="E487" s="7"/>
      <x:c r="F487" s="7"/>
      <x:c r="G487" s="7"/>
      <x:c r="H487" s="7"/>
      <x:c r="I487" s="7"/>
      <x:c r="J487" s="7"/>
      <x:c r="K487" s="10"/>
      <x:c r="L487" s="7"/>
      <x:c r="M487" s="10"/>
      <x:c r="N487" s="7"/>
      <x:c r="O487" s="8"/>
      <x:c r="P487" s="8"/>
      <x:c r="Q487" s="8"/>
      <x:c r="R487" s="9"/>
      <x:c r="S487" s="7"/>
      <x:c r="T487" s="7"/>
      <x:c r="U487" s="7"/>
      <x:c r="V487" s="7"/>
      <x:c r="W487" s="22" t="str">
        <x:f>IF(A487="","",COUNTIFS('Esecuzioni'!$A$8:$A$1007,A487,'Esecuzioni'!$Q$8:$Q$1007,"OK"))</x:f>
      </x:c>
      <x:c r="X487" s="20" t="str">
        <x:f>IF(OR(A487="",I487&lt;&gt;"Esecuzioni",W487=0),"",SUMIFS('Esecuzioni'!$L$8:$L$1007,'Esecuzioni'!$A$8:$A$1007,A487))</x:f>
      </x:c>
      <x:c r="Y487" s="20" t="str">
        <x:f>IF(OR(A487="",I487&lt;&gt;"Esecuzioni",W487=0),"",SUMIFS('Esecuzioni'!$M$8:$M$1007,'Esecuzioni'!$A$8:$A$1007,A487))</x:f>
      </x:c>
      <x:c r="Z487" s="20" t="str">
        <x:f>IF(A487="","",IF(J487="Annullato",0,IF(ISNUMBER(O487),O487,IF(AND(I487="Esecuzioni",W487&gt;0),_xlfn.MAXIFS('Esecuzioni'!$P$8:$P$1007,'Esecuzioni'!$A$8:$A$1007,A487),""))))</x:f>
      </x:c>
      <x:c r="AA487" s="20" t="str">
        <x:f>IF(OR(A487="",J487="Aperto"),"",IF(J487="Annullato",0,IF(I487="Lordo manuale",IF(ISNUMBER(P487),P487,""),IF(I487="Netto manuale",IF(AND(ISNUMBER(P487),ISNUMBER(Q487)),P487+Q487,""),IF(OR(W487=0,COUNTIFS('Esecuzioni'!$A$8:$A$1007,A487,'Esecuzioni'!$Q$8:$Q$1007,"&lt;&gt;OK")&gt;0),"",IF(S487="Vince",X487,IF(S487="Perde",Y487,IF(AND(S487="Coperto",ABS(X487-Y487)&lt;='Impostazioni'!$B$11),ROUND((X487+Y487)/2,2),""))))))))</x:f>
      </x:c>
      <x:c r="AB487" s="20" t="str">
        <x:f>IF(NOT(ISNUMBER(AA487)),"",IF(J487="Annullato",0,IF(ISNUMBER(Q487),Q487,ROUND(MAX(0,AA487)*IF(ISNUMBER(R487),R487,'Impostazioni'!$B$8),2))))</x:f>
      </x:c>
      <x:c r="AC487" s="20" t="str">
        <x:f>IF(AND(ISNUMBER(AA487),ISNUMBER(AB487)),ROUND(AA487-AB487,2),"")</x:f>
      </x:c>
      <x:c r="AD487" s="18" t="str">
        <x:f>IF(A487="","",IF(AQ487&lt;&gt;"OK","Incompleto",IF(J487="Aperto","Aperto",IF(J487="Annullato","Annullato",IF(AC487&gt;0,"Green",IF(AC487&lt;0,"Red","Flat"))))))</x:f>
      </x:c>
      <x:c r="AE487" s="21" t="str">
        <x:f>IF(AND(AH487=1,Z487&gt;0),AC487/Z487,"")</x:f>
      </x:c>
      <x:c r="AF487" s="22" t="str">
        <x:f>IF(AH487&lt;&gt;1,"",COUNTIFS($C$8:$C$507,"&lt;"&amp;C487,$AH$8:$AH$507,1)+COUNTIFS($C$8:$C$507,C487,$A$8:$A$507,"&lt;="&amp;A487,$AH$8:$AH$507,1))</x:f>
      </x:c>
      <x:c r="AG487" s="20" t="str">
        <x:f>IF(AH487&lt;&gt;1,"",SUMIFS($AC$8:$AC$507,$C$8:$C$507,"&lt;"&amp;C487,$AH$8:$AH$507,1)+SUMIFS($AC$8:$AC$507,$C$8:$C$507,C487,$A$8:$A$507,"&lt;="&amp;A487,$AH$8:$AH$507,1))</x:f>
      </x:c>
      <x:c r="AH487" s="22" t="str">
        <x:f>IF(A487="","",IF(AND(J487="Chiuso",AQ487="OK",ISNUMBER(AC487)),1,0))</x:f>
      </x:c>
      <x:c r="AI487" s="20" t="str">
        <x:f>IF(AH487&lt;&gt;1,"",MAX(0,_xlfn.MAXIFS($AG$8:$AG$507,$AF$8:$AF$507,"&lt;="&amp;AF487,$AH$8:$AH$507,1)))</x:f>
      </x:c>
      <x:c r="AJ487" s="20" t="str">
        <x:f>IF(AH487&lt;&gt;1,"",MAX(0,AI487-AG487))</x:f>
      </x:c>
      <x:c r="AK487" s="21" t="str">
        <x:f>IF(OR(AH487&lt;&gt;1,NOT(ISNUMBER('Impostazioni'!$B$6)),'Impostazioni'!$B$6+AI487&lt;=0),"",AJ487/('Impostazioni'!$B$6+AI487))</x:f>
      </x:c>
      <x:c r="AL487" s="22" t="str">
        <x:f>IF(AH487&lt;&gt;1,"",IF(AC487&gt;0,AF487-_xlfn.MAXIFS($AF$8:$AF$507,$AF$8:$AF$507,"&lt;="&amp;AF487,$AC$8:$AC$507,"&lt;=0",$AH$8:$AH$507,1),0))</x:f>
      </x:c>
      <x:c r="AM487" s="22" t="str">
        <x:f>IF(AH487&lt;&gt;1,"",IF(AC487&lt;0,AF487-_xlfn.MAXIFS($AF$8:$AF$507,$AF$8:$AF$507,"&lt;="&amp;AF487,$AC$8:$AC$507,"&gt;=0",$AH$8:$AH$507,1),0))</x:f>
      </x:c>
      <x:c r="AN487" s="20" t="str">
        <x:f>IF(OR(A487="",NOT(ISNUMBER(B487)),NOT(ISNUMBER('Impostazioni'!$B$6))),"",'Impostazioni'!$B$6+SUMIFS($AC$8:$AC$507,$C$8:$C$507,"&lt;"&amp;B487,$AH$8:$AH$507,1)+SUMIFS('Cassa'!$F$8:$F$307,'Cassa'!$A$8:$A$307,"&lt;="&amp;B487,'Cassa'!$G$8:$G$307,"OK"))</x:f>
      </x:c>
      <x:c r="AO487" s="21" t="str">
        <x:f>IF(AND(ISNUMBER(Z487),ISNUMBER(AN487),AN487&gt;0),Z487/AN487,"")</x:f>
      </x:c>
      <x:c r="AP487" s="18" t="str">
        <x:f>IF(NOT(ISNUMBER(AO487)),"",IF(AO487&gt;'Impostazioni'!$B$7,"Oltre soglia personale","Nella soglia personale"))</x:f>
      </x:c>
      <x:c r="AQ487" s="18" t="str">
        <x:f>IF(A487="",IF(COUNTA(B487:V487)=0,"","Inserisci ID"),IF(COUNTIFS($A$8:$A$507,A487)&lt;&gt;1,"ID duplicato",IF(OR(NOT(ISNUMBER(B487)),D487="",E487="",F487="",G487="",H487="",COUNTIFS('Impostazioni'!$J$6:$J$25,F487)&lt;&gt;1),"Completa dati / elenchi",IF(OR(AND(I487&lt;&gt;"Lordo manuale",I487&lt;&gt;"Netto manuale",I487&lt;&gt;"Esecuzioni"),AND(J487&lt;&gt;"Aperto",J487&lt;&gt;"Chiuso",J487&lt;&gt;"Annullato")),"Modalità / stato mancanti",IF(AND(J487&lt;&gt;"Aperto",OR(NOT(ISNUMBER(C487)),C487&lt;B487)),"Correggi data chiusura",IF(OR(AND(Q487&lt;&gt;"",OR(NOT(ISNUMBER(Q487)),Q487&lt;0)),AND(R487&lt;&gt;"",OR(NOT(ISNUMBER(R487)),R487&lt;0,R487&gt;1))),"Commissione non valida",IF(J487="Annullato","OK",IF(OR(NOT(ISNUMBER(Z487)),Z487&lt;0,AND(O487&lt;&gt;"",NOT(ISNUMBER(O487)))),"Inserisci rischio",IF(AND(I487="Esecuzioni",OR(W487=0,COUNTIFS('Esecuzioni'!$A$8:$A$1007,A487,'Esecuzioni'!$Q$8:$Q$1007,"&lt;&gt;OK")&gt;0)),"Correggi esecuzioni",IF(J487="Aperto","OK",IF(AND(I487="Esecuzioni",S487="Coperto",ABS(X487-Y487)&gt;'Impostazioni'!$B$11),"Copertura residua",IF(NOT(ISNUMBER(AC487)),"Completa risultato / esito",IF(AND(Z487=0,AC487&lt;&gt;0),"Rischio nullo con P/L","OK")))))))))))))</x:f>
      </x:c>
      <x:c r="AR487" s="20" t="str">
        <x:f>IF(OR(A487="",J487&lt;&gt;"Aperto",AQ487&lt;&gt;"OK"),"",IF(I487="Esecuzioni",SUMIFS('Esecuzioni'!$P$8:$P$1007,'Esecuzioni'!$A$8:$A$1007,A487,'Esecuzioni'!$B$8:$B$1007,_xlfn.MAXIFS('Esecuzioni'!$B$8:$B$1007,'Esecuzioni'!$A$8:$A$1007,A487)),IF(LEFT(U487,8)="FREEBET:",0,Z487)))</x:f>
      </x:c>
      <x:c r="AS487" s="48" t="str">
        <x:f>IF(OR(A487="",E487=""),"",IF(COUNTIFS($E$8:E487,E487)=1,COUNT($AS$7:AS486)+1,""))</x:f>
      </x:c>
    </x:row>
    <x:row r="488" ht="22" customHeight="1">
      <x:c r="A488" s="7"/>
      <x:c r="B488" s="19"/>
      <x:c r="C488" s="19"/>
      <x:c r="D488" s="7"/>
      <x:c r="E488" s="7"/>
      <x:c r="F488" s="7"/>
      <x:c r="G488" s="7"/>
      <x:c r="H488" s="7"/>
      <x:c r="I488" s="7"/>
      <x:c r="J488" s="7"/>
      <x:c r="K488" s="10"/>
      <x:c r="L488" s="7"/>
      <x:c r="M488" s="10"/>
      <x:c r="N488" s="7"/>
      <x:c r="O488" s="8"/>
      <x:c r="P488" s="8"/>
      <x:c r="Q488" s="8"/>
      <x:c r="R488" s="9"/>
      <x:c r="S488" s="7"/>
      <x:c r="T488" s="7"/>
      <x:c r="U488" s="7"/>
      <x:c r="V488" s="7"/>
      <x:c r="W488" s="22" t="str">
        <x:f>IF(A488="","",COUNTIFS('Esecuzioni'!$A$8:$A$1007,A488,'Esecuzioni'!$Q$8:$Q$1007,"OK"))</x:f>
      </x:c>
      <x:c r="X488" s="20" t="str">
        <x:f>IF(OR(A488="",I488&lt;&gt;"Esecuzioni",W488=0),"",SUMIFS('Esecuzioni'!$L$8:$L$1007,'Esecuzioni'!$A$8:$A$1007,A488))</x:f>
      </x:c>
      <x:c r="Y488" s="20" t="str">
        <x:f>IF(OR(A488="",I488&lt;&gt;"Esecuzioni",W488=0),"",SUMIFS('Esecuzioni'!$M$8:$M$1007,'Esecuzioni'!$A$8:$A$1007,A488))</x:f>
      </x:c>
      <x:c r="Z488" s="20" t="str">
        <x:f>IF(A488="","",IF(J488="Annullato",0,IF(ISNUMBER(O488),O488,IF(AND(I488="Esecuzioni",W488&gt;0),_xlfn.MAXIFS('Esecuzioni'!$P$8:$P$1007,'Esecuzioni'!$A$8:$A$1007,A488),""))))</x:f>
      </x:c>
      <x:c r="AA488" s="20" t="str">
        <x:f>IF(OR(A488="",J488="Aperto"),"",IF(J488="Annullato",0,IF(I488="Lordo manuale",IF(ISNUMBER(P488),P488,""),IF(I488="Netto manuale",IF(AND(ISNUMBER(P488),ISNUMBER(Q488)),P488+Q488,""),IF(OR(W488=0,COUNTIFS('Esecuzioni'!$A$8:$A$1007,A488,'Esecuzioni'!$Q$8:$Q$1007,"&lt;&gt;OK")&gt;0),"",IF(S488="Vince",X488,IF(S488="Perde",Y488,IF(AND(S488="Coperto",ABS(X488-Y488)&lt;='Impostazioni'!$B$11),ROUND((X488+Y488)/2,2),""))))))))</x:f>
      </x:c>
      <x:c r="AB488" s="20" t="str">
        <x:f>IF(NOT(ISNUMBER(AA488)),"",IF(J488="Annullato",0,IF(ISNUMBER(Q488),Q488,ROUND(MAX(0,AA488)*IF(ISNUMBER(R488),R488,'Impostazioni'!$B$8),2))))</x:f>
      </x:c>
      <x:c r="AC488" s="20" t="str">
        <x:f>IF(AND(ISNUMBER(AA488),ISNUMBER(AB488)),ROUND(AA488-AB488,2),"")</x:f>
      </x:c>
      <x:c r="AD488" s="18" t="str">
        <x:f>IF(A488="","",IF(AQ488&lt;&gt;"OK","Incompleto",IF(J488="Aperto","Aperto",IF(J488="Annullato","Annullato",IF(AC488&gt;0,"Green",IF(AC488&lt;0,"Red","Flat"))))))</x:f>
      </x:c>
      <x:c r="AE488" s="21" t="str">
        <x:f>IF(AND(AH488=1,Z488&gt;0),AC488/Z488,"")</x:f>
      </x:c>
      <x:c r="AF488" s="22" t="str">
        <x:f>IF(AH488&lt;&gt;1,"",COUNTIFS($C$8:$C$507,"&lt;"&amp;C488,$AH$8:$AH$507,1)+COUNTIFS($C$8:$C$507,C488,$A$8:$A$507,"&lt;="&amp;A488,$AH$8:$AH$507,1))</x:f>
      </x:c>
      <x:c r="AG488" s="20" t="str">
        <x:f>IF(AH488&lt;&gt;1,"",SUMIFS($AC$8:$AC$507,$C$8:$C$507,"&lt;"&amp;C488,$AH$8:$AH$507,1)+SUMIFS($AC$8:$AC$507,$C$8:$C$507,C488,$A$8:$A$507,"&lt;="&amp;A488,$AH$8:$AH$507,1))</x:f>
      </x:c>
      <x:c r="AH488" s="22" t="str">
        <x:f>IF(A488="","",IF(AND(J488="Chiuso",AQ488="OK",ISNUMBER(AC488)),1,0))</x:f>
      </x:c>
      <x:c r="AI488" s="20" t="str">
        <x:f>IF(AH488&lt;&gt;1,"",MAX(0,_xlfn.MAXIFS($AG$8:$AG$507,$AF$8:$AF$507,"&lt;="&amp;AF488,$AH$8:$AH$507,1)))</x:f>
      </x:c>
      <x:c r="AJ488" s="20" t="str">
        <x:f>IF(AH488&lt;&gt;1,"",MAX(0,AI488-AG488))</x:f>
      </x:c>
      <x:c r="AK488" s="21" t="str">
        <x:f>IF(OR(AH488&lt;&gt;1,NOT(ISNUMBER('Impostazioni'!$B$6)),'Impostazioni'!$B$6+AI488&lt;=0),"",AJ488/('Impostazioni'!$B$6+AI488))</x:f>
      </x:c>
      <x:c r="AL488" s="22" t="str">
        <x:f>IF(AH488&lt;&gt;1,"",IF(AC488&gt;0,AF488-_xlfn.MAXIFS($AF$8:$AF$507,$AF$8:$AF$507,"&lt;="&amp;AF488,$AC$8:$AC$507,"&lt;=0",$AH$8:$AH$507,1),0))</x:f>
      </x:c>
      <x:c r="AM488" s="22" t="str">
        <x:f>IF(AH488&lt;&gt;1,"",IF(AC488&lt;0,AF488-_xlfn.MAXIFS($AF$8:$AF$507,$AF$8:$AF$507,"&lt;="&amp;AF488,$AC$8:$AC$507,"&gt;=0",$AH$8:$AH$507,1),0))</x:f>
      </x:c>
      <x:c r="AN488" s="20" t="str">
        <x:f>IF(OR(A488="",NOT(ISNUMBER(B488)),NOT(ISNUMBER('Impostazioni'!$B$6))),"",'Impostazioni'!$B$6+SUMIFS($AC$8:$AC$507,$C$8:$C$507,"&lt;"&amp;B488,$AH$8:$AH$507,1)+SUMIFS('Cassa'!$F$8:$F$307,'Cassa'!$A$8:$A$307,"&lt;="&amp;B488,'Cassa'!$G$8:$G$307,"OK"))</x:f>
      </x:c>
      <x:c r="AO488" s="21" t="str">
        <x:f>IF(AND(ISNUMBER(Z488),ISNUMBER(AN488),AN488&gt;0),Z488/AN488,"")</x:f>
      </x:c>
      <x:c r="AP488" s="18" t="str">
        <x:f>IF(NOT(ISNUMBER(AO488)),"",IF(AO488&gt;'Impostazioni'!$B$7,"Oltre soglia personale","Nella soglia personale"))</x:f>
      </x:c>
      <x:c r="AQ488" s="18" t="str">
        <x:f>IF(A488="",IF(COUNTA(B488:V488)=0,"","Inserisci ID"),IF(COUNTIFS($A$8:$A$507,A488)&lt;&gt;1,"ID duplicato",IF(OR(NOT(ISNUMBER(B488)),D488="",E488="",F488="",G488="",H488="",COUNTIFS('Impostazioni'!$J$6:$J$25,F488)&lt;&gt;1),"Completa dati / elenchi",IF(OR(AND(I488&lt;&gt;"Lordo manuale",I488&lt;&gt;"Netto manuale",I488&lt;&gt;"Esecuzioni"),AND(J488&lt;&gt;"Aperto",J488&lt;&gt;"Chiuso",J488&lt;&gt;"Annullato")),"Modalità / stato mancanti",IF(AND(J488&lt;&gt;"Aperto",OR(NOT(ISNUMBER(C488)),C488&lt;B488)),"Correggi data chiusura",IF(OR(AND(Q488&lt;&gt;"",OR(NOT(ISNUMBER(Q488)),Q488&lt;0)),AND(R488&lt;&gt;"",OR(NOT(ISNUMBER(R488)),R488&lt;0,R488&gt;1))),"Commissione non valida",IF(J488="Annullato","OK",IF(OR(NOT(ISNUMBER(Z488)),Z488&lt;0,AND(O488&lt;&gt;"",NOT(ISNUMBER(O488)))),"Inserisci rischio",IF(AND(I488="Esecuzioni",OR(W488=0,COUNTIFS('Esecuzioni'!$A$8:$A$1007,A488,'Esecuzioni'!$Q$8:$Q$1007,"&lt;&gt;OK")&gt;0)),"Correggi esecuzioni",IF(J488="Aperto","OK",IF(AND(I488="Esecuzioni",S488="Coperto",ABS(X488-Y488)&gt;'Impostazioni'!$B$11),"Copertura residua",IF(NOT(ISNUMBER(AC488)),"Completa risultato / esito",IF(AND(Z488=0,AC488&lt;&gt;0),"Rischio nullo con P/L","OK")))))))))))))</x:f>
      </x:c>
      <x:c r="AR488" s="20" t="str">
        <x:f>IF(OR(A488="",J488&lt;&gt;"Aperto",AQ488&lt;&gt;"OK"),"",IF(I488="Esecuzioni",SUMIFS('Esecuzioni'!$P$8:$P$1007,'Esecuzioni'!$A$8:$A$1007,A488,'Esecuzioni'!$B$8:$B$1007,_xlfn.MAXIFS('Esecuzioni'!$B$8:$B$1007,'Esecuzioni'!$A$8:$A$1007,A488)),IF(LEFT(U488,8)="FREEBET:",0,Z488)))</x:f>
      </x:c>
      <x:c r="AS488" s="48" t="str">
        <x:f>IF(OR(A488="",E488=""),"",IF(COUNTIFS($E$8:E488,E488)=1,COUNT($AS$7:AS487)+1,""))</x:f>
      </x:c>
    </x:row>
    <x:row r="489" ht="22" customHeight="1">
      <x:c r="A489" s="7"/>
      <x:c r="B489" s="19"/>
      <x:c r="C489" s="19"/>
      <x:c r="D489" s="7"/>
      <x:c r="E489" s="7"/>
      <x:c r="F489" s="7"/>
      <x:c r="G489" s="7"/>
      <x:c r="H489" s="7"/>
      <x:c r="I489" s="7"/>
      <x:c r="J489" s="7"/>
      <x:c r="K489" s="10"/>
      <x:c r="L489" s="7"/>
      <x:c r="M489" s="10"/>
      <x:c r="N489" s="7"/>
      <x:c r="O489" s="8"/>
      <x:c r="P489" s="8"/>
      <x:c r="Q489" s="8"/>
      <x:c r="R489" s="9"/>
      <x:c r="S489" s="7"/>
      <x:c r="T489" s="7"/>
      <x:c r="U489" s="7"/>
      <x:c r="V489" s="7"/>
      <x:c r="W489" s="22" t="str">
        <x:f>IF(A489="","",COUNTIFS('Esecuzioni'!$A$8:$A$1007,A489,'Esecuzioni'!$Q$8:$Q$1007,"OK"))</x:f>
      </x:c>
      <x:c r="X489" s="20" t="str">
        <x:f>IF(OR(A489="",I489&lt;&gt;"Esecuzioni",W489=0),"",SUMIFS('Esecuzioni'!$L$8:$L$1007,'Esecuzioni'!$A$8:$A$1007,A489))</x:f>
      </x:c>
      <x:c r="Y489" s="20" t="str">
        <x:f>IF(OR(A489="",I489&lt;&gt;"Esecuzioni",W489=0),"",SUMIFS('Esecuzioni'!$M$8:$M$1007,'Esecuzioni'!$A$8:$A$1007,A489))</x:f>
      </x:c>
      <x:c r="Z489" s="20" t="str">
        <x:f>IF(A489="","",IF(J489="Annullato",0,IF(ISNUMBER(O489),O489,IF(AND(I489="Esecuzioni",W489&gt;0),_xlfn.MAXIFS('Esecuzioni'!$P$8:$P$1007,'Esecuzioni'!$A$8:$A$1007,A489),""))))</x:f>
      </x:c>
      <x:c r="AA489" s="20" t="str">
        <x:f>IF(OR(A489="",J489="Aperto"),"",IF(J489="Annullato",0,IF(I489="Lordo manuale",IF(ISNUMBER(P489),P489,""),IF(I489="Netto manuale",IF(AND(ISNUMBER(P489),ISNUMBER(Q489)),P489+Q489,""),IF(OR(W489=0,COUNTIFS('Esecuzioni'!$A$8:$A$1007,A489,'Esecuzioni'!$Q$8:$Q$1007,"&lt;&gt;OK")&gt;0),"",IF(S489="Vince",X489,IF(S489="Perde",Y489,IF(AND(S489="Coperto",ABS(X489-Y489)&lt;='Impostazioni'!$B$11),ROUND((X489+Y489)/2,2),""))))))))</x:f>
      </x:c>
      <x:c r="AB489" s="20" t="str">
        <x:f>IF(NOT(ISNUMBER(AA489)),"",IF(J489="Annullato",0,IF(ISNUMBER(Q489),Q489,ROUND(MAX(0,AA489)*IF(ISNUMBER(R489),R489,'Impostazioni'!$B$8),2))))</x:f>
      </x:c>
      <x:c r="AC489" s="20" t="str">
        <x:f>IF(AND(ISNUMBER(AA489),ISNUMBER(AB489)),ROUND(AA489-AB489,2),"")</x:f>
      </x:c>
      <x:c r="AD489" s="18" t="str">
        <x:f>IF(A489="","",IF(AQ489&lt;&gt;"OK","Incompleto",IF(J489="Aperto","Aperto",IF(J489="Annullato","Annullato",IF(AC489&gt;0,"Green",IF(AC489&lt;0,"Red","Flat"))))))</x:f>
      </x:c>
      <x:c r="AE489" s="21" t="str">
        <x:f>IF(AND(AH489=1,Z489&gt;0),AC489/Z489,"")</x:f>
      </x:c>
      <x:c r="AF489" s="22" t="str">
        <x:f>IF(AH489&lt;&gt;1,"",COUNTIFS($C$8:$C$507,"&lt;"&amp;C489,$AH$8:$AH$507,1)+COUNTIFS($C$8:$C$507,C489,$A$8:$A$507,"&lt;="&amp;A489,$AH$8:$AH$507,1))</x:f>
      </x:c>
      <x:c r="AG489" s="20" t="str">
        <x:f>IF(AH489&lt;&gt;1,"",SUMIFS($AC$8:$AC$507,$C$8:$C$507,"&lt;"&amp;C489,$AH$8:$AH$507,1)+SUMIFS($AC$8:$AC$507,$C$8:$C$507,C489,$A$8:$A$507,"&lt;="&amp;A489,$AH$8:$AH$507,1))</x:f>
      </x:c>
      <x:c r="AH489" s="22" t="str">
        <x:f>IF(A489="","",IF(AND(J489="Chiuso",AQ489="OK",ISNUMBER(AC489)),1,0))</x:f>
      </x:c>
      <x:c r="AI489" s="20" t="str">
        <x:f>IF(AH489&lt;&gt;1,"",MAX(0,_xlfn.MAXIFS($AG$8:$AG$507,$AF$8:$AF$507,"&lt;="&amp;AF489,$AH$8:$AH$507,1)))</x:f>
      </x:c>
      <x:c r="AJ489" s="20" t="str">
        <x:f>IF(AH489&lt;&gt;1,"",MAX(0,AI489-AG489))</x:f>
      </x:c>
      <x:c r="AK489" s="21" t="str">
        <x:f>IF(OR(AH489&lt;&gt;1,NOT(ISNUMBER('Impostazioni'!$B$6)),'Impostazioni'!$B$6+AI489&lt;=0),"",AJ489/('Impostazioni'!$B$6+AI489))</x:f>
      </x:c>
      <x:c r="AL489" s="22" t="str">
        <x:f>IF(AH489&lt;&gt;1,"",IF(AC489&gt;0,AF489-_xlfn.MAXIFS($AF$8:$AF$507,$AF$8:$AF$507,"&lt;="&amp;AF489,$AC$8:$AC$507,"&lt;=0",$AH$8:$AH$507,1),0))</x:f>
      </x:c>
      <x:c r="AM489" s="22" t="str">
        <x:f>IF(AH489&lt;&gt;1,"",IF(AC489&lt;0,AF489-_xlfn.MAXIFS($AF$8:$AF$507,$AF$8:$AF$507,"&lt;="&amp;AF489,$AC$8:$AC$507,"&gt;=0",$AH$8:$AH$507,1),0))</x:f>
      </x:c>
      <x:c r="AN489" s="20" t="str">
        <x:f>IF(OR(A489="",NOT(ISNUMBER(B489)),NOT(ISNUMBER('Impostazioni'!$B$6))),"",'Impostazioni'!$B$6+SUMIFS($AC$8:$AC$507,$C$8:$C$507,"&lt;"&amp;B489,$AH$8:$AH$507,1)+SUMIFS('Cassa'!$F$8:$F$307,'Cassa'!$A$8:$A$307,"&lt;="&amp;B489,'Cassa'!$G$8:$G$307,"OK"))</x:f>
      </x:c>
      <x:c r="AO489" s="21" t="str">
        <x:f>IF(AND(ISNUMBER(Z489),ISNUMBER(AN489),AN489&gt;0),Z489/AN489,"")</x:f>
      </x:c>
      <x:c r="AP489" s="18" t="str">
        <x:f>IF(NOT(ISNUMBER(AO489)),"",IF(AO489&gt;'Impostazioni'!$B$7,"Oltre soglia personale","Nella soglia personale"))</x:f>
      </x:c>
      <x:c r="AQ489" s="18" t="str">
        <x:f>IF(A489="",IF(COUNTA(B489:V489)=0,"","Inserisci ID"),IF(COUNTIFS($A$8:$A$507,A489)&lt;&gt;1,"ID duplicato",IF(OR(NOT(ISNUMBER(B489)),D489="",E489="",F489="",G489="",H489="",COUNTIFS('Impostazioni'!$J$6:$J$25,F489)&lt;&gt;1),"Completa dati / elenchi",IF(OR(AND(I489&lt;&gt;"Lordo manuale",I489&lt;&gt;"Netto manuale",I489&lt;&gt;"Esecuzioni"),AND(J489&lt;&gt;"Aperto",J489&lt;&gt;"Chiuso",J489&lt;&gt;"Annullato")),"Modalità / stato mancanti",IF(AND(J489&lt;&gt;"Aperto",OR(NOT(ISNUMBER(C489)),C489&lt;B489)),"Correggi data chiusura",IF(OR(AND(Q489&lt;&gt;"",OR(NOT(ISNUMBER(Q489)),Q489&lt;0)),AND(R489&lt;&gt;"",OR(NOT(ISNUMBER(R489)),R489&lt;0,R489&gt;1))),"Commissione non valida",IF(J489="Annullato","OK",IF(OR(NOT(ISNUMBER(Z489)),Z489&lt;0,AND(O489&lt;&gt;"",NOT(ISNUMBER(O489)))),"Inserisci rischio",IF(AND(I489="Esecuzioni",OR(W489=0,COUNTIFS('Esecuzioni'!$A$8:$A$1007,A489,'Esecuzioni'!$Q$8:$Q$1007,"&lt;&gt;OK")&gt;0)),"Correggi esecuzioni",IF(J489="Aperto","OK",IF(AND(I489="Esecuzioni",S489="Coperto",ABS(X489-Y489)&gt;'Impostazioni'!$B$11),"Copertura residua",IF(NOT(ISNUMBER(AC489)),"Completa risultato / esito",IF(AND(Z489=0,AC489&lt;&gt;0),"Rischio nullo con P/L","OK")))))))))))))</x:f>
      </x:c>
      <x:c r="AR489" s="20" t="str">
        <x:f>IF(OR(A489="",J489&lt;&gt;"Aperto",AQ489&lt;&gt;"OK"),"",IF(I489="Esecuzioni",SUMIFS('Esecuzioni'!$P$8:$P$1007,'Esecuzioni'!$A$8:$A$1007,A489,'Esecuzioni'!$B$8:$B$1007,_xlfn.MAXIFS('Esecuzioni'!$B$8:$B$1007,'Esecuzioni'!$A$8:$A$1007,A489)),IF(LEFT(U489,8)="FREEBET:",0,Z489)))</x:f>
      </x:c>
      <x:c r="AS489" s="48" t="str">
        <x:f>IF(OR(A489="",E489=""),"",IF(COUNTIFS($E$8:E489,E489)=1,COUNT($AS$7:AS488)+1,""))</x:f>
      </x:c>
    </x:row>
    <x:row r="490" ht="22" customHeight="1">
      <x:c r="A490" s="7"/>
      <x:c r="B490" s="19"/>
      <x:c r="C490" s="19"/>
      <x:c r="D490" s="7"/>
      <x:c r="E490" s="7"/>
      <x:c r="F490" s="7"/>
      <x:c r="G490" s="7"/>
      <x:c r="H490" s="7"/>
      <x:c r="I490" s="7"/>
      <x:c r="J490" s="7"/>
      <x:c r="K490" s="10"/>
      <x:c r="L490" s="7"/>
      <x:c r="M490" s="10"/>
      <x:c r="N490" s="7"/>
      <x:c r="O490" s="8"/>
      <x:c r="P490" s="8"/>
      <x:c r="Q490" s="8"/>
      <x:c r="R490" s="9"/>
      <x:c r="S490" s="7"/>
      <x:c r="T490" s="7"/>
      <x:c r="U490" s="7"/>
      <x:c r="V490" s="7"/>
      <x:c r="W490" s="22" t="str">
        <x:f>IF(A490="","",COUNTIFS('Esecuzioni'!$A$8:$A$1007,A490,'Esecuzioni'!$Q$8:$Q$1007,"OK"))</x:f>
      </x:c>
      <x:c r="X490" s="20" t="str">
        <x:f>IF(OR(A490="",I490&lt;&gt;"Esecuzioni",W490=0),"",SUMIFS('Esecuzioni'!$L$8:$L$1007,'Esecuzioni'!$A$8:$A$1007,A490))</x:f>
      </x:c>
      <x:c r="Y490" s="20" t="str">
        <x:f>IF(OR(A490="",I490&lt;&gt;"Esecuzioni",W490=0),"",SUMIFS('Esecuzioni'!$M$8:$M$1007,'Esecuzioni'!$A$8:$A$1007,A490))</x:f>
      </x:c>
      <x:c r="Z490" s="20" t="str">
        <x:f>IF(A490="","",IF(J490="Annullato",0,IF(ISNUMBER(O490),O490,IF(AND(I490="Esecuzioni",W490&gt;0),_xlfn.MAXIFS('Esecuzioni'!$P$8:$P$1007,'Esecuzioni'!$A$8:$A$1007,A490),""))))</x:f>
      </x:c>
      <x:c r="AA490" s="20" t="str">
        <x:f>IF(OR(A490="",J490="Aperto"),"",IF(J490="Annullato",0,IF(I490="Lordo manuale",IF(ISNUMBER(P490),P490,""),IF(I490="Netto manuale",IF(AND(ISNUMBER(P490),ISNUMBER(Q490)),P490+Q490,""),IF(OR(W490=0,COUNTIFS('Esecuzioni'!$A$8:$A$1007,A490,'Esecuzioni'!$Q$8:$Q$1007,"&lt;&gt;OK")&gt;0),"",IF(S490="Vince",X490,IF(S490="Perde",Y490,IF(AND(S490="Coperto",ABS(X490-Y490)&lt;='Impostazioni'!$B$11),ROUND((X490+Y490)/2,2),""))))))))</x:f>
      </x:c>
      <x:c r="AB490" s="20" t="str">
        <x:f>IF(NOT(ISNUMBER(AA490)),"",IF(J490="Annullato",0,IF(ISNUMBER(Q490),Q490,ROUND(MAX(0,AA490)*IF(ISNUMBER(R490),R490,'Impostazioni'!$B$8),2))))</x:f>
      </x:c>
      <x:c r="AC490" s="20" t="str">
        <x:f>IF(AND(ISNUMBER(AA490),ISNUMBER(AB490)),ROUND(AA490-AB490,2),"")</x:f>
      </x:c>
      <x:c r="AD490" s="18" t="str">
        <x:f>IF(A490="","",IF(AQ490&lt;&gt;"OK","Incompleto",IF(J490="Aperto","Aperto",IF(J490="Annullato","Annullato",IF(AC490&gt;0,"Green",IF(AC490&lt;0,"Red","Flat"))))))</x:f>
      </x:c>
      <x:c r="AE490" s="21" t="str">
        <x:f>IF(AND(AH490=1,Z490&gt;0),AC490/Z490,"")</x:f>
      </x:c>
      <x:c r="AF490" s="22" t="str">
        <x:f>IF(AH490&lt;&gt;1,"",COUNTIFS($C$8:$C$507,"&lt;"&amp;C490,$AH$8:$AH$507,1)+COUNTIFS($C$8:$C$507,C490,$A$8:$A$507,"&lt;="&amp;A490,$AH$8:$AH$507,1))</x:f>
      </x:c>
      <x:c r="AG490" s="20" t="str">
        <x:f>IF(AH490&lt;&gt;1,"",SUMIFS($AC$8:$AC$507,$C$8:$C$507,"&lt;"&amp;C490,$AH$8:$AH$507,1)+SUMIFS($AC$8:$AC$507,$C$8:$C$507,C490,$A$8:$A$507,"&lt;="&amp;A490,$AH$8:$AH$507,1))</x:f>
      </x:c>
      <x:c r="AH490" s="22" t="str">
        <x:f>IF(A490="","",IF(AND(J490="Chiuso",AQ490="OK",ISNUMBER(AC490)),1,0))</x:f>
      </x:c>
      <x:c r="AI490" s="20" t="str">
        <x:f>IF(AH490&lt;&gt;1,"",MAX(0,_xlfn.MAXIFS($AG$8:$AG$507,$AF$8:$AF$507,"&lt;="&amp;AF490,$AH$8:$AH$507,1)))</x:f>
      </x:c>
      <x:c r="AJ490" s="20" t="str">
        <x:f>IF(AH490&lt;&gt;1,"",MAX(0,AI490-AG490))</x:f>
      </x:c>
      <x:c r="AK490" s="21" t="str">
        <x:f>IF(OR(AH490&lt;&gt;1,NOT(ISNUMBER('Impostazioni'!$B$6)),'Impostazioni'!$B$6+AI490&lt;=0),"",AJ490/('Impostazioni'!$B$6+AI490))</x:f>
      </x:c>
      <x:c r="AL490" s="22" t="str">
        <x:f>IF(AH490&lt;&gt;1,"",IF(AC490&gt;0,AF490-_xlfn.MAXIFS($AF$8:$AF$507,$AF$8:$AF$507,"&lt;="&amp;AF490,$AC$8:$AC$507,"&lt;=0",$AH$8:$AH$507,1),0))</x:f>
      </x:c>
      <x:c r="AM490" s="22" t="str">
        <x:f>IF(AH490&lt;&gt;1,"",IF(AC490&lt;0,AF490-_xlfn.MAXIFS($AF$8:$AF$507,$AF$8:$AF$507,"&lt;="&amp;AF490,$AC$8:$AC$507,"&gt;=0",$AH$8:$AH$507,1),0))</x:f>
      </x:c>
      <x:c r="AN490" s="20" t="str">
        <x:f>IF(OR(A490="",NOT(ISNUMBER(B490)),NOT(ISNUMBER('Impostazioni'!$B$6))),"",'Impostazioni'!$B$6+SUMIFS($AC$8:$AC$507,$C$8:$C$507,"&lt;"&amp;B490,$AH$8:$AH$507,1)+SUMIFS('Cassa'!$F$8:$F$307,'Cassa'!$A$8:$A$307,"&lt;="&amp;B490,'Cassa'!$G$8:$G$307,"OK"))</x:f>
      </x:c>
      <x:c r="AO490" s="21" t="str">
        <x:f>IF(AND(ISNUMBER(Z490),ISNUMBER(AN490),AN490&gt;0),Z490/AN490,"")</x:f>
      </x:c>
      <x:c r="AP490" s="18" t="str">
        <x:f>IF(NOT(ISNUMBER(AO490)),"",IF(AO490&gt;'Impostazioni'!$B$7,"Oltre soglia personale","Nella soglia personale"))</x:f>
      </x:c>
      <x:c r="AQ490" s="18" t="str">
        <x:f>IF(A490="",IF(COUNTA(B490:V490)=0,"","Inserisci ID"),IF(COUNTIFS($A$8:$A$507,A490)&lt;&gt;1,"ID duplicato",IF(OR(NOT(ISNUMBER(B490)),D490="",E490="",F490="",G490="",H490="",COUNTIFS('Impostazioni'!$J$6:$J$25,F490)&lt;&gt;1),"Completa dati / elenchi",IF(OR(AND(I490&lt;&gt;"Lordo manuale",I490&lt;&gt;"Netto manuale",I490&lt;&gt;"Esecuzioni"),AND(J490&lt;&gt;"Aperto",J490&lt;&gt;"Chiuso",J490&lt;&gt;"Annullato")),"Modalità / stato mancanti",IF(AND(J490&lt;&gt;"Aperto",OR(NOT(ISNUMBER(C490)),C490&lt;B490)),"Correggi data chiusura",IF(OR(AND(Q490&lt;&gt;"",OR(NOT(ISNUMBER(Q490)),Q490&lt;0)),AND(R490&lt;&gt;"",OR(NOT(ISNUMBER(R490)),R490&lt;0,R490&gt;1))),"Commissione non valida",IF(J490="Annullato","OK",IF(OR(NOT(ISNUMBER(Z490)),Z490&lt;0,AND(O490&lt;&gt;"",NOT(ISNUMBER(O490)))),"Inserisci rischio",IF(AND(I490="Esecuzioni",OR(W490=0,COUNTIFS('Esecuzioni'!$A$8:$A$1007,A490,'Esecuzioni'!$Q$8:$Q$1007,"&lt;&gt;OK")&gt;0)),"Correggi esecuzioni",IF(J490="Aperto","OK",IF(AND(I490="Esecuzioni",S490="Coperto",ABS(X490-Y490)&gt;'Impostazioni'!$B$11),"Copertura residua",IF(NOT(ISNUMBER(AC490)),"Completa risultato / esito",IF(AND(Z490=0,AC490&lt;&gt;0),"Rischio nullo con P/L","OK")))))))))))))</x:f>
      </x:c>
      <x:c r="AR490" s="20" t="str">
        <x:f>IF(OR(A490="",J490&lt;&gt;"Aperto",AQ490&lt;&gt;"OK"),"",IF(I490="Esecuzioni",SUMIFS('Esecuzioni'!$P$8:$P$1007,'Esecuzioni'!$A$8:$A$1007,A490,'Esecuzioni'!$B$8:$B$1007,_xlfn.MAXIFS('Esecuzioni'!$B$8:$B$1007,'Esecuzioni'!$A$8:$A$1007,A490)),IF(LEFT(U490,8)="FREEBET:",0,Z490)))</x:f>
      </x:c>
      <x:c r="AS490" s="48" t="str">
        <x:f>IF(OR(A490="",E490=""),"",IF(COUNTIFS($E$8:E490,E490)=1,COUNT($AS$7:AS489)+1,""))</x:f>
      </x:c>
    </x:row>
    <x:row r="491" ht="22" customHeight="1">
      <x:c r="A491" s="7"/>
      <x:c r="B491" s="19"/>
      <x:c r="C491" s="19"/>
      <x:c r="D491" s="7"/>
      <x:c r="E491" s="7"/>
      <x:c r="F491" s="7"/>
      <x:c r="G491" s="7"/>
      <x:c r="H491" s="7"/>
      <x:c r="I491" s="7"/>
      <x:c r="J491" s="7"/>
      <x:c r="K491" s="10"/>
      <x:c r="L491" s="7"/>
      <x:c r="M491" s="10"/>
      <x:c r="N491" s="7"/>
      <x:c r="O491" s="8"/>
      <x:c r="P491" s="8"/>
      <x:c r="Q491" s="8"/>
      <x:c r="R491" s="9"/>
      <x:c r="S491" s="7"/>
      <x:c r="T491" s="7"/>
      <x:c r="U491" s="7"/>
      <x:c r="V491" s="7"/>
      <x:c r="W491" s="22" t="str">
        <x:f>IF(A491="","",COUNTIFS('Esecuzioni'!$A$8:$A$1007,A491,'Esecuzioni'!$Q$8:$Q$1007,"OK"))</x:f>
      </x:c>
      <x:c r="X491" s="20" t="str">
        <x:f>IF(OR(A491="",I491&lt;&gt;"Esecuzioni",W491=0),"",SUMIFS('Esecuzioni'!$L$8:$L$1007,'Esecuzioni'!$A$8:$A$1007,A491))</x:f>
      </x:c>
      <x:c r="Y491" s="20" t="str">
        <x:f>IF(OR(A491="",I491&lt;&gt;"Esecuzioni",W491=0),"",SUMIFS('Esecuzioni'!$M$8:$M$1007,'Esecuzioni'!$A$8:$A$1007,A491))</x:f>
      </x:c>
      <x:c r="Z491" s="20" t="str">
        <x:f>IF(A491="","",IF(J491="Annullato",0,IF(ISNUMBER(O491),O491,IF(AND(I491="Esecuzioni",W491&gt;0),_xlfn.MAXIFS('Esecuzioni'!$P$8:$P$1007,'Esecuzioni'!$A$8:$A$1007,A491),""))))</x:f>
      </x:c>
      <x:c r="AA491" s="20" t="str">
        <x:f>IF(OR(A491="",J491="Aperto"),"",IF(J491="Annullato",0,IF(I491="Lordo manuale",IF(ISNUMBER(P491),P491,""),IF(I491="Netto manuale",IF(AND(ISNUMBER(P491),ISNUMBER(Q491)),P491+Q491,""),IF(OR(W491=0,COUNTIFS('Esecuzioni'!$A$8:$A$1007,A491,'Esecuzioni'!$Q$8:$Q$1007,"&lt;&gt;OK")&gt;0),"",IF(S491="Vince",X491,IF(S491="Perde",Y491,IF(AND(S491="Coperto",ABS(X491-Y491)&lt;='Impostazioni'!$B$11),ROUND((X491+Y491)/2,2),""))))))))</x:f>
      </x:c>
      <x:c r="AB491" s="20" t="str">
        <x:f>IF(NOT(ISNUMBER(AA491)),"",IF(J491="Annullato",0,IF(ISNUMBER(Q491),Q491,ROUND(MAX(0,AA491)*IF(ISNUMBER(R491),R491,'Impostazioni'!$B$8),2))))</x:f>
      </x:c>
      <x:c r="AC491" s="20" t="str">
        <x:f>IF(AND(ISNUMBER(AA491),ISNUMBER(AB491)),ROUND(AA491-AB491,2),"")</x:f>
      </x:c>
      <x:c r="AD491" s="18" t="str">
        <x:f>IF(A491="","",IF(AQ491&lt;&gt;"OK","Incompleto",IF(J491="Aperto","Aperto",IF(J491="Annullato","Annullato",IF(AC491&gt;0,"Green",IF(AC491&lt;0,"Red","Flat"))))))</x:f>
      </x:c>
      <x:c r="AE491" s="21" t="str">
        <x:f>IF(AND(AH491=1,Z491&gt;0),AC491/Z491,"")</x:f>
      </x:c>
      <x:c r="AF491" s="22" t="str">
        <x:f>IF(AH491&lt;&gt;1,"",COUNTIFS($C$8:$C$507,"&lt;"&amp;C491,$AH$8:$AH$507,1)+COUNTIFS($C$8:$C$507,C491,$A$8:$A$507,"&lt;="&amp;A491,$AH$8:$AH$507,1))</x:f>
      </x:c>
      <x:c r="AG491" s="20" t="str">
        <x:f>IF(AH491&lt;&gt;1,"",SUMIFS($AC$8:$AC$507,$C$8:$C$507,"&lt;"&amp;C491,$AH$8:$AH$507,1)+SUMIFS($AC$8:$AC$507,$C$8:$C$507,C491,$A$8:$A$507,"&lt;="&amp;A491,$AH$8:$AH$507,1))</x:f>
      </x:c>
      <x:c r="AH491" s="22" t="str">
        <x:f>IF(A491="","",IF(AND(J491="Chiuso",AQ491="OK",ISNUMBER(AC491)),1,0))</x:f>
      </x:c>
      <x:c r="AI491" s="20" t="str">
        <x:f>IF(AH491&lt;&gt;1,"",MAX(0,_xlfn.MAXIFS($AG$8:$AG$507,$AF$8:$AF$507,"&lt;="&amp;AF491,$AH$8:$AH$507,1)))</x:f>
      </x:c>
      <x:c r="AJ491" s="20" t="str">
        <x:f>IF(AH491&lt;&gt;1,"",MAX(0,AI491-AG491))</x:f>
      </x:c>
      <x:c r="AK491" s="21" t="str">
        <x:f>IF(OR(AH491&lt;&gt;1,NOT(ISNUMBER('Impostazioni'!$B$6)),'Impostazioni'!$B$6+AI491&lt;=0),"",AJ491/('Impostazioni'!$B$6+AI491))</x:f>
      </x:c>
      <x:c r="AL491" s="22" t="str">
        <x:f>IF(AH491&lt;&gt;1,"",IF(AC491&gt;0,AF491-_xlfn.MAXIFS($AF$8:$AF$507,$AF$8:$AF$507,"&lt;="&amp;AF491,$AC$8:$AC$507,"&lt;=0",$AH$8:$AH$507,1),0))</x:f>
      </x:c>
      <x:c r="AM491" s="22" t="str">
        <x:f>IF(AH491&lt;&gt;1,"",IF(AC491&lt;0,AF491-_xlfn.MAXIFS($AF$8:$AF$507,$AF$8:$AF$507,"&lt;="&amp;AF491,$AC$8:$AC$507,"&gt;=0",$AH$8:$AH$507,1),0))</x:f>
      </x:c>
      <x:c r="AN491" s="20" t="str">
        <x:f>IF(OR(A491="",NOT(ISNUMBER(B491)),NOT(ISNUMBER('Impostazioni'!$B$6))),"",'Impostazioni'!$B$6+SUMIFS($AC$8:$AC$507,$C$8:$C$507,"&lt;"&amp;B491,$AH$8:$AH$507,1)+SUMIFS('Cassa'!$F$8:$F$307,'Cassa'!$A$8:$A$307,"&lt;="&amp;B491,'Cassa'!$G$8:$G$307,"OK"))</x:f>
      </x:c>
      <x:c r="AO491" s="21" t="str">
        <x:f>IF(AND(ISNUMBER(Z491),ISNUMBER(AN491),AN491&gt;0),Z491/AN491,"")</x:f>
      </x:c>
      <x:c r="AP491" s="18" t="str">
        <x:f>IF(NOT(ISNUMBER(AO491)),"",IF(AO491&gt;'Impostazioni'!$B$7,"Oltre soglia personale","Nella soglia personale"))</x:f>
      </x:c>
      <x:c r="AQ491" s="18" t="str">
        <x:f>IF(A491="",IF(COUNTA(B491:V491)=0,"","Inserisci ID"),IF(COUNTIFS($A$8:$A$507,A491)&lt;&gt;1,"ID duplicato",IF(OR(NOT(ISNUMBER(B491)),D491="",E491="",F491="",G491="",H491="",COUNTIFS('Impostazioni'!$J$6:$J$25,F491)&lt;&gt;1),"Completa dati / elenchi",IF(OR(AND(I491&lt;&gt;"Lordo manuale",I491&lt;&gt;"Netto manuale",I491&lt;&gt;"Esecuzioni"),AND(J491&lt;&gt;"Aperto",J491&lt;&gt;"Chiuso",J491&lt;&gt;"Annullato")),"Modalità / stato mancanti",IF(AND(J491&lt;&gt;"Aperto",OR(NOT(ISNUMBER(C491)),C491&lt;B491)),"Correggi data chiusura",IF(OR(AND(Q491&lt;&gt;"",OR(NOT(ISNUMBER(Q491)),Q491&lt;0)),AND(R491&lt;&gt;"",OR(NOT(ISNUMBER(R491)),R491&lt;0,R491&gt;1))),"Commissione non valida",IF(J491="Annullato","OK",IF(OR(NOT(ISNUMBER(Z491)),Z491&lt;0,AND(O491&lt;&gt;"",NOT(ISNUMBER(O491)))),"Inserisci rischio",IF(AND(I491="Esecuzioni",OR(W491=0,COUNTIFS('Esecuzioni'!$A$8:$A$1007,A491,'Esecuzioni'!$Q$8:$Q$1007,"&lt;&gt;OK")&gt;0)),"Correggi esecuzioni",IF(J491="Aperto","OK",IF(AND(I491="Esecuzioni",S491="Coperto",ABS(X491-Y491)&gt;'Impostazioni'!$B$11),"Copertura residua",IF(NOT(ISNUMBER(AC491)),"Completa risultato / esito",IF(AND(Z491=0,AC491&lt;&gt;0),"Rischio nullo con P/L","OK")))))))))))))</x:f>
      </x:c>
      <x:c r="AR491" s="20" t="str">
        <x:f>IF(OR(A491="",J491&lt;&gt;"Aperto",AQ491&lt;&gt;"OK"),"",IF(I491="Esecuzioni",SUMIFS('Esecuzioni'!$P$8:$P$1007,'Esecuzioni'!$A$8:$A$1007,A491,'Esecuzioni'!$B$8:$B$1007,_xlfn.MAXIFS('Esecuzioni'!$B$8:$B$1007,'Esecuzioni'!$A$8:$A$1007,A491)),IF(LEFT(U491,8)="FREEBET:",0,Z491)))</x:f>
      </x:c>
      <x:c r="AS491" s="48" t="str">
        <x:f>IF(OR(A491="",E491=""),"",IF(COUNTIFS($E$8:E491,E491)=1,COUNT($AS$7:AS490)+1,""))</x:f>
      </x:c>
    </x:row>
    <x:row r="492" ht="22" customHeight="1">
      <x:c r="A492" s="7"/>
      <x:c r="B492" s="19"/>
      <x:c r="C492" s="19"/>
      <x:c r="D492" s="7"/>
      <x:c r="E492" s="7"/>
      <x:c r="F492" s="7"/>
      <x:c r="G492" s="7"/>
      <x:c r="H492" s="7"/>
      <x:c r="I492" s="7"/>
      <x:c r="J492" s="7"/>
      <x:c r="K492" s="10"/>
      <x:c r="L492" s="7"/>
      <x:c r="M492" s="10"/>
      <x:c r="N492" s="7"/>
      <x:c r="O492" s="8"/>
      <x:c r="P492" s="8"/>
      <x:c r="Q492" s="8"/>
      <x:c r="R492" s="9"/>
      <x:c r="S492" s="7"/>
      <x:c r="T492" s="7"/>
      <x:c r="U492" s="7"/>
      <x:c r="V492" s="7"/>
      <x:c r="W492" s="22" t="str">
        <x:f>IF(A492="","",COUNTIFS('Esecuzioni'!$A$8:$A$1007,A492,'Esecuzioni'!$Q$8:$Q$1007,"OK"))</x:f>
      </x:c>
      <x:c r="X492" s="20" t="str">
        <x:f>IF(OR(A492="",I492&lt;&gt;"Esecuzioni",W492=0),"",SUMIFS('Esecuzioni'!$L$8:$L$1007,'Esecuzioni'!$A$8:$A$1007,A492))</x:f>
      </x:c>
      <x:c r="Y492" s="20" t="str">
        <x:f>IF(OR(A492="",I492&lt;&gt;"Esecuzioni",W492=0),"",SUMIFS('Esecuzioni'!$M$8:$M$1007,'Esecuzioni'!$A$8:$A$1007,A492))</x:f>
      </x:c>
      <x:c r="Z492" s="20" t="str">
        <x:f>IF(A492="","",IF(J492="Annullato",0,IF(ISNUMBER(O492),O492,IF(AND(I492="Esecuzioni",W492&gt;0),_xlfn.MAXIFS('Esecuzioni'!$P$8:$P$1007,'Esecuzioni'!$A$8:$A$1007,A492),""))))</x:f>
      </x:c>
      <x:c r="AA492" s="20" t="str">
        <x:f>IF(OR(A492="",J492="Aperto"),"",IF(J492="Annullato",0,IF(I492="Lordo manuale",IF(ISNUMBER(P492),P492,""),IF(I492="Netto manuale",IF(AND(ISNUMBER(P492),ISNUMBER(Q492)),P492+Q492,""),IF(OR(W492=0,COUNTIFS('Esecuzioni'!$A$8:$A$1007,A492,'Esecuzioni'!$Q$8:$Q$1007,"&lt;&gt;OK")&gt;0),"",IF(S492="Vince",X492,IF(S492="Perde",Y492,IF(AND(S492="Coperto",ABS(X492-Y492)&lt;='Impostazioni'!$B$11),ROUND((X492+Y492)/2,2),""))))))))</x:f>
      </x:c>
      <x:c r="AB492" s="20" t="str">
        <x:f>IF(NOT(ISNUMBER(AA492)),"",IF(J492="Annullato",0,IF(ISNUMBER(Q492),Q492,ROUND(MAX(0,AA492)*IF(ISNUMBER(R492),R492,'Impostazioni'!$B$8),2))))</x:f>
      </x:c>
      <x:c r="AC492" s="20" t="str">
        <x:f>IF(AND(ISNUMBER(AA492),ISNUMBER(AB492)),ROUND(AA492-AB492,2),"")</x:f>
      </x:c>
      <x:c r="AD492" s="18" t="str">
        <x:f>IF(A492="","",IF(AQ492&lt;&gt;"OK","Incompleto",IF(J492="Aperto","Aperto",IF(J492="Annullato","Annullato",IF(AC492&gt;0,"Green",IF(AC492&lt;0,"Red","Flat"))))))</x:f>
      </x:c>
      <x:c r="AE492" s="21" t="str">
        <x:f>IF(AND(AH492=1,Z492&gt;0),AC492/Z492,"")</x:f>
      </x:c>
      <x:c r="AF492" s="22" t="str">
        <x:f>IF(AH492&lt;&gt;1,"",COUNTIFS($C$8:$C$507,"&lt;"&amp;C492,$AH$8:$AH$507,1)+COUNTIFS($C$8:$C$507,C492,$A$8:$A$507,"&lt;="&amp;A492,$AH$8:$AH$507,1))</x:f>
      </x:c>
      <x:c r="AG492" s="20" t="str">
        <x:f>IF(AH492&lt;&gt;1,"",SUMIFS($AC$8:$AC$507,$C$8:$C$507,"&lt;"&amp;C492,$AH$8:$AH$507,1)+SUMIFS($AC$8:$AC$507,$C$8:$C$507,C492,$A$8:$A$507,"&lt;="&amp;A492,$AH$8:$AH$507,1))</x:f>
      </x:c>
      <x:c r="AH492" s="22" t="str">
        <x:f>IF(A492="","",IF(AND(J492="Chiuso",AQ492="OK",ISNUMBER(AC492)),1,0))</x:f>
      </x:c>
      <x:c r="AI492" s="20" t="str">
        <x:f>IF(AH492&lt;&gt;1,"",MAX(0,_xlfn.MAXIFS($AG$8:$AG$507,$AF$8:$AF$507,"&lt;="&amp;AF492,$AH$8:$AH$507,1)))</x:f>
      </x:c>
      <x:c r="AJ492" s="20" t="str">
        <x:f>IF(AH492&lt;&gt;1,"",MAX(0,AI492-AG492))</x:f>
      </x:c>
      <x:c r="AK492" s="21" t="str">
        <x:f>IF(OR(AH492&lt;&gt;1,NOT(ISNUMBER('Impostazioni'!$B$6)),'Impostazioni'!$B$6+AI492&lt;=0),"",AJ492/('Impostazioni'!$B$6+AI492))</x:f>
      </x:c>
      <x:c r="AL492" s="22" t="str">
        <x:f>IF(AH492&lt;&gt;1,"",IF(AC492&gt;0,AF492-_xlfn.MAXIFS($AF$8:$AF$507,$AF$8:$AF$507,"&lt;="&amp;AF492,$AC$8:$AC$507,"&lt;=0",$AH$8:$AH$507,1),0))</x:f>
      </x:c>
      <x:c r="AM492" s="22" t="str">
        <x:f>IF(AH492&lt;&gt;1,"",IF(AC492&lt;0,AF492-_xlfn.MAXIFS($AF$8:$AF$507,$AF$8:$AF$507,"&lt;="&amp;AF492,$AC$8:$AC$507,"&gt;=0",$AH$8:$AH$507,1),0))</x:f>
      </x:c>
      <x:c r="AN492" s="20" t="str">
        <x:f>IF(OR(A492="",NOT(ISNUMBER(B492)),NOT(ISNUMBER('Impostazioni'!$B$6))),"",'Impostazioni'!$B$6+SUMIFS($AC$8:$AC$507,$C$8:$C$507,"&lt;"&amp;B492,$AH$8:$AH$507,1)+SUMIFS('Cassa'!$F$8:$F$307,'Cassa'!$A$8:$A$307,"&lt;="&amp;B492,'Cassa'!$G$8:$G$307,"OK"))</x:f>
      </x:c>
      <x:c r="AO492" s="21" t="str">
        <x:f>IF(AND(ISNUMBER(Z492),ISNUMBER(AN492),AN492&gt;0),Z492/AN492,"")</x:f>
      </x:c>
      <x:c r="AP492" s="18" t="str">
        <x:f>IF(NOT(ISNUMBER(AO492)),"",IF(AO492&gt;'Impostazioni'!$B$7,"Oltre soglia personale","Nella soglia personale"))</x:f>
      </x:c>
      <x:c r="AQ492" s="18" t="str">
        <x:f>IF(A492="",IF(COUNTA(B492:V492)=0,"","Inserisci ID"),IF(COUNTIFS($A$8:$A$507,A492)&lt;&gt;1,"ID duplicato",IF(OR(NOT(ISNUMBER(B492)),D492="",E492="",F492="",G492="",H492="",COUNTIFS('Impostazioni'!$J$6:$J$25,F492)&lt;&gt;1),"Completa dati / elenchi",IF(OR(AND(I492&lt;&gt;"Lordo manuale",I492&lt;&gt;"Netto manuale",I492&lt;&gt;"Esecuzioni"),AND(J492&lt;&gt;"Aperto",J492&lt;&gt;"Chiuso",J492&lt;&gt;"Annullato")),"Modalità / stato mancanti",IF(AND(J492&lt;&gt;"Aperto",OR(NOT(ISNUMBER(C492)),C492&lt;B492)),"Correggi data chiusura",IF(OR(AND(Q492&lt;&gt;"",OR(NOT(ISNUMBER(Q492)),Q492&lt;0)),AND(R492&lt;&gt;"",OR(NOT(ISNUMBER(R492)),R492&lt;0,R492&gt;1))),"Commissione non valida",IF(J492="Annullato","OK",IF(OR(NOT(ISNUMBER(Z492)),Z492&lt;0,AND(O492&lt;&gt;"",NOT(ISNUMBER(O492)))),"Inserisci rischio",IF(AND(I492="Esecuzioni",OR(W492=0,COUNTIFS('Esecuzioni'!$A$8:$A$1007,A492,'Esecuzioni'!$Q$8:$Q$1007,"&lt;&gt;OK")&gt;0)),"Correggi esecuzioni",IF(J492="Aperto","OK",IF(AND(I492="Esecuzioni",S492="Coperto",ABS(X492-Y492)&gt;'Impostazioni'!$B$11),"Copertura residua",IF(NOT(ISNUMBER(AC492)),"Completa risultato / esito",IF(AND(Z492=0,AC492&lt;&gt;0),"Rischio nullo con P/L","OK")))))))))))))</x:f>
      </x:c>
      <x:c r="AR492" s="20" t="str">
        <x:f>IF(OR(A492="",J492&lt;&gt;"Aperto",AQ492&lt;&gt;"OK"),"",IF(I492="Esecuzioni",SUMIFS('Esecuzioni'!$P$8:$P$1007,'Esecuzioni'!$A$8:$A$1007,A492,'Esecuzioni'!$B$8:$B$1007,_xlfn.MAXIFS('Esecuzioni'!$B$8:$B$1007,'Esecuzioni'!$A$8:$A$1007,A492)),IF(LEFT(U492,8)="FREEBET:",0,Z492)))</x:f>
      </x:c>
      <x:c r="AS492" s="48" t="str">
        <x:f>IF(OR(A492="",E492=""),"",IF(COUNTIFS($E$8:E492,E492)=1,COUNT($AS$7:AS491)+1,""))</x:f>
      </x:c>
    </x:row>
    <x:row r="493" ht="22" customHeight="1">
      <x:c r="A493" s="7"/>
      <x:c r="B493" s="19"/>
      <x:c r="C493" s="19"/>
      <x:c r="D493" s="7"/>
      <x:c r="E493" s="7"/>
      <x:c r="F493" s="7"/>
      <x:c r="G493" s="7"/>
      <x:c r="H493" s="7"/>
      <x:c r="I493" s="7"/>
      <x:c r="J493" s="7"/>
      <x:c r="K493" s="10"/>
      <x:c r="L493" s="7"/>
      <x:c r="M493" s="10"/>
      <x:c r="N493" s="7"/>
      <x:c r="O493" s="8"/>
      <x:c r="P493" s="8"/>
      <x:c r="Q493" s="8"/>
      <x:c r="R493" s="9"/>
      <x:c r="S493" s="7"/>
      <x:c r="T493" s="7"/>
      <x:c r="U493" s="7"/>
      <x:c r="V493" s="7"/>
      <x:c r="W493" s="22" t="str">
        <x:f>IF(A493="","",COUNTIFS('Esecuzioni'!$A$8:$A$1007,A493,'Esecuzioni'!$Q$8:$Q$1007,"OK"))</x:f>
      </x:c>
      <x:c r="X493" s="20" t="str">
        <x:f>IF(OR(A493="",I493&lt;&gt;"Esecuzioni",W493=0),"",SUMIFS('Esecuzioni'!$L$8:$L$1007,'Esecuzioni'!$A$8:$A$1007,A493))</x:f>
      </x:c>
      <x:c r="Y493" s="20" t="str">
        <x:f>IF(OR(A493="",I493&lt;&gt;"Esecuzioni",W493=0),"",SUMIFS('Esecuzioni'!$M$8:$M$1007,'Esecuzioni'!$A$8:$A$1007,A493))</x:f>
      </x:c>
      <x:c r="Z493" s="20" t="str">
        <x:f>IF(A493="","",IF(J493="Annullato",0,IF(ISNUMBER(O493),O493,IF(AND(I493="Esecuzioni",W493&gt;0),_xlfn.MAXIFS('Esecuzioni'!$P$8:$P$1007,'Esecuzioni'!$A$8:$A$1007,A493),""))))</x:f>
      </x:c>
      <x:c r="AA493" s="20" t="str">
        <x:f>IF(OR(A493="",J493="Aperto"),"",IF(J493="Annullato",0,IF(I493="Lordo manuale",IF(ISNUMBER(P493),P493,""),IF(I493="Netto manuale",IF(AND(ISNUMBER(P493),ISNUMBER(Q493)),P493+Q493,""),IF(OR(W493=0,COUNTIFS('Esecuzioni'!$A$8:$A$1007,A493,'Esecuzioni'!$Q$8:$Q$1007,"&lt;&gt;OK")&gt;0),"",IF(S493="Vince",X493,IF(S493="Perde",Y493,IF(AND(S493="Coperto",ABS(X493-Y493)&lt;='Impostazioni'!$B$11),ROUND((X493+Y493)/2,2),""))))))))</x:f>
      </x:c>
      <x:c r="AB493" s="20" t="str">
        <x:f>IF(NOT(ISNUMBER(AA493)),"",IF(J493="Annullato",0,IF(ISNUMBER(Q493),Q493,ROUND(MAX(0,AA493)*IF(ISNUMBER(R493),R493,'Impostazioni'!$B$8),2))))</x:f>
      </x:c>
      <x:c r="AC493" s="20" t="str">
        <x:f>IF(AND(ISNUMBER(AA493),ISNUMBER(AB493)),ROUND(AA493-AB493,2),"")</x:f>
      </x:c>
      <x:c r="AD493" s="18" t="str">
        <x:f>IF(A493="","",IF(AQ493&lt;&gt;"OK","Incompleto",IF(J493="Aperto","Aperto",IF(J493="Annullato","Annullato",IF(AC493&gt;0,"Green",IF(AC493&lt;0,"Red","Flat"))))))</x:f>
      </x:c>
      <x:c r="AE493" s="21" t="str">
        <x:f>IF(AND(AH493=1,Z493&gt;0),AC493/Z493,"")</x:f>
      </x:c>
      <x:c r="AF493" s="22" t="str">
        <x:f>IF(AH493&lt;&gt;1,"",COUNTIFS($C$8:$C$507,"&lt;"&amp;C493,$AH$8:$AH$507,1)+COUNTIFS($C$8:$C$507,C493,$A$8:$A$507,"&lt;="&amp;A493,$AH$8:$AH$507,1))</x:f>
      </x:c>
      <x:c r="AG493" s="20" t="str">
        <x:f>IF(AH493&lt;&gt;1,"",SUMIFS($AC$8:$AC$507,$C$8:$C$507,"&lt;"&amp;C493,$AH$8:$AH$507,1)+SUMIFS($AC$8:$AC$507,$C$8:$C$507,C493,$A$8:$A$507,"&lt;="&amp;A493,$AH$8:$AH$507,1))</x:f>
      </x:c>
      <x:c r="AH493" s="22" t="str">
        <x:f>IF(A493="","",IF(AND(J493="Chiuso",AQ493="OK",ISNUMBER(AC493)),1,0))</x:f>
      </x:c>
      <x:c r="AI493" s="20" t="str">
        <x:f>IF(AH493&lt;&gt;1,"",MAX(0,_xlfn.MAXIFS($AG$8:$AG$507,$AF$8:$AF$507,"&lt;="&amp;AF493,$AH$8:$AH$507,1)))</x:f>
      </x:c>
      <x:c r="AJ493" s="20" t="str">
        <x:f>IF(AH493&lt;&gt;1,"",MAX(0,AI493-AG493))</x:f>
      </x:c>
      <x:c r="AK493" s="21" t="str">
        <x:f>IF(OR(AH493&lt;&gt;1,NOT(ISNUMBER('Impostazioni'!$B$6)),'Impostazioni'!$B$6+AI493&lt;=0),"",AJ493/('Impostazioni'!$B$6+AI493))</x:f>
      </x:c>
      <x:c r="AL493" s="22" t="str">
        <x:f>IF(AH493&lt;&gt;1,"",IF(AC493&gt;0,AF493-_xlfn.MAXIFS($AF$8:$AF$507,$AF$8:$AF$507,"&lt;="&amp;AF493,$AC$8:$AC$507,"&lt;=0",$AH$8:$AH$507,1),0))</x:f>
      </x:c>
      <x:c r="AM493" s="22" t="str">
        <x:f>IF(AH493&lt;&gt;1,"",IF(AC493&lt;0,AF493-_xlfn.MAXIFS($AF$8:$AF$507,$AF$8:$AF$507,"&lt;="&amp;AF493,$AC$8:$AC$507,"&gt;=0",$AH$8:$AH$507,1),0))</x:f>
      </x:c>
      <x:c r="AN493" s="20" t="str">
        <x:f>IF(OR(A493="",NOT(ISNUMBER(B493)),NOT(ISNUMBER('Impostazioni'!$B$6))),"",'Impostazioni'!$B$6+SUMIFS($AC$8:$AC$507,$C$8:$C$507,"&lt;"&amp;B493,$AH$8:$AH$507,1)+SUMIFS('Cassa'!$F$8:$F$307,'Cassa'!$A$8:$A$307,"&lt;="&amp;B493,'Cassa'!$G$8:$G$307,"OK"))</x:f>
      </x:c>
      <x:c r="AO493" s="21" t="str">
        <x:f>IF(AND(ISNUMBER(Z493),ISNUMBER(AN493),AN493&gt;0),Z493/AN493,"")</x:f>
      </x:c>
      <x:c r="AP493" s="18" t="str">
        <x:f>IF(NOT(ISNUMBER(AO493)),"",IF(AO493&gt;'Impostazioni'!$B$7,"Oltre soglia personale","Nella soglia personale"))</x:f>
      </x:c>
      <x:c r="AQ493" s="18" t="str">
        <x:f>IF(A493="",IF(COUNTA(B493:V493)=0,"","Inserisci ID"),IF(COUNTIFS($A$8:$A$507,A493)&lt;&gt;1,"ID duplicato",IF(OR(NOT(ISNUMBER(B493)),D493="",E493="",F493="",G493="",H493="",COUNTIFS('Impostazioni'!$J$6:$J$25,F493)&lt;&gt;1),"Completa dati / elenchi",IF(OR(AND(I493&lt;&gt;"Lordo manuale",I493&lt;&gt;"Netto manuale",I493&lt;&gt;"Esecuzioni"),AND(J493&lt;&gt;"Aperto",J493&lt;&gt;"Chiuso",J493&lt;&gt;"Annullato")),"Modalità / stato mancanti",IF(AND(J493&lt;&gt;"Aperto",OR(NOT(ISNUMBER(C493)),C493&lt;B493)),"Correggi data chiusura",IF(OR(AND(Q493&lt;&gt;"",OR(NOT(ISNUMBER(Q493)),Q493&lt;0)),AND(R493&lt;&gt;"",OR(NOT(ISNUMBER(R493)),R493&lt;0,R493&gt;1))),"Commissione non valida",IF(J493="Annullato","OK",IF(OR(NOT(ISNUMBER(Z493)),Z493&lt;0,AND(O493&lt;&gt;"",NOT(ISNUMBER(O493)))),"Inserisci rischio",IF(AND(I493="Esecuzioni",OR(W493=0,COUNTIFS('Esecuzioni'!$A$8:$A$1007,A493,'Esecuzioni'!$Q$8:$Q$1007,"&lt;&gt;OK")&gt;0)),"Correggi esecuzioni",IF(J493="Aperto","OK",IF(AND(I493="Esecuzioni",S493="Coperto",ABS(X493-Y493)&gt;'Impostazioni'!$B$11),"Copertura residua",IF(NOT(ISNUMBER(AC493)),"Completa risultato / esito",IF(AND(Z493=0,AC493&lt;&gt;0),"Rischio nullo con P/L","OK")))))))))))))</x:f>
      </x:c>
      <x:c r="AR493" s="20" t="str">
        <x:f>IF(OR(A493="",J493&lt;&gt;"Aperto",AQ493&lt;&gt;"OK"),"",IF(I493="Esecuzioni",SUMIFS('Esecuzioni'!$P$8:$P$1007,'Esecuzioni'!$A$8:$A$1007,A493,'Esecuzioni'!$B$8:$B$1007,_xlfn.MAXIFS('Esecuzioni'!$B$8:$B$1007,'Esecuzioni'!$A$8:$A$1007,A493)),IF(LEFT(U493,8)="FREEBET:",0,Z493)))</x:f>
      </x:c>
      <x:c r="AS493" s="48" t="str">
        <x:f>IF(OR(A493="",E493=""),"",IF(COUNTIFS($E$8:E493,E493)=1,COUNT($AS$7:AS492)+1,""))</x:f>
      </x:c>
    </x:row>
    <x:row r="494" ht="22" customHeight="1">
      <x:c r="A494" s="7"/>
      <x:c r="B494" s="19"/>
      <x:c r="C494" s="19"/>
      <x:c r="D494" s="7"/>
      <x:c r="E494" s="7"/>
      <x:c r="F494" s="7"/>
      <x:c r="G494" s="7"/>
      <x:c r="H494" s="7"/>
      <x:c r="I494" s="7"/>
      <x:c r="J494" s="7"/>
      <x:c r="K494" s="10"/>
      <x:c r="L494" s="7"/>
      <x:c r="M494" s="10"/>
      <x:c r="N494" s="7"/>
      <x:c r="O494" s="8"/>
      <x:c r="P494" s="8"/>
      <x:c r="Q494" s="8"/>
      <x:c r="R494" s="9"/>
      <x:c r="S494" s="7"/>
      <x:c r="T494" s="7"/>
      <x:c r="U494" s="7"/>
      <x:c r="V494" s="7"/>
      <x:c r="W494" s="22" t="str">
        <x:f>IF(A494="","",COUNTIFS('Esecuzioni'!$A$8:$A$1007,A494,'Esecuzioni'!$Q$8:$Q$1007,"OK"))</x:f>
      </x:c>
      <x:c r="X494" s="20" t="str">
        <x:f>IF(OR(A494="",I494&lt;&gt;"Esecuzioni",W494=0),"",SUMIFS('Esecuzioni'!$L$8:$L$1007,'Esecuzioni'!$A$8:$A$1007,A494))</x:f>
      </x:c>
      <x:c r="Y494" s="20" t="str">
        <x:f>IF(OR(A494="",I494&lt;&gt;"Esecuzioni",W494=0),"",SUMIFS('Esecuzioni'!$M$8:$M$1007,'Esecuzioni'!$A$8:$A$1007,A494))</x:f>
      </x:c>
      <x:c r="Z494" s="20" t="str">
        <x:f>IF(A494="","",IF(J494="Annullato",0,IF(ISNUMBER(O494),O494,IF(AND(I494="Esecuzioni",W494&gt;0),_xlfn.MAXIFS('Esecuzioni'!$P$8:$P$1007,'Esecuzioni'!$A$8:$A$1007,A494),""))))</x:f>
      </x:c>
      <x:c r="AA494" s="20" t="str">
        <x:f>IF(OR(A494="",J494="Aperto"),"",IF(J494="Annullato",0,IF(I494="Lordo manuale",IF(ISNUMBER(P494),P494,""),IF(I494="Netto manuale",IF(AND(ISNUMBER(P494),ISNUMBER(Q494)),P494+Q494,""),IF(OR(W494=0,COUNTIFS('Esecuzioni'!$A$8:$A$1007,A494,'Esecuzioni'!$Q$8:$Q$1007,"&lt;&gt;OK")&gt;0),"",IF(S494="Vince",X494,IF(S494="Perde",Y494,IF(AND(S494="Coperto",ABS(X494-Y494)&lt;='Impostazioni'!$B$11),ROUND((X494+Y494)/2,2),""))))))))</x:f>
      </x:c>
      <x:c r="AB494" s="20" t="str">
        <x:f>IF(NOT(ISNUMBER(AA494)),"",IF(J494="Annullato",0,IF(ISNUMBER(Q494),Q494,ROUND(MAX(0,AA494)*IF(ISNUMBER(R494),R494,'Impostazioni'!$B$8),2))))</x:f>
      </x:c>
      <x:c r="AC494" s="20" t="str">
        <x:f>IF(AND(ISNUMBER(AA494),ISNUMBER(AB494)),ROUND(AA494-AB494,2),"")</x:f>
      </x:c>
      <x:c r="AD494" s="18" t="str">
        <x:f>IF(A494="","",IF(AQ494&lt;&gt;"OK","Incompleto",IF(J494="Aperto","Aperto",IF(J494="Annullato","Annullato",IF(AC494&gt;0,"Green",IF(AC494&lt;0,"Red","Flat"))))))</x:f>
      </x:c>
      <x:c r="AE494" s="21" t="str">
        <x:f>IF(AND(AH494=1,Z494&gt;0),AC494/Z494,"")</x:f>
      </x:c>
      <x:c r="AF494" s="22" t="str">
        <x:f>IF(AH494&lt;&gt;1,"",COUNTIFS($C$8:$C$507,"&lt;"&amp;C494,$AH$8:$AH$507,1)+COUNTIFS($C$8:$C$507,C494,$A$8:$A$507,"&lt;="&amp;A494,$AH$8:$AH$507,1))</x:f>
      </x:c>
      <x:c r="AG494" s="20" t="str">
        <x:f>IF(AH494&lt;&gt;1,"",SUMIFS($AC$8:$AC$507,$C$8:$C$507,"&lt;"&amp;C494,$AH$8:$AH$507,1)+SUMIFS($AC$8:$AC$507,$C$8:$C$507,C494,$A$8:$A$507,"&lt;="&amp;A494,$AH$8:$AH$507,1))</x:f>
      </x:c>
      <x:c r="AH494" s="22" t="str">
        <x:f>IF(A494="","",IF(AND(J494="Chiuso",AQ494="OK",ISNUMBER(AC494)),1,0))</x:f>
      </x:c>
      <x:c r="AI494" s="20" t="str">
        <x:f>IF(AH494&lt;&gt;1,"",MAX(0,_xlfn.MAXIFS($AG$8:$AG$507,$AF$8:$AF$507,"&lt;="&amp;AF494,$AH$8:$AH$507,1)))</x:f>
      </x:c>
      <x:c r="AJ494" s="20" t="str">
        <x:f>IF(AH494&lt;&gt;1,"",MAX(0,AI494-AG494))</x:f>
      </x:c>
      <x:c r="AK494" s="21" t="str">
        <x:f>IF(OR(AH494&lt;&gt;1,NOT(ISNUMBER('Impostazioni'!$B$6)),'Impostazioni'!$B$6+AI494&lt;=0),"",AJ494/('Impostazioni'!$B$6+AI494))</x:f>
      </x:c>
      <x:c r="AL494" s="22" t="str">
        <x:f>IF(AH494&lt;&gt;1,"",IF(AC494&gt;0,AF494-_xlfn.MAXIFS($AF$8:$AF$507,$AF$8:$AF$507,"&lt;="&amp;AF494,$AC$8:$AC$507,"&lt;=0",$AH$8:$AH$507,1),0))</x:f>
      </x:c>
      <x:c r="AM494" s="22" t="str">
        <x:f>IF(AH494&lt;&gt;1,"",IF(AC494&lt;0,AF494-_xlfn.MAXIFS($AF$8:$AF$507,$AF$8:$AF$507,"&lt;="&amp;AF494,$AC$8:$AC$507,"&gt;=0",$AH$8:$AH$507,1),0))</x:f>
      </x:c>
      <x:c r="AN494" s="20" t="str">
        <x:f>IF(OR(A494="",NOT(ISNUMBER(B494)),NOT(ISNUMBER('Impostazioni'!$B$6))),"",'Impostazioni'!$B$6+SUMIFS($AC$8:$AC$507,$C$8:$C$507,"&lt;"&amp;B494,$AH$8:$AH$507,1)+SUMIFS('Cassa'!$F$8:$F$307,'Cassa'!$A$8:$A$307,"&lt;="&amp;B494,'Cassa'!$G$8:$G$307,"OK"))</x:f>
      </x:c>
      <x:c r="AO494" s="21" t="str">
        <x:f>IF(AND(ISNUMBER(Z494),ISNUMBER(AN494),AN494&gt;0),Z494/AN494,"")</x:f>
      </x:c>
      <x:c r="AP494" s="18" t="str">
        <x:f>IF(NOT(ISNUMBER(AO494)),"",IF(AO494&gt;'Impostazioni'!$B$7,"Oltre soglia personale","Nella soglia personale"))</x:f>
      </x:c>
      <x:c r="AQ494" s="18" t="str">
        <x:f>IF(A494="",IF(COUNTA(B494:V494)=0,"","Inserisci ID"),IF(COUNTIFS($A$8:$A$507,A494)&lt;&gt;1,"ID duplicato",IF(OR(NOT(ISNUMBER(B494)),D494="",E494="",F494="",G494="",H494="",COUNTIFS('Impostazioni'!$J$6:$J$25,F494)&lt;&gt;1),"Completa dati / elenchi",IF(OR(AND(I494&lt;&gt;"Lordo manuale",I494&lt;&gt;"Netto manuale",I494&lt;&gt;"Esecuzioni"),AND(J494&lt;&gt;"Aperto",J494&lt;&gt;"Chiuso",J494&lt;&gt;"Annullato")),"Modalità / stato mancanti",IF(AND(J494&lt;&gt;"Aperto",OR(NOT(ISNUMBER(C494)),C494&lt;B494)),"Correggi data chiusura",IF(OR(AND(Q494&lt;&gt;"",OR(NOT(ISNUMBER(Q494)),Q494&lt;0)),AND(R494&lt;&gt;"",OR(NOT(ISNUMBER(R494)),R494&lt;0,R494&gt;1))),"Commissione non valida",IF(J494="Annullato","OK",IF(OR(NOT(ISNUMBER(Z494)),Z494&lt;0,AND(O494&lt;&gt;"",NOT(ISNUMBER(O494)))),"Inserisci rischio",IF(AND(I494="Esecuzioni",OR(W494=0,COUNTIFS('Esecuzioni'!$A$8:$A$1007,A494,'Esecuzioni'!$Q$8:$Q$1007,"&lt;&gt;OK")&gt;0)),"Correggi esecuzioni",IF(J494="Aperto","OK",IF(AND(I494="Esecuzioni",S494="Coperto",ABS(X494-Y494)&gt;'Impostazioni'!$B$11),"Copertura residua",IF(NOT(ISNUMBER(AC494)),"Completa risultato / esito",IF(AND(Z494=0,AC494&lt;&gt;0),"Rischio nullo con P/L","OK")))))))))))))</x:f>
      </x:c>
      <x:c r="AR494" s="20" t="str">
        <x:f>IF(OR(A494="",J494&lt;&gt;"Aperto",AQ494&lt;&gt;"OK"),"",IF(I494="Esecuzioni",SUMIFS('Esecuzioni'!$P$8:$P$1007,'Esecuzioni'!$A$8:$A$1007,A494,'Esecuzioni'!$B$8:$B$1007,_xlfn.MAXIFS('Esecuzioni'!$B$8:$B$1007,'Esecuzioni'!$A$8:$A$1007,A494)),IF(LEFT(U494,8)="FREEBET:",0,Z494)))</x:f>
      </x:c>
      <x:c r="AS494" s="48" t="str">
        <x:f>IF(OR(A494="",E494=""),"",IF(COUNTIFS($E$8:E494,E494)=1,COUNT($AS$7:AS493)+1,""))</x:f>
      </x:c>
    </x:row>
    <x:row r="495" ht="22" customHeight="1">
      <x:c r="A495" s="7"/>
      <x:c r="B495" s="19"/>
      <x:c r="C495" s="19"/>
      <x:c r="D495" s="7"/>
      <x:c r="E495" s="7"/>
      <x:c r="F495" s="7"/>
      <x:c r="G495" s="7"/>
      <x:c r="H495" s="7"/>
      <x:c r="I495" s="7"/>
      <x:c r="J495" s="7"/>
      <x:c r="K495" s="10"/>
      <x:c r="L495" s="7"/>
      <x:c r="M495" s="10"/>
      <x:c r="N495" s="7"/>
      <x:c r="O495" s="8"/>
      <x:c r="P495" s="8"/>
      <x:c r="Q495" s="8"/>
      <x:c r="R495" s="9"/>
      <x:c r="S495" s="7"/>
      <x:c r="T495" s="7"/>
      <x:c r="U495" s="7"/>
      <x:c r="V495" s="7"/>
      <x:c r="W495" s="22" t="str">
        <x:f>IF(A495="","",COUNTIFS('Esecuzioni'!$A$8:$A$1007,A495,'Esecuzioni'!$Q$8:$Q$1007,"OK"))</x:f>
      </x:c>
      <x:c r="X495" s="20" t="str">
        <x:f>IF(OR(A495="",I495&lt;&gt;"Esecuzioni",W495=0),"",SUMIFS('Esecuzioni'!$L$8:$L$1007,'Esecuzioni'!$A$8:$A$1007,A495))</x:f>
      </x:c>
      <x:c r="Y495" s="20" t="str">
        <x:f>IF(OR(A495="",I495&lt;&gt;"Esecuzioni",W495=0),"",SUMIFS('Esecuzioni'!$M$8:$M$1007,'Esecuzioni'!$A$8:$A$1007,A495))</x:f>
      </x:c>
      <x:c r="Z495" s="20" t="str">
        <x:f>IF(A495="","",IF(J495="Annullato",0,IF(ISNUMBER(O495),O495,IF(AND(I495="Esecuzioni",W495&gt;0),_xlfn.MAXIFS('Esecuzioni'!$P$8:$P$1007,'Esecuzioni'!$A$8:$A$1007,A495),""))))</x:f>
      </x:c>
      <x:c r="AA495" s="20" t="str">
        <x:f>IF(OR(A495="",J495="Aperto"),"",IF(J495="Annullato",0,IF(I495="Lordo manuale",IF(ISNUMBER(P495),P495,""),IF(I495="Netto manuale",IF(AND(ISNUMBER(P495),ISNUMBER(Q495)),P495+Q495,""),IF(OR(W495=0,COUNTIFS('Esecuzioni'!$A$8:$A$1007,A495,'Esecuzioni'!$Q$8:$Q$1007,"&lt;&gt;OK")&gt;0),"",IF(S495="Vince",X495,IF(S495="Perde",Y495,IF(AND(S495="Coperto",ABS(X495-Y495)&lt;='Impostazioni'!$B$11),ROUND((X495+Y495)/2,2),""))))))))</x:f>
      </x:c>
      <x:c r="AB495" s="20" t="str">
        <x:f>IF(NOT(ISNUMBER(AA495)),"",IF(J495="Annullato",0,IF(ISNUMBER(Q495),Q495,ROUND(MAX(0,AA495)*IF(ISNUMBER(R495),R495,'Impostazioni'!$B$8),2))))</x:f>
      </x:c>
      <x:c r="AC495" s="20" t="str">
        <x:f>IF(AND(ISNUMBER(AA495),ISNUMBER(AB495)),ROUND(AA495-AB495,2),"")</x:f>
      </x:c>
      <x:c r="AD495" s="18" t="str">
        <x:f>IF(A495="","",IF(AQ495&lt;&gt;"OK","Incompleto",IF(J495="Aperto","Aperto",IF(J495="Annullato","Annullato",IF(AC495&gt;0,"Green",IF(AC495&lt;0,"Red","Flat"))))))</x:f>
      </x:c>
      <x:c r="AE495" s="21" t="str">
        <x:f>IF(AND(AH495=1,Z495&gt;0),AC495/Z495,"")</x:f>
      </x:c>
      <x:c r="AF495" s="22" t="str">
        <x:f>IF(AH495&lt;&gt;1,"",COUNTIFS($C$8:$C$507,"&lt;"&amp;C495,$AH$8:$AH$507,1)+COUNTIFS($C$8:$C$507,C495,$A$8:$A$507,"&lt;="&amp;A495,$AH$8:$AH$507,1))</x:f>
      </x:c>
      <x:c r="AG495" s="20" t="str">
        <x:f>IF(AH495&lt;&gt;1,"",SUMIFS($AC$8:$AC$507,$C$8:$C$507,"&lt;"&amp;C495,$AH$8:$AH$507,1)+SUMIFS($AC$8:$AC$507,$C$8:$C$507,C495,$A$8:$A$507,"&lt;="&amp;A495,$AH$8:$AH$507,1))</x:f>
      </x:c>
      <x:c r="AH495" s="22" t="str">
        <x:f>IF(A495="","",IF(AND(J495="Chiuso",AQ495="OK",ISNUMBER(AC495)),1,0))</x:f>
      </x:c>
      <x:c r="AI495" s="20" t="str">
        <x:f>IF(AH495&lt;&gt;1,"",MAX(0,_xlfn.MAXIFS($AG$8:$AG$507,$AF$8:$AF$507,"&lt;="&amp;AF495,$AH$8:$AH$507,1)))</x:f>
      </x:c>
      <x:c r="AJ495" s="20" t="str">
        <x:f>IF(AH495&lt;&gt;1,"",MAX(0,AI495-AG495))</x:f>
      </x:c>
      <x:c r="AK495" s="21" t="str">
        <x:f>IF(OR(AH495&lt;&gt;1,NOT(ISNUMBER('Impostazioni'!$B$6)),'Impostazioni'!$B$6+AI495&lt;=0),"",AJ495/('Impostazioni'!$B$6+AI495))</x:f>
      </x:c>
      <x:c r="AL495" s="22" t="str">
        <x:f>IF(AH495&lt;&gt;1,"",IF(AC495&gt;0,AF495-_xlfn.MAXIFS($AF$8:$AF$507,$AF$8:$AF$507,"&lt;="&amp;AF495,$AC$8:$AC$507,"&lt;=0",$AH$8:$AH$507,1),0))</x:f>
      </x:c>
      <x:c r="AM495" s="22" t="str">
        <x:f>IF(AH495&lt;&gt;1,"",IF(AC495&lt;0,AF495-_xlfn.MAXIFS($AF$8:$AF$507,$AF$8:$AF$507,"&lt;="&amp;AF495,$AC$8:$AC$507,"&gt;=0",$AH$8:$AH$507,1),0))</x:f>
      </x:c>
      <x:c r="AN495" s="20" t="str">
        <x:f>IF(OR(A495="",NOT(ISNUMBER(B495)),NOT(ISNUMBER('Impostazioni'!$B$6))),"",'Impostazioni'!$B$6+SUMIFS($AC$8:$AC$507,$C$8:$C$507,"&lt;"&amp;B495,$AH$8:$AH$507,1)+SUMIFS('Cassa'!$F$8:$F$307,'Cassa'!$A$8:$A$307,"&lt;="&amp;B495,'Cassa'!$G$8:$G$307,"OK"))</x:f>
      </x:c>
      <x:c r="AO495" s="21" t="str">
        <x:f>IF(AND(ISNUMBER(Z495),ISNUMBER(AN495),AN495&gt;0),Z495/AN495,"")</x:f>
      </x:c>
      <x:c r="AP495" s="18" t="str">
        <x:f>IF(NOT(ISNUMBER(AO495)),"",IF(AO495&gt;'Impostazioni'!$B$7,"Oltre soglia personale","Nella soglia personale"))</x:f>
      </x:c>
      <x:c r="AQ495" s="18" t="str">
        <x:f>IF(A495="",IF(COUNTA(B495:V495)=0,"","Inserisci ID"),IF(COUNTIFS($A$8:$A$507,A495)&lt;&gt;1,"ID duplicato",IF(OR(NOT(ISNUMBER(B495)),D495="",E495="",F495="",G495="",H495="",COUNTIFS('Impostazioni'!$J$6:$J$25,F495)&lt;&gt;1),"Completa dati / elenchi",IF(OR(AND(I495&lt;&gt;"Lordo manuale",I495&lt;&gt;"Netto manuale",I495&lt;&gt;"Esecuzioni"),AND(J495&lt;&gt;"Aperto",J495&lt;&gt;"Chiuso",J495&lt;&gt;"Annullato")),"Modalità / stato mancanti",IF(AND(J495&lt;&gt;"Aperto",OR(NOT(ISNUMBER(C495)),C495&lt;B495)),"Correggi data chiusura",IF(OR(AND(Q495&lt;&gt;"",OR(NOT(ISNUMBER(Q495)),Q495&lt;0)),AND(R495&lt;&gt;"",OR(NOT(ISNUMBER(R495)),R495&lt;0,R495&gt;1))),"Commissione non valida",IF(J495="Annullato","OK",IF(OR(NOT(ISNUMBER(Z495)),Z495&lt;0,AND(O495&lt;&gt;"",NOT(ISNUMBER(O495)))),"Inserisci rischio",IF(AND(I495="Esecuzioni",OR(W495=0,COUNTIFS('Esecuzioni'!$A$8:$A$1007,A495,'Esecuzioni'!$Q$8:$Q$1007,"&lt;&gt;OK")&gt;0)),"Correggi esecuzioni",IF(J495="Aperto","OK",IF(AND(I495="Esecuzioni",S495="Coperto",ABS(X495-Y495)&gt;'Impostazioni'!$B$11),"Copertura residua",IF(NOT(ISNUMBER(AC495)),"Completa risultato / esito",IF(AND(Z495=0,AC495&lt;&gt;0),"Rischio nullo con P/L","OK")))))))))))))</x:f>
      </x:c>
      <x:c r="AR495" s="20" t="str">
        <x:f>IF(OR(A495="",J495&lt;&gt;"Aperto",AQ495&lt;&gt;"OK"),"",IF(I495="Esecuzioni",SUMIFS('Esecuzioni'!$P$8:$P$1007,'Esecuzioni'!$A$8:$A$1007,A495,'Esecuzioni'!$B$8:$B$1007,_xlfn.MAXIFS('Esecuzioni'!$B$8:$B$1007,'Esecuzioni'!$A$8:$A$1007,A495)),IF(LEFT(U495,8)="FREEBET:",0,Z495)))</x:f>
      </x:c>
      <x:c r="AS495" s="48" t="str">
        <x:f>IF(OR(A495="",E495=""),"",IF(COUNTIFS($E$8:E495,E495)=1,COUNT($AS$7:AS494)+1,""))</x:f>
      </x:c>
    </x:row>
    <x:row r="496" ht="22" customHeight="1">
      <x:c r="A496" s="7"/>
      <x:c r="B496" s="19"/>
      <x:c r="C496" s="19"/>
      <x:c r="D496" s="7"/>
      <x:c r="E496" s="7"/>
      <x:c r="F496" s="7"/>
      <x:c r="G496" s="7"/>
      <x:c r="H496" s="7"/>
      <x:c r="I496" s="7"/>
      <x:c r="J496" s="7"/>
      <x:c r="K496" s="10"/>
      <x:c r="L496" s="7"/>
      <x:c r="M496" s="10"/>
      <x:c r="N496" s="7"/>
      <x:c r="O496" s="8"/>
      <x:c r="P496" s="8"/>
      <x:c r="Q496" s="8"/>
      <x:c r="R496" s="9"/>
      <x:c r="S496" s="7"/>
      <x:c r="T496" s="7"/>
      <x:c r="U496" s="7"/>
      <x:c r="V496" s="7"/>
      <x:c r="W496" s="22" t="str">
        <x:f>IF(A496="","",COUNTIFS('Esecuzioni'!$A$8:$A$1007,A496,'Esecuzioni'!$Q$8:$Q$1007,"OK"))</x:f>
      </x:c>
      <x:c r="X496" s="20" t="str">
        <x:f>IF(OR(A496="",I496&lt;&gt;"Esecuzioni",W496=0),"",SUMIFS('Esecuzioni'!$L$8:$L$1007,'Esecuzioni'!$A$8:$A$1007,A496))</x:f>
      </x:c>
      <x:c r="Y496" s="20" t="str">
        <x:f>IF(OR(A496="",I496&lt;&gt;"Esecuzioni",W496=0),"",SUMIFS('Esecuzioni'!$M$8:$M$1007,'Esecuzioni'!$A$8:$A$1007,A496))</x:f>
      </x:c>
      <x:c r="Z496" s="20" t="str">
        <x:f>IF(A496="","",IF(J496="Annullato",0,IF(ISNUMBER(O496),O496,IF(AND(I496="Esecuzioni",W496&gt;0),_xlfn.MAXIFS('Esecuzioni'!$P$8:$P$1007,'Esecuzioni'!$A$8:$A$1007,A496),""))))</x:f>
      </x:c>
      <x:c r="AA496" s="20" t="str">
        <x:f>IF(OR(A496="",J496="Aperto"),"",IF(J496="Annullato",0,IF(I496="Lordo manuale",IF(ISNUMBER(P496),P496,""),IF(I496="Netto manuale",IF(AND(ISNUMBER(P496),ISNUMBER(Q496)),P496+Q496,""),IF(OR(W496=0,COUNTIFS('Esecuzioni'!$A$8:$A$1007,A496,'Esecuzioni'!$Q$8:$Q$1007,"&lt;&gt;OK")&gt;0),"",IF(S496="Vince",X496,IF(S496="Perde",Y496,IF(AND(S496="Coperto",ABS(X496-Y496)&lt;='Impostazioni'!$B$11),ROUND((X496+Y496)/2,2),""))))))))</x:f>
      </x:c>
      <x:c r="AB496" s="20" t="str">
        <x:f>IF(NOT(ISNUMBER(AA496)),"",IF(J496="Annullato",0,IF(ISNUMBER(Q496),Q496,ROUND(MAX(0,AA496)*IF(ISNUMBER(R496),R496,'Impostazioni'!$B$8),2))))</x:f>
      </x:c>
      <x:c r="AC496" s="20" t="str">
        <x:f>IF(AND(ISNUMBER(AA496),ISNUMBER(AB496)),ROUND(AA496-AB496,2),"")</x:f>
      </x:c>
      <x:c r="AD496" s="18" t="str">
        <x:f>IF(A496="","",IF(AQ496&lt;&gt;"OK","Incompleto",IF(J496="Aperto","Aperto",IF(J496="Annullato","Annullato",IF(AC496&gt;0,"Green",IF(AC496&lt;0,"Red","Flat"))))))</x:f>
      </x:c>
      <x:c r="AE496" s="21" t="str">
        <x:f>IF(AND(AH496=1,Z496&gt;0),AC496/Z496,"")</x:f>
      </x:c>
      <x:c r="AF496" s="22" t="str">
        <x:f>IF(AH496&lt;&gt;1,"",COUNTIFS($C$8:$C$507,"&lt;"&amp;C496,$AH$8:$AH$507,1)+COUNTIFS($C$8:$C$507,C496,$A$8:$A$507,"&lt;="&amp;A496,$AH$8:$AH$507,1))</x:f>
      </x:c>
      <x:c r="AG496" s="20" t="str">
        <x:f>IF(AH496&lt;&gt;1,"",SUMIFS($AC$8:$AC$507,$C$8:$C$507,"&lt;"&amp;C496,$AH$8:$AH$507,1)+SUMIFS($AC$8:$AC$507,$C$8:$C$507,C496,$A$8:$A$507,"&lt;="&amp;A496,$AH$8:$AH$507,1))</x:f>
      </x:c>
      <x:c r="AH496" s="22" t="str">
        <x:f>IF(A496="","",IF(AND(J496="Chiuso",AQ496="OK",ISNUMBER(AC496)),1,0))</x:f>
      </x:c>
      <x:c r="AI496" s="20" t="str">
        <x:f>IF(AH496&lt;&gt;1,"",MAX(0,_xlfn.MAXIFS($AG$8:$AG$507,$AF$8:$AF$507,"&lt;="&amp;AF496,$AH$8:$AH$507,1)))</x:f>
      </x:c>
      <x:c r="AJ496" s="20" t="str">
        <x:f>IF(AH496&lt;&gt;1,"",MAX(0,AI496-AG496))</x:f>
      </x:c>
      <x:c r="AK496" s="21" t="str">
        <x:f>IF(OR(AH496&lt;&gt;1,NOT(ISNUMBER('Impostazioni'!$B$6)),'Impostazioni'!$B$6+AI496&lt;=0),"",AJ496/('Impostazioni'!$B$6+AI496))</x:f>
      </x:c>
      <x:c r="AL496" s="22" t="str">
        <x:f>IF(AH496&lt;&gt;1,"",IF(AC496&gt;0,AF496-_xlfn.MAXIFS($AF$8:$AF$507,$AF$8:$AF$507,"&lt;="&amp;AF496,$AC$8:$AC$507,"&lt;=0",$AH$8:$AH$507,1),0))</x:f>
      </x:c>
      <x:c r="AM496" s="22" t="str">
        <x:f>IF(AH496&lt;&gt;1,"",IF(AC496&lt;0,AF496-_xlfn.MAXIFS($AF$8:$AF$507,$AF$8:$AF$507,"&lt;="&amp;AF496,$AC$8:$AC$507,"&gt;=0",$AH$8:$AH$507,1),0))</x:f>
      </x:c>
      <x:c r="AN496" s="20" t="str">
        <x:f>IF(OR(A496="",NOT(ISNUMBER(B496)),NOT(ISNUMBER('Impostazioni'!$B$6))),"",'Impostazioni'!$B$6+SUMIFS($AC$8:$AC$507,$C$8:$C$507,"&lt;"&amp;B496,$AH$8:$AH$507,1)+SUMIFS('Cassa'!$F$8:$F$307,'Cassa'!$A$8:$A$307,"&lt;="&amp;B496,'Cassa'!$G$8:$G$307,"OK"))</x:f>
      </x:c>
      <x:c r="AO496" s="21" t="str">
        <x:f>IF(AND(ISNUMBER(Z496),ISNUMBER(AN496),AN496&gt;0),Z496/AN496,"")</x:f>
      </x:c>
      <x:c r="AP496" s="18" t="str">
        <x:f>IF(NOT(ISNUMBER(AO496)),"",IF(AO496&gt;'Impostazioni'!$B$7,"Oltre soglia personale","Nella soglia personale"))</x:f>
      </x:c>
      <x:c r="AQ496" s="18" t="str">
        <x:f>IF(A496="",IF(COUNTA(B496:V496)=0,"","Inserisci ID"),IF(COUNTIFS($A$8:$A$507,A496)&lt;&gt;1,"ID duplicato",IF(OR(NOT(ISNUMBER(B496)),D496="",E496="",F496="",G496="",H496="",COUNTIFS('Impostazioni'!$J$6:$J$25,F496)&lt;&gt;1),"Completa dati / elenchi",IF(OR(AND(I496&lt;&gt;"Lordo manuale",I496&lt;&gt;"Netto manuale",I496&lt;&gt;"Esecuzioni"),AND(J496&lt;&gt;"Aperto",J496&lt;&gt;"Chiuso",J496&lt;&gt;"Annullato")),"Modalità / stato mancanti",IF(AND(J496&lt;&gt;"Aperto",OR(NOT(ISNUMBER(C496)),C496&lt;B496)),"Correggi data chiusura",IF(OR(AND(Q496&lt;&gt;"",OR(NOT(ISNUMBER(Q496)),Q496&lt;0)),AND(R496&lt;&gt;"",OR(NOT(ISNUMBER(R496)),R496&lt;0,R496&gt;1))),"Commissione non valida",IF(J496="Annullato","OK",IF(OR(NOT(ISNUMBER(Z496)),Z496&lt;0,AND(O496&lt;&gt;"",NOT(ISNUMBER(O496)))),"Inserisci rischio",IF(AND(I496="Esecuzioni",OR(W496=0,COUNTIFS('Esecuzioni'!$A$8:$A$1007,A496,'Esecuzioni'!$Q$8:$Q$1007,"&lt;&gt;OK")&gt;0)),"Correggi esecuzioni",IF(J496="Aperto","OK",IF(AND(I496="Esecuzioni",S496="Coperto",ABS(X496-Y496)&gt;'Impostazioni'!$B$11),"Copertura residua",IF(NOT(ISNUMBER(AC496)),"Completa risultato / esito",IF(AND(Z496=0,AC496&lt;&gt;0),"Rischio nullo con P/L","OK")))))))))))))</x:f>
      </x:c>
      <x:c r="AR496" s="20" t="str">
        <x:f>IF(OR(A496="",J496&lt;&gt;"Aperto",AQ496&lt;&gt;"OK"),"",IF(I496="Esecuzioni",SUMIFS('Esecuzioni'!$P$8:$P$1007,'Esecuzioni'!$A$8:$A$1007,A496,'Esecuzioni'!$B$8:$B$1007,_xlfn.MAXIFS('Esecuzioni'!$B$8:$B$1007,'Esecuzioni'!$A$8:$A$1007,A496)),IF(LEFT(U496,8)="FREEBET:",0,Z496)))</x:f>
      </x:c>
      <x:c r="AS496" s="48" t="str">
        <x:f>IF(OR(A496="",E496=""),"",IF(COUNTIFS($E$8:E496,E496)=1,COUNT($AS$7:AS495)+1,""))</x:f>
      </x:c>
    </x:row>
    <x:row r="497" ht="22" customHeight="1">
      <x:c r="A497" s="7"/>
      <x:c r="B497" s="19"/>
      <x:c r="C497" s="19"/>
      <x:c r="D497" s="7"/>
      <x:c r="E497" s="7"/>
      <x:c r="F497" s="7"/>
      <x:c r="G497" s="7"/>
      <x:c r="H497" s="7"/>
      <x:c r="I497" s="7"/>
      <x:c r="J497" s="7"/>
      <x:c r="K497" s="10"/>
      <x:c r="L497" s="7"/>
      <x:c r="M497" s="10"/>
      <x:c r="N497" s="7"/>
      <x:c r="O497" s="8"/>
      <x:c r="P497" s="8"/>
      <x:c r="Q497" s="8"/>
      <x:c r="R497" s="9"/>
      <x:c r="S497" s="7"/>
      <x:c r="T497" s="7"/>
      <x:c r="U497" s="7"/>
      <x:c r="V497" s="7"/>
      <x:c r="W497" s="22" t="str">
        <x:f>IF(A497="","",COUNTIFS('Esecuzioni'!$A$8:$A$1007,A497,'Esecuzioni'!$Q$8:$Q$1007,"OK"))</x:f>
      </x:c>
      <x:c r="X497" s="20" t="str">
        <x:f>IF(OR(A497="",I497&lt;&gt;"Esecuzioni",W497=0),"",SUMIFS('Esecuzioni'!$L$8:$L$1007,'Esecuzioni'!$A$8:$A$1007,A497))</x:f>
      </x:c>
      <x:c r="Y497" s="20" t="str">
        <x:f>IF(OR(A497="",I497&lt;&gt;"Esecuzioni",W497=0),"",SUMIFS('Esecuzioni'!$M$8:$M$1007,'Esecuzioni'!$A$8:$A$1007,A497))</x:f>
      </x:c>
      <x:c r="Z497" s="20" t="str">
        <x:f>IF(A497="","",IF(J497="Annullato",0,IF(ISNUMBER(O497),O497,IF(AND(I497="Esecuzioni",W497&gt;0),_xlfn.MAXIFS('Esecuzioni'!$P$8:$P$1007,'Esecuzioni'!$A$8:$A$1007,A497),""))))</x:f>
      </x:c>
      <x:c r="AA497" s="20" t="str">
        <x:f>IF(OR(A497="",J497="Aperto"),"",IF(J497="Annullato",0,IF(I497="Lordo manuale",IF(ISNUMBER(P497),P497,""),IF(I497="Netto manuale",IF(AND(ISNUMBER(P497),ISNUMBER(Q497)),P497+Q497,""),IF(OR(W497=0,COUNTIFS('Esecuzioni'!$A$8:$A$1007,A497,'Esecuzioni'!$Q$8:$Q$1007,"&lt;&gt;OK")&gt;0),"",IF(S497="Vince",X497,IF(S497="Perde",Y497,IF(AND(S497="Coperto",ABS(X497-Y497)&lt;='Impostazioni'!$B$11),ROUND((X497+Y497)/2,2),""))))))))</x:f>
      </x:c>
      <x:c r="AB497" s="20" t="str">
        <x:f>IF(NOT(ISNUMBER(AA497)),"",IF(J497="Annullato",0,IF(ISNUMBER(Q497),Q497,ROUND(MAX(0,AA497)*IF(ISNUMBER(R497),R497,'Impostazioni'!$B$8),2))))</x:f>
      </x:c>
      <x:c r="AC497" s="20" t="str">
        <x:f>IF(AND(ISNUMBER(AA497),ISNUMBER(AB497)),ROUND(AA497-AB497,2),"")</x:f>
      </x:c>
      <x:c r="AD497" s="18" t="str">
        <x:f>IF(A497="","",IF(AQ497&lt;&gt;"OK","Incompleto",IF(J497="Aperto","Aperto",IF(J497="Annullato","Annullato",IF(AC497&gt;0,"Green",IF(AC497&lt;0,"Red","Flat"))))))</x:f>
      </x:c>
      <x:c r="AE497" s="21" t="str">
        <x:f>IF(AND(AH497=1,Z497&gt;0),AC497/Z497,"")</x:f>
      </x:c>
      <x:c r="AF497" s="22" t="str">
        <x:f>IF(AH497&lt;&gt;1,"",COUNTIFS($C$8:$C$507,"&lt;"&amp;C497,$AH$8:$AH$507,1)+COUNTIFS($C$8:$C$507,C497,$A$8:$A$507,"&lt;="&amp;A497,$AH$8:$AH$507,1))</x:f>
      </x:c>
      <x:c r="AG497" s="20" t="str">
        <x:f>IF(AH497&lt;&gt;1,"",SUMIFS($AC$8:$AC$507,$C$8:$C$507,"&lt;"&amp;C497,$AH$8:$AH$507,1)+SUMIFS($AC$8:$AC$507,$C$8:$C$507,C497,$A$8:$A$507,"&lt;="&amp;A497,$AH$8:$AH$507,1))</x:f>
      </x:c>
      <x:c r="AH497" s="22" t="str">
        <x:f>IF(A497="","",IF(AND(J497="Chiuso",AQ497="OK",ISNUMBER(AC497)),1,0))</x:f>
      </x:c>
      <x:c r="AI497" s="20" t="str">
        <x:f>IF(AH497&lt;&gt;1,"",MAX(0,_xlfn.MAXIFS($AG$8:$AG$507,$AF$8:$AF$507,"&lt;="&amp;AF497,$AH$8:$AH$507,1)))</x:f>
      </x:c>
      <x:c r="AJ497" s="20" t="str">
        <x:f>IF(AH497&lt;&gt;1,"",MAX(0,AI497-AG497))</x:f>
      </x:c>
      <x:c r="AK497" s="21" t="str">
        <x:f>IF(OR(AH497&lt;&gt;1,NOT(ISNUMBER('Impostazioni'!$B$6)),'Impostazioni'!$B$6+AI497&lt;=0),"",AJ497/('Impostazioni'!$B$6+AI497))</x:f>
      </x:c>
      <x:c r="AL497" s="22" t="str">
        <x:f>IF(AH497&lt;&gt;1,"",IF(AC497&gt;0,AF497-_xlfn.MAXIFS($AF$8:$AF$507,$AF$8:$AF$507,"&lt;="&amp;AF497,$AC$8:$AC$507,"&lt;=0",$AH$8:$AH$507,1),0))</x:f>
      </x:c>
      <x:c r="AM497" s="22" t="str">
        <x:f>IF(AH497&lt;&gt;1,"",IF(AC497&lt;0,AF497-_xlfn.MAXIFS($AF$8:$AF$507,$AF$8:$AF$507,"&lt;="&amp;AF497,$AC$8:$AC$507,"&gt;=0",$AH$8:$AH$507,1),0))</x:f>
      </x:c>
      <x:c r="AN497" s="20" t="str">
        <x:f>IF(OR(A497="",NOT(ISNUMBER(B497)),NOT(ISNUMBER('Impostazioni'!$B$6))),"",'Impostazioni'!$B$6+SUMIFS($AC$8:$AC$507,$C$8:$C$507,"&lt;"&amp;B497,$AH$8:$AH$507,1)+SUMIFS('Cassa'!$F$8:$F$307,'Cassa'!$A$8:$A$307,"&lt;="&amp;B497,'Cassa'!$G$8:$G$307,"OK"))</x:f>
      </x:c>
      <x:c r="AO497" s="21" t="str">
        <x:f>IF(AND(ISNUMBER(Z497),ISNUMBER(AN497),AN497&gt;0),Z497/AN497,"")</x:f>
      </x:c>
      <x:c r="AP497" s="18" t="str">
        <x:f>IF(NOT(ISNUMBER(AO497)),"",IF(AO497&gt;'Impostazioni'!$B$7,"Oltre soglia personale","Nella soglia personale"))</x:f>
      </x:c>
      <x:c r="AQ497" s="18" t="str">
        <x:f>IF(A497="",IF(COUNTA(B497:V497)=0,"","Inserisci ID"),IF(COUNTIFS($A$8:$A$507,A497)&lt;&gt;1,"ID duplicato",IF(OR(NOT(ISNUMBER(B497)),D497="",E497="",F497="",G497="",H497="",COUNTIFS('Impostazioni'!$J$6:$J$25,F497)&lt;&gt;1),"Completa dati / elenchi",IF(OR(AND(I497&lt;&gt;"Lordo manuale",I497&lt;&gt;"Netto manuale",I497&lt;&gt;"Esecuzioni"),AND(J497&lt;&gt;"Aperto",J497&lt;&gt;"Chiuso",J497&lt;&gt;"Annullato")),"Modalità / stato mancanti",IF(AND(J497&lt;&gt;"Aperto",OR(NOT(ISNUMBER(C497)),C497&lt;B497)),"Correggi data chiusura",IF(OR(AND(Q497&lt;&gt;"",OR(NOT(ISNUMBER(Q497)),Q497&lt;0)),AND(R497&lt;&gt;"",OR(NOT(ISNUMBER(R497)),R497&lt;0,R497&gt;1))),"Commissione non valida",IF(J497="Annullato","OK",IF(OR(NOT(ISNUMBER(Z497)),Z497&lt;0,AND(O497&lt;&gt;"",NOT(ISNUMBER(O497)))),"Inserisci rischio",IF(AND(I497="Esecuzioni",OR(W497=0,COUNTIFS('Esecuzioni'!$A$8:$A$1007,A497,'Esecuzioni'!$Q$8:$Q$1007,"&lt;&gt;OK")&gt;0)),"Correggi esecuzioni",IF(J497="Aperto","OK",IF(AND(I497="Esecuzioni",S497="Coperto",ABS(X497-Y497)&gt;'Impostazioni'!$B$11),"Copertura residua",IF(NOT(ISNUMBER(AC497)),"Completa risultato / esito",IF(AND(Z497=0,AC497&lt;&gt;0),"Rischio nullo con P/L","OK")))))))))))))</x:f>
      </x:c>
      <x:c r="AR497" s="20" t="str">
        <x:f>IF(OR(A497="",J497&lt;&gt;"Aperto",AQ497&lt;&gt;"OK"),"",IF(I497="Esecuzioni",SUMIFS('Esecuzioni'!$P$8:$P$1007,'Esecuzioni'!$A$8:$A$1007,A497,'Esecuzioni'!$B$8:$B$1007,_xlfn.MAXIFS('Esecuzioni'!$B$8:$B$1007,'Esecuzioni'!$A$8:$A$1007,A497)),IF(LEFT(U497,8)="FREEBET:",0,Z497)))</x:f>
      </x:c>
      <x:c r="AS497" s="48" t="str">
        <x:f>IF(OR(A497="",E497=""),"",IF(COUNTIFS($E$8:E497,E497)=1,COUNT($AS$7:AS496)+1,""))</x:f>
      </x:c>
    </x:row>
    <x:row r="498" ht="22" customHeight="1">
      <x:c r="A498" s="7"/>
      <x:c r="B498" s="19"/>
      <x:c r="C498" s="19"/>
      <x:c r="D498" s="7"/>
      <x:c r="E498" s="7"/>
      <x:c r="F498" s="7"/>
      <x:c r="G498" s="7"/>
      <x:c r="H498" s="7"/>
      <x:c r="I498" s="7"/>
      <x:c r="J498" s="7"/>
      <x:c r="K498" s="10"/>
      <x:c r="L498" s="7"/>
      <x:c r="M498" s="10"/>
      <x:c r="N498" s="7"/>
      <x:c r="O498" s="8"/>
      <x:c r="P498" s="8"/>
      <x:c r="Q498" s="8"/>
      <x:c r="R498" s="9"/>
      <x:c r="S498" s="7"/>
      <x:c r="T498" s="7"/>
      <x:c r="U498" s="7"/>
      <x:c r="V498" s="7"/>
      <x:c r="W498" s="22" t="str">
        <x:f>IF(A498="","",COUNTIFS('Esecuzioni'!$A$8:$A$1007,A498,'Esecuzioni'!$Q$8:$Q$1007,"OK"))</x:f>
      </x:c>
      <x:c r="X498" s="20" t="str">
        <x:f>IF(OR(A498="",I498&lt;&gt;"Esecuzioni",W498=0),"",SUMIFS('Esecuzioni'!$L$8:$L$1007,'Esecuzioni'!$A$8:$A$1007,A498))</x:f>
      </x:c>
      <x:c r="Y498" s="20" t="str">
        <x:f>IF(OR(A498="",I498&lt;&gt;"Esecuzioni",W498=0),"",SUMIFS('Esecuzioni'!$M$8:$M$1007,'Esecuzioni'!$A$8:$A$1007,A498))</x:f>
      </x:c>
      <x:c r="Z498" s="20" t="str">
        <x:f>IF(A498="","",IF(J498="Annullato",0,IF(ISNUMBER(O498),O498,IF(AND(I498="Esecuzioni",W498&gt;0),_xlfn.MAXIFS('Esecuzioni'!$P$8:$P$1007,'Esecuzioni'!$A$8:$A$1007,A498),""))))</x:f>
      </x:c>
      <x:c r="AA498" s="20" t="str">
        <x:f>IF(OR(A498="",J498="Aperto"),"",IF(J498="Annullato",0,IF(I498="Lordo manuale",IF(ISNUMBER(P498),P498,""),IF(I498="Netto manuale",IF(AND(ISNUMBER(P498),ISNUMBER(Q498)),P498+Q498,""),IF(OR(W498=0,COUNTIFS('Esecuzioni'!$A$8:$A$1007,A498,'Esecuzioni'!$Q$8:$Q$1007,"&lt;&gt;OK")&gt;0),"",IF(S498="Vince",X498,IF(S498="Perde",Y498,IF(AND(S498="Coperto",ABS(X498-Y498)&lt;='Impostazioni'!$B$11),ROUND((X498+Y498)/2,2),""))))))))</x:f>
      </x:c>
      <x:c r="AB498" s="20" t="str">
        <x:f>IF(NOT(ISNUMBER(AA498)),"",IF(J498="Annullato",0,IF(ISNUMBER(Q498),Q498,ROUND(MAX(0,AA498)*IF(ISNUMBER(R498),R498,'Impostazioni'!$B$8),2))))</x:f>
      </x:c>
      <x:c r="AC498" s="20" t="str">
        <x:f>IF(AND(ISNUMBER(AA498),ISNUMBER(AB498)),ROUND(AA498-AB498,2),"")</x:f>
      </x:c>
      <x:c r="AD498" s="18" t="str">
        <x:f>IF(A498="","",IF(AQ498&lt;&gt;"OK","Incompleto",IF(J498="Aperto","Aperto",IF(J498="Annullato","Annullato",IF(AC498&gt;0,"Green",IF(AC498&lt;0,"Red","Flat"))))))</x:f>
      </x:c>
      <x:c r="AE498" s="21" t="str">
        <x:f>IF(AND(AH498=1,Z498&gt;0),AC498/Z498,"")</x:f>
      </x:c>
      <x:c r="AF498" s="22" t="str">
        <x:f>IF(AH498&lt;&gt;1,"",COUNTIFS($C$8:$C$507,"&lt;"&amp;C498,$AH$8:$AH$507,1)+COUNTIFS($C$8:$C$507,C498,$A$8:$A$507,"&lt;="&amp;A498,$AH$8:$AH$507,1))</x:f>
      </x:c>
      <x:c r="AG498" s="20" t="str">
        <x:f>IF(AH498&lt;&gt;1,"",SUMIFS($AC$8:$AC$507,$C$8:$C$507,"&lt;"&amp;C498,$AH$8:$AH$507,1)+SUMIFS($AC$8:$AC$507,$C$8:$C$507,C498,$A$8:$A$507,"&lt;="&amp;A498,$AH$8:$AH$507,1))</x:f>
      </x:c>
      <x:c r="AH498" s="22" t="str">
        <x:f>IF(A498="","",IF(AND(J498="Chiuso",AQ498="OK",ISNUMBER(AC498)),1,0))</x:f>
      </x:c>
      <x:c r="AI498" s="20" t="str">
        <x:f>IF(AH498&lt;&gt;1,"",MAX(0,_xlfn.MAXIFS($AG$8:$AG$507,$AF$8:$AF$507,"&lt;="&amp;AF498,$AH$8:$AH$507,1)))</x:f>
      </x:c>
      <x:c r="AJ498" s="20" t="str">
        <x:f>IF(AH498&lt;&gt;1,"",MAX(0,AI498-AG498))</x:f>
      </x:c>
      <x:c r="AK498" s="21" t="str">
        <x:f>IF(OR(AH498&lt;&gt;1,NOT(ISNUMBER('Impostazioni'!$B$6)),'Impostazioni'!$B$6+AI498&lt;=0),"",AJ498/('Impostazioni'!$B$6+AI498))</x:f>
      </x:c>
      <x:c r="AL498" s="22" t="str">
        <x:f>IF(AH498&lt;&gt;1,"",IF(AC498&gt;0,AF498-_xlfn.MAXIFS($AF$8:$AF$507,$AF$8:$AF$507,"&lt;="&amp;AF498,$AC$8:$AC$507,"&lt;=0",$AH$8:$AH$507,1),0))</x:f>
      </x:c>
      <x:c r="AM498" s="22" t="str">
        <x:f>IF(AH498&lt;&gt;1,"",IF(AC498&lt;0,AF498-_xlfn.MAXIFS($AF$8:$AF$507,$AF$8:$AF$507,"&lt;="&amp;AF498,$AC$8:$AC$507,"&gt;=0",$AH$8:$AH$507,1),0))</x:f>
      </x:c>
      <x:c r="AN498" s="20" t="str">
        <x:f>IF(OR(A498="",NOT(ISNUMBER(B498)),NOT(ISNUMBER('Impostazioni'!$B$6))),"",'Impostazioni'!$B$6+SUMIFS($AC$8:$AC$507,$C$8:$C$507,"&lt;"&amp;B498,$AH$8:$AH$507,1)+SUMIFS('Cassa'!$F$8:$F$307,'Cassa'!$A$8:$A$307,"&lt;="&amp;B498,'Cassa'!$G$8:$G$307,"OK"))</x:f>
      </x:c>
      <x:c r="AO498" s="21" t="str">
        <x:f>IF(AND(ISNUMBER(Z498),ISNUMBER(AN498),AN498&gt;0),Z498/AN498,"")</x:f>
      </x:c>
      <x:c r="AP498" s="18" t="str">
        <x:f>IF(NOT(ISNUMBER(AO498)),"",IF(AO498&gt;'Impostazioni'!$B$7,"Oltre soglia personale","Nella soglia personale"))</x:f>
      </x:c>
      <x:c r="AQ498" s="18" t="str">
        <x:f>IF(A498="",IF(COUNTA(B498:V498)=0,"","Inserisci ID"),IF(COUNTIFS($A$8:$A$507,A498)&lt;&gt;1,"ID duplicato",IF(OR(NOT(ISNUMBER(B498)),D498="",E498="",F498="",G498="",H498="",COUNTIFS('Impostazioni'!$J$6:$J$25,F498)&lt;&gt;1),"Completa dati / elenchi",IF(OR(AND(I498&lt;&gt;"Lordo manuale",I498&lt;&gt;"Netto manuale",I498&lt;&gt;"Esecuzioni"),AND(J498&lt;&gt;"Aperto",J498&lt;&gt;"Chiuso",J498&lt;&gt;"Annullato")),"Modalità / stato mancanti",IF(AND(J498&lt;&gt;"Aperto",OR(NOT(ISNUMBER(C498)),C498&lt;B498)),"Correggi data chiusura",IF(OR(AND(Q498&lt;&gt;"",OR(NOT(ISNUMBER(Q498)),Q498&lt;0)),AND(R498&lt;&gt;"",OR(NOT(ISNUMBER(R498)),R498&lt;0,R498&gt;1))),"Commissione non valida",IF(J498="Annullato","OK",IF(OR(NOT(ISNUMBER(Z498)),Z498&lt;0,AND(O498&lt;&gt;"",NOT(ISNUMBER(O498)))),"Inserisci rischio",IF(AND(I498="Esecuzioni",OR(W498=0,COUNTIFS('Esecuzioni'!$A$8:$A$1007,A498,'Esecuzioni'!$Q$8:$Q$1007,"&lt;&gt;OK")&gt;0)),"Correggi esecuzioni",IF(J498="Aperto","OK",IF(AND(I498="Esecuzioni",S498="Coperto",ABS(X498-Y498)&gt;'Impostazioni'!$B$11),"Copertura residua",IF(NOT(ISNUMBER(AC498)),"Completa risultato / esito",IF(AND(Z498=0,AC498&lt;&gt;0),"Rischio nullo con P/L","OK")))))))))))))</x:f>
      </x:c>
      <x:c r="AR498" s="20" t="str">
        <x:f>IF(OR(A498="",J498&lt;&gt;"Aperto",AQ498&lt;&gt;"OK"),"",IF(I498="Esecuzioni",SUMIFS('Esecuzioni'!$P$8:$P$1007,'Esecuzioni'!$A$8:$A$1007,A498,'Esecuzioni'!$B$8:$B$1007,_xlfn.MAXIFS('Esecuzioni'!$B$8:$B$1007,'Esecuzioni'!$A$8:$A$1007,A498)),IF(LEFT(U498,8)="FREEBET:",0,Z498)))</x:f>
      </x:c>
      <x:c r="AS498" s="48" t="str">
        <x:f>IF(OR(A498="",E498=""),"",IF(COUNTIFS($E$8:E498,E498)=1,COUNT($AS$7:AS497)+1,""))</x:f>
      </x:c>
    </x:row>
    <x:row r="499" ht="22" customHeight="1">
      <x:c r="A499" s="7"/>
      <x:c r="B499" s="19"/>
      <x:c r="C499" s="19"/>
      <x:c r="D499" s="7"/>
      <x:c r="E499" s="7"/>
      <x:c r="F499" s="7"/>
      <x:c r="G499" s="7"/>
      <x:c r="H499" s="7"/>
      <x:c r="I499" s="7"/>
      <x:c r="J499" s="7"/>
      <x:c r="K499" s="10"/>
      <x:c r="L499" s="7"/>
      <x:c r="M499" s="10"/>
      <x:c r="N499" s="7"/>
      <x:c r="O499" s="8"/>
      <x:c r="P499" s="8"/>
      <x:c r="Q499" s="8"/>
      <x:c r="R499" s="9"/>
      <x:c r="S499" s="7"/>
      <x:c r="T499" s="7"/>
      <x:c r="U499" s="7"/>
      <x:c r="V499" s="7"/>
      <x:c r="W499" s="22" t="str">
        <x:f>IF(A499="","",COUNTIFS('Esecuzioni'!$A$8:$A$1007,A499,'Esecuzioni'!$Q$8:$Q$1007,"OK"))</x:f>
      </x:c>
      <x:c r="X499" s="20" t="str">
        <x:f>IF(OR(A499="",I499&lt;&gt;"Esecuzioni",W499=0),"",SUMIFS('Esecuzioni'!$L$8:$L$1007,'Esecuzioni'!$A$8:$A$1007,A499))</x:f>
      </x:c>
      <x:c r="Y499" s="20" t="str">
        <x:f>IF(OR(A499="",I499&lt;&gt;"Esecuzioni",W499=0),"",SUMIFS('Esecuzioni'!$M$8:$M$1007,'Esecuzioni'!$A$8:$A$1007,A499))</x:f>
      </x:c>
      <x:c r="Z499" s="20" t="str">
        <x:f>IF(A499="","",IF(J499="Annullato",0,IF(ISNUMBER(O499),O499,IF(AND(I499="Esecuzioni",W499&gt;0),_xlfn.MAXIFS('Esecuzioni'!$P$8:$P$1007,'Esecuzioni'!$A$8:$A$1007,A499),""))))</x:f>
      </x:c>
      <x:c r="AA499" s="20" t="str">
        <x:f>IF(OR(A499="",J499="Aperto"),"",IF(J499="Annullato",0,IF(I499="Lordo manuale",IF(ISNUMBER(P499),P499,""),IF(I499="Netto manuale",IF(AND(ISNUMBER(P499),ISNUMBER(Q499)),P499+Q499,""),IF(OR(W499=0,COUNTIFS('Esecuzioni'!$A$8:$A$1007,A499,'Esecuzioni'!$Q$8:$Q$1007,"&lt;&gt;OK")&gt;0),"",IF(S499="Vince",X499,IF(S499="Perde",Y499,IF(AND(S499="Coperto",ABS(X499-Y499)&lt;='Impostazioni'!$B$11),ROUND((X499+Y499)/2,2),""))))))))</x:f>
      </x:c>
      <x:c r="AB499" s="20" t="str">
        <x:f>IF(NOT(ISNUMBER(AA499)),"",IF(J499="Annullato",0,IF(ISNUMBER(Q499),Q499,ROUND(MAX(0,AA499)*IF(ISNUMBER(R499),R499,'Impostazioni'!$B$8),2))))</x:f>
      </x:c>
      <x:c r="AC499" s="20" t="str">
        <x:f>IF(AND(ISNUMBER(AA499),ISNUMBER(AB499)),ROUND(AA499-AB499,2),"")</x:f>
      </x:c>
      <x:c r="AD499" s="18" t="str">
        <x:f>IF(A499="","",IF(AQ499&lt;&gt;"OK","Incompleto",IF(J499="Aperto","Aperto",IF(J499="Annullato","Annullato",IF(AC499&gt;0,"Green",IF(AC499&lt;0,"Red","Flat"))))))</x:f>
      </x:c>
      <x:c r="AE499" s="21" t="str">
        <x:f>IF(AND(AH499=1,Z499&gt;0),AC499/Z499,"")</x:f>
      </x:c>
      <x:c r="AF499" s="22" t="str">
        <x:f>IF(AH499&lt;&gt;1,"",COUNTIFS($C$8:$C$507,"&lt;"&amp;C499,$AH$8:$AH$507,1)+COUNTIFS($C$8:$C$507,C499,$A$8:$A$507,"&lt;="&amp;A499,$AH$8:$AH$507,1))</x:f>
      </x:c>
      <x:c r="AG499" s="20" t="str">
        <x:f>IF(AH499&lt;&gt;1,"",SUMIFS($AC$8:$AC$507,$C$8:$C$507,"&lt;"&amp;C499,$AH$8:$AH$507,1)+SUMIFS($AC$8:$AC$507,$C$8:$C$507,C499,$A$8:$A$507,"&lt;="&amp;A499,$AH$8:$AH$507,1))</x:f>
      </x:c>
      <x:c r="AH499" s="22" t="str">
        <x:f>IF(A499="","",IF(AND(J499="Chiuso",AQ499="OK",ISNUMBER(AC499)),1,0))</x:f>
      </x:c>
      <x:c r="AI499" s="20" t="str">
        <x:f>IF(AH499&lt;&gt;1,"",MAX(0,_xlfn.MAXIFS($AG$8:$AG$507,$AF$8:$AF$507,"&lt;="&amp;AF499,$AH$8:$AH$507,1)))</x:f>
      </x:c>
      <x:c r="AJ499" s="20" t="str">
        <x:f>IF(AH499&lt;&gt;1,"",MAX(0,AI499-AG499))</x:f>
      </x:c>
      <x:c r="AK499" s="21" t="str">
        <x:f>IF(OR(AH499&lt;&gt;1,NOT(ISNUMBER('Impostazioni'!$B$6)),'Impostazioni'!$B$6+AI499&lt;=0),"",AJ499/('Impostazioni'!$B$6+AI499))</x:f>
      </x:c>
      <x:c r="AL499" s="22" t="str">
        <x:f>IF(AH499&lt;&gt;1,"",IF(AC499&gt;0,AF499-_xlfn.MAXIFS($AF$8:$AF$507,$AF$8:$AF$507,"&lt;="&amp;AF499,$AC$8:$AC$507,"&lt;=0",$AH$8:$AH$507,1),0))</x:f>
      </x:c>
      <x:c r="AM499" s="22" t="str">
        <x:f>IF(AH499&lt;&gt;1,"",IF(AC499&lt;0,AF499-_xlfn.MAXIFS($AF$8:$AF$507,$AF$8:$AF$507,"&lt;="&amp;AF499,$AC$8:$AC$507,"&gt;=0",$AH$8:$AH$507,1),0))</x:f>
      </x:c>
      <x:c r="AN499" s="20" t="str">
        <x:f>IF(OR(A499="",NOT(ISNUMBER(B499)),NOT(ISNUMBER('Impostazioni'!$B$6))),"",'Impostazioni'!$B$6+SUMIFS($AC$8:$AC$507,$C$8:$C$507,"&lt;"&amp;B499,$AH$8:$AH$507,1)+SUMIFS('Cassa'!$F$8:$F$307,'Cassa'!$A$8:$A$307,"&lt;="&amp;B499,'Cassa'!$G$8:$G$307,"OK"))</x:f>
      </x:c>
      <x:c r="AO499" s="21" t="str">
        <x:f>IF(AND(ISNUMBER(Z499),ISNUMBER(AN499),AN499&gt;0),Z499/AN499,"")</x:f>
      </x:c>
      <x:c r="AP499" s="18" t="str">
        <x:f>IF(NOT(ISNUMBER(AO499)),"",IF(AO499&gt;'Impostazioni'!$B$7,"Oltre soglia personale","Nella soglia personale"))</x:f>
      </x:c>
      <x:c r="AQ499" s="18" t="str">
        <x:f>IF(A499="",IF(COUNTA(B499:V499)=0,"","Inserisci ID"),IF(COUNTIFS($A$8:$A$507,A499)&lt;&gt;1,"ID duplicato",IF(OR(NOT(ISNUMBER(B499)),D499="",E499="",F499="",G499="",H499="",COUNTIFS('Impostazioni'!$J$6:$J$25,F499)&lt;&gt;1),"Completa dati / elenchi",IF(OR(AND(I499&lt;&gt;"Lordo manuale",I499&lt;&gt;"Netto manuale",I499&lt;&gt;"Esecuzioni"),AND(J499&lt;&gt;"Aperto",J499&lt;&gt;"Chiuso",J499&lt;&gt;"Annullato")),"Modalità / stato mancanti",IF(AND(J499&lt;&gt;"Aperto",OR(NOT(ISNUMBER(C499)),C499&lt;B499)),"Correggi data chiusura",IF(OR(AND(Q499&lt;&gt;"",OR(NOT(ISNUMBER(Q499)),Q499&lt;0)),AND(R499&lt;&gt;"",OR(NOT(ISNUMBER(R499)),R499&lt;0,R499&gt;1))),"Commissione non valida",IF(J499="Annullato","OK",IF(OR(NOT(ISNUMBER(Z499)),Z499&lt;0,AND(O499&lt;&gt;"",NOT(ISNUMBER(O499)))),"Inserisci rischio",IF(AND(I499="Esecuzioni",OR(W499=0,COUNTIFS('Esecuzioni'!$A$8:$A$1007,A499,'Esecuzioni'!$Q$8:$Q$1007,"&lt;&gt;OK")&gt;0)),"Correggi esecuzioni",IF(J499="Aperto","OK",IF(AND(I499="Esecuzioni",S499="Coperto",ABS(X499-Y499)&gt;'Impostazioni'!$B$11),"Copertura residua",IF(NOT(ISNUMBER(AC499)),"Completa risultato / esito",IF(AND(Z499=0,AC499&lt;&gt;0),"Rischio nullo con P/L","OK")))))))))))))</x:f>
      </x:c>
      <x:c r="AR499" s="20" t="str">
        <x:f>IF(OR(A499="",J499&lt;&gt;"Aperto",AQ499&lt;&gt;"OK"),"",IF(I499="Esecuzioni",SUMIFS('Esecuzioni'!$P$8:$P$1007,'Esecuzioni'!$A$8:$A$1007,A499,'Esecuzioni'!$B$8:$B$1007,_xlfn.MAXIFS('Esecuzioni'!$B$8:$B$1007,'Esecuzioni'!$A$8:$A$1007,A499)),IF(LEFT(U499,8)="FREEBET:",0,Z499)))</x:f>
      </x:c>
      <x:c r="AS499" s="48" t="str">
        <x:f>IF(OR(A499="",E499=""),"",IF(COUNTIFS($E$8:E499,E499)=1,COUNT($AS$7:AS498)+1,""))</x:f>
      </x:c>
    </x:row>
    <x:row r="500" ht="22" customHeight="1">
      <x:c r="A500" s="7"/>
      <x:c r="B500" s="19"/>
      <x:c r="C500" s="19"/>
      <x:c r="D500" s="7"/>
      <x:c r="E500" s="7"/>
      <x:c r="F500" s="7"/>
      <x:c r="G500" s="7"/>
      <x:c r="H500" s="7"/>
      <x:c r="I500" s="7"/>
      <x:c r="J500" s="7"/>
      <x:c r="K500" s="10"/>
      <x:c r="L500" s="7"/>
      <x:c r="M500" s="10"/>
      <x:c r="N500" s="7"/>
      <x:c r="O500" s="8"/>
      <x:c r="P500" s="8"/>
      <x:c r="Q500" s="8"/>
      <x:c r="R500" s="9"/>
      <x:c r="S500" s="7"/>
      <x:c r="T500" s="7"/>
      <x:c r="U500" s="7"/>
      <x:c r="V500" s="7"/>
      <x:c r="W500" s="22" t="str">
        <x:f>IF(A500="","",COUNTIFS('Esecuzioni'!$A$8:$A$1007,A500,'Esecuzioni'!$Q$8:$Q$1007,"OK"))</x:f>
      </x:c>
      <x:c r="X500" s="20" t="str">
        <x:f>IF(OR(A500="",I500&lt;&gt;"Esecuzioni",W500=0),"",SUMIFS('Esecuzioni'!$L$8:$L$1007,'Esecuzioni'!$A$8:$A$1007,A500))</x:f>
      </x:c>
      <x:c r="Y500" s="20" t="str">
        <x:f>IF(OR(A500="",I500&lt;&gt;"Esecuzioni",W500=0),"",SUMIFS('Esecuzioni'!$M$8:$M$1007,'Esecuzioni'!$A$8:$A$1007,A500))</x:f>
      </x:c>
      <x:c r="Z500" s="20" t="str">
        <x:f>IF(A500="","",IF(J500="Annullato",0,IF(ISNUMBER(O500),O500,IF(AND(I500="Esecuzioni",W500&gt;0),_xlfn.MAXIFS('Esecuzioni'!$P$8:$P$1007,'Esecuzioni'!$A$8:$A$1007,A500),""))))</x:f>
      </x:c>
      <x:c r="AA500" s="20" t="str">
        <x:f>IF(OR(A500="",J500="Aperto"),"",IF(J500="Annullato",0,IF(I500="Lordo manuale",IF(ISNUMBER(P500),P500,""),IF(I500="Netto manuale",IF(AND(ISNUMBER(P500),ISNUMBER(Q500)),P500+Q500,""),IF(OR(W500=0,COUNTIFS('Esecuzioni'!$A$8:$A$1007,A500,'Esecuzioni'!$Q$8:$Q$1007,"&lt;&gt;OK")&gt;0),"",IF(S500="Vince",X500,IF(S500="Perde",Y500,IF(AND(S500="Coperto",ABS(X500-Y500)&lt;='Impostazioni'!$B$11),ROUND((X500+Y500)/2,2),""))))))))</x:f>
      </x:c>
      <x:c r="AB500" s="20" t="str">
        <x:f>IF(NOT(ISNUMBER(AA500)),"",IF(J500="Annullato",0,IF(ISNUMBER(Q500),Q500,ROUND(MAX(0,AA500)*IF(ISNUMBER(R500),R500,'Impostazioni'!$B$8),2))))</x:f>
      </x:c>
      <x:c r="AC500" s="20" t="str">
        <x:f>IF(AND(ISNUMBER(AA500),ISNUMBER(AB500)),ROUND(AA500-AB500,2),"")</x:f>
      </x:c>
      <x:c r="AD500" s="18" t="str">
        <x:f>IF(A500="","",IF(AQ500&lt;&gt;"OK","Incompleto",IF(J500="Aperto","Aperto",IF(J500="Annullato","Annullato",IF(AC500&gt;0,"Green",IF(AC500&lt;0,"Red","Flat"))))))</x:f>
      </x:c>
      <x:c r="AE500" s="21" t="str">
        <x:f>IF(AND(AH500=1,Z500&gt;0),AC500/Z500,"")</x:f>
      </x:c>
      <x:c r="AF500" s="22" t="str">
        <x:f>IF(AH500&lt;&gt;1,"",COUNTIFS($C$8:$C$507,"&lt;"&amp;C500,$AH$8:$AH$507,1)+COUNTIFS($C$8:$C$507,C500,$A$8:$A$507,"&lt;="&amp;A500,$AH$8:$AH$507,1))</x:f>
      </x:c>
      <x:c r="AG500" s="20" t="str">
        <x:f>IF(AH500&lt;&gt;1,"",SUMIFS($AC$8:$AC$507,$C$8:$C$507,"&lt;"&amp;C500,$AH$8:$AH$507,1)+SUMIFS($AC$8:$AC$507,$C$8:$C$507,C500,$A$8:$A$507,"&lt;="&amp;A500,$AH$8:$AH$507,1))</x:f>
      </x:c>
      <x:c r="AH500" s="22" t="str">
        <x:f>IF(A500="","",IF(AND(J500="Chiuso",AQ500="OK",ISNUMBER(AC500)),1,0))</x:f>
      </x:c>
      <x:c r="AI500" s="20" t="str">
        <x:f>IF(AH500&lt;&gt;1,"",MAX(0,_xlfn.MAXIFS($AG$8:$AG$507,$AF$8:$AF$507,"&lt;="&amp;AF500,$AH$8:$AH$507,1)))</x:f>
      </x:c>
      <x:c r="AJ500" s="20" t="str">
        <x:f>IF(AH500&lt;&gt;1,"",MAX(0,AI500-AG500))</x:f>
      </x:c>
      <x:c r="AK500" s="21" t="str">
        <x:f>IF(OR(AH500&lt;&gt;1,NOT(ISNUMBER('Impostazioni'!$B$6)),'Impostazioni'!$B$6+AI500&lt;=0),"",AJ500/('Impostazioni'!$B$6+AI500))</x:f>
      </x:c>
      <x:c r="AL500" s="22" t="str">
        <x:f>IF(AH500&lt;&gt;1,"",IF(AC500&gt;0,AF500-_xlfn.MAXIFS($AF$8:$AF$507,$AF$8:$AF$507,"&lt;="&amp;AF500,$AC$8:$AC$507,"&lt;=0",$AH$8:$AH$507,1),0))</x:f>
      </x:c>
      <x:c r="AM500" s="22" t="str">
        <x:f>IF(AH500&lt;&gt;1,"",IF(AC500&lt;0,AF500-_xlfn.MAXIFS($AF$8:$AF$507,$AF$8:$AF$507,"&lt;="&amp;AF500,$AC$8:$AC$507,"&gt;=0",$AH$8:$AH$507,1),0))</x:f>
      </x:c>
      <x:c r="AN500" s="20" t="str">
        <x:f>IF(OR(A500="",NOT(ISNUMBER(B500)),NOT(ISNUMBER('Impostazioni'!$B$6))),"",'Impostazioni'!$B$6+SUMIFS($AC$8:$AC$507,$C$8:$C$507,"&lt;"&amp;B500,$AH$8:$AH$507,1)+SUMIFS('Cassa'!$F$8:$F$307,'Cassa'!$A$8:$A$307,"&lt;="&amp;B500,'Cassa'!$G$8:$G$307,"OK"))</x:f>
      </x:c>
      <x:c r="AO500" s="21" t="str">
        <x:f>IF(AND(ISNUMBER(Z500),ISNUMBER(AN500),AN500&gt;0),Z500/AN500,"")</x:f>
      </x:c>
      <x:c r="AP500" s="18" t="str">
        <x:f>IF(NOT(ISNUMBER(AO500)),"",IF(AO500&gt;'Impostazioni'!$B$7,"Oltre soglia personale","Nella soglia personale"))</x:f>
      </x:c>
      <x:c r="AQ500" s="18" t="str">
        <x:f>IF(A500="",IF(COUNTA(B500:V500)=0,"","Inserisci ID"),IF(COUNTIFS($A$8:$A$507,A500)&lt;&gt;1,"ID duplicato",IF(OR(NOT(ISNUMBER(B500)),D500="",E500="",F500="",G500="",H500="",COUNTIFS('Impostazioni'!$J$6:$J$25,F500)&lt;&gt;1),"Completa dati / elenchi",IF(OR(AND(I500&lt;&gt;"Lordo manuale",I500&lt;&gt;"Netto manuale",I500&lt;&gt;"Esecuzioni"),AND(J500&lt;&gt;"Aperto",J500&lt;&gt;"Chiuso",J500&lt;&gt;"Annullato")),"Modalità / stato mancanti",IF(AND(J500&lt;&gt;"Aperto",OR(NOT(ISNUMBER(C500)),C500&lt;B500)),"Correggi data chiusura",IF(OR(AND(Q500&lt;&gt;"",OR(NOT(ISNUMBER(Q500)),Q500&lt;0)),AND(R500&lt;&gt;"",OR(NOT(ISNUMBER(R500)),R500&lt;0,R500&gt;1))),"Commissione non valida",IF(J500="Annullato","OK",IF(OR(NOT(ISNUMBER(Z500)),Z500&lt;0,AND(O500&lt;&gt;"",NOT(ISNUMBER(O500)))),"Inserisci rischio",IF(AND(I500="Esecuzioni",OR(W500=0,COUNTIFS('Esecuzioni'!$A$8:$A$1007,A500,'Esecuzioni'!$Q$8:$Q$1007,"&lt;&gt;OK")&gt;0)),"Correggi esecuzioni",IF(J500="Aperto","OK",IF(AND(I500="Esecuzioni",S500="Coperto",ABS(X500-Y500)&gt;'Impostazioni'!$B$11),"Copertura residua",IF(NOT(ISNUMBER(AC500)),"Completa risultato / esito",IF(AND(Z500=0,AC500&lt;&gt;0),"Rischio nullo con P/L","OK")))))))))))))</x:f>
      </x:c>
      <x:c r="AR500" s="20" t="str">
        <x:f>IF(OR(A500="",J500&lt;&gt;"Aperto",AQ500&lt;&gt;"OK"),"",IF(I500="Esecuzioni",SUMIFS('Esecuzioni'!$P$8:$P$1007,'Esecuzioni'!$A$8:$A$1007,A500,'Esecuzioni'!$B$8:$B$1007,_xlfn.MAXIFS('Esecuzioni'!$B$8:$B$1007,'Esecuzioni'!$A$8:$A$1007,A500)),IF(LEFT(U500,8)="FREEBET:",0,Z500)))</x:f>
      </x:c>
      <x:c r="AS500" s="48" t="str">
        <x:f>IF(OR(A500="",E500=""),"",IF(COUNTIFS($E$8:E500,E500)=1,COUNT($AS$7:AS499)+1,""))</x:f>
      </x:c>
    </x:row>
    <x:row r="501" ht="22" customHeight="1">
      <x:c r="A501" s="7"/>
      <x:c r="B501" s="19"/>
      <x:c r="C501" s="19"/>
      <x:c r="D501" s="7"/>
      <x:c r="E501" s="7"/>
      <x:c r="F501" s="7"/>
      <x:c r="G501" s="7"/>
      <x:c r="H501" s="7"/>
      <x:c r="I501" s="7"/>
      <x:c r="J501" s="7"/>
      <x:c r="K501" s="10"/>
      <x:c r="L501" s="7"/>
      <x:c r="M501" s="10"/>
      <x:c r="N501" s="7"/>
      <x:c r="O501" s="8"/>
      <x:c r="P501" s="8"/>
      <x:c r="Q501" s="8"/>
      <x:c r="R501" s="9"/>
      <x:c r="S501" s="7"/>
      <x:c r="T501" s="7"/>
      <x:c r="U501" s="7"/>
      <x:c r="V501" s="7"/>
      <x:c r="W501" s="22" t="str">
        <x:f>IF(A501="","",COUNTIFS('Esecuzioni'!$A$8:$A$1007,A501,'Esecuzioni'!$Q$8:$Q$1007,"OK"))</x:f>
      </x:c>
      <x:c r="X501" s="20" t="str">
        <x:f>IF(OR(A501="",I501&lt;&gt;"Esecuzioni",W501=0),"",SUMIFS('Esecuzioni'!$L$8:$L$1007,'Esecuzioni'!$A$8:$A$1007,A501))</x:f>
      </x:c>
      <x:c r="Y501" s="20" t="str">
        <x:f>IF(OR(A501="",I501&lt;&gt;"Esecuzioni",W501=0),"",SUMIFS('Esecuzioni'!$M$8:$M$1007,'Esecuzioni'!$A$8:$A$1007,A501))</x:f>
      </x:c>
      <x:c r="Z501" s="20" t="str">
        <x:f>IF(A501="","",IF(J501="Annullato",0,IF(ISNUMBER(O501),O501,IF(AND(I501="Esecuzioni",W501&gt;0),_xlfn.MAXIFS('Esecuzioni'!$P$8:$P$1007,'Esecuzioni'!$A$8:$A$1007,A501),""))))</x:f>
      </x:c>
      <x:c r="AA501" s="20" t="str">
        <x:f>IF(OR(A501="",J501="Aperto"),"",IF(J501="Annullato",0,IF(I501="Lordo manuale",IF(ISNUMBER(P501),P501,""),IF(I501="Netto manuale",IF(AND(ISNUMBER(P501),ISNUMBER(Q501)),P501+Q501,""),IF(OR(W501=0,COUNTIFS('Esecuzioni'!$A$8:$A$1007,A501,'Esecuzioni'!$Q$8:$Q$1007,"&lt;&gt;OK")&gt;0),"",IF(S501="Vince",X501,IF(S501="Perde",Y501,IF(AND(S501="Coperto",ABS(X501-Y501)&lt;='Impostazioni'!$B$11),ROUND((X501+Y501)/2,2),""))))))))</x:f>
      </x:c>
      <x:c r="AB501" s="20" t="str">
        <x:f>IF(NOT(ISNUMBER(AA501)),"",IF(J501="Annullato",0,IF(ISNUMBER(Q501),Q501,ROUND(MAX(0,AA501)*IF(ISNUMBER(R501),R501,'Impostazioni'!$B$8),2))))</x:f>
      </x:c>
      <x:c r="AC501" s="20" t="str">
        <x:f>IF(AND(ISNUMBER(AA501),ISNUMBER(AB501)),ROUND(AA501-AB501,2),"")</x:f>
      </x:c>
      <x:c r="AD501" s="18" t="str">
        <x:f>IF(A501="","",IF(AQ501&lt;&gt;"OK","Incompleto",IF(J501="Aperto","Aperto",IF(J501="Annullato","Annullato",IF(AC501&gt;0,"Green",IF(AC501&lt;0,"Red","Flat"))))))</x:f>
      </x:c>
      <x:c r="AE501" s="21" t="str">
        <x:f>IF(AND(AH501=1,Z501&gt;0),AC501/Z501,"")</x:f>
      </x:c>
      <x:c r="AF501" s="22" t="str">
        <x:f>IF(AH501&lt;&gt;1,"",COUNTIFS($C$8:$C$507,"&lt;"&amp;C501,$AH$8:$AH$507,1)+COUNTIFS($C$8:$C$507,C501,$A$8:$A$507,"&lt;="&amp;A501,$AH$8:$AH$507,1))</x:f>
      </x:c>
      <x:c r="AG501" s="20" t="str">
        <x:f>IF(AH501&lt;&gt;1,"",SUMIFS($AC$8:$AC$507,$C$8:$C$507,"&lt;"&amp;C501,$AH$8:$AH$507,1)+SUMIFS($AC$8:$AC$507,$C$8:$C$507,C501,$A$8:$A$507,"&lt;="&amp;A501,$AH$8:$AH$507,1))</x:f>
      </x:c>
      <x:c r="AH501" s="22" t="str">
        <x:f>IF(A501="","",IF(AND(J501="Chiuso",AQ501="OK",ISNUMBER(AC501)),1,0))</x:f>
      </x:c>
      <x:c r="AI501" s="20" t="str">
        <x:f>IF(AH501&lt;&gt;1,"",MAX(0,_xlfn.MAXIFS($AG$8:$AG$507,$AF$8:$AF$507,"&lt;="&amp;AF501,$AH$8:$AH$507,1)))</x:f>
      </x:c>
      <x:c r="AJ501" s="20" t="str">
        <x:f>IF(AH501&lt;&gt;1,"",MAX(0,AI501-AG501))</x:f>
      </x:c>
      <x:c r="AK501" s="21" t="str">
        <x:f>IF(OR(AH501&lt;&gt;1,NOT(ISNUMBER('Impostazioni'!$B$6)),'Impostazioni'!$B$6+AI501&lt;=0),"",AJ501/('Impostazioni'!$B$6+AI501))</x:f>
      </x:c>
      <x:c r="AL501" s="22" t="str">
        <x:f>IF(AH501&lt;&gt;1,"",IF(AC501&gt;0,AF501-_xlfn.MAXIFS($AF$8:$AF$507,$AF$8:$AF$507,"&lt;="&amp;AF501,$AC$8:$AC$507,"&lt;=0",$AH$8:$AH$507,1),0))</x:f>
      </x:c>
      <x:c r="AM501" s="22" t="str">
        <x:f>IF(AH501&lt;&gt;1,"",IF(AC501&lt;0,AF501-_xlfn.MAXIFS($AF$8:$AF$507,$AF$8:$AF$507,"&lt;="&amp;AF501,$AC$8:$AC$507,"&gt;=0",$AH$8:$AH$507,1),0))</x:f>
      </x:c>
      <x:c r="AN501" s="20" t="str">
        <x:f>IF(OR(A501="",NOT(ISNUMBER(B501)),NOT(ISNUMBER('Impostazioni'!$B$6))),"",'Impostazioni'!$B$6+SUMIFS($AC$8:$AC$507,$C$8:$C$507,"&lt;"&amp;B501,$AH$8:$AH$507,1)+SUMIFS('Cassa'!$F$8:$F$307,'Cassa'!$A$8:$A$307,"&lt;="&amp;B501,'Cassa'!$G$8:$G$307,"OK"))</x:f>
      </x:c>
      <x:c r="AO501" s="21" t="str">
        <x:f>IF(AND(ISNUMBER(Z501),ISNUMBER(AN501),AN501&gt;0),Z501/AN501,"")</x:f>
      </x:c>
      <x:c r="AP501" s="18" t="str">
        <x:f>IF(NOT(ISNUMBER(AO501)),"",IF(AO501&gt;'Impostazioni'!$B$7,"Oltre soglia personale","Nella soglia personale"))</x:f>
      </x:c>
      <x:c r="AQ501" s="18" t="str">
        <x:f>IF(A501="",IF(COUNTA(B501:V501)=0,"","Inserisci ID"),IF(COUNTIFS($A$8:$A$507,A501)&lt;&gt;1,"ID duplicato",IF(OR(NOT(ISNUMBER(B501)),D501="",E501="",F501="",G501="",H501="",COUNTIFS('Impostazioni'!$J$6:$J$25,F501)&lt;&gt;1),"Completa dati / elenchi",IF(OR(AND(I501&lt;&gt;"Lordo manuale",I501&lt;&gt;"Netto manuale",I501&lt;&gt;"Esecuzioni"),AND(J501&lt;&gt;"Aperto",J501&lt;&gt;"Chiuso",J501&lt;&gt;"Annullato")),"Modalità / stato mancanti",IF(AND(J501&lt;&gt;"Aperto",OR(NOT(ISNUMBER(C501)),C501&lt;B501)),"Correggi data chiusura",IF(OR(AND(Q501&lt;&gt;"",OR(NOT(ISNUMBER(Q501)),Q501&lt;0)),AND(R501&lt;&gt;"",OR(NOT(ISNUMBER(R501)),R501&lt;0,R501&gt;1))),"Commissione non valida",IF(J501="Annullato","OK",IF(OR(NOT(ISNUMBER(Z501)),Z501&lt;0,AND(O501&lt;&gt;"",NOT(ISNUMBER(O501)))),"Inserisci rischio",IF(AND(I501="Esecuzioni",OR(W501=0,COUNTIFS('Esecuzioni'!$A$8:$A$1007,A501,'Esecuzioni'!$Q$8:$Q$1007,"&lt;&gt;OK")&gt;0)),"Correggi esecuzioni",IF(J501="Aperto","OK",IF(AND(I501="Esecuzioni",S501="Coperto",ABS(X501-Y501)&gt;'Impostazioni'!$B$11),"Copertura residua",IF(NOT(ISNUMBER(AC501)),"Completa risultato / esito",IF(AND(Z501=0,AC501&lt;&gt;0),"Rischio nullo con P/L","OK")))))))))))))</x:f>
      </x:c>
      <x:c r="AR501" s="20" t="str">
        <x:f>IF(OR(A501="",J501&lt;&gt;"Aperto",AQ501&lt;&gt;"OK"),"",IF(I501="Esecuzioni",SUMIFS('Esecuzioni'!$P$8:$P$1007,'Esecuzioni'!$A$8:$A$1007,A501,'Esecuzioni'!$B$8:$B$1007,_xlfn.MAXIFS('Esecuzioni'!$B$8:$B$1007,'Esecuzioni'!$A$8:$A$1007,A501)),IF(LEFT(U501,8)="FREEBET:",0,Z501)))</x:f>
      </x:c>
      <x:c r="AS501" s="48" t="str">
        <x:f>IF(OR(A501="",E501=""),"",IF(COUNTIFS($E$8:E501,E501)=1,COUNT($AS$7:AS500)+1,""))</x:f>
      </x:c>
    </x:row>
    <x:row r="502" ht="22" customHeight="1">
      <x:c r="A502" s="7"/>
      <x:c r="B502" s="19"/>
      <x:c r="C502" s="19"/>
      <x:c r="D502" s="7"/>
      <x:c r="E502" s="7"/>
      <x:c r="F502" s="7"/>
      <x:c r="G502" s="7"/>
      <x:c r="H502" s="7"/>
      <x:c r="I502" s="7"/>
      <x:c r="J502" s="7"/>
      <x:c r="K502" s="10"/>
      <x:c r="L502" s="7"/>
      <x:c r="M502" s="10"/>
      <x:c r="N502" s="7"/>
      <x:c r="O502" s="8"/>
      <x:c r="P502" s="8"/>
      <x:c r="Q502" s="8"/>
      <x:c r="R502" s="9"/>
      <x:c r="S502" s="7"/>
      <x:c r="T502" s="7"/>
      <x:c r="U502" s="7"/>
      <x:c r="V502" s="7"/>
      <x:c r="W502" s="22" t="str">
        <x:f>IF(A502="","",COUNTIFS('Esecuzioni'!$A$8:$A$1007,A502,'Esecuzioni'!$Q$8:$Q$1007,"OK"))</x:f>
      </x:c>
      <x:c r="X502" s="20" t="str">
        <x:f>IF(OR(A502="",I502&lt;&gt;"Esecuzioni",W502=0),"",SUMIFS('Esecuzioni'!$L$8:$L$1007,'Esecuzioni'!$A$8:$A$1007,A502))</x:f>
      </x:c>
      <x:c r="Y502" s="20" t="str">
        <x:f>IF(OR(A502="",I502&lt;&gt;"Esecuzioni",W502=0),"",SUMIFS('Esecuzioni'!$M$8:$M$1007,'Esecuzioni'!$A$8:$A$1007,A502))</x:f>
      </x:c>
      <x:c r="Z502" s="20" t="str">
        <x:f>IF(A502="","",IF(J502="Annullato",0,IF(ISNUMBER(O502),O502,IF(AND(I502="Esecuzioni",W502&gt;0),_xlfn.MAXIFS('Esecuzioni'!$P$8:$P$1007,'Esecuzioni'!$A$8:$A$1007,A502),""))))</x:f>
      </x:c>
      <x:c r="AA502" s="20" t="str">
        <x:f>IF(OR(A502="",J502="Aperto"),"",IF(J502="Annullato",0,IF(I502="Lordo manuale",IF(ISNUMBER(P502),P502,""),IF(I502="Netto manuale",IF(AND(ISNUMBER(P502),ISNUMBER(Q502)),P502+Q502,""),IF(OR(W502=0,COUNTIFS('Esecuzioni'!$A$8:$A$1007,A502,'Esecuzioni'!$Q$8:$Q$1007,"&lt;&gt;OK")&gt;0),"",IF(S502="Vince",X502,IF(S502="Perde",Y502,IF(AND(S502="Coperto",ABS(X502-Y502)&lt;='Impostazioni'!$B$11),ROUND((X502+Y502)/2,2),""))))))))</x:f>
      </x:c>
      <x:c r="AB502" s="20" t="str">
        <x:f>IF(NOT(ISNUMBER(AA502)),"",IF(J502="Annullato",0,IF(ISNUMBER(Q502),Q502,ROUND(MAX(0,AA502)*IF(ISNUMBER(R502),R502,'Impostazioni'!$B$8),2))))</x:f>
      </x:c>
      <x:c r="AC502" s="20" t="str">
        <x:f>IF(AND(ISNUMBER(AA502),ISNUMBER(AB502)),ROUND(AA502-AB502,2),"")</x:f>
      </x:c>
      <x:c r="AD502" s="18" t="str">
        <x:f>IF(A502="","",IF(AQ502&lt;&gt;"OK","Incompleto",IF(J502="Aperto","Aperto",IF(J502="Annullato","Annullato",IF(AC502&gt;0,"Green",IF(AC502&lt;0,"Red","Flat"))))))</x:f>
      </x:c>
      <x:c r="AE502" s="21" t="str">
        <x:f>IF(AND(AH502=1,Z502&gt;0),AC502/Z502,"")</x:f>
      </x:c>
      <x:c r="AF502" s="22" t="str">
        <x:f>IF(AH502&lt;&gt;1,"",COUNTIFS($C$8:$C$507,"&lt;"&amp;C502,$AH$8:$AH$507,1)+COUNTIFS($C$8:$C$507,C502,$A$8:$A$507,"&lt;="&amp;A502,$AH$8:$AH$507,1))</x:f>
      </x:c>
      <x:c r="AG502" s="20" t="str">
        <x:f>IF(AH502&lt;&gt;1,"",SUMIFS($AC$8:$AC$507,$C$8:$C$507,"&lt;"&amp;C502,$AH$8:$AH$507,1)+SUMIFS($AC$8:$AC$507,$C$8:$C$507,C502,$A$8:$A$507,"&lt;="&amp;A502,$AH$8:$AH$507,1))</x:f>
      </x:c>
      <x:c r="AH502" s="22" t="str">
        <x:f>IF(A502="","",IF(AND(J502="Chiuso",AQ502="OK",ISNUMBER(AC502)),1,0))</x:f>
      </x:c>
      <x:c r="AI502" s="20" t="str">
        <x:f>IF(AH502&lt;&gt;1,"",MAX(0,_xlfn.MAXIFS($AG$8:$AG$507,$AF$8:$AF$507,"&lt;="&amp;AF502,$AH$8:$AH$507,1)))</x:f>
      </x:c>
      <x:c r="AJ502" s="20" t="str">
        <x:f>IF(AH502&lt;&gt;1,"",MAX(0,AI502-AG502))</x:f>
      </x:c>
      <x:c r="AK502" s="21" t="str">
        <x:f>IF(OR(AH502&lt;&gt;1,NOT(ISNUMBER('Impostazioni'!$B$6)),'Impostazioni'!$B$6+AI502&lt;=0),"",AJ502/('Impostazioni'!$B$6+AI502))</x:f>
      </x:c>
      <x:c r="AL502" s="22" t="str">
        <x:f>IF(AH502&lt;&gt;1,"",IF(AC502&gt;0,AF502-_xlfn.MAXIFS($AF$8:$AF$507,$AF$8:$AF$507,"&lt;="&amp;AF502,$AC$8:$AC$507,"&lt;=0",$AH$8:$AH$507,1),0))</x:f>
      </x:c>
      <x:c r="AM502" s="22" t="str">
        <x:f>IF(AH502&lt;&gt;1,"",IF(AC502&lt;0,AF502-_xlfn.MAXIFS($AF$8:$AF$507,$AF$8:$AF$507,"&lt;="&amp;AF502,$AC$8:$AC$507,"&gt;=0",$AH$8:$AH$507,1),0))</x:f>
      </x:c>
      <x:c r="AN502" s="20" t="str">
        <x:f>IF(OR(A502="",NOT(ISNUMBER(B502)),NOT(ISNUMBER('Impostazioni'!$B$6))),"",'Impostazioni'!$B$6+SUMIFS($AC$8:$AC$507,$C$8:$C$507,"&lt;"&amp;B502,$AH$8:$AH$507,1)+SUMIFS('Cassa'!$F$8:$F$307,'Cassa'!$A$8:$A$307,"&lt;="&amp;B502,'Cassa'!$G$8:$G$307,"OK"))</x:f>
      </x:c>
      <x:c r="AO502" s="21" t="str">
        <x:f>IF(AND(ISNUMBER(Z502),ISNUMBER(AN502),AN502&gt;0),Z502/AN502,"")</x:f>
      </x:c>
      <x:c r="AP502" s="18" t="str">
        <x:f>IF(NOT(ISNUMBER(AO502)),"",IF(AO502&gt;'Impostazioni'!$B$7,"Oltre soglia personale","Nella soglia personale"))</x:f>
      </x:c>
      <x:c r="AQ502" s="18" t="str">
        <x:f>IF(A502="",IF(COUNTA(B502:V502)=0,"","Inserisci ID"),IF(COUNTIFS($A$8:$A$507,A502)&lt;&gt;1,"ID duplicato",IF(OR(NOT(ISNUMBER(B502)),D502="",E502="",F502="",G502="",H502="",COUNTIFS('Impostazioni'!$J$6:$J$25,F502)&lt;&gt;1),"Completa dati / elenchi",IF(OR(AND(I502&lt;&gt;"Lordo manuale",I502&lt;&gt;"Netto manuale",I502&lt;&gt;"Esecuzioni"),AND(J502&lt;&gt;"Aperto",J502&lt;&gt;"Chiuso",J502&lt;&gt;"Annullato")),"Modalità / stato mancanti",IF(AND(J502&lt;&gt;"Aperto",OR(NOT(ISNUMBER(C502)),C502&lt;B502)),"Correggi data chiusura",IF(OR(AND(Q502&lt;&gt;"",OR(NOT(ISNUMBER(Q502)),Q502&lt;0)),AND(R502&lt;&gt;"",OR(NOT(ISNUMBER(R502)),R502&lt;0,R502&gt;1))),"Commissione non valida",IF(J502="Annullato","OK",IF(OR(NOT(ISNUMBER(Z502)),Z502&lt;0,AND(O502&lt;&gt;"",NOT(ISNUMBER(O502)))),"Inserisci rischio",IF(AND(I502="Esecuzioni",OR(W502=0,COUNTIFS('Esecuzioni'!$A$8:$A$1007,A502,'Esecuzioni'!$Q$8:$Q$1007,"&lt;&gt;OK")&gt;0)),"Correggi esecuzioni",IF(J502="Aperto","OK",IF(AND(I502="Esecuzioni",S502="Coperto",ABS(X502-Y502)&gt;'Impostazioni'!$B$11),"Copertura residua",IF(NOT(ISNUMBER(AC502)),"Completa risultato / esito",IF(AND(Z502=0,AC502&lt;&gt;0),"Rischio nullo con P/L","OK")))))))))))))</x:f>
      </x:c>
      <x:c r="AR502" s="20" t="str">
        <x:f>IF(OR(A502="",J502&lt;&gt;"Aperto",AQ502&lt;&gt;"OK"),"",IF(I502="Esecuzioni",SUMIFS('Esecuzioni'!$P$8:$P$1007,'Esecuzioni'!$A$8:$A$1007,A502,'Esecuzioni'!$B$8:$B$1007,_xlfn.MAXIFS('Esecuzioni'!$B$8:$B$1007,'Esecuzioni'!$A$8:$A$1007,A502)),IF(LEFT(U502,8)="FREEBET:",0,Z502)))</x:f>
      </x:c>
      <x:c r="AS502" s="48" t="str">
        <x:f>IF(OR(A502="",E502=""),"",IF(COUNTIFS($E$8:E502,E502)=1,COUNT($AS$7:AS501)+1,""))</x:f>
      </x:c>
    </x:row>
    <x:row r="503" ht="22" customHeight="1">
      <x:c r="A503" s="7"/>
      <x:c r="B503" s="19"/>
      <x:c r="C503" s="19"/>
      <x:c r="D503" s="7"/>
      <x:c r="E503" s="7"/>
      <x:c r="F503" s="7"/>
      <x:c r="G503" s="7"/>
      <x:c r="H503" s="7"/>
      <x:c r="I503" s="7"/>
      <x:c r="J503" s="7"/>
      <x:c r="K503" s="10"/>
      <x:c r="L503" s="7"/>
      <x:c r="M503" s="10"/>
      <x:c r="N503" s="7"/>
      <x:c r="O503" s="8"/>
      <x:c r="P503" s="8"/>
      <x:c r="Q503" s="8"/>
      <x:c r="R503" s="9"/>
      <x:c r="S503" s="7"/>
      <x:c r="T503" s="7"/>
      <x:c r="U503" s="7"/>
      <x:c r="V503" s="7"/>
      <x:c r="W503" s="22" t="str">
        <x:f>IF(A503="","",COUNTIFS('Esecuzioni'!$A$8:$A$1007,A503,'Esecuzioni'!$Q$8:$Q$1007,"OK"))</x:f>
      </x:c>
      <x:c r="X503" s="20" t="str">
        <x:f>IF(OR(A503="",I503&lt;&gt;"Esecuzioni",W503=0),"",SUMIFS('Esecuzioni'!$L$8:$L$1007,'Esecuzioni'!$A$8:$A$1007,A503))</x:f>
      </x:c>
      <x:c r="Y503" s="20" t="str">
        <x:f>IF(OR(A503="",I503&lt;&gt;"Esecuzioni",W503=0),"",SUMIFS('Esecuzioni'!$M$8:$M$1007,'Esecuzioni'!$A$8:$A$1007,A503))</x:f>
      </x:c>
      <x:c r="Z503" s="20" t="str">
        <x:f>IF(A503="","",IF(J503="Annullato",0,IF(ISNUMBER(O503),O503,IF(AND(I503="Esecuzioni",W503&gt;0),_xlfn.MAXIFS('Esecuzioni'!$P$8:$P$1007,'Esecuzioni'!$A$8:$A$1007,A503),""))))</x:f>
      </x:c>
      <x:c r="AA503" s="20" t="str">
        <x:f>IF(OR(A503="",J503="Aperto"),"",IF(J503="Annullato",0,IF(I503="Lordo manuale",IF(ISNUMBER(P503),P503,""),IF(I503="Netto manuale",IF(AND(ISNUMBER(P503),ISNUMBER(Q503)),P503+Q503,""),IF(OR(W503=0,COUNTIFS('Esecuzioni'!$A$8:$A$1007,A503,'Esecuzioni'!$Q$8:$Q$1007,"&lt;&gt;OK")&gt;0),"",IF(S503="Vince",X503,IF(S503="Perde",Y503,IF(AND(S503="Coperto",ABS(X503-Y503)&lt;='Impostazioni'!$B$11),ROUND((X503+Y503)/2,2),""))))))))</x:f>
      </x:c>
      <x:c r="AB503" s="20" t="str">
        <x:f>IF(NOT(ISNUMBER(AA503)),"",IF(J503="Annullato",0,IF(ISNUMBER(Q503),Q503,ROUND(MAX(0,AA503)*IF(ISNUMBER(R503),R503,'Impostazioni'!$B$8),2))))</x:f>
      </x:c>
      <x:c r="AC503" s="20" t="str">
        <x:f>IF(AND(ISNUMBER(AA503),ISNUMBER(AB503)),ROUND(AA503-AB503,2),"")</x:f>
      </x:c>
      <x:c r="AD503" s="18" t="str">
        <x:f>IF(A503="","",IF(AQ503&lt;&gt;"OK","Incompleto",IF(J503="Aperto","Aperto",IF(J503="Annullato","Annullato",IF(AC503&gt;0,"Green",IF(AC503&lt;0,"Red","Flat"))))))</x:f>
      </x:c>
      <x:c r="AE503" s="21" t="str">
        <x:f>IF(AND(AH503=1,Z503&gt;0),AC503/Z503,"")</x:f>
      </x:c>
      <x:c r="AF503" s="22" t="str">
        <x:f>IF(AH503&lt;&gt;1,"",COUNTIFS($C$8:$C$507,"&lt;"&amp;C503,$AH$8:$AH$507,1)+COUNTIFS($C$8:$C$507,C503,$A$8:$A$507,"&lt;="&amp;A503,$AH$8:$AH$507,1))</x:f>
      </x:c>
      <x:c r="AG503" s="20" t="str">
        <x:f>IF(AH503&lt;&gt;1,"",SUMIFS($AC$8:$AC$507,$C$8:$C$507,"&lt;"&amp;C503,$AH$8:$AH$507,1)+SUMIFS($AC$8:$AC$507,$C$8:$C$507,C503,$A$8:$A$507,"&lt;="&amp;A503,$AH$8:$AH$507,1))</x:f>
      </x:c>
      <x:c r="AH503" s="22" t="str">
        <x:f>IF(A503="","",IF(AND(J503="Chiuso",AQ503="OK",ISNUMBER(AC503)),1,0))</x:f>
      </x:c>
      <x:c r="AI503" s="20" t="str">
        <x:f>IF(AH503&lt;&gt;1,"",MAX(0,_xlfn.MAXIFS($AG$8:$AG$507,$AF$8:$AF$507,"&lt;="&amp;AF503,$AH$8:$AH$507,1)))</x:f>
      </x:c>
      <x:c r="AJ503" s="20" t="str">
        <x:f>IF(AH503&lt;&gt;1,"",MAX(0,AI503-AG503))</x:f>
      </x:c>
      <x:c r="AK503" s="21" t="str">
        <x:f>IF(OR(AH503&lt;&gt;1,NOT(ISNUMBER('Impostazioni'!$B$6)),'Impostazioni'!$B$6+AI503&lt;=0),"",AJ503/('Impostazioni'!$B$6+AI503))</x:f>
      </x:c>
      <x:c r="AL503" s="22" t="str">
        <x:f>IF(AH503&lt;&gt;1,"",IF(AC503&gt;0,AF503-_xlfn.MAXIFS($AF$8:$AF$507,$AF$8:$AF$507,"&lt;="&amp;AF503,$AC$8:$AC$507,"&lt;=0",$AH$8:$AH$507,1),0))</x:f>
      </x:c>
      <x:c r="AM503" s="22" t="str">
        <x:f>IF(AH503&lt;&gt;1,"",IF(AC503&lt;0,AF503-_xlfn.MAXIFS($AF$8:$AF$507,$AF$8:$AF$507,"&lt;="&amp;AF503,$AC$8:$AC$507,"&gt;=0",$AH$8:$AH$507,1),0))</x:f>
      </x:c>
      <x:c r="AN503" s="20" t="str">
        <x:f>IF(OR(A503="",NOT(ISNUMBER(B503)),NOT(ISNUMBER('Impostazioni'!$B$6))),"",'Impostazioni'!$B$6+SUMIFS($AC$8:$AC$507,$C$8:$C$507,"&lt;"&amp;B503,$AH$8:$AH$507,1)+SUMIFS('Cassa'!$F$8:$F$307,'Cassa'!$A$8:$A$307,"&lt;="&amp;B503,'Cassa'!$G$8:$G$307,"OK"))</x:f>
      </x:c>
      <x:c r="AO503" s="21" t="str">
        <x:f>IF(AND(ISNUMBER(Z503),ISNUMBER(AN503),AN503&gt;0),Z503/AN503,"")</x:f>
      </x:c>
      <x:c r="AP503" s="18" t="str">
        <x:f>IF(NOT(ISNUMBER(AO503)),"",IF(AO503&gt;'Impostazioni'!$B$7,"Oltre soglia personale","Nella soglia personale"))</x:f>
      </x:c>
      <x:c r="AQ503" s="18" t="str">
        <x:f>IF(A503="",IF(COUNTA(B503:V503)=0,"","Inserisci ID"),IF(COUNTIFS($A$8:$A$507,A503)&lt;&gt;1,"ID duplicato",IF(OR(NOT(ISNUMBER(B503)),D503="",E503="",F503="",G503="",H503="",COUNTIFS('Impostazioni'!$J$6:$J$25,F503)&lt;&gt;1),"Completa dati / elenchi",IF(OR(AND(I503&lt;&gt;"Lordo manuale",I503&lt;&gt;"Netto manuale",I503&lt;&gt;"Esecuzioni"),AND(J503&lt;&gt;"Aperto",J503&lt;&gt;"Chiuso",J503&lt;&gt;"Annullato")),"Modalità / stato mancanti",IF(AND(J503&lt;&gt;"Aperto",OR(NOT(ISNUMBER(C503)),C503&lt;B503)),"Correggi data chiusura",IF(OR(AND(Q503&lt;&gt;"",OR(NOT(ISNUMBER(Q503)),Q503&lt;0)),AND(R503&lt;&gt;"",OR(NOT(ISNUMBER(R503)),R503&lt;0,R503&gt;1))),"Commissione non valida",IF(J503="Annullato","OK",IF(OR(NOT(ISNUMBER(Z503)),Z503&lt;0,AND(O503&lt;&gt;"",NOT(ISNUMBER(O503)))),"Inserisci rischio",IF(AND(I503="Esecuzioni",OR(W503=0,COUNTIFS('Esecuzioni'!$A$8:$A$1007,A503,'Esecuzioni'!$Q$8:$Q$1007,"&lt;&gt;OK")&gt;0)),"Correggi esecuzioni",IF(J503="Aperto","OK",IF(AND(I503="Esecuzioni",S503="Coperto",ABS(X503-Y503)&gt;'Impostazioni'!$B$11),"Copertura residua",IF(NOT(ISNUMBER(AC503)),"Completa risultato / esito",IF(AND(Z503=0,AC503&lt;&gt;0),"Rischio nullo con P/L","OK")))))))))))))</x:f>
      </x:c>
      <x:c r="AR503" s="20" t="str">
        <x:f>IF(OR(A503="",J503&lt;&gt;"Aperto",AQ503&lt;&gt;"OK"),"",IF(I503="Esecuzioni",SUMIFS('Esecuzioni'!$P$8:$P$1007,'Esecuzioni'!$A$8:$A$1007,A503,'Esecuzioni'!$B$8:$B$1007,_xlfn.MAXIFS('Esecuzioni'!$B$8:$B$1007,'Esecuzioni'!$A$8:$A$1007,A503)),IF(LEFT(U503,8)="FREEBET:",0,Z503)))</x:f>
      </x:c>
      <x:c r="AS503" s="48" t="str">
        <x:f>IF(OR(A503="",E503=""),"",IF(COUNTIFS($E$8:E503,E503)=1,COUNT($AS$7:AS502)+1,""))</x:f>
      </x:c>
    </x:row>
    <x:row r="504" ht="22" customHeight="1">
      <x:c r="A504" s="7"/>
      <x:c r="B504" s="19"/>
      <x:c r="C504" s="19"/>
      <x:c r="D504" s="7"/>
      <x:c r="E504" s="7"/>
      <x:c r="F504" s="7"/>
      <x:c r="G504" s="7"/>
      <x:c r="H504" s="7"/>
      <x:c r="I504" s="7"/>
      <x:c r="J504" s="7"/>
      <x:c r="K504" s="10"/>
      <x:c r="L504" s="7"/>
      <x:c r="M504" s="10"/>
      <x:c r="N504" s="7"/>
      <x:c r="O504" s="8"/>
      <x:c r="P504" s="8"/>
      <x:c r="Q504" s="8"/>
      <x:c r="R504" s="9"/>
      <x:c r="S504" s="7"/>
      <x:c r="T504" s="7"/>
      <x:c r="U504" s="7"/>
      <x:c r="V504" s="7"/>
      <x:c r="W504" s="22" t="str">
        <x:f>IF(A504="","",COUNTIFS('Esecuzioni'!$A$8:$A$1007,A504,'Esecuzioni'!$Q$8:$Q$1007,"OK"))</x:f>
      </x:c>
      <x:c r="X504" s="20" t="str">
        <x:f>IF(OR(A504="",I504&lt;&gt;"Esecuzioni",W504=0),"",SUMIFS('Esecuzioni'!$L$8:$L$1007,'Esecuzioni'!$A$8:$A$1007,A504))</x:f>
      </x:c>
      <x:c r="Y504" s="20" t="str">
        <x:f>IF(OR(A504="",I504&lt;&gt;"Esecuzioni",W504=0),"",SUMIFS('Esecuzioni'!$M$8:$M$1007,'Esecuzioni'!$A$8:$A$1007,A504))</x:f>
      </x:c>
      <x:c r="Z504" s="20" t="str">
        <x:f>IF(A504="","",IF(J504="Annullato",0,IF(ISNUMBER(O504),O504,IF(AND(I504="Esecuzioni",W504&gt;0),_xlfn.MAXIFS('Esecuzioni'!$P$8:$P$1007,'Esecuzioni'!$A$8:$A$1007,A504),""))))</x:f>
      </x:c>
      <x:c r="AA504" s="20" t="str">
        <x:f>IF(OR(A504="",J504="Aperto"),"",IF(J504="Annullato",0,IF(I504="Lordo manuale",IF(ISNUMBER(P504),P504,""),IF(I504="Netto manuale",IF(AND(ISNUMBER(P504),ISNUMBER(Q504)),P504+Q504,""),IF(OR(W504=0,COUNTIFS('Esecuzioni'!$A$8:$A$1007,A504,'Esecuzioni'!$Q$8:$Q$1007,"&lt;&gt;OK")&gt;0),"",IF(S504="Vince",X504,IF(S504="Perde",Y504,IF(AND(S504="Coperto",ABS(X504-Y504)&lt;='Impostazioni'!$B$11),ROUND((X504+Y504)/2,2),""))))))))</x:f>
      </x:c>
      <x:c r="AB504" s="20" t="str">
        <x:f>IF(NOT(ISNUMBER(AA504)),"",IF(J504="Annullato",0,IF(ISNUMBER(Q504),Q504,ROUND(MAX(0,AA504)*IF(ISNUMBER(R504),R504,'Impostazioni'!$B$8),2))))</x:f>
      </x:c>
      <x:c r="AC504" s="20" t="str">
        <x:f>IF(AND(ISNUMBER(AA504),ISNUMBER(AB504)),ROUND(AA504-AB504,2),"")</x:f>
      </x:c>
      <x:c r="AD504" s="18" t="str">
        <x:f>IF(A504="","",IF(AQ504&lt;&gt;"OK","Incompleto",IF(J504="Aperto","Aperto",IF(J504="Annullato","Annullato",IF(AC504&gt;0,"Green",IF(AC504&lt;0,"Red","Flat"))))))</x:f>
      </x:c>
      <x:c r="AE504" s="21" t="str">
        <x:f>IF(AND(AH504=1,Z504&gt;0),AC504/Z504,"")</x:f>
      </x:c>
      <x:c r="AF504" s="22" t="str">
        <x:f>IF(AH504&lt;&gt;1,"",COUNTIFS($C$8:$C$507,"&lt;"&amp;C504,$AH$8:$AH$507,1)+COUNTIFS($C$8:$C$507,C504,$A$8:$A$507,"&lt;="&amp;A504,$AH$8:$AH$507,1))</x:f>
      </x:c>
      <x:c r="AG504" s="20" t="str">
        <x:f>IF(AH504&lt;&gt;1,"",SUMIFS($AC$8:$AC$507,$C$8:$C$507,"&lt;"&amp;C504,$AH$8:$AH$507,1)+SUMIFS($AC$8:$AC$507,$C$8:$C$507,C504,$A$8:$A$507,"&lt;="&amp;A504,$AH$8:$AH$507,1))</x:f>
      </x:c>
      <x:c r="AH504" s="22" t="str">
        <x:f>IF(A504="","",IF(AND(J504="Chiuso",AQ504="OK",ISNUMBER(AC504)),1,0))</x:f>
      </x:c>
      <x:c r="AI504" s="20" t="str">
        <x:f>IF(AH504&lt;&gt;1,"",MAX(0,_xlfn.MAXIFS($AG$8:$AG$507,$AF$8:$AF$507,"&lt;="&amp;AF504,$AH$8:$AH$507,1)))</x:f>
      </x:c>
      <x:c r="AJ504" s="20" t="str">
        <x:f>IF(AH504&lt;&gt;1,"",MAX(0,AI504-AG504))</x:f>
      </x:c>
      <x:c r="AK504" s="21" t="str">
        <x:f>IF(OR(AH504&lt;&gt;1,NOT(ISNUMBER('Impostazioni'!$B$6)),'Impostazioni'!$B$6+AI504&lt;=0),"",AJ504/('Impostazioni'!$B$6+AI504))</x:f>
      </x:c>
      <x:c r="AL504" s="22" t="str">
        <x:f>IF(AH504&lt;&gt;1,"",IF(AC504&gt;0,AF504-_xlfn.MAXIFS($AF$8:$AF$507,$AF$8:$AF$507,"&lt;="&amp;AF504,$AC$8:$AC$507,"&lt;=0",$AH$8:$AH$507,1),0))</x:f>
      </x:c>
      <x:c r="AM504" s="22" t="str">
        <x:f>IF(AH504&lt;&gt;1,"",IF(AC504&lt;0,AF504-_xlfn.MAXIFS($AF$8:$AF$507,$AF$8:$AF$507,"&lt;="&amp;AF504,$AC$8:$AC$507,"&gt;=0",$AH$8:$AH$507,1),0))</x:f>
      </x:c>
      <x:c r="AN504" s="20" t="str">
        <x:f>IF(OR(A504="",NOT(ISNUMBER(B504)),NOT(ISNUMBER('Impostazioni'!$B$6))),"",'Impostazioni'!$B$6+SUMIFS($AC$8:$AC$507,$C$8:$C$507,"&lt;"&amp;B504,$AH$8:$AH$507,1)+SUMIFS('Cassa'!$F$8:$F$307,'Cassa'!$A$8:$A$307,"&lt;="&amp;B504,'Cassa'!$G$8:$G$307,"OK"))</x:f>
      </x:c>
      <x:c r="AO504" s="21" t="str">
        <x:f>IF(AND(ISNUMBER(Z504),ISNUMBER(AN504),AN504&gt;0),Z504/AN504,"")</x:f>
      </x:c>
      <x:c r="AP504" s="18" t="str">
        <x:f>IF(NOT(ISNUMBER(AO504)),"",IF(AO504&gt;'Impostazioni'!$B$7,"Oltre soglia personale","Nella soglia personale"))</x:f>
      </x:c>
      <x:c r="AQ504" s="18" t="str">
        <x:f>IF(A504="",IF(COUNTA(B504:V504)=0,"","Inserisci ID"),IF(COUNTIFS($A$8:$A$507,A504)&lt;&gt;1,"ID duplicato",IF(OR(NOT(ISNUMBER(B504)),D504="",E504="",F504="",G504="",H504="",COUNTIFS('Impostazioni'!$J$6:$J$25,F504)&lt;&gt;1),"Completa dati / elenchi",IF(OR(AND(I504&lt;&gt;"Lordo manuale",I504&lt;&gt;"Netto manuale",I504&lt;&gt;"Esecuzioni"),AND(J504&lt;&gt;"Aperto",J504&lt;&gt;"Chiuso",J504&lt;&gt;"Annullato")),"Modalità / stato mancanti",IF(AND(J504&lt;&gt;"Aperto",OR(NOT(ISNUMBER(C504)),C504&lt;B504)),"Correggi data chiusura",IF(OR(AND(Q504&lt;&gt;"",OR(NOT(ISNUMBER(Q504)),Q504&lt;0)),AND(R504&lt;&gt;"",OR(NOT(ISNUMBER(R504)),R504&lt;0,R504&gt;1))),"Commissione non valida",IF(J504="Annullato","OK",IF(OR(NOT(ISNUMBER(Z504)),Z504&lt;0,AND(O504&lt;&gt;"",NOT(ISNUMBER(O504)))),"Inserisci rischio",IF(AND(I504="Esecuzioni",OR(W504=0,COUNTIFS('Esecuzioni'!$A$8:$A$1007,A504,'Esecuzioni'!$Q$8:$Q$1007,"&lt;&gt;OK")&gt;0)),"Correggi esecuzioni",IF(J504="Aperto","OK",IF(AND(I504="Esecuzioni",S504="Coperto",ABS(X504-Y504)&gt;'Impostazioni'!$B$11),"Copertura residua",IF(NOT(ISNUMBER(AC504)),"Completa risultato / esito",IF(AND(Z504=0,AC504&lt;&gt;0),"Rischio nullo con P/L","OK")))))))))))))</x:f>
      </x:c>
      <x:c r="AR504" s="20" t="str">
        <x:f>IF(OR(A504="",J504&lt;&gt;"Aperto",AQ504&lt;&gt;"OK"),"",IF(I504="Esecuzioni",SUMIFS('Esecuzioni'!$P$8:$P$1007,'Esecuzioni'!$A$8:$A$1007,A504,'Esecuzioni'!$B$8:$B$1007,_xlfn.MAXIFS('Esecuzioni'!$B$8:$B$1007,'Esecuzioni'!$A$8:$A$1007,A504)),IF(LEFT(U504,8)="FREEBET:",0,Z504)))</x:f>
      </x:c>
      <x:c r="AS504" s="48" t="str">
        <x:f>IF(OR(A504="",E504=""),"",IF(COUNTIFS($E$8:E504,E504)=1,COUNT($AS$7:AS503)+1,""))</x:f>
      </x:c>
    </x:row>
    <x:row r="505" ht="22" customHeight="1">
      <x:c r="A505" s="7"/>
      <x:c r="B505" s="19"/>
      <x:c r="C505" s="19"/>
      <x:c r="D505" s="7"/>
      <x:c r="E505" s="7"/>
      <x:c r="F505" s="7"/>
      <x:c r="G505" s="7"/>
      <x:c r="H505" s="7"/>
      <x:c r="I505" s="7"/>
      <x:c r="J505" s="7"/>
      <x:c r="K505" s="10"/>
      <x:c r="L505" s="7"/>
      <x:c r="M505" s="10"/>
      <x:c r="N505" s="7"/>
      <x:c r="O505" s="8"/>
      <x:c r="P505" s="8"/>
      <x:c r="Q505" s="8"/>
      <x:c r="R505" s="9"/>
      <x:c r="S505" s="7"/>
      <x:c r="T505" s="7"/>
      <x:c r="U505" s="7"/>
      <x:c r="V505" s="7"/>
      <x:c r="W505" s="22" t="str">
        <x:f>IF(A505="","",COUNTIFS('Esecuzioni'!$A$8:$A$1007,A505,'Esecuzioni'!$Q$8:$Q$1007,"OK"))</x:f>
      </x:c>
      <x:c r="X505" s="20" t="str">
        <x:f>IF(OR(A505="",I505&lt;&gt;"Esecuzioni",W505=0),"",SUMIFS('Esecuzioni'!$L$8:$L$1007,'Esecuzioni'!$A$8:$A$1007,A505))</x:f>
      </x:c>
      <x:c r="Y505" s="20" t="str">
        <x:f>IF(OR(A505="",I505&lt;&gt;"Esecuzioni",W505=0),"",SUMIFS('Esecuzioni'!$M$8:$M$1007,'Esecuzioni'!$A$8:$A$1007,A505))</x:f>
      </x:c>
      <x:c r="Z505" s="20" t="str">
        <x:f>IF(A505="","",IF(J505="Annullato",0,IF(ISNUMBER(O505),O505,IF(AND(I505="Esecuzioni",W505&gt;0),_xlfn.MAXIFS('Esecuzioni'!$P$8:$P$1007,'Esecuzioni'!$A$8:$A$1007,A505),""))))</x:f>
      </x:c>
      <x:c r="AA505" s="20" t="str">
        <x:f>IF(OR(A505="",J505="Aperto"),"",IF(J505="Annullato",0,IF(I505="Lordo manuale",IF(ISNUMBER(P505),P505,""),IF(I505="Netto manuale",IF(AND(ISNUMBER(P505),ISNUMBER(Q505)),P505+Q505,""),IF(OR(W505=0,COUNTIFS('Esecuzioni'!$A$8:$A$1007,A505,'Esecuzioni'!$Q$8:$Q$1007,"&lt;&gt;OK")&gt;0),"",IF(S505="Vince",X505,IF(S505="Perde",Y505,IF(AND(S505="Coperto",ABS(X505-Y505)&lt;='Impostazioni'!$B$11),ROUND((X505+Y505)/2,2),""))))))))</x:f>
      </x:c>
      <x:c r="AB505" s="20" t="str">
        <x:f>IF(NOT(ISNUMBER(AA505)),"",IF(J505="Annullato",0,IF(ISNUMBER(Q505),Q505,ROUND(MAX(0,AA505)*IF(ISNUMBER(R505),R505,'Impostazioni'!$B$8),2))))</x:f>
      </x:c>
      <x:c r="AC505" s="20" t="str">
        <x:f>IF(AND(ISNUMBER(AA505),ISNUMBER(AB505)),ROUND(AA505-AB505,2),"")</x:f>
      </x:c>
      <x:c r="AD505" s="18" t="str">
        <x:f>IF(A505="","",IF(AQ505&lt;&gt;"OK","Incompleto",IF(J505="Aperto","Aperto",IF(J505="Annullato","Annullato",IF(AC505&gt;0,"Green",IF(AC505&lt;0,"Red","Flat"))))))</x:f>
      </x:c>
      <x:c r="AE505" s="21" t="str">
        <x:f>IF(AND(AH505=1,Z505&gt;0),AC505/Z505,"")</x:f>
      </x:c>
      <x:c r="AF505" s="22" t="str">
        <x:f>IF(AH505&lt;&gt;1,"",COUNTIFS($C$8:$C$507,"&lt;"&amp;C505,$AH$8:$AH$507,1)+COUNTIFS($C$8:$C$507,C505,$A$8:$A$507,"&lt;="&amp;A505,$AH$8:$AH$507,1))</x:f>
      </x:c>
      <x:c r="AG505" s="20" t="str">
        <x:f>IF(AH505&lt;&gt;1,"",SUMIFS($AC$8:$AC$507,$C$8:$C$507,"&lt;"&amp;C505,$AH$8:$AH$507,1)+SUMIFS($AC$8:$AC$507,$C$8:$C$507,C505,$A$8:$A$507,"&lt;="&amp;A505,$AH$8:$AH$507,1))</x:f>
      </x:c>
      <x:c r="AH505" s="22" t="str">
        <x:f>IF(A505="","",IF(AND(J505="Chiuso",AQ505="OK",ISNUMBER(AC505)),1,0))</x:f>
      </x:c>
      <x:c r="AI505" s="20" t="str">
        <x:f>IF(AH505&lt;&gt;1,"",MAX(0,_xlfn.MAXIFS($AG$8:$AG$507,$AF$8:$AF$507,"&lt;="&amp;AF505,$AH$8:$AH$507,1)))</x:f>
      </x:c>
      <x:c r="AJ505" s="20" t="str">
        <x:f>IF(AH505&lt;&gt;1,"",MAX(0,AI505-AG505))</x:f>
      </x:c>
      <x:c r="AK505" s="21" t="str">
        <x:f>IF(OR(AH505&lt;&gt;1,NOT(ISNUMBER('Impostazioni'!$B$6)),'Impostazioni'!$B$6+AI505&lt;=0),"",AJ505/('Impostazioni'!$B$6+AI505))</x:f>
      </x:c>
      <x:c r="AL505" s="22" t="str">
        <x:f>IF(AH505&lt;&gt;1,"",IF(AC505&gt;0,AF505-_xlfn.MAXIFS($AF$8:$AF$507,$AF$8:$AF$507,"&lt;="&amp;AF505,$AC$8:$AC$507,"&lt;=0",$AH$8:$AH$507,1),0))</x:f>
      </x:c>
      <x:c r="AM505" s="22" t="str">
        <x:f>IF(AH505&lt;&gt;1,"",IF(AC505&lt;0,AF505-_xlfn.MAXIFS($AF$8:$AF$507,$AF$8:$AF$507,"&lt;="&amp;AF505,$AC$8:$AC$507,"&gt;=0",$AH$8:$AH$507,1),0))</x:f>
      </x:c>
      <x:c r="AN505" s="20" t="str">
        <x:f>IF(OR(A505="",NOT(ISNUMBER(B505)),NOT(ISNUMBER('Impostazioni'!$B$6))),"",'Impostazioni'!$B$6+SUMIFS($AC$8:$AC$507,$C$8:$C$507,"&lt;"&amp;B505,$AH$8:$AH$507,1)+SUMIFS('Cassa'!$F$8:$F$307,'Cassa'!$A$8:$A$307,"&lt;="&amp;B505,'Cassa'!$G$8:$G$307,"OK"))</x:f>
      </x:c>
      <x:c r="AO505" s="21" t="str">
        <x:f>IF(AND(ISNUMBER(Z505),ISNUMBER(AN505),AN505&gt;0),Z505/AN505,"")</x:f>
      </x:c>
      <x:c r="AP505" s="18" t="str">
        <x:f>IF(NOT(ISNUMBER(AO505)),"",IF(AO505&gt;'Impostazioni'!$B$7,"Oltre soglia personale","Nella soglia personale"))</x:f>
      </x:c>
      <x:c r="AQ505" s="18" t="str">
        <x:f>IF(A505="",IF(COUNTA(B505:V505)=0,"","Inserisci ID"),IF(COUNTIFS($A$8:$A$507,A505)&lt;&gt;1,"ID duplicato",IF(OR(NOT(ISNUMBER(B505)),D505="",E505="",F505="",G505="",H505="",COUNTIFS('Impostazioni'!$J$6:$J$25,F505)&lt;&gt;1),"Completa dati / elenchi",IF(OR(AND(I505&lt;&gt;"Lordo manuale",I505&lt;&gt;"Netto manuale",I505&lt;&gt;"Esecuzioni"),AND(J505&lt;&gt;"Aperto",J505&lt;&gt;"Chiuso",J505&lt;&gt;"Annullato")),"Modalità / stato mancanti",IF(AND(J505&lt;&gt;"Aperto",OR(NOT(ISNUMBER(C505)),C505&lt;B505)),"Correggi data chiusura",IF(OR(AND(Q505&lt;&gt;"",OR(NOT(ISNUMBER(Q505)),Q505&lt;0)),AND(R505&lt;&gt;"",OR(NOT(ISNUMBER(R505)),R505&lt;0,R505&gt;1))),"Commissione non valida",IF(J505="Annullato","OK",IF(OR(NOT(ISNUMBER(Z505)),Z505&lt;0,AND(O505&lt;&gt;"",NOT(ISNUMBER(O505)))),"Inserisci rischio",IF(AND(I505="Esecuzioni",OR(W505=0,COUNTIFS('Esecuzioni'!$A$8:$A$1007,A505,'Esecuzioni'!$Q$8:$Q$1007,"&lt;&gt;OK")&gt;0)),"Correggi esecuzioni",IF(J505="Aperto","OK",IF(AND(I505="Esecuzioni",S505="Coperto",ABS(X505-Y505)&gt;'Impostazioni'!$B$11),"Copertura residua",IF(NOT(ISNUMBER(AC505)),"Completa risultato / esito",IF(AND(Z505=0,AC505&lt;&gt;0),"Rischio nullo con P/L","OK")))))))))))))</x:f>
      </x:c>
      <x:c r="AR505" s="20" t="str">
        <x:f>IF(OR(A505="",J505&lt;&gt;"Aperto",AQ505&lt;&gt;"OK"),"",IF(I505="Esecuzioni",SUMIFS('Esecuzioni'!$P$8:$P$1007,'Esecuzioni'!$A$8:$A$1007,A505,'Esecuzioni'!$B$8:$B$1007,_xlfn.MAXIFS('Esecuzioni'!$B$8:$B$1007,'Esecuzioni'!$A$8:$A$1007,A505)),IF(LEFT(U505,8)="FREEBET:",0,Z505)))</x:f>
      </x:c>
      <x:c r="AS505" s="48" t="str">
        <x:f>IF(OR(A505="",E505=""),"",IF(COUNTIFS($E$8:E505,E505)=1,COUNT($AS$7:AS504)+1,""))</x:f>
      </x:c>
    </x:row>
    <x:row r="506" ht="22" customHeight="1">
      <x:c r="A506" s="7"/>
      <x:c r="B506" s="19"/>
      <x:c r="C506" s="19"/>
      <x:c r="D506" s="7"/>
      <x:c r="E506" s="7"/>
      <x:c r="F506" s="7"/>
      <x:c r="G506" s="7"/>
      <x:c r="H506" s="7"/>
      <x:c r="I506" s="7"/>
      <x:c r="J506" s="7"/>
      <x:c r="K506" s="10"/>
      <x:c r="L506" s="7"/>
      <x:c r="M506" s="10"/>
      <x:c r="N506" s="7"/>
      <x:c r="O506" s="8"/>
      <x:c r="P506" s="8"/>
      <x:c r="Q506" s="8"/>
      <x:c r="R506" s="9"/>
      <x:c r="S506" s="7"/>
      <x:c r="T506" s="7"/>
      <x:c r="U506" s="7"/>
      <x:c r="V506" s="7"/>
      <x:c r="W506" s="22" t="str">
        <x:f>IF(A506="","",COUNTIFS('Esecuzioni'!$A$8:$A$1007,A506,'Esecuzioni'!$Q$8:$Q$1007,"OK"))</x:f>
      </x:c>
      <x:c r="X506" s="20" t="str">
        <x:f>IF(OR(A506="",I506&lt;&gt;"Esecuzioni",W506=0),"",SUMIFS('Esecuzioni'!$L$8:$L$1007,'Esecuzioni'!$A$8:$A$1007,A506))</x:f>
      </x:c>
      <x:c r="Y506" s="20" t="str">
        <x:f>IF(OR(A506="",I506&lt;&gt;"Esecuzioni",W506=0),"",SUMIFS('Esecuzioni'!$M$8:$M$1007,'Esecuzioni'!$A$8:$A$1007,A506))</x:f>
      </x:c>
      <x:c r="Z506" s="20" t="str">
        <x:f>IF(A506="","",IF(J506="Annullato",0,IF(ISNUMBER(O506),O506,IF(AND(I506="Esecuzioni",W506&gt;0),_xlfn.MAXIFS('Esecuzioni'!$P$8:$P$1007,'Esecuzioni'!$A$8:$A$1007,A506),""))))</x:f>
      </x:c>
      <x:c r="AA506" s="20" t="str">
        <x:f>IF(OR(A506="",J506="Aperto"),"",IF(J506="Annullato",0,IF(I506="Lordo manuale",IF(ISNUMBER(P506),P506,""),IF(I506="Netto manuale",IF(AND(ISNUMBER(P506),ISNUMBER(Q506)),P506+Q506,""),IF(OR(W506=0,COUNTIFS('Esecuzioni'!$A$8:$A$1007,A506,'Esecuzioni'!$Q$8:$Q$1007,"&lt;&gt;OK")&gt;0),"",IF(S506="Vince",X506,IF(S506="Perde",Y506,IF(AND(S506="Coperto",ABS(X506-Y506)&lt;='Impostazioni'!$B$11),ROUND((X506+Y506)/2,2),""))))))))</x:f>
      </x:c>
      <x:c r="AB506" s="20" t="str">
        <x:f>IF(NOT(ISNUMBER(AA506)),"",IF(J506="Annullato",0,IF(ISNUMBER(Q506),Q506,ROUND(MAX(0,AA506)*IF(ISNUMBER(R506),R506,'Impostazioni'!$B$8),2))))</x:f>
      </x:c>
      <x:c r="AC506" s="20" t="str">
        <x:f>IF(AND(ISNUMBER(AA506),ISNUMBER(AB506)),ROUND(AA506-AB506,2),"")</x:f>
      </x:c>
      <x:c r="AD506" s="18" t="str">
        <x:f>IF(A506="","",IF(AQ506&lt;&gt;"OK","Incompleto",IF(J506="Aperto","Aperto",IF(J506="Annullato","Annullato",IF(AC506&gt;0,"Green",IF(AC506&lt;0,"Red","Flat"))))))</x:f>
      </x:c>
      <x:c r="AE506" s="21" t="str">
        <x:f>IF(AND(AH506=1,Z506&gt;0),AC506/Z506,"")</x:f>
      </x:c>
      <x:c r="AF506" s="22" t="str">
        <x:f>IF(AH506&lt;&gt;1,"",COUNTIFS($C$8:$C$507,"&lt;"&amp;C506,$AH$8:$AH$507,1)+COUNTIFS($C$8:$C$507,C506,$A$8:$A$507,"&lt;="&amp;A506,$AH$8:$AH$507,1))</x:f>
      </x:c>
      <x:c r="AG506" s="20" t="str">
        <x:f>IF(AH506&lt;&gt;1,"",SUMIFS($AC$8:$AC$507,$C$8:$C$507,"&lt;"&amp;C506,$AH$8:$AH$507,1)+SUMIFS($AC$8:$AC$507,$C$8:$C$507,C506,$A$8:$A$507,"&lt;="&amp;A506,$AH$8:$AH$507,1))</x:f>
      </x:c>
      <x:c r="AH506" s="22" t="str">
        <x:f>IF(A506="","",IF(AND(J506="Chiuso",AQ506="OK",ISNUMBER(AC506)),1,0))</x:f>
      </x:c>
      <x:c r="AI506" s="20" t="str">
        <x:f>IF(AH506&lt;&gt;1,"",MAX(0,_xlfn.MAXIFS($AG$8:$AG$507,$AF$8:$AF$507,"&lt;="&amp;AF506,$AH$8:$AH$507,1)))</x:f>
      </x:c>
      <x:c r="AJ506" s="20" t="str">
        <x:f>IF(AH506&lt;&gt;1,"",MAX(0,AI506-AG506))</x:f>
      </x:c>
      <x:c r="AK506" s="21" t="str">
        <x:f>IF(OR(AH506&lt;&gt;1,NOT(ISNUMBER('Impostazioni'!$B$6)),'Impostazioni'!$B$6+AI506&lt;=0),"",AJ506/('Impostazioni'!$B$6+AI506))</x:f>
      </x:c>
      <x:c r="AL506" s="22" t="str">
        <x:f>IF(AH506&lt;&gt;1,"",IF(AC506&gt;0,AF506-_xlfn.MAXIFS($AF$8:$AF$507,$AF$8:$AF$507,"&lt;="&amp;AF506,$AC$8:$AC$507,"&lt;=0",$AH$8:$AH$507,1),0))</x:f>
      </x:c>
      <x:c r="AM506" s="22" t="str">
        <x:f>IF(AH506&lt;&gt;1,"",IF(AC506&lt;0,AF506-_xlfn.MAXIFS($AF$8:$AF$507,$AF$8:$AF$507,"&lt;="&amp;AF506,$AC$8:$AC$507,"&gt;=0",$AH$8:$AH$507,1),0))</x:f>
      </x:c>
      <x:c r="AN506" s="20" t="str">
        <x:f>IF(OR(A506="",NOT(ISNUMBER(B506)),NOT(ISNUMBER('Impostazioni'!$B$6))),"",'Impostazioni'!$B$6+SUMIFS($AC$8:$AC$507,$C$8:$C$507,"&lt;"&amp;B506,$AH$8:$AH$507,1)+SUMIFS('Cassa'!$F$8:$F$307,'Cassa'!$A$8:$A$307,"&lt;="&amp;B506,'Cassa'!$G$8:$G$307,"OK"))</x:f>
      </x:c>
      <x:c r="AO506" s="21" t="str">
        <x:f>IF(AND(ISNUMBER(Z506),ISNUMBER(AN506),AN506&gt;0),Z506/AN506,"")</x:f>
      </x:c>
      <x:c r="AP506" s="18" t="str">
        <x:f>IF(NOT(ISNUMBER(AO506)),"",IF(AO506&gt;'Impostazioni'!$B$7,"Oltre soglia personale","Nella soglia personale"))</x:f>
      </x:c>
      <x:c r="AQ506" s="18" t="str">
        <x:f>IF(A506="",IF(COUNTA(B506:V506)=0,"","Inserisci ID"),IF(COUNTIFS($A$8:$A$507,A506)&lt;&gt;1,"ID duplicato",IF(OR(NOT(ISNUMBER(B506)),D506="",E506="",F506="",G506="",H506="",COUNTIFS('Impostazioni'!$J$6:$J$25,F506)&lt;&gt;1),"Completa dati / elenchi",IF(OR(AND(I506&lt;&gt;"Lordo manuale",I506&lt;&gt;"Netto manuale",I506&lt;&gt;"Esecuzioni"),AND(J506&lt;&gt;"Aperto",J506&lt;&gt;"Chiuso",J506&lt;&gt;"Annullato")),"Modalità / stato mancanti",IF(AND(J506&lt;&gt;"Aperto",OR(NOT(ISNUMBER(C506)),C506&lt;B506)),"Correggi data chiusura",IF(OR(AND(Q506&lt;&gt;"",OR(NOT(ISNUMBER(Q506)),Q506&lt;0)),AND(R506&lt;&gt;"",OR(NOT(ISNUMBER(R506)),R506&lt;0,R506&gt;1))),"Commissione non valida",IF(J506="Annullato","OK",IF(OR(NOT(ISNUMBER(Z506)),Z506&lt;0,AND(O506&lt;&gt;"",NOT(ISNUMBER(O506)))),"Inserisci rischio",IF(AND(I506="Esecuzioni",OR(W506=0,COUNTIFS('Esecuzioni'!$A$8:$A$1007,A506,'Esecuzioni'!$Q$8:$Q$1007,"&lt;&gt;OK")&gt;0)),"Correggi esecuzioni",IF(J506="Aperto","OK",IF(AND(I506="Esecuzioni",S506="Coperto",ABS(X506-Y506)&gt;'Impostazioni'!$B$11),"Copertura residua",IF(NOT(ISNUMBER(AC506)),"Completa risultato / esito",IF(AND(Z506=0,AC506&lt;&gt;0),"Rischio nullo con P/L","OK")))))))))))))</x:f>
      </x:c>
      <x:c r="AR506" s="20" t="str">
        <x:f>IF(OR(A506="",J506&lt;&gt;"Aperto",AQ506&lt;&gt;"OK"),"",IF(I506="Esecuzioni",SUMIFS('Esecuzioni'!$P$8:$P$1007,'Esecuzioni'!$A$8:$A$1007,A506,'Esecuzioni'!$B$8:$B$1007,_xlfn.MAXIFS('Esecuzioni'!$B$8:$B$1007,'Esecuzioni'!$A$8:$A$1007,A506)),IF(LEFT(U506,8)="FREEBET:",0,Z506)))</x:f>
      </x:c>
      <x:c r="AS506" s="48" t="str">
        <x:f>IF(OR(A506="",E506=""),"",IF(COUNTIFS($E$8:E506,E506)=1,COUNT($AS$7:AS505)+1,""))</x:f>
      </x:c>
    </x:row>
    <x:row r="507" ht="22" customHeight="1">
      <x:c r="A507" s="7"/>
      <x:c r="B507" s="19"/>
      <x:c r="C507" s="19"/>
      <x:c r="D507" s="7"/>
      <x:c r="E507" s="7"/>
      <x:c r="F507" s="7"/>
      <x:c r="G507" s="7"/>
      <x:c r="H507" s="7"/>
      <x:c r="I507" s="7"/>
      <x:c r="J507" s="7"/>
      <x:c r="K507" s="10"/>
      <x:c r="L507" s="7"/>
      <x:c r="M507" s="10"/>
      <x:c r="N507" s="7"/>
      <x:c r="O507" s="8"/>
      <x:c r="P507" s="8"/>
      <x:c r="Q507" s="8"/>
      <x:c r="R507" s="9"/>
      <x:c r="S507" s="7"/>
      <x:c r="T507" s="7"/>
      <x:c r="U507" s="7"/>
      <x:c r="V507" s="7"/>
      <x:c r="W507" s="22" t="str">
        <x:f>IF(A507="","",COUNTIFS('Esecuzioni'!$A$8:$A$1007,A507,'Esecuzioni'!$Q$8:$Q$1007,"OK"))</x:f>
      </x:c>
      <x:c r="X507" s="20" t="str">
        <x:f>IF(OR(A507="",I507&lt;&gt;"Esecuzioni",W507=0),"",SUMIFS('Esecuzioni'!$L$8:$L$1007,'Esecuzioni'!$A$8:$A$1007,A507))</x:f>
      </x:c>
      <x:c r="Y507" s="20" t="str">
        <x:f>IF(OR(A507="",I507&lt;&gt;"Esecuzioni",W507=0),"",SUMIFS('Esecuzioni'!$M$8:$M$1007,'Esecuzioni'!$A$8:$A$1007,A507))</x:f>
      </x:c>
      <x:c r="Z507" s="20" t="str">
        <x:f>IF(A507="","",IF(J507="Annullato",0,IF(ISNUMBER(O507),O507,IF(AND(I507="Esecuzioni",W507&gt;0),_xlfn.MAXIFS('Esecuzioni'!$P$8:$P$1007,'Esecuzioni'!$A$8:$A$1007,A507),""))))</x:f>
      </x:c>
      <x:c r="AA507" s="20" t="str">
        <x:f>IF(OR(A507="",J507="Aperto"),"",IF(J507="Annullato",0,IF(I507="Lordo manuale",IF(ISNUMBER(P507),P507,""),IF(I507="Netto manuale",IF(AND(ISNUMBER(P507),ISNUMBER(Q507)),P507+Q507,""),IF(OR(W507=0,COUNTIFS('Esecuzioni'!$A$8:$A$1007,A507,'Esecuzioni'!$Q$8:$Q$1007,"&lt;&gt;OK")&gt;0),"",IF(S507="Vince",X507,IF(S507="Perde",Y507,IF(AND(S507="Coperto",ABS(X507-Y507)&lt;='Impostazioni'!$B$11),ROUND((X507+Y507)/2,2),""))))))))</x:f>
      </x:c>
      <x:c r="AB507" s="20" t="str">
        <x:f>IF(NOT(ISNUMBER(AA507)),"",IF(J507="Annullato",0,IF(ISNUMBER(Q507),Q507,ROUND(MAX(0,AA507)*IF(ISNUMBER(R507),R507,'Impostazioni'!$B$8),2))))</x:f>
      </x:c>
      <x:c r="AC507" s="20" t="str">
        <x:f>IF(AND(ISNUMBER(AA507),ISNUMBER(AB507)),ROUND(AA507-AB507,2),"")</x:f>
      </x:c>
      <x:c r="AD507" s="18" t="str">
        <x:f>IF(A507="","",IF(AQ507&lt;&gt;"OK","Incompleto",IF(J507="Aperto","Aperto",IF(J507="Annullato","Annullato",IF(AC507&gt;0,"Green",IF(AC507&lt;0,"Red","Flat"))))))</x:f>
      </x:c>
      <x:c r="AE507" s="21" t="str">
        <x:f>IF(AND(AH507=1,Z507&gt;0),AC507/Z507,"")</x:f>
      </x:c>
      <x:c r="AF507" s="22" t="str">
        <x:f>IF(AH507&lt;&gt;1,"",COUNTIFS($C$8:$C$507,"&lt;"&amp;C507,$AH$8:$AH$507,1)+COUNTIFS($C$8:$C$507,C507,$A$8:$A$507,"&lt;="&amp;A507,$AH$8:$AH$507,1))</x:f>
      </x:c>
      <x:c r="AG507" s="20" t="str">
        <x:f>IF(AH507&lt;&gt;1,"",SUMIFS($AC$8:$AC$507,$C$8:$C$507,"&lt;"&amp;C507,$AH$8:$AH$507,1)+SUMIFS($AC$8:$AC$507,$C$8:$C$507,C507,$A$8:$A$507,"&lt;="&amp;A507,$AH$8:$AH$507,1))</x:f>
      </x:c>
      <x:c r="AH507" s="22" t="str">
        <x:f>IF(A507="","",IF(AND(J507="Chiuso",AQ507="OK",ISNUMBER(AC507)),1,0))</x:f>
      </x:c>
      <x:c r="AI507" s="20" t="str">
        <x:f>IF(AH507&lt;&gt;1,"",MAX(0,_xlfn.MAXIFS($AG$8:$AG$507,$AF$8:$AF$507,"&lt;="&amp;AF507,$AH$8:$AH$507,1)))</x:f>
      </x:c>
      <x:c r="AJ507" s="20" t="str">
        <x:f>IF(AH507&lt;&gt;1,"",MAX(0,AI507-AG507))</x:f>
      </x:c>
      <x:c r="AK507" s="21" t="str">
        <x:f>IF(OR(AH507&lt;&gt;1,NOT(ISNUMBER('Impostazioni'!$B$6)),'Impostazioni'!$B$6+AI507&lt;=0),"",AJ507/('Impostazioni'!$B$6+AI507))</x:f>
      </x:c>
      <x:c r="AL507" s="22" t="str">
        <x:f>IF(AH507&lt;&gt;1,"",IF(AC507&gt;0,AF507-_xlfn.MAXIFS($AF$8:$AF$507,$AF$8:$AF$507,"&lt;="&amp;AF507,$AC$8:$AC$507,"&lt;=0",$AH$8:$AH$507,1),0))</x:f>
      </x:c>
      <x:c r="AM507" s="22" t="str">
        <x:f>IF(AH507&lt;&gt;1,"",IF(AC507&lt;0,AF507-_xlfn.MAXIFS($AF$8:$AF$507,$AF$8:$AF$507,"&lt;="&amp;AF507,$AC$8:$AC$507,"&gt;=0",$AH$8:$AH$507,1),0))</x:f>
      </x:c>
      <x:c r="AN507" s="20" t="str">
        <x:f>IF(OR(A507="",NOT(ISNUMBER(B507)),NOT(ISNUMBER('Impostazioni'!$B$6))),"",'Impostazioni'!$B$6+SUMIFS($AC$8:$AC$507,$C$8:$C$507,"&lt;"&amp;B507,$AH$8:$AH$507,1)+SUMIFS('Cassa'!$F$8:$F$307,'Cassa'!$A$8:$A$307,"&lt;="&amp;B507,'Cassa'!$G$8:$G$307,"OK"))</x:f>
      </x:c>
      <x:c r="AO507" s="21" t="str">
        <x:f>IF(AND(ISNUMBER(Z507),ISNUMBER(AN507),AN507&gt;0),Z507/AN507,"")</x:f>
      </x:c>
      <x:c r="AP507" s="18" t="str">
        <x:f>IF(NOT(ISNUMBER(AO507)),"",IF(AO507&gt;'Impostazioni'!$B$7,"Oltre soglia personale","Nella soglia personale"))</x:f>
      </x:c>
      <x:c r="AQ507" s="18" t="str">
        <x:f>IF(A507="",IF(COUNTA(B507:V507)=0,"","Inserisci ID"),IF(COUNTIFS($A$8:$A$507,A507)&lt;&gt;1,"ID duplicato",IF(OR(NOT(ISNUMBER(B507)),D507="",E507="",F507="",G507="",H507="",COUNTIFS('Impostazioni'!$J$6:$J$25,F507)&lt;&gt;1),"Completa dati / elenchi",IF(OR(AND(I507&lt;&gt;"Lordo manuale",I507&lt;&gt;"Netto manuale",I507&lt;&gt;"Esecuzioni"),AND(J507&lt;&gt;"Aperto",J507&lt;&gt;"Chiuso",J507&lt;&gt;"Annullato")),"Modalità / stato mancanti",IF(AND(J507&lt;&gt;"Aperto",OR(NOT(ISNUMBER(C507)),C507&lt;B507)),"Correggi data chiusura",IF(OR(AND(Q507&lt;&gt;"",OR(NOT(ISNUMBER(Q507)),Q507&lt;0)),AND(R507&lt;&gt;"",OR(NOT(ISNUMBER(R507)),R507&lt;0,R507&gt;1))),"Commissione non valida",IF(J507="Annullato","OK",IF(OR(NOT(ISNUMBER(Z507)),Z507&lt;0,AND(O507&lt;&gt;"",NOT(ISNUMBER(O507)))),"Inserisci rischio",IF(AND(I507="Esecuzioni",OR(W507=0,COUNTIFS('Esecuzioni'!$A$8:$A$1007,A507,'Esecuzioni'!$Q$8:$Q$1007,"&lt;&gt;OK")&gt;0)),"Correggi esecuzioni",IF(J507="Aperto","OK",IF(AND(I507="Esecuzioni",S507="Coperto",ABS(X507-Y507)&gt;'Impostazioni'!$B$11),"Copertura residua",IF(NOT(ISNUMBER(AC507)),"Completa risultato / esito",IF(AND(Z507=0,AC507&lt;&gt;0),"Rischio nullo con P/L","OK")))))))))))))</x:f>
      </x:c>
      <x:c r="AR507" s="20" t="str">
        <x:f>IF(OR(A507="",J507&lt;&gt;"Aperto",AQ507&lt;&gt;"OK"),"",IF(I507="Esecuzioni",SUMIFS('Esecuzioni'!$P$8:$P$1007,'Esecuzioni'!$A$8:$A$1007,A507,'Esecuzioni'!$B$8:$B$1007,_xlfn.MAXIFS('Esecuzioni'!$B$8:$B$1007,'Esecuzioni'!$A$8:$A$1007,A507)),IF(LEFT(U507,8)="FREEBET:",0,Z507)))</x:f>
      </x:c>
      <x:c r="AS507" s="48" t="str">
        <x:f>IF(OR(A507="",E507=""),"",IF(COUNTIFS($E$8:E507,E507)=1,COUNT($AS$7:AS506)+1,""))</x:f>
      </x:c>
    </x:row>
  </x:sheetData>
  <x:conditionalFormatting sqref="AC8:AC507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AQ8:AQ507">
    <x:cfRule type="expression" dxfId="2" priority="3">
      <x:formula>AND($A8&lt;&gt;"",$AQ8&lt;&gt;"OK")</x:formula>
    </x:cfRule>
  </x:conditionalFormatting>
  <x:conditionalFormatting sqref="AP8:AP507">
    <x:cfRule type="containsText" dxfId="3" priority="4" operator="containsText" text="Oltre"/>
  </x:conditionalFormatting>
  <x:conditionalFormatting sqref="AD8:AD507">
    <x:cfRule type="containsText" dxfId="4" priority="5" operator="containsText" text="Green"/>
    <x:cfRule type="containsText" dxfId="5" priority="6" operator="containsText" text="Red"/>
  </x:conditionalFormatting>
  <x:dataValidations count="12">
    <x:dataValidation type="list" sqref="I8:I507">
      <x:formula1>"Lordo manuale,Netto manuale,Esecuzioni"</x:formula1>
    </x:dataValidation>
    <x:dataValidation type="list" sqref="J8:J507">
      <x:formula1>"Aperto,Chiuso,Annullato"</x:formula1>
    </x:dataValidation>
    <x:dataValidation type="list" sqref="N8:N507">
      <x:formula1>"Gol,Stop 76,Stop-loss,Take-profit,Fine mercato,Manuale,Altro"</x:formula1>
    </x:dataValidation>
    <x:dataValidation type="list" sqref="S8:S507">
      <x:formula1>"Vince,Perde,Coperto"</x:formula1>
    </x:dataValidation>
    <x:dataValidation type="list" sqref="T8:T507">
      <x:formula1>"Sì,No,Da valutare"</x:formula1>
    </x:dataValidation>
    <x:dataValidation type="list" sqref="E8:E507">
      <x:formula1>'Impostazioni'!$M$6:$M$35</x:formula1>
    </x:dataValidation>
    <x:dataValidation type="list" sqref="F8:F507">
      <x:formula1>'Impostazioni'!$J$6:$J$25</x:formula1>
    </x:dataValidation>
    <x:dataValidation type="decimal" operator="between" sqref="O8:O507">
      <x:formula1>0</x:formula1>
      <x:formula2>1000000000</x:formula2>
    </x:dataValidation>
    <x:dataValidation type="decimal" operator="between" sqref="Q8:Q507">
      <x:formula1>0</x:formula1>
      <x:formula2>1000000000</x:formula2>
    </x:dataValidation>
    <x:dataValidation type="decimal" operator="between" sqref="R8:R507">
      <x:formula1>0</x:formula1>
      <x:formula2>1</x:formula2>
    </x:dataValidation>
    <x:dataValidation type="decimal" operator="between" sqref="K8:K507">
      <x:formula1>0</x:formula1>
      <x:formula2>150</x:formula2>
    </x:dataValidation>
    <x:dataValidation type="decimal" operator="between" sqref="M8:M507">
      <x:formula1>0</x:formula1>
      <x:formula2>150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e467d3ad7074ab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7" hidden="0" customWidth="1"/>
    <x:col min="2" max="2" width="16" hidden="0" customWidth="1"/>
    <x:col min="3" max="3" width="22" hidden="0" customWidth="1"/>
    <x:col min="4" max="4" width="17" hidden="0" customWidth="1"/>
    <x:col min="5" max="5" width="13" hidden="0" customWidth="1"/>
    <x:col min="6" max="6" width="13" hidden="0" customWidth="1"/>
    <x:col min="7" max="7" width="20" hidden="0" customWidth="1"/>
    <x:col min="8" max="8" width="12" hidden="0" customWidth="1"/>
    <x:col min="9" max="9" width="13" hidden="0" customWidth="1"/>
    <x:col min="10" max="10" width="23" hidden="0" customWidth="1"/>
    <x:col min="11" max="11" width="42" hidden="0" customWidth="1"/>
    <x:col min="12" max="12" width="20" hidden="0" customWidth="1"/>
    <x:col min="13" max="13" width="20" hidden="0" customWidth="1"/>
    <x:col min="14" max="14" width="22" hidden="0" customWidth="1"/>
    <x:col min="15" max="15" width="22" hidden="0" customWidth="1"/>
    <x:col min="16" max="16" width="20" hidden="0" customWidth="1"/>
    <x:col min="17" max="17" width="2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9" customHeight="1">
      <x:c r="A2" s="3" t="str">
        <x:v>Esecuzioni abbinate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2" customHeight="1">
      <x:c r="A4" s="5" t="str">
        <x:v>Facoltativo per la modalità Esecuzioni. Stessa selezione e stesso mercato per ogni ID. Solo importi realmente abbinati.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40" customHeight="1">
      <x:c r="A7" s="15" t="str">
        <x:v>ID campagna</x:v>
      </x:c>
      <x:c r="B7" s="16" t="str">
        <x:v>N. esecuzione</x:v>
      </x:c>
      <x:c r="C7" s="16" t="str">
        <x:v>Data/ora</x:v>
      </x:c>
      <x:c r="D7" s="16" t="str">
        <x:v>Fase</x:v>
      </x:c>
      <x:c r="E7" s="16" t="str">
        <x:v>Lato</x:v>
      </x:c>
      <x:c r="F7" s="16" t="str">
        <x:v>Quota</x:v>
      </x:c>
      <x:c r="G7" s="16" t="str">
        <x:v>Stake abbinato €</x:v>
      </x:c>
      <x:c r="H7" s="16" t="str">
        <x:v>Minuto</x:v>
      </x:c>
      <x:c r="I7" s="16" t="str">
        <x:v>Score</x:v>
      </x:c>
      <x:c r="J7" s="16" t="str">
        <x:v>ID scommessa</x:v>
      </x:c>
      <x:c r="K7" s="16" t="str">
        <x:v>Note</x:v>
      </x:c>
      <x:c r="L7" s="16" t="str">
        <x:v>P/L se vince €</x:v>
      </x:c>
      <x:c r="M7" s="16" t="str">
        <x:v>P/L se perde €</x:v>
      </x:c>
      <x:c r="N7" s="16" t="str">
        <x:v>Cumulato se vince €</x:v>
      </x:c>
      <x:c r="O7" s="16" t="str">
        <x:v>Cumulato se perde €</x:v>
      </x:c>
      <x:c r="P7" s="16" t="str">
        <x:v>Rischio residuo €</x:v>
      </x:c>
      <x:c r="Q7" s="17" t="str">
        <x:v>Dati esecuzione</x:v>
      </x:c>
    </x:row>
    <x:row r="8" ht="22" customHeight="1">
      <x:c r="A8" s="7"/>
      <x:c r="B8" s="7"/>
      <x:c r="C8" s="19"/>
      <x:c r="D8" s="7"/>
      <x:c r="E8" s="7"/>
      <x:c r="F8" s="27"/>
      <x:c r="G8" s="8"/>
      <x:c r="H8" s="7"/>
      <x:c r="I8" s="7"/>
      <x:c r="J8" s="7"/>
      <x:c r="K8" s="7"/>
      <x:c r="L8" s="20" t="str">
        <x:f>IF(Q8&lt;&gt;"OK","",IF(E8="Back",G8*(F8-1),-G8*(F8-1)))</x:f>
      </x:c>
      <x:c r="M8" s="20" t="str">
        <x:f>IF(Q8&lt;&gt;"OK","",IF(E8="Back",-G8,G8))</x:f>
      </x:c>
      <x:c r="N8" s="20" t="str">
        <x:f>IF(Q8&lt;&gt;"OK","",SUMIFS($L$8:$L$1007,$A$8:$A$1007,A8,$B$8:$B$1007,"&lt;="&amp;B8))</x:f>
      </x:c>
      <x:c r="O8" s="20" t="str">
        <x:f>IF(Q8&lt;&gt;"OK","",SUMIFS($M$8:$M$1007,$A$8:$A$1007,A8,$B$8:$B$1007,"&lt;="&amp;B8))</x:f>
      </x:c>
      <x:c r="P8" s="20" t="str">
        <x:f>IF(Q8&lt;&gt;"OK","",MAX(0,-MIN(N8,O8)))</x:f>
      </x:c>
      <x:c r="Q8" s="18" t="str">
        <x:f>IF(A8="",IF(COUNTA(B8:K8)=0,"","Inserisci ID"),IF(COUNTIFS('Diario'!$A$8:$A$507,A8)&lt;&gt;1,"ID assente / duplicato",IF(OR(NOT(ISNUMBER(B8)),B8&lt;1,B8&lt;&gt;INT(B8),COUNTIFS($A$8:$A$1007,A8,$B$8:$B$1007,B8)&lt;&gt;1),"N. esecuzione non valido",IF(OR(NOT(ISNUMBER(C8)),AND(D8&lt;&gt;"Ingresso",D8&lt;&gt;"Uscita"),AND(E8&lt;&gt;"Back",E8&lt;&gt;"Lay")),"Completa data / fase / lato",IF(OR(NOT(ISNUMBER(F8)),F8&lt;=1,NOT(ISNUMBER(G8)),G8&lt;=0),"Correggi quota / stake","OK")))))</x:f>
      </x:c>
    </x:row>
    <x:row r="9" ht="22" customHeight="1">
      <x:c r="A9" s="7"/>
      <x:c r="B9" s="7"/>
      <x:c r="C9" s="19"/>
      <x:c r="D9" s="7"/>
      <x:c r="E9" s="7"/>
      <x:c r="F9" s="27"/>
      <x:c r="G9" s="8"/>
      <x:c r="H9" s="7"/>
      <x:c r="I9" s="7"/>
      <x:c r="J9" s="7"/>
      <x:c r="K9" s="7"/>
      <x:c r="L9" s="20" t="str">
        <x:f>IF(Q9&lt;&gt;"OK","",IF(E9="Back",G9*(F9-1),-G9*(F9-1)))</x:f>
      </x:c>
      <x:c r="M9" s="20" t="str">
        <x:f>IF(Q9&lt;&gt;"OK","",IF(E9="Back",-G9,G9))</x:f>
      </x:c>
      <x:c r="N9" s="20" t="str">
        <x:f>IF(Q9&lt;&gt;"OK","",SUMIFS($L$8:$L$1007,$A$8:$A$1007,A9,$B$8:$B$1007,"&lt;="&amp;B9))</x:f>
      </x:c>
      <x:c r="O9" s="20" t="str">
        <x:f>IF(Q9&lt;&gt;"OK","",SUMIFS($M$8:$M$1007,$A$8:$A$1007,A9,$B$8:$B$1007,"&lt;="&amp;B9))</x:f>
      </x:c>
      <x:c r="P9" s="20" t="str">
        <x:f>IF(Q9&lt;&gt;"OK","",MAX(0,-MIN(N9,O9)))</x:f>
      </x:c>
      <x:c r="Q9" s="18" t="str">
        <x:f>IF(A9="",IF(COUNTA(B9:K9)=0,"","Inserisci ID"),IF(COUNTIFS('Diario'!$A$8:$A$507,A9)&lt;&gt;1,"ID assente / duplicato",IF(OR(NOT(ISNUMBER(B9)),B9&lt;1,B9&lt;&gt;INT(B9),COUNTIFS($A$8:$A$1007,A9,$B$8:$B$1007,B9)&lt;&gt;1),"N. esecuzione non valido",IF(OR(NOT(ISNUMBER(C9)),AND(D9&lt;&gt;"Ingresso",D9&lt;&gt;"Uscita"),AND(E9&lt;&gt;"Back",E9&lt;&gt;"Lay")),"Completa data / fase / lato",IF(OR(NOT(ISNUMBER(F9)),F9&lt;=1,NOT(ISNUMBER(G9)),G9&lt;=0),"Correggi quota / stake","OK")))))</x:f>
      </x:c>
    </x:row>
    <x:row r="10" ht="22" customHeight="1">
      <x:c r="A10" s="7"/>
      <x:c r="B10" s="7"/>
      <x:c r="C10" s="19"/>
      <x:c r="D10" s="7"/>
      <x:c r="E10" s="7"/>
      <x:c r="F10" s="27"/>
      <x:c r="G10" s="8"/>
      <x:c r="H10" s="7"/>
      <x:c r="I10" s="7"/>
      <x:c r="J10" s="7"/>
      <x:c r="K10" s="7"/>
      <x:c r="L10" s="20" t="str">
        <x:f>IF(Q10&lt;&gt;"OK","",IF(E10="Back",G10*(F10-1),-G10*(F10-1)))</x:f>
      </x:c>
      <x:c r="M10" s="20" t="str">
        <x:f>IF(Q10&lt;&gt;"OK","",IF(E10="Back",-G10,G10))</x:f>
      </x:c>
      <x:c r="N10" s="20" t="str">
        <x:f>IF(Q10&lt;&gt;"OK","",SUMIFS($L$8:$L$1007,$A$8:$A$1007,A10,$B$8:$B$1007,"&lt;="&amp;B10))</x:f>
      </x:c>
      <x:c r="O10" s="20" t="str">
        <x:f>IF(Q10&lt;&gt;"OK","",SUMIFS($M$8:$M$1007,$A$8:$A$1007,A10,$B$8:$B$1007,"&lt;="&amp;B10))</x:f>
      </x:c>
      <x:c r="P10" s="20" t="str">
        <x:f>IF(Q10&lt;&gt;"OK","",MAX(0,-MIN(N10,O10)))</x:f>
      </x:c>
      <x:c r="Q10" s="18" t="str">
        <x:f>IF(A10="",IF(COUNTA(B10:K10)=0,"","Inserisci ID"),IF(COUNTIFS('Diario'!$A$8:$A$507,A10)&lt;&gt;1,"ID assente / duplicato",IF(OR(NOT(ISNUMBER(B10)),B10&lt;1,B10&lt;&gt;INT(B10),COUNTIFS($A$8:$A$1007,A10,$B$8:$B$1007,B10)&lt;&gt;1),"N. esecuzione non valido",IF(OR(NOT(ISNUMBER(C10)),AND(D10&lt;&gt;"Ingresso",D10&lt;&gt;"Uscita"),AND(E10&lt;&gt;"Back",E10&lt;&gt;"Lay")),"Completa data / fase / lato",IF(OR(NOT(ISNUMBER(F10)),F10&lt;=1,NOT(ISNUMBER(G10)),G10&lt;=0),"Correggi quota / stake","OK")))))</x:f>
      </x:c>
    </x:row>
    <x:row r="11" ht="22" customHeight="1">
      <x:c r="A11" s="7"/>
      <x:c r="B11" s="7"/>
      <x:c r="C11" s="19"/>
      <x:c r="D11" s="7"/>
      <x:c r="E11" s="7"/>
      <x:c r="F11" s="27"/>
      <x:c r="G11" s="8"/>
      <x:c r="H11" s="7"/>
      <x:c r="I11" s="7"/>
      <x:c r="J11" s="7"/>
      <x:c r="K11" s="7"/>
      <x:c r="L11" s="20" t="str">
        <x:f>IF(Q11&lt;&gt;"OK","",IF(E11="Back",G11*(F11-1),-G11*(F11-1)))</x:f>
      </x:c>
      <x:c r="M11" s="20" t="str">
        <x:f>IF(Q11&lt;&gt;"OK","",IF(E11="Back",-G11,G11))</x:f>
      </x:c>
      <x:c r="N11" s="20" t="str">
        <x:f>IF(Q11&lt;&gt;"OK","",SUMIFS($L$8:$L$1007,$A$8:$A$1007,A11,$B$8:$B$1007,"&lt;="&amp;B11))</x:f>
      </x:c>
      <x:c r="O11" s="20" t="str">
        <x:f>IF(Q11&lt;&gt;"OK","",SUMIFS($M$8:$M$1007,$A$8:$A$1007,A11,$B$8:$B$1007,"&lt;="&amp;B11))</x:f>
      </x:c>
      <x:c r="P11" s="20" t="str">
        <x:f>IF(Q11&lt;&gt;"OK","",MAX(0,-MIN(N11,O11)))</x:f>
      </x:c>
      <x:c r="Q11" s="18" t="str">
        <x:f>IF(A11="",IF(COUNTA(B11:K11)=0,"","Inserisci ID"),IF(COUNTIFS('Diario'!$A$8:$A$507,A11)&lt;&gt;1,"ID assente / duplicato",IF(OR(NOT(ISNUMBER(B11)),B11&lt;1,B11&lt;&gt;INT(B11),COUNTIFS($A$8:$A$1007,A11,$B$8:$B$1007,B11)&lt;&gt;1),"N. esecuzione non valido",IF(OR(NOT(ISNUMBER(C11)),AND(D11&lt;&gt;"Ingresso",D11&lt;&gt;"Uscita"),AND(E11&lt;&gt;"Back",E11&lt;&gt;"Lay")),"Completa data / fase / lato",IF(OR(NOT(ISNUMBER(F11)),F11&lt;=1,NOT(ISNUMBER(G11)),G11&lt;=0),"Correggi quota / stake","OK")))))</x:f>
      </x:c>
    </x:row>
    <x:row r="12" ht="22" customHeight="1">
      <x:c r="A12" s="7"/>
      <x:c r="B12" s="7"/>
      <x:c r="C12" s="19"/>
      <x:c r="D12" s="7"/>
      <x:c r="E12" s="7"/>
      <x:c r="F12" s="27"/>
      <x:c r="G12" s="8"/>
      <x:c r="H12" s="7"/>
      <x:c r="I12" s="7"/>
      <x:c r="J12" s="7"/>
      <x:c r="K12" s="7"/>
      <x:c r="L12" s="20" t="str">
        <x:f>IF(Q12&lt;&gt;"OK","",IF(E12="Back",G12*(F12-1),-G12*(F12-1)))</x:f>
      </x:c>
      <x:c r="M12" s="20" t="str">
        <x:f>IF(Q12&lt;&gt;"OK","",IF(E12="Back",-G12,G12))</x:f>
      </x:c>
      <x:c r="N12" s="20" t="str">
        <x:f>IF(Q12&lt;&gt;"OK","",SUMIFS($L$8:$L$1007,$A$8:$A$1007,A12,$B$8:$B$1007,"&lt;="&amp;B12))</x:f>
      </x:c>
      <x:c r="O12" s="20" t="str">
        <x:f>IF(Q12&lt;&gt;"OK","",SUMIFS($M$8:$M$1007,$A$8:$A$1007,A12,$B$8:$B$1007,"&lt;="&amp;B12))</x:f>
      </x:c>
      <x:c r="P12" s="20" t="str">
        <x:f>IF(Q12&lt;&gt;"OK","",MAX(0,-MIN(N12,O12)))</x:f>
      </x:c>
      <x:c r="Q12" s="18" t="str">
        <x:f>IF(A12="",IF(COUNTA(B12:K12)=0,"","Inserisci ID"),IF(COUNTIFS('Diario'!$A$8:$A$507,A12)&lt;&gt;1,"ID assente / duplicato",IF(OR(NOT(ISNUMBER(B12)),B12&lt;1,B12&lt;&gt;INT(B12),COUNTIFS($A$8:$A$1007,A12,$B$8:$B$1007,B12)&lt;&gt;1),"N. esecuzione non valido",IF(OR(NOT(ISNUMBER(C12)),AND(D12&lt;&gt;"Ingresso",D12&lt;&gt;"Uscita"),AND(E12&lt;&gt;"Back",E12&lt;&gt;"Lay")),"Completa data / fase / lato",IF(OR(NOT(ISNUMBER(F12)),F12&lt;=1,NOT(ISNUMBER(G12)),G12&lt;=0),"Correggi quota / stake","OK")))))</x:f>
      </x:c>
    </x:row>
    <x:row r="13" ht="22" customHeight="1">
      <x:c r="A13" s="7"/>
      <x:c r="B13" s="7"/>
      <x:c r="C13" s="19"/>
      <x:c r="D13" s="7"/>
      <x:c r="E13" s="7"/>
      <x:c r="F13" s="27"/>
      <x:c r="G13" s="8"/>
      <x:c r="H13" s="7"/>
      <x:c r="I13" s="7"/>
      <x:c r="J13" s="7"/>
      <x:c r="K13" s="7"/>
      <x:c r="L13" s="20" t="str">
        <x:f>IF(Q13&lt;&gt;"OK","",IF(E13="Back",G13*(F13-1),-G13*(F13-1)))</x:f>
      </x:c>
      <x:c r="M13" s="20" t="str">
        <x:f>IF(Q13&lt;&gt;"OK","",IF(E13="Back",-G13,G13))</x:f>
      </x:c>
      <x:c r="N13" s="20" t="str">
        <x:f>IF(Q13&lt;&gt;"OK","",SUMIFS($L$8:$L$1007,$A$8:$A$1007,A13,$B$8:$B$1007,"&lt;="&amp;B13))</x:f>
      </x:c>
      <x:c r="O13" s="20" t="str">
        <x:f>IF(Q13&lt;&gt;"OK","",SUMIFS($M$8:$M$1007,$A$8:$A$1007,A13,$B$8:$B$1007,"&lt;="&amp;B13))</x:f>
      </x:c>
      <x:c r="P13" s="20" t="str">
        <x:f>IF(Q13&lt;&gt;"OK","",MAX(0,-MIN(N13,O13)))</x:f>
      </x:c>
      <x:c r="Q13" s="18" t="str">
        <x:f>IF(A13="",IF(COUNTA(B13:K13)=0,"","Inserisci ID"),IF(COUNTIFS('Diario'!$A$8:$A$507,A13)&lt;&gt;1,"ID assente / duplicato",IF(OR(NOT(ISNUMBER(B13)),B13&lt;1,B13&lt;&gt;INT(B13),COUNTIFS($A$8:$A$1007,A13,$B$8:$B$1007,B13)&lt;&gt;1),"N. esecuzione non valido",IF(OR(NOT(ISNUMBER(C13)),AND(D13&lt;&gt;"Ingresso",D13&lt;&gt;"Uscita"),AND(E13&lt;&gt;"Back",E13&lt;&gt;"Lay")),"Completa data / fase / lato",IF(OR(NOT(ISNUMBER(F13)),F13&lt;=1,NOT(ISNUMBER(G13)),G13&lt;=0),"Correggi quota / stake","OK")))))</x:f>
      </x:c>
    </x:row>
    <x:row r="14" ht="22" customHeight="1">
      <x:c r="A14" s="7"/>
      <x:c r="B14" s="7"/>
      <x:c r="C14" s="19"/>
      <x:c r="D14" s="7"/>
      <x:c r="E14" s="7"/>
      <x:c r="F14" s="27"/>
      <x:c r="G14" s="8"/>
      <x:c r="H14" s="7"/>
      <x:c r="I14" s="7"/>
      <x:c r="J14" s="7"/>
      <x:c r="K14" s="7"/>
      <x:c r="L14" s="20" t="str">
        <x:f>IF(Q14&lt;&gt;"OK","",IF(E14="Back",G14*(F14-1),-G14*(F14-1)))</x:f>
      </x:c>
      <x:c r="M14" s="20" t="str">
        <x:f>IF(Q14&lt;&gt;"OK","",IF(E14="Back",-G14,G14))</x:f>
      </x:c>
      <x:c r="N14" s="20" t="str">
        <x:f>IF(Q14&lt;&gt;"OK","",SUMIFS($L$8:$L$1007,$A$8:$A$1007,A14,$B$8:$B$1007,"&lt;="&amp;B14))</x:f>
      </x:c>
      <x:c r="O14" s="20" t="str">
        <x:f>IF(Q14&lt;&gt;"OK","",SUMIFS($M$8:$M$1007,$A$8:$A$1007,A14,$B$8:$B$1007,"&lt;="&amp;B14))</x:f>
      </x:c>
      <x:c r="P14" s="20" t="str">
        <x:f>IF(Q14&lt;&gt;"OK","",MAX(0,-MIN(N14,O14)))</x:f>
      </x:c>
      <x:c r="Q14" s="18" t="str">
        <x:f>IF(A14="",IF(COUNTA(B14:K14)=0,"","Inserisci ID"),IF(COUNTIFS('Diario'!$A$8:$A$507,A14)&lt;&gt;1,"ID assente / duplicato",IF(OR(NOT(ISNUMBER(B14)),B14&lt;1,B14&lt;&gt;INT(B14),COUNTIFS($A$8:$A$1007,A14,$B$8:$B$1007,B14)&lt;&gt;1),"N. esecuzione non valido",IF(OR(NOT(ISNUMBER(C14)),AND(D14&lt;&gt;"Ingresso",D14&lt;&gt;"Uscita"),AND(E14&lt;&gt;"Back",E14&lt;&gt;"Lay")),"Completa data / fase / lato",IF(OR(NOT(ISNUMBER(F14)),F14&lt;=1,NOT(ISNUMBER(G14)),G14&lt;=0),"Correggi quota / stake","OK")))))</x:f>
      </x:c>
    </x:row>
    <x:row r="15" ht="22" customHeight="1">
      <x:c r="A15" s="7"/>
      <x:c r="B15" s="7"/>
      <x:c r="C15" s="19"/>
      <x:c r="D15" s="7"/>
      <x:c r="E15" s="7"/>
      <x:c r="F15" s="27"/>
      <x:c r="G15" s="8"/>
      <x:c r="H15" s="7"/>
      <x:c r="I15" s="7"/>
      <x:c r="J15" s="7"/>
      <x:c r="K15" s="7"/>
      <x:c r="L15" s="20" t="str">
        <x:f>IF(Q15&lt;&gt;"OK","",IF(E15="Back",G15*(F15-1),-G15*(F15-1)))</x:f>
      </x:c>
      <x:c r="M15" s="20" t="str">
        <x:f>IF(Q15&lt;&gt;"OK","",IF(E15="Back",-G15,G15))</x:f>
      </x:c>
      <x:c r="N15" s="20" t="str">
        <x:f>IF(Q15&lt;&gt;"OK","",SUMIFS($L$8:$L$1007,$A$8:$A$1007,A15,$B$8:$B$1007,"&lt;="&amp;B15))</x:f>
      </x:c>
      <x:c r="O15" s="20" t="str">
        <x:f>IF(Q15&lt;&gt;"OK","",SUMIFS($M$8:$M$1007,$A$8:$A$1007,A15,$B$8:$B$1007,"&lt;="&amp;B15))</x:f>
      </x:c>
      <x:c r="P15" s="20" t="str">
        <x:f>IF(Q15&lt;&gt;"OK","",MAX(0,-MIN(N15,O15)))</x:f>
      </x:c>
      <x:c r="Q15" s="18" t="str">
        <x:f>IF(A15="",IF(COUNTA(B15:K15)=0,"","Inserisci ID"),IF(COUNTIFS('Diario'!$A$8:$A$507,A15)&lt;&gt;1,"ID assente / duplicato",IF(OR(NOT(ISNUMBER(B15)),B15&lt;1,B15&lt;&gt;INT(B15),COUNTIFS($A$8:$A$1007,A15,$B$8:$B$1007,B15)&lt;&gt;1),"N. esecuzione non valido",IF(OR(NOT(ISNUMBER(C15)),AND(D15&lt;&gt;"Ingresso",D15&lt;&gt;"Uscita"),AND(E15&lt;&gt;"Back",E15&lt;&gt;"Lay")),"Completa data / fase / lato",IF(OR(NOT(ISNUMBER(F15)),F15&lt;=1,NOT(ISNUMBER(G15)),G15&lt;=0),"Correggi quota / stake","OK")))))</x:f>
      </x:c>
    </x:row>
    <x:row r="16" ht="22" customHeight="1">
      <x:c r="A16" s="7"/>
      <x:c r="B16" s="7"/>
      <x:c r="C16" s="19"/>
      <x:c r="D16" s="7"/>
      <x:c r="E16" s="7"/>
      <x:c r="F16" s="27"/>
      <x:c r="G16" s="8"/>
      <x:c r="H16" s="7"/>
      <x:c r="I16" s="7"/>
      <x:c r="J16" s="7"/>
      <x:c r="K16" s="7"/>
      <x:c r="L16" s="20" t="str">
        <x:f>IF(Q16&lt;&gt;"OK","",IF(E16="Back",G16*(F16-1),-G16*(F16-1)))</x:f>
      </x:c>
      <x:c r="M16" s="20" t="str">
        <x:f>IF(Q16&lt;&gt;"OK","",IF(E16="Back",-G16,G16))</x:f>
      </x:c>
      <x:c r="N16" s="20" t="str">
        <x:f>IF(Q16&lt;&gt;"OK","",SUMIFS($L$8:$L$1007,$A$8:$A$1007,A16,$B$8:$B$1007,"&lt;="&amp;B16))</x:f>
      </x:c>
      <x:c r="O16" s="20" t="str">
        <x:f>IF(Q16&lt;&gt;"OK","",SUMIFS($M$8:$M$1007,$A$8:$A$1007,A16,$B$8:$B$1007,"&lt;="&amp;B16))</x:f>
      </x:c>
      <x:c r="P16" s="20" t="str">
        <x:f>IF(Q16&lt;&gt;"OK","",MAX(0,-MIN(N16,O16)))</x:f>
      </x:c>
      <x:c r="Q16" s="18" t="str">
        <x:f>IF(A16="",IF(COUNTA(B16:K16)=0,"","Inserisci ID"),IF(COUNTIFS('Diario'!$A$8:$A$507,A16)&lt;&gt;1,"ID assente / duplicato",IF(OR(NOT(ISNUMBER(B16)),B16&lt;1,B16&lt;&gt;INT(B16),COUNTIFS($A$8:$A$1007,A16,$B$8:$B$1007,B16)&lt;&gt;1),"N. esecuzione non valido",IF(OR(NOT(ISNUMBER(C16)),AND(D16&lt;&gt;"Ingresso",D16&lt;&gt;"Uscita"),AND(E16&lt;&gt;"Back",E16&lt;&gt;"Lay")),"Completa data / fase / lato",IF(OR(NOT(ISNUMBER(F16)),F16&lt;=1,NOT(ISNUMBER(G16)),G16&lt;=0),"Correggi quota / stake","OK")))))</x:f>
      </x:c>
    </x:row>
    <x:row r="17" ht="22" customHeight="1">
      <x:c r="A17" s="7"/>
      <x:c r="B17" s="7"/>
      <x:c r="C17" s="19"/>
      <x:c r="D17" s="7"/>
      <x:c r="E17" s="7"/>
      <x:c r="F17" s="27"/>
      <x:c r="G17" s="8"/>
      <x:c r="H17" s="7"/>
      <x:c r="I17" s="7"/>
      <x:c r="J17" s="7"/>
      <x:c r="K17" s="7"/>
      <x:c r="L17" s="20" t="str">
        <x:f>IF(Q17&lt;&gt;"OK","",IF(E17="Back",G17*(F17-1),-G17*(F17-1)))</x:f>
      </x:c>
      <x:c r="M17" s="20" t="str">
        <x:f>IF(Q17&lt;&gt;"OK","",IF(E17="Back",-G17,G17))</x:f>
      </x:c>
      <x:c r="N17" s="20" t="str">
        <x:f>IF(Q17&lt;&gt;"OK","",SUMIFS($L$8:$L$1007,$A$8:$A$1007,A17,$B$8:$B$1007,"&lt;="&amp;B17))</x:f>
      </x:c>
      <x:c r="O17" s="20" t="str">
        <x:f>IF(Q17&lt;&gt;"OK","",SUMIFS($M$8:$M$1007,$A$8:$A$1007,A17,$B$8:$B$1007,"&lt;="&amp;B17))</x:f>
      </x:c>
      <x:c r="P17" s="20" t="str">
        <x:f>IF(Q17&lt;&gt;"OK","",MAX(0,-MIN(N17,O17)))</x:f>
      </x:c>
      <x:c r="Q17" s="18" t="str">
        <x:f>IF(A17="",IF(COUNTA(B17:K17)=0,"","Inserisci ID"),IF(COUNTIFS('Diario'!$A$8:$A$507,A17)&lt;&gt;1,"ID assente / duplicato",IF(OR(NOT(ISNUMBER(B17)),B17&lt;1,B17&lt;&gt;INT(B17),COUNTIFS($A$8:$A$1007,A17,$B$8:$B$1007,B17)&lt;&gt;1),"N. esecuzione non valido",IF(OR(NOT(ISNUMBER(C17)),AND(D17&lt;&gt;"Ingresso",D17&lt;&gt;"Uscita"),AND(E17&lt;&gt;"Back",E17&lt;&gt;"Lay")),"Completa data / fase / lato",IF(OR(NOT(ISNUMBER(F17)),F17&lt;=1,NOT(ISNUMBER(G17)),G17&lt;=0),"Correggi quota / stake","OK")))))</x:f>
      </x:c>
    </x:row>
    <x:row r="18" ht="22" customHeight="1">
      <x:c r="A18" s="7"/>
      <x:c r="B18" s="7"/>
      <x:c r="C18" s="19"/>
      <x:c r="D18" s="7"/>
      <x:c r="E18" s="7"/>
      <x:c r="F18" s="27"/>
      <x:c r="G18" s="8"/>
      <x:c r="H18" s="7"/>
      <x:c r="I18" s="7"/>
      <x:c r="J18" s="7"/>
      <x:c r="K18" s="7"/>
      <x:c r="L18" s="20" t="str">
        <x:f>IF(Q18&lt;&gt;"OK","",IF(E18="Back",G18*(F18-1),-G18*(F18-1)))</x:f>
      </x:c>
      <x:c r="M18" s="20" t="str">
        <x:f>IF(Q18&lt;&gt;"OK","",IF(E18="Back",-G18,G18))</x:f>
      </x:c>
      <x:c r="N18" s="20" t="str">
        <x:f>IF(Q18&lt;&gt;"OK","",SUMIFS($L$8:$L$1007,$A$8:$A$1007,A18,$B$8:$B$1007,"&lt;="&amp;B18))</x:f>
      </x:c>
      <x:c r="O18" s="20" t="str">
        <x:f>IF(Q18&lt;&gt;"OK","",SUMIFS($M$8:$M$1007,$A$8:$A$1007,A18,$B$8:$B$1007,"&lt;="&amp;B18))</x:f>
      </x:c>
      <x:c r="P18" s="20" t="str">
        <x:f>IF(Q18&lt;&gt;"OK","",MAX(0,-MIN(N18,O18)))</x:f>
      </x:c>
      <x:c r="Q18" s="18" t="str">
        <x:f>IF(A18="",IF(COUNTA(B18:K18)=0,"","Inserisci ID"),IF(COUNTIFS('Diario'!$A$8:$A$507,A18)&lt;&gt;1,"ID assente / duplicato",IF(OR(NOT(ISNUMBER(B18)),B18&lt;1,B18&lt;&gt;INT(B18),COUNTIFS($A$8:$A$1007,A18,$B$8:$B$1007,B18)&lt;&gt;1),"N. esecuzione non valido",IF(OR(NOT(ISNUMBER(C18)),AND(D18&lt;&gt;"Ingresso",D18&lt;&gt;"Uscita"),AND(E18&lt;&gt;"Back",E18&lt;&gt;"Lay")),"Completa data / fase / lato",IF(OR(NOT(ISNUMBER(F18)),F18&lt;=1,NOT(ISNUMBER(G18)),G18&lt;=0),"Correggi quota / stake","OK")))))</x:f>
      </x:c>
    </x:row>
    <x:row r="19" ht="22" customHeight="1">
      <x:c r="A19" s="7"/>
      <x:c r="B19" s="7"/>
      <x:c r="C19" s="19"/>
      <x:c r="D19" s="7"/>
      <x:c r="E19" s="7"/>
      <x:c r="F19" s="27"/>
      <x:c r="G19" s="8"/>
      <x:c r="H19" s="7"/>
      <x:c r="I19" s="7"/>
      <x:c r="J19" s="7"/>
      <x:c r="K19" s="7"/>
      <x:c r="L19" s="20" t="str">
        <x:f>IF(Q19&lt;&gt;"OK","",IF(E19="Back",G19*(F19-1),-G19*(F19-1)))</x:f>
      </x:c>
      <x:c r="M19" s="20" t="str">
        <x:f>IF(Q19&lt;&gt;"OK","",IF(E19="Back",-G19,G19))</x:f>
      </x:c>
      <x:c r="N19" s="20" t="str">
        <x:f>IF(Q19&lt;&gt;"OK","",SUMIFS($L$8:$L$1007,$A$8:$A$1007,A19,$B$8:$B$1007,"&lt;="&amp;B19))</x:f>
      </x:c>
      <x:c r="O19" s="20" t="str">
        <x:f>IF(Q19&lt;&gt;"OK","",SUMIFS($M$8:$M$1007,$A$8:$A$1007,A19,$B$8:$B$1007,"&lt;="&amp;B19))</x:f>
      </x:c>
      <x:c r="P19" s="20" t="str">
        <x:f>IF(Q19&lt;&gt;"OK","",MAX(0,-MIN(N19,O19)))</x:f>
      </x:c>
      <x:c r="Q19" s="18" t="str">
        <x:f>IF(A19="",IF(COUNTA(B19:K19)=0,"","Inserisci ID"),IF(COUNTIFS('Diario'!$A$8:$A$507,A19)&lt;&gt;1,"ID assente / duplicato",IF(OR(NOT(ISNUMBER(B19)),B19&lt;1,B19&lt;&gt;INT(B19),COUNTIFS($A$8:$A$1007,A19,$B$8:$B$1007,B19)&lt;&gt;1),"N. esecuzione non valido",IF(OR(NOT(ISNUMBER(C19)),AND(D19&lt;&gt;"Ingresso",D19&lt;&gt;"Uscita"),AND(E19&lt;&gt;"Back",E19&lt;&gt;"Lay")),"Completa data / fase / lato",IF(OR(NOT(ISNUMBER(F19)),F19&lt;=1,NOT(ISNUMBER(G19)),G19&lt;=0),"Correggi quota / stake","OK")))))</x:f>
      </x:c>
    </x:row>
    <x:row r="20" ht="22" customHeight="1">
      <x:c r="A20" s="7"/>
      <x:c r="B20" s="7"/>
      <x:c r="C20" s="19"/>
      <x:c r="D20" s="7"/>
      <x:c r="E20" s="7"/>
      <x:c r="F20" s="27"/>
      <x:c r="G20" s="8"/>
      <x:c r="H20" s="7"/>
      <x:c r="I20" s="7"/>
      <x:c r="J20" s="7"/>
      <x:c r="K20" s="7"/>
      <x:c r="L20" s="20" t="str">
        <x:f>IF(Q20&lt;&gt;"OK","",IF(E20="Back",G20*(F20-1),-G20*(F20-1)))</x:f>
      </x:c>
      <x:c r="M20" s="20" t="str">
        <x:f>IF(Q20&lt;&gt;"OK","",IF(E20="Back",-G20,G20))</x:f>
      </x:c>
      <x:c r="N20" s="20" t="str">
        <x:f>IF(Q20&lt;&gt;"OK","",SUMIFS($L$8:$L$1007,$A$8:$A$1007,A20,$B$8:$B$1007,"&lt;="&amp;B20))</x:f>
      </x:c>
      <x:c r="O20" s="20" t="str">
        <x:f>IF(Q20&lt;&gt;"OK","",SUMIFS($M$8:$M$1007,$A$8:$A$1007,A20,$B$8:$B$1007,"&lt;="&amp;B20))</x:f>
      </x:c>
      <x:c r="P20" s="20" t="str">
        <x:f>IF(Q20&lt;&gt;"OK","",MAX(0,-MIN(N20,O20)))</x:f>
      </x:c>
      <x:c r="Q20" s="18" t="str">
        <x:f>IF(A20="",IF(COUNTA(B20:K20)=0,"","Inserisci ID"),IF(COUNTIFS('Diario'!$A$8:$A$507,A20)&lt;&gt;1,"ID assente / duplicato",IF(OR(NOT(ISNUMBER(B20)),B20&lt;1,B20&lt;&gt;INT(B20),COUNTIFS($A$8:$A$1007,A20,$B$8:$B$1007,B20)&lt;&gt;1),"N. esecuzione non valido",IF(OR(NOT(ISNUMBER(C20)),AND(D20&lt;&gt;"Ingresso",D20&lt;&gt;"Uscita"),AND(E20&lt;&gt;"Back",E20&lt;&gt;"Lay")),"Completa data / fase / lato",IF(OR(NOT(ISNUMBER(F20)),F20&lt;=1,NOT(ISNUMBER(G20)),G20&lt;=0),"Correggi quota / stake","OK")))))</x:f>
      </x:c>
    </x:row>
    <x:row r="21" ht="22" customHeight="1">
      <x:c r="A21" s="7"/>
      <x:c r="B21" s="7"/>
      <x:c r="C21" s="19"/>
      <x:c r="D21" s="7"/>
      <x:c r="E21" s="7"/>
      <x:c r="F21" s="27"/>
      <x:c r="G21" s="8"/>
      <x:c r="H21" s="7"/>
      <x:c r="I21" s="7"/>
      <x:c r="J21" s="7"/>
      <x:c r="K21" s="7"/>
      <x:c r="L21" s="20" t="str">
        <x:f>IF(Q21&lt;&gt;"OK","",IF(E21="Back",G21*(F21-1),-G21*(F21-1)))</x:f>
      </x:c>
      <x:c r="M21" s="20" t="str">
        <x:f>IF(Q21&lt;&gt;"OK","",IF(E21="Back",-G21,G21))</x:f>
      </x:c>
      <x:c r="N21" s="20" t="str">
        <x:f>IF(Q21&lt;&gt;"OK","",SUMIFS($L$8:$L$1007,$A$8:$A$1007,A21,$B$8:$B$1007,"&lt;="&amp;B21))</x:f>
      </x:c>
      <x:c r="O21" s="20" t="str">
        <x:f>IF(Q21&lt;&gt;"OK","",SUMIFS($M$8:$M$1007,$A$8:$A$1007,A21,$B$8:$B$1007,"&lt;="&amp;B21))</x:f>
      </x:c>
      <x:c r="P21" s="20" t="str">
        <x:f>IF(Q21&lt;&gt;"OK","",MAX(0,-MIN(N21,O21)))</x:f>
      </x:c>
      <x:c r="Q21" s="18" t="str">
        <x:f>IF(A21="",IF(COUNTA(B21:K21)=0,"","Inserisci ID"),IF(COUNTIFS('Diario'!$A$8:$A$507,A21)&lt;&gt;1,"ID assente / duplicato",IF(OR(NOT(ISNUMBER(B21)),B21&lt;1,B21&lt;&gt;INT(B21),COUNTIFS($A$8:$A$1007,A21,$B$8:$B$1007,B21)&lt;&gt;1),"N. esecuzione non valido",IF(OR(NOT(ISNUMBER(C21)),AND(D21&lt;&gt;"Ingresso",D21&lt;&gt;"Uscita"),AND(E21&lt;&gt;"Back",E21&lt;&gt;"Lay")),"Completa data / fase / lato",IF(OR(NOT(ISNUMBER(F21)),F21&lt;=1,NOT(ISNUMBER(G21)),G21&lt;=0),"Correggi quota / stake","OK")))))</x:f>
      </x:c>
    </x:row>
    <x:row r="22" ht="22" customHeight="1">
      <x:c r="A22" s="7"/>
      <x:c r="B22" s="7"/>
      <x:c r="C22" s="19"/>
      <x:c r="D22" s="7"/>
      <x:c r="E22" s="7"/>
      <x:c r="F22" s="27"/>
      <x:c r="G22" s="8"/>
      <x:c r="H22" s="7"/>
      <x:c r="I22" s="7"/>
      <x:c r="J22" s="7"/>
      <x:c r="K22" s="7"/>
      <x:c r="L22" s="20" t="str">
        <x:f>IF(Q22&lt;&gt;"OK","",IF(E22="Back",G22*(F22-1),-G22*(F22-1)))</x:f>
      </x:c>
      <x:c r="M22" s="20" t="str">
        <x:f>IF(Q22&lt;&gt;"OK","",IF(E22="Back",-G22,G22))</x:f>
      </x:c>
      <x:c r="N22" s="20" t="str">
        <x:f>IF(Q22&lt;&gt;"OK","",SUMIFS($L$8:$L$1007,$A$8:$A$1007,A22,$B$8:$B$1007,"&lt;="&amp;B22))</x:f>
      </x:c>
      <x:c r="O22" s="20" t="str">
        <x:f>IF(Q22&lt;&gt;"OK","",SUMIFS($M$8:$M$1007,$A$8:$A$1007,A22,$B$8:$B$1007,"&lt;="&amp;B22))</x:f>
      </x:c>
      <x:c r="P22" s="20" t="str">
        <x:f>IF(Q22&lt;&gt;"OK","",MAX(0,-MIN(N22,O22)))</x:f>
      </x:c>
      <x:c r="Q22" s="18" t="str">
        <x:f>IF(A22="",IF(COUNTA(B22:K22)=0,"","Inserisci ID"),IF(COUNTIFS('Diario'!$A$8:$A$507,A22)&lt;&gt;1,"ID assente / duplicato",IF(OR(NOT(ISNUMBER(B22)),B22&lt;1,B22&lt;&gt;INT(B22),COUNTIFS($A$8:$A$1007,A22,$B$8:$B$1007,B22)&lt;&gt;1),"N. esecuzione non valido",IF(OR(NOT(ISNUMBER(C22)),AND(D22&lt;&gt;"Ingresso",D22&lt;&gt;"Uscita"),AND(E22&lt;&gt;"Back",E22&lt;&gt;"Lay")),"Completa data / fase / lato",IF(OR(NOT(ISNUMBER(F22)),F22&lt;=1,NOT(ISNUMBER(G22)),G22&lt;=0),"Correggi quota / stake","OK")))))</x:f>
      </x:c>
    </x:row>
    <x:row r="23" ht="22" customHeight="1">
      <x:c r="A23" s="7"/>
      <x:c r="B23" s="7"/>
      <x:c r="C23" s="19"/>
      <x:c r="D23" s="7"/>
      <x:c r="E23" s="7"/>
      <x:c r="F23" s="27"/>
      <x:c r="G23" s="8"/>
      <x:c r="H23" s="7"/>
      <x:c r="I23" s="7"/>
      <x:c r="J23" s="7"/>
      <x:c r="K23" s="7"/>
      <x:c r="L23" s="20" t="str">
        <x:f>IF(Q23&lt;&gt;"OK","",IF(E23="Back",G23*(F23-1),-G23*(F23-1)))</x:f>
      </x:c>
      <x:c r="M23" s="20" t="str">
        <x:f>IF(Q23&lt;&gt;"OK","",IF(E23="Back",-G23,G23))</x:f>
      </x:c>
      <x:c r="N23" s="20" t="str">
        <x:f>IF(Q23&lt;&gt;"OK","",SUMIFS($L$8:$L$1007,$A$8:$A$1007,A23,$B$8:$B$1007,"&lt;="&amp;B23))</x:f>
      </x:c>
      <x:c r="O23" s="20" t="str">
        <x:f>IF(Q23&lt;&gt;"OK","",SUMIFS($M$8:$M$1007,$A$8:$A$1007,A23,$B$8:$B$1007,"&lt;="&amp;B23))</x:f>
      </x:c>
      <x:c r="P23" s="20" t="str">
        <x:f>IF(Q23&lt;&gt;"OK","",MAX(0,-MIN(N23,O23)))</x:f>
      </x:c>
      <x:c r="Q23" s="18" t="str">
        <x:f>IF(A23="",IF(COUNTA(B23:K23)=0,"","Inserisci ID"),IF(COUNTIFS('Diario'!$A$8:$A$507,A23)&lt;&gt;1,"ID assente / duplicato",IF(OR(NOT(ISNUMBER(B23)),B23&lt;1,B23&lt;&gt;INT(B23),COUNTIFS($A$8:$A$1007,A23,$B$8:$B$1007,B23)&lt;&gt;1),"N. esecuzione non valido",IF(OR(NOT(ISNUMBER(C23)),AND(D23&lt;&gt;"Ingresso",D23&lt;&gt;"Uscita"),AND(E23&lt;&gt;"Back",E23&lt;&gt;"Lay")),"Completa data / fase / lato",IF(OR(NOT(ISNUMBER(F23)),F23&lt;=1,NOT(ISNUMBER(G23)),G23&lt;=0),"Correggi quota / stake","OK")))))</x:f>
      </x:c>
    </x:row>
    <x:row r="24" ht="22" customHeight="1">
      <x:c r="A24" s="7"/>
      <x:c r="B24" s="7"/>
      <x:c r="C24" s="19"/>
      <x:c r="D24" s="7"/>
      <x:c r="E24" s="7"/>
      <x:c r="F24" s="27"/>
      <x:c r="G24" s="8"/>
      <x:c r="H24" s="7"/>
      <x:c r="I24" s="7"/>
      <x:c r="J24" s="7"/>
      <x:c r="K24" s="7"/>
      <x:c r="L24" s="20" t="str">
        <x:f>IF(Q24&lt;&gt;"OK","",IF(E24="Back",G24*(F24-1),-G24*(F24-1)))</x:f>
      </x:c>
      <x:c r="M24" s="20" t="str">
        <x:f>IF(Q24&lt;&gt;"OK","",IF(E24="Back",-G24,G24))</x:f>
      </x:c>
      <x:c r="N24" s="20" t="str">
        <x:f>IF(Q24&lt;&gt;"OK","",SUMIFS($L$8:$L$1007,$A$8:$A$1007,A24,$B$8:$B$1007,"&lt;="&amp;B24))</x:f>
      </x:c>
      <x:c r="O24" s="20" t="str">
        <x:f>IF(Q24&lt;&gt;"OK","",SUMIFS($M$8:$M$1007,$A$8:$A$1007,A24,$B$8:$B$1007,"&lt;="&amp;B24))</x:f>
      </x:c>
      <x:c r="P24" s="20" t="str">
        <x:f>IF(Q24&lt;&gt;"OK","",MAX(0,-MIN(N24,O24)))</x:f>
      </x:c>
      <x:c r="Q24" s="18" t="str">
        <x:f>IF(A24="",IF(COUNTA(B24:K24)=0,"","Inserisci ID"),IF(COUNTIFS('Diario'!$A$8:$A$507,A24)&lt;&gt;1,"ID assente / duplicato",IF(OR(NOT(ISNUMBER(B24)),B24&lt;1,B24&lt;&gt;INT(B24),COUNTIFS($A$8:$A$1007,A24,$B$8:$B$1007,B24)&lt;&gt;1),"N. esecuzione non valido",IF(OR(NOT(ISNUMBER(C24)),AND(D24&lt;&gt;"Ingresso",D24&lt;&gt;"Uscita"),AND(E24&lt;&gt;"Back",E24&lt;&gt;"Lay")),"Completa data / fase / lato",IF(OR(NOT(ISNUMBER(F24)),F24&lt;=1,NOT(ISNUMBER(G24)),G24&lt;=0),"Correggi quota / stake","OK")))))</x:f>
      </x:c>
    </x:row>
    <x:row r="25" ht="22" customHeight="1">
      <x:c r="A25" s="7"/>
      <x:c r="B25" s="7"/>
      <x:c r="C25" s="19"/>
      <x:c r="D25" s="7"/>
      <x:c r="E25" s="7"/>
      <x:c r="F25" s="27"/>
      <x:c r="G25" s="8"/>
      <x:c r="H25" s="7"/>
      <x:c r="I25" s="7"/>
      <x:c r="J25" s="7"/>
      <x:c r="K25" s="7"/>
      <x:c r="L25" s="20" t="str">
        <x:f>IF(Q25&lt;&gt;"OK","",IF(E25="Back",G25*(F25-1),-G25*(F25-1)))</x:f>
      </x:c>
      <x:c r="M25" s="20" t="str">
        <x:f>IF(Q25&lt;&gt;"OK","",IF(E25="Back",-G25,G25))</x:f>
      </x:c>
      <x:c r="N25" s="20" t="str">
        <x:f>IF(Q25&lt;&gt;"OK","",SUMIFS($L$8:$L$1007,$A$8:$A$1007,A25,$B$8:$B$1007,"&lt;="&amp;B25))</x:f>
      </x:c>
      <x:c r="O25" s="20" t="str">
        <x:f>IF(Q25&lt;&gt;"OK","",SUMIFS($M$8:$M$1007,$A$8:$A$1007,A25,$B$8:$B$1007,"&lt;="&amp;B25))</x:f>
      </x:c>
      <x:c r="P25" s="20" t="str">
        <x:f>IF(Q25&lt;&gt;"OK","",MAX(0,-MIN(N25,O25)))</x:f>
      </x:c>
      <x:c r="Q25" s="18" t="str">
        <x:f>IF(A25="",IF(COUNTA(B25:K25)=0,"","Inserisci ID"),IF(COUNTIFS('Diario'!$A$8:$A$507,A25)&lt;&gt;1,"ID assente / duplicato",IF(OR(NOT(ISNUMBER(B25)),B25&lt;1,B25&lt;&gt;INT(B25),COUNTIFS($A$8:$A$1007,A25,$B$8:$B$1007,B25)&lt;&gt;1),"N. esecuzione non valido",IF(OR(NOT(ISNUMBER(C25)),AND(D25&lt;&gt;"Ingresso",D25&lt;&gt;"Uscita"),AND(E25&lt;&gt;"Back",E25&lt;&gt;"Lay")),"Completa data / fase / lato",IF(OR(NOT(ISNUMBER(F25)),F25&lt;=1,NOT(ISNUMBER(G25)),G25&lt;=0),"Correggi quota / stake","OK")))))</x:f>
      </x:c>
    </x:row>
    <x:row r="26" ht="22" customHeight="1">
      <x:c r="A26" s="7"/>
      <x:c r="B26" s="7"/>
      <x:c r="C26" s="19"/>
      <x:c r="D26" s="7"/>
      <x:c r="E26" s="7"/>
      <x:c r="F26" s="27"/>
      <x:c r="G26" s="8"/>
      <x:c r="H26" s="7"/>
      <x:c r="I26" s="7"/>
      <x:c r="J26" s="7"/>
      <x:c r="K26" s="7"/>
      <x:c r="L26" s="20" t="str">
        <x:f>IF(Q26&lt;&gt;"OK","",IF(E26="Back",G26*(F26-1),-G26*(F26-1)))</x:f>
      </x:c>
      <x:c r="M26" s="20" t="str">
        <x:f>IF(Q26&lt;&gt;"OK","",IF(E26="Back",-G26,G26))</x:f>
      </x:c>
      <x:c r="N26" s="20" t="str">
        <x:f>IF(Q26&lt;&gt;"OK","",SUMIFS($L$8:$L$1007,$A$8:$A$1007,A26,$B$8:$B$1007,"&lt;="&amp;B26))</x:f>
      </x:c>
      <x:c r="O26" s="20" t="str">
        <x:f>IF(Q26&lt;&gt;"OK","",SUMIFS($M$8:$M$1007,$A$8:$A$1007,A26,$B$8:$B$1007,"&lt;="&amp;B26))</x:f>
      </x:c>
      <x:c r="P26" s="20" t="str">
        <x:f>IF(Q26&lt;&gt;"OK","",MAX(0,-MIN(N26,O26)))</x:f>
      </x:c>
      <x:c r="Q26" s="18" t="str">
        <x:f>IF(A26="",IF(COUNTA(B26:K26)=0,"","Inserisci ID"),IF(COUNTIFS('Diario'!$A$8:$A$507,A26)&lt;&gt;1,"ID assente / duplicato",IF(OR(NOT(ISNUMBER(B26)),B26&lt;1,B26&lt;&gt;INT(B26),COUNTIFS($A$8:$A$1007,A26,$B$8:$B$1007,B26)&lt;&gt;1),"N. esecuzione non valido",IF(OR(NOT(ISNUMBER(C26)),AND(D26&lt;&gt;"Ingresso",D26&lt;&gt;"Uscita"),AND(E26&lt;&gt;"Back",E26&lt;&gt;"Lay")),"Completa data / fase / lato",IF(OR(NOT(ISNUMBER(F26)),F26&lt;=1,NOT(ISNUMBER(G26)),G26&lt;=0),"Correggi quota / stake","OK")))))</x:f>
      </x:c>
    </x:row>
    <x:row r="27" ht="22" customHeight="1">
      <x:c r="A27" s="7"/>
      <x:c r="B27" s="7"/>
      <x:c r="C27" s="19"/>
      <x:c r="D27" s="7"/>
      <x:c r="E27" s="7"/>
      <x:c r="F27" s="27"/>
      <x:c r="G27" s="8"/>
      <x:c r="H27" s="7"/>
      <x:c r="I27" s="7"/>
      <x:c r="J27" s="7"/>
      <x:c r="K27" s="7"/>
      <x:c r="L27" s="20" t="str">
        <x:f>IF(Q27&lt;&gt;"OK","",IF(E27="Back",G27*(F27-1),-G27*(F27-1)))</x:f>
      </x:c>
      <x:c r="M27" s="20" t="str">
        <x:f>IF(Q27&lt;&gt;"OK","",IF(E27="Back",-G27,G27))</x:f>
      </x:c>
      <x:c r="N27" s="20" t="str">
        <x:f>IF(Q27&lt;&gt;"OK","",SUMIFS($L$8:$L$1007,$A$8:$A$1007,A27,$B$8:$B$1007,"&lt;="&amp;B27))</x:f>
      </x:c>
      <x:c r="O27" s="20" t="str">
        <x:f>IF(Q27&lt;&gt;"OK","",SUMIFS($M$8:$M$1007,$A$8:$A$1007,A27,$B$8:$B$1007,"&lt;="&amp;B27))</x:f>
      </x:c>
      <x:c r="P27" s="20" t="str">
        <x:f>IF(Q27&lt;&gt;"OK","",MAX(0,-MIN(N27,O27)))</x:f>
      </x:c>
      <x:c r="Q27" s="18" t="str">
        <x:f>IF(A27="",IF(COUNTA(B27:K27)=0,"","Inserisci ID"),IF(COUNTIFS('Diario'!$A$8:$A$507,A27)&lt;&gt;1,"ID assente / duplicato",IF(OR(NOT(ISNUMBER(B27)),B27&lt;1,B27&lt;&gt;INT(B27),COUNTIFS($A$8:$A$1007,A27,$B$8:$B$1007,B27)&lt;&gt;1),"N. esecuzione non valido",IF(OR(NOT(ISNUMBER(C27)),AND(D27&lt;&gt;"Ingresso",D27&lt;&gt;"Uscita"),AND(E27&lt;&gt;"Back",E27&lt;&gt;"Lay")),"Completa data / fase / lato",IF(OR(NOT(ISNUMBER(F27)),F27&lt;=1,NOT(ISNUMBER(G27)),G27&lt;=0),"Correggi quota / stake","OK")))))</x:f>
      </x:c>
    </x:row>
    <x:row r="28" ht="22" customHeight="1">
      <x:c r="A28" s="7"/>
      <x:c r="B28" s="7"/>
      <x:c r="C28" s="19"/>
      <x:c r="D28" s="7"/>
      <x:c r="E28" s="7"/>
      <x:c r="F28" s="27"/>
      <x:c r="G28" s="8"/>
      <x:c r="H28" s="7"/>
      <x:c r="I28" s="7"/>
      <x:c r="J28" s="7"/>
      <x:c r="K28" s="7"/>
      <x:c r="L28" s="20" t="str">
        <x:f>IF(Q28&lt;&gt;"OK","",IF(E28="Back",G28*(F28-1),-G28*(F28-1)))</x:f>
      </x:c>
      <x:c r="M28" s="20" t="str">
        <x:f>IF(Q28&lt;&gt;"OK","",IF(E28="Back",-G28,G28))</x:f>
      </x:c>
      <x:c r="N28" s="20" t="str">
        <x:f>IF(Q28&lt;&gt;"OK","",SUMIFS($L$8:$L$1007,$A$8:$A$1007,A28,$B$8:$B$1007,"&lt;="&amp;B28))</x:f>
      </x:c>
      <x:c r="O28" s="20" t="str">
        <x:f>IF(Q28&lt;&gt;"OK","",SUMIFS($M$8:$M$1007,$A$8:$A$1007,A28,$B$8:$B$1007,"&lt;="&amp;B28))</x:f>
      </x:c>
      <x:c r="P28" s="20" t="str">
        <x:f>IF(Q28&lt;&gt;"OK","",MAX(0,-MIN(N28,O28)))</x:f>
      </x:c>
      <x:c r="Q28" s="18" t="str">
        <x:f>IF(A28="",IF(COUNTA(B28:K28)=0,"","Inserisci ID"),IF(COUNTIFS('Diario'!$A$8:$A$507,A28)&lt;&gt;1,"ID assente / duplicato",IF(OR(NOT(ISNUMBER(B28)),B28&lt;1,B28&lt;&gt;INT(B28),COUNTIFS($A$8:$A$1007,A28,$B$8:$B$1007,B28)&lt;&gt;1),"N. esecuzione non valido",IF(OR(NOT(ISNUMBER(C28)),AND(D28&lt;&gt;"Ingresso",D28&lt;&gt;"Uscita"),AND(E28&lt;&gt;"Back",E28&lt;&gt;"Lay")),"Completa data / fase / lato",IF(OR(NOT(ISNUMBER(F28)),F28&lt;=1,NOT(ISNUMBER(G28)),G28&lt;=0),"Correggi quota / stake","OK")))))</x:f>
      </x:c>
    </x:row>
    <x:row r="29" ht="22" customHeight="1">
      <x:c r="A29" s="7"/>
      <x:c r="B29" s="7"/>
      <x:c r="C29" s="19"/>
      <x:c r="D29" s="7"/>
      <x:c r="E29" s="7"/>
      <x:c r="F29" s="27"/>
      <x:c r="G29" s="8"/>
      <x:c r="H29" s="7"/>
      <x:c r="I29" s="7"/>
      <x:c r="J29" s="7"/>
      <x:c r="K29" s="7"/>
      <x:c r="L29" s="20" t="str">
        <x:f>IF(Q29&lt;&gt;"OK","",IF(E29="Back",G29*(F29-1),-G29*(F29-1)))</x:f>
      </x:c>
      <x:c r="M29" s="20" t="str">
        <x:f>IF(Q29&lt;&gt;"OK","",IF(E29="Back",-G29,G29))</x:f>
      </x:c>
      <x:c r="N29" s="20" t="str">
        <x:f>IF(Q29&lt;&gt;"OK","",SUMIFS($L$8:$L$1007,$A$8:$A$1007,A29,$B$8:$B$1007,"&lt;="&amp;B29))</x:f>
      </x:c>
      <x:c r="O29" s="20" t="str">
        <x:f>IF(Q29&lt;&gt;"OK","",SUMIFS($M$8:$M$1007,$A$8:$A$1007,A29,$B$8:$B$1007,"&lt;="&amp;B29))</x:f>
      </x:c>
      <x:c r="P29" s="20" t="str">
        <x:f>IF(Q29&lt;&gt;"OK","",MAX(0,-MIN(N29,O29)))</x:f>
      </x:c>
      <x:c r="Q29" s="18" t="str">
        <x:f>IF(A29="",IF(COUNTA(B29:K29)=0,"","Inserisci ID"),IF(COUNTIFS('Diario'!$A$8:$A$507,A29)&lt;&gt;1,"ID assente / duplicato",IF(OR(NOT(ISNUMBER(B29)),B29&lt;1,B29&lt;&gt;INT(B29),COUNTIFS($A$8:$A$1007,A29,$B$8:$B$1007,B29)&lt;&gt;1),"N. esecuzione non valido",IF(OR(NOT(ISNUMBER(C29)),AND(D29&lt;&gt;"Ingresso",D29&lt;&gt;"Uscita"),AND(E29&lt;&gt;"Back",E29&lt;&gt;"Lay")),"Completa data / fase / lato",IF(OR(NOT(ISNUMBER(F29)),F29&lt;=1,NOT(ISNUMBER(G29)),G29&lt;=0),"Correggi quota / stake","OK")))))</x:f>
      </x:c>
    </x:row>
    <x:row r="30" ht="22" customHeight="1">
      <x:c r="A30" s="7"/>
      <x:c r="B30" s="7"/>
      <x:c r="C30" s="19"/>
      <x:c r="D30" s="7"/>
      <x:c r="E30" s="7"/>
      <x:c r="F30" s="27"/>
      <x:c r="G30" s="8"/>
      <x:c r="H30" s="7"/>
      <x:c r="I30" s="7"/>
      <x:c r="J30" s="7"/>
      <x:c r="K30" s="7"/>
      <x:c r="L30" s="20" t="str">
        <x:f>IF(Q30&lt;&gt;"OK","",IF(E30="Back",G30*(F30-1),-G30*(F30-1)))</x:f>
      </x:c>
      <x:c r="M30" s="20" t="str">
        <x:f>IF(Q30&lt;&gt;"OK","",IF(E30="Back",-G30,G30))</x:f>
      </x:c>
      <x:c r="N30" s="20" t="str">
        <x:f>IF(Q30&lt;&gt;"OK","",SUMIFS($L$8:$L$1007,$A$8:$A$1007,A30,$B$8:$B$1007,"&lt;="&amp;B30))</x:f>
      </x:c>
      <x:c r="O30" s="20" t="str">
        <x:f>IF(Q30&lt;&gt;"OK","",SUMIFS($M$8:$M$1007,$A$8:$A$1007,A30,$B$8:$B$1007,"&lt;="&amp;B30))</x:f>
      </x:c>
      <x:c r="P30" s="20" t="str">
        <x:f>IF(Q30&lt;&gt;"OK","",MAX(0,-MIN(N30,O30)))</x:f>
      </x:c>
      <x:c r="Q30" s="18" t="str">
        <x:f>IF(A30="",IF(COUNTA(B30:K30)=0,"","Inserisci ID"),IF(COUNTIFS('Diario'!$A$8:$A$507,A30)&lt;&gt;1,"ID assente / duplicato",IF(OR(NOT(ISNUMBER(B30)),B30&lt;1,B30&lt;&gt;INT(B30),COUNTIFS($A$8:$A$1007,A30,$B$8:$B$1007,B30)&lt;&gt;1),"N. esecuzione non valido",IF(OR(NOT(ISNUMBER(C30)),AND(D30&lt;&gt;"Ingresso",D30&lt;&gt;"Uscita"),AND(E30&lt;&gt;"Back",E30&lt;&gt;"Lay")),"Completa data / fase / lato",IF(OR(NOT(ISNUMBER(F30)),F30&lt;=1,NOT(ISNUMBER(G30)),G30&lt;=0),"Correggi quota / stake","OK")))))</x:f>
      </x:c>
    </x:row>
    <x:row r="31" ht="22" customHeight="1">
      <x:c r="A31" s="7"/>
      <x:c r="B31" s="7"/>
      <x:c r="C31" s="19"/>
      <x:c r="D31" s="7"/>
      <x:c r="E31" s="7"/>
      <x:c r="F31" s="27"/>
      <x:c r="G31" s="8"/>
      <x:c r="H31" s="7"/>
      <x:c r="I31" s="7"/>
      <x:c r="J31" s="7"/>
      <x:c r="K31" s="7"/>
      <x:c r="L31" s="20" t="str">
        <x:f>IF(Q31&lt;&gt;"OK","",IF(E31="Back",G31*(F31-1),-G31*(F31-1)))</x:f>
      </x:c>
      <x:c r="M31" s="20" t="str">
        <x:f>IF(Q31&lt;&gt;"OK","",IF(E31="Back",-G31,G31))</x:f>
      </x:c>
      <x:c r="N31" s="20" t="str">
        <x:f>IF(Q31&lt;&gt;"OK","",SUMIFS($L$8:$L$1007,$A$8:$A$1007,A31,$B$8:$B$1007,"&lt;="&amp;B31))</x:f>
      </x:c>
      <x:c r="O31" s="20" t="str">
        <x:f>IF(Q31&lt;&gt;"OK","",SUMIFS($M$8:$M$1007,$A$8:$A$1007,A31,$B$8:$B$1007,"&lt;="&amp;B31))</x:f>
      </x:c>
      <x:c r="P31" s="20" t="str">
        <x:f>IF(Q31&lt;&gt;"OK","",MAX(0,-MIN(N31,O31)))</x:f>
      </x:c>
      <x:c r="Q31" s="18" t="str">
        <x:f>IF(A31="",IF(COUNTA(B31:K31)=0,"","Inserisci ID"),IF(COUNTIFS('Diario'!$A$8:$A$507,A31)&lt;&gt;1,"ID assente / duplicato",IF(OR(NOT(ISNUMBER(B31)),B31&lt;1,B31&lt;&gt;INT(B31),COUNTIFS($A$8:$A$1007,A31,$B$8:$B$1007,B31)&lt;&gt;1),"N. esecuzione non valido",IF(OR(NOT(ISNUMBER(C31)),AND(D31&lt;&gt;"Ingresso",D31&lt;&gt;"Uscita"),AND(E31&lt;&gt;"Back",E31&lt;&gt;"Lay")),"Completa data / fase / lato",IF(OR(NOT(ISNUMBER(F31)),F31&lt;=1,NOT(ISNUMBER(G31)),G31&lt;=0),"Correggi quota / stake","OK")))))</x:f>
      </x:c>
    </x:row>
    <x:row r="32" ht="22" customHeight="1">
      <x:c r="A32" s="7"/>
      <x:c r="B32" s="7"/>
      <x:c r="C32" s="19"/>
      <x:c r="D32" s="7"/>
      <x:c r="E32" s="7"/>
      <x:c r="F32" s="27"/>
      <x:c r="G32" s="8"/>
      <x:c r="H32" s="7"/>
      <x:c r="I32" s="7"/>
      <x:c r="J32" s="7"/>
      <x:c r="K32" s="7"/>
      <x:c r="L32" s="20" t="str">
        <x:f>IF(Q32&lt;&gt;"OK","",IF(E32="Back",G32*(F32-1),-G32*(F32-1)))</x:f>
      </x:c>
      <x:c r="M32" s="20" t="str">
        <x:f>IF(Q32&lt;&gt;"OK","",IF(E32="Back",-G32,G32))</x:f>
      </x:c>
      <x:c r="N32" s="20" t="str">
        <x:f>IF(Q32&lt;&gt;"OK","",SUMIFS($L$8:$L$1007,$A$8:$A$1007,A32,$B$8:$B$1007,"&lt;="&amp;B32))</x:f>
      </x:c>
      <x:c r="O32" s="20" t="str">
        <x:f>IF(Q32&lt;&gt;"OK","",SUMIFS($M$8:$M$1007,$A$8:$A$1007,A32,$B$8:$B$1007,"&lt;="&amp;B32))</x:f>
      </x:c>
      <x:c r="P32" s="20" t="str">
        <x:f>IF(Q32&lt;&gt;"OK","",MAX(0,-MIN(N32,O32)))</x:f>
      </x:c>
      <x:c r="Q32" s="18" t="str">
        <x:f>IF(A32="",IF(COUNTA(B32:K32)=0,"","Inserisci ID"),IF(COUNTIFS('Diario'!$A$8:$A$507,A32)&lt;&gt;1,"ID assente / duplicato",IF(OR(NOT(ISNUMBER(B32)),B32&lt;1,B32&lt;&gt;INT(B32),COUNTIFS($A$8:$A$1007,A32,$B$8:$B$1007,B32)&lt;&gt;1),"N. esecuzione non valido",IF(OR(NOT(ISNUMBER(C32)),AND(D32&lt;&gt;"Ingresso",D32&lt;&gt;"Uscita"),AND(E32&lt;&gt;"Back",E32&lt;&gt;"Lay")),"Completa data / fase / lato",IF(OR(NOT(ISNUMBER(F32)),F32&lt;=1,NOT(ISNUMBER(G32)),G32&lt;=0),"Correggi quota / stake","OK")))))</x:f>
      </x:c>
    </x:row>
    <x:row r="33" ht="22" customHeight="1">
      <x:c r="A33" s="7"/>
      <x:c r="B33" s="7"/>
      <x:c r="C33" s="19"/>
      <x:c r="D33" s="7"/>
      <x:c r="E33" s="7"/>
      <x:c r="F33" s="27"/>
      <x:c r="G33" s="8"/>
      <x:c r="H33" s="7"/>
      <x:c r="I33" s="7"/>
      <x:c r="J33" s="7"/>
      <x:c r="K33" s="7"/>
      <x:c r="L33" s="20" t="str">
        <x:f>IF(Q33&lt;&gt;"OK","",IF(E33="Back",G33*(F33-1),-G33*(F33-1)))</x:f>
      </x:c>
      <x:c r="M33" s="20" t="str">
        <x:f>IF(Q33&lt;&gt;"OK","",IF(E33="Back",-G33,G33))</x:f>
      </x:c>
      <x:c r="N33" s="20" t="str">
        <x:f>IF(Q33&lt;&gt;"OK","",SUMIFS($L$8:$L$1007,$A$8:$A$1007,A33,$B$8:$B$1007,"&lt;="&amp;B33))</x:f>
      </x:c>
      <x:c r="O33" s="20" t="str">
        <x:f>IF(Q33&lt;&gt;"OK","",SUMIFS($M$8:$M$1007,$A$8:$A$1007,A33,$B$8:$B$1007,"&lt;="&amp;B33))</x:f>
      </x:c>
      <x:c r="P33" s="20" t="str">
        <x:f>IF(Q33&lt;&gt;"OK","",MAX(0,-MIN(N33,O33)))</x:f>
      </x:c>
      <x:c r="Q33" s="18" t="str">
        <x:f>IF(A33="",IF(COUNTA(B33:K33)=0,"","Inserisci ID"),IF(COUNTIFS('Diario'!$A$8:$A$507,A33)&lt;&gt;1,"ID assente / duplicato",IF(OR(NOT(ISNUMBER(B33)),B33&lt;1,B33&lt;&gt;INT(B33),COUNTIFS($A$8:$A$1007,A33,$B$8:$B$1007,B33)&lt;&gt;1),"N. esecuzione non valido",IF(OR(NOT(ISNUMBER(C33)),AND(D33&lt;&gt;"Ingresso",D33&lt;&gt;"Uscita"),AND(E33&lt;&gt;"Back",E33&lt;&gt;"Lay")),"Completa data / fase / lato",IF(OR(NOT(ISNUMBER(F33)),F33&lt;=1,NOT(ISNUMBER(G33)),G33&lt;=0),"Correggi quota / stake","OK")))))</x:f>
      </x:c>
    </x:row>
    <x:row r="34" ht="22" customHeight="1">
      <x:c r="A34" s="7"/>
      <x:c r="B34" s="7"/>
      <x:c r="C34" s="19"/>
      <x:c r="D34" s="7"/>
      <x:c r="E34" s="7"/>
      <x:c r="F34" s="27"/>
      <x:c r="G34" s="8"/>
      <x:c r="H34" s="7"/>
      <x:c r="I34" s="7"/>
      <x:c r="J34" s="7"/>
      <x:c r="K34" s="7"/>
      <x:c r="L34" s="20" t="str">
        <x:f>IF(Q34&lt;&gt;"OK","",IF(E34="Back",G34*(F34-1),-G34*(F34-1)))</x:f>
      </x:c>
      <x:c r="M34" s="20" t="str">
        <x:f>IF(Q34&lt;&gt;"OK","",IF(E34="Back",-G34,G34))</x:f>
      </x:c>
      <x:c r="N34" s="20" t="str">
        <x:f>IF(Q34&lt;&gt;"OK","",SUMIFS($L$8:$L$1007,$A$8:$A$1007,A34,$B$8:$B$1007,"&lt;="&amp;B34))</x:f>
      </x:c>
      <x:c r="O34" s="20" t="str">
        <x:f>IF(Q34&lt;&gt;"OK","",SUMIFS($M$8:$M$1007,$A$8:$A$1007,A34,$B$8:$B$1007,"&lt;="&amp;B34))</x:f>
      </x:c>
      <x:c r="P34" s="20" t="str">
        <x:f>IF(Q34&lt;&gt;"OK","",MAX(0,-MIN(N34,O34)))</x:f>
      </x:c>
      <x:c r="Q34" s="18" t="str">
        <x:f>IF(A34="",IF(COUNTA(B34:K34)=0,"","Inserisci ID"),IF(COUNTIFS('Diario'!$A$8:$A$507,A34)&lt;&gt;1,"ID assente / duplicato",IF(OR(NOT(ISNUMBER(B34)),B34&lt;1,B34&lt;&gt;INT(B34),COUNTIFS($A$8:$A$1007,A34,$B$8:$B$1007,B34)&lt;&gt;1),"N. esecuzione non valido",IF(OR(NOT(ISNUMBER(C34)),AND(D34&lt;&gt;"Ingresso",D34&lt;&gt;"Uscita"),AND(E34&lt;&gt;"Back",E34&lt;&gt;"Lay")),"Completa data / fase / lato",IF(OR(NOT(ISNUMBER(F34)),F34&lt;=1,NOT(ISNUMBER(G34)),G34&lt;=0),"Correggi quota / stake","OK")))))</x:f>
      </x:c>
    </x:row>
    <x:row r="35" ht="22" customHeight="1">
      <x:c r="A35" s="7"/>
      <x:c r="B35" s="7"/>
      <x:c r="C35" s="19"/>
      <x:c r="D35" s="7"/>
      <x:c r="E35" s="7"/>
      <x:c r="F35" s="27"/>
      <x:c r="G35" s="8"/>
      <x:c r="H35" s="7"/>
      <x:c r="I35" s="7"/>
      <x:c r="J35" s="7"/>
      <x:c r="K35" s="7"/>
      <x:c r="L35" s="20" t="str">
        <x:f>IF(Q35&lt;&gt;"OK","",IF(E35="Back",G35*(F35-1),-G35*(F35-1)))</x:f>
      </x:c>
      <x:c r="M35" s="20" t="str">
        <x:f>IF(Q35&lt;&gt;"OK","",IF(E35="Back",-G35,G35))</x:f>
      </x:c>
      <x:c r="N35" s="20" t="str">
        <x:f>IF(Q35&lt;&gt;"OK","",SUMIFS($L$8:$L$1007,$A$8:$A$1007,A35,$B$8:$B$1007,"&lt;="&amp;B35))</x:f>
      </x:c>
      <x:c r="O35" s="20" t="str">
        <x:f>IF(Q35&lt;&gt;"OK","",SUMIFS($M$8:$M$1007,$A$8:$A$1007,A35,$B$8:$B$1007,"&lt;="&amp;B35))</x:f>
      </x:c>
      <x:c r="P35" s="20" t="str">
        <x:f>IF(Q35&lt;&gt;"OK","",MAX(0,-MIN(N35,O35)))</x:f>
      </x:c>
      <x:c r="Q35" s="18" t="str">
        <x:f>IF(A35="",IF(COUNTA(B35:K35)=0,"","Inserisci ID"),IF(COUNTIFS('Diario'!$A$8:$A$507,A35)&lt;&gt;1,"ID assente / duplicato",IF(OR(NOT(ISNUMBER(B35)),B35&lt;1,B35&lt;&gt;INT(B35),COUNTIFS($A$8:$A$1007,A35,$B$8:$B$1007,B35)&lt;&gt;1),"N. esecuzione non valido",IF(OR(NOT(ISNUMBER(C35)),AND(D35&lt;&gt;"Ingresso",D35&lt;&gt;"Uscita"),AND(E35&lt;&gt;"Back",E35&lt;&gt;"Lay")),"Completa data / fase / lato",IF(OR(NOT(ISNUMBER(F35)),F35&lt;=1,NOT(ISNUMBER(G35)),G35&lt;=0),"Correggi quota / stake","OK")))))</x:f>
      </x:c>
    </x:row>
    <x:row r="36" ht="22" customHeight="1">
      <x:c r="A36" s="7"/>
      <x:c r="B36" s="7"/>
      <x:c r="C36" s="19"/>
      <x:c r="D36" s="7"/>
      <x:c r="E36" s="7"/>
      <x:c r="F36" s="27"/>
      <x:c r="G36" s="8"/>
      <x:c r="H36" s="7"/>
      <x:c r="I36" s="7"/>
      <x:c r="J36" s="7"/>
      <x:c r="K36" s="7"/>
      <x:c r="L36" s="20" t="str">
        <x:f>IF(Q36&lt;&gt;"OK","",IF(E36="Back",G36*(F36-1),-G36*(F36-1)))</x:f>
      </x:c>
      <x:c r="M36" s="20" t="str">
        <x:f>IF(Q36&lt;&gt;"OK","",IF(E36="Back",-G36,G36))</x:f>
      </x:c>
      <x:c r="N36" s="20" t="str">
        <x:f>IF(Q36&lt;&gt;"OK","",SUMIFS($L$8:$L$1007,$A$8:$A$1007,A36,$B$8:$B$1007,"&lt;="&amp;B36))</x:f>
      </x:c>
      <x:c r="O36" s="20" t="str">
        <x:f>IF(Q36&lt;&gt;"OK","",SUMIFS($M$8:$M$1007,$A$8:$A$1007,A36,$B$8:$B$1007,"&lt;="&amp;B36))</x:f>
      </x:c>
      <x:c r="P36" s="20" t="str">
        <x:f>IF(Q36&lt;&gt;"OK","",MAX(0,-MIN(N36,O36)))</x:f>
      </x:c>
      <x:c r="Q36" s="18" t="str">
        <x:f>IF(A36="",IF(COUNTA(B36:K36)=0,"","Inserisci ID"),IF(COUNTIFS('Diario'!$A$8:$A$507,A36)&lt;&gt;1,"ID assente / duplicato",IF(OR(NOT(ISNUMBER(B36)),B36&lt;1,B36&lt;&gt;INT(B36),COUNTIFS($A$8:$A$1007,A36,$B$8:$B$1007,B36)&lt;&gt;1),"N. esecuzione non valido",IF(OR(NOT(ISNUMBER(C36)),AND(D36&lt;&gt;"Ingresso",D36&lt;&gt;"Uscita"),AND(E36&lt;&gt;"Back",E36&lt;&gt;"Lay")),"Completa data / fase / lato",IF(OR(NOT(ISNUMBER(F36)),F36&lt;=1,NOT(ISNUMBER(G36)),G36&lt;=0),"Correggi quota / stake","OK")))))</x:f>
      </x:c>
    </x:row>
    <x:row r="37" ht="22" customHeight="1">
      <x:c r="A37" s="7"/>
      <x:c r="B37" s="7"/>
      <x:c r="C37" s="19"/>
      <x:c r="D37" s="7"/>
      <x:c r="E37" s="7"/>
      <x:c r="F37" s="27"/>
      <x:c r="G37" s="8"/>
      <x:c r="H37" s="7"/>
      <x:c r="I37" s="7"/>
      <x:c r="J37" s="7"/>
      <x:c r="K37" s="7"/>
      <x:c r="L37" s="20" t="str">
        <x:f>IF(Q37&lt;&gt;"OK","",IF(E37="Back",G37*(F37-1),-G37*(F37-1)))</x:f>
      </x:c>
      <x:c r="M37" s="20" t="str">
        <x:f>IF(Q37&lt;&gt;"OK","",IF(E37="Back",-G37,G37))</x:f>
      </x:c>
      <x:c r="N37" s="20" t="str">
        <x:f>IF(Q37&lt;&gt;"OK","",SUMIFS($L$8:$L$1007,$A$8:$A$1007,A37,$B$8:$B$1007,"&lt;="&amp;B37))</x:f>
      </x:c>
      <x:c r="O37" s="20" t="str">
        <x:f>IF(Q37&lt;&gt;"OK","",SUMIFS($M$8:$M$1007,$A$8:$A$1007,A37,$B$8:$B$1007,"&lt;="&amp;B37))</x:f>
      </x:c>
      <x:c r="P37" s="20" t="str">
        <x:f>IF(Q37&lt;&gt;"OK","",MAX(0,-MIN(N37,O37)))</x:f>
      </x:c>
      <x:c r="Q37" s="18" t="str">
        <x:f>IF(A37="",IF(COUNTA(B37:K37)=0,"","Inserisci ID"),IF(COUNTIFS('Diario'!$A$8:$A$507,A37)&lt;&gt;1,"ID assente / duplicato",IF(OR(NOT(ISNUMBER(B37)),B37&lt;1,B37&lt;&gt;INT(B37),COUNTIFS($A$8:$A$1007,A37,$B$8:$B$1007,B37)&lt;&gt;1),"N. esecuzione non valido",IF(OR(NOT(ISNUMBER(C37)),AND(D37&lt;&gt;"Ingresso",D37&lt;&gt;"Uscita"),AND(E37&lt;&gt;"Back",E37&lt;&gt;"Lay")),"Completa data / fase / lato",IF(OR(NOT(ISNUMBER(F37)),F37&lt;=1,NOT(ISNUMBER(G37)),G37&lt;=0),"Correggi quota / stake","OK")))))</x:f>
      </x:c>
    </x:row>
    <x:row r="38" ht="22" customHeight="1">
      <x:c r="A38" s="7"/>
      <x:c r="B38" s="7"/>
      <x:c r="C38" s="19"/>
      <x:c r="D38" s="7"/>
      <x:c r="E38" s="7"/>
      <x:c r="F38" s="27"/>
      <x:c r="G38" s="8"/>
      <x:c r="H38" s="7"/>
      <x:c r="I38" s="7"/>
      <x:c r="J38" s="7"/>
      <x:c r="K38" s="7"/>
      <x:c r="L38" s="20" t="str">
        <x:f>IF(Q38&lt;&gt;"OK","",IF(E38="Back",G38*(F38-1),-G38*(F38-1)))</x:f>
      </x:c>
      <x:c r="M38" s="20" t="str">
        <x:f>IF(Q38&lt;&gt;"OK","",IF(E38="Back",-G38,G38))</x:f>
      </x:c>
      <x:c r="N38" s="20" t="str">
        <x:f>IF(Q38&lt;&gt;"OK","",SUMIFS($L$8:$L$1007,$A$8:$A$1007,A38,$B$8:$B$1007,"&lt;="&amp;B38))</x:f>
      </x:c>
      <x:c r="O38" s="20" t="str">
        <x:f>IF(Q38&lt;&gt;"OK","",SUMIFS($M$8:$M$1007,$A$8:$A$1007,A38,$B$8:$B$1007,"&lt;="&amp;B38))</x:f>
      </x:c>
      <x:c r="P38" s="20" t="str">
        <x:f>IF(Q38&lt;&gt;"OK","",MAX(0,-MIN(N38,O38)))</x:f>
      </x:c>
      <x:c r="Q38" s="18" t="str">
        <x:f>IF(A38="",IF(COUNTA(B38:K38)=0,"","Inserisci ID"),IF(COUNTIFS('Diario'!$A$8:$A$507,A38)&lt;&gt;1,"ID assente / duplicato",IF(OR(NOT(ISNUMBER(B38)),B38&lt;1,B38&lt;&gt;INT(B38),COUNTIFS($A$8:$A$1007,A38,$B$8:$B$1007,B38)&lt;&gt;1),"N. esecuzione non valido",IF(OR(NOT(ISNUMBER(C38)),AND(D38&lt;&gt;"Ingresso",D38&lt;&gt;"Uscita"),AND(E38&lt;&gt;"Back",E38&lt;&gt;"Lay")),"Completa data / fase / lato",IF(OR(NOT(ISNUMBER(F38)),F38&lt;=1,NOT(ISNUMBER(G38)),G38&lt;=0),"Correggi quota / stake","OK")))))</x:f>
      </x:c>
    </x:row>
    <x:row r="39" ht="22" customHeight="1">
      <x:c r="A39" s="7"/>
      <x:c r="B39" s="7"/>
      <x:c r="C39" s="19"/>
      <x:c r="D39" s="7"/>
      <x:c r="E39" s="7"/>
      <x:c r="F39" s="27"/>
      <x:c r="G39" s="8"/>
      <x:c r="H39" s="7"/>
      <x:c r="I39" s="7"/>
      <x:c r="J39" s="7"/>
      <x:c r="K39" s="7"/>
      <x:c r="L39" s="20" t="str">
        <x:f>IF(Q39&lt;&gt;"OK","",IF(E39="Back",G39*(F39-1),-G39*(F39-1)))</x:f>
      </x:c>
      <x:c r="M39" s="20" t="str">
        <x:f>IF(Q39&lt;&gt;"OK","",IF(E39="Back",-G39,G39))</x:f>
      </x:c>
      <x:c r="N39" s="20" t="str">
        <x:f>IF(Q39&lt;&gt;"OK","",SUMIFS($L$8:$L$1007,$A$8:$A$1007,A39,$B$8:$B$1007,"&lt;="&amp;B39))</x:f>
      </x:c>
      <x:c r="O39" s="20" t="str">
        <x:f>IF(Q39&lt;&gt;"OK","",SUMIFS($M$8:$M$1007,$A$8:$A$1007,A39,$B$8:$B$1007,"&lt;="&amp;B39))</x:f>
      </x:c>
      <x:c r="P39" s="20" t="str">
        <x:f>IF(Q39&lt;&gt;"OK","",MAX(0,-MIN(N39,O39)))</x:f>
      </x:c>
      <x:c r="Q39" s="18" t="str">
        <x:f>IF(A39="",IF(COUNTA(B39:K39)=0,"","Inserisci ID"),IF(COUNTIFS('Diario'!$A$8:$A$507,A39)&lt;&gt;1,"ID assente / duplicato",IF(OR(NOT(ISNUMBER(B39)),B39&lt;1,B39&lt;&gt;INT(B39),COUNTIFS($A$8:$A$1007,A39,$B$8:$B$1007,B39)&lt;&gt;1),"N. esecuzione non valido",IF(OR(NOT(ISNUMBER(C39)),AND(D39&lt;&gt;"Ingresso",D39&lt;&gt;"Uscita"),AND(E39&lt;&gt;"Back",E39&lt;&gt;"Lay")),"Completa data / fase / lato",IF(OR(NOT(ISNUMBER(F39)),F39&lt;=1,NOT(ISNUMBER(G39)),G39&lt;=0),"Correggi quota / stake","OK")))))</x:f>
      </x:c>
    </x:row>
    <x:row r="40" ht="22" customHeight="1">
      <x:c r="A40" s="7"/>
      <x:c r="B40" s="7"/>
      <x:c r="C40" s="19"/>
      <x:c r="D40" s="7"/>
      <x:c r="E40" s="7"/>
      <x:c r="F40" s="27"/>
      <x:c r="G40" s="8"/>
      <x:c r="H40" s="7"/>
      <x:c r="I40" s="7"/>
      <x:c r="J40" s="7"/>
      <x:c r="K40" s="7"/>
      <x:c r="L40" s="20" t="str">
        <x:f>IF(Q40&lt;&gt;"OK","",IF(E40="Back",G40*(F40-1),-G40*(F40-1)))</x:f>
      </x:c>
      <x:c r="M40" s="20" t="str">
        <x:f>IF(Q40&lt;&gt;"OK","",IF(E40="Back",-G40,G40))</x:f>
      </x:c>
      <x:c r="N40" s="20" t="str">
        <x:f>IF(Q40&lt;&gt;"OK","",SUMIFS($L$8:$L$1007,$A$8:$A$1007,A40,$B$8:$B$1007,"&lt;="&amp;B40))</x:f>
      </x:c>
      <x:c r="O40" s="20" t="str">
        <x:f>IF(Q40&lt;&gt;"OK","",SUMIFS($M$8:$M$1007,$A$8:$A$1007,A40,$B$8:$B$1007,"&lt;="&amp;B40))</x:f>
      </x:c>
      <x:c r="P40" s="20" t="str">
        <x:f>IF(Q40&lt;&gt;"OK","",MAX(0,-MIN(N40,O40)))</x:f>
      </x:c>
      <x:c r="Q40" s="18" t="str">
        <x:f>IF(A40="",IF(COUNTA(B40:K40)=0,"","Inserisci ID"),IF(COUNTIFS('Diario'!$A$8:$A$507,A40)&lt;&gt;1,"ID assente / duplicato",IF(OR(NOT(ISNUMBER(B40)),B40&lt;1,B40&lt;&gt;INT(B40),COUNTIFS($A$8:$A$1007,A40,$B$8:$B$1007,B40)&lt;&gt;1),"N. esecuzione non valido",IF(OR(NOT(ISNUMBER(C40)),AND(D40&lt;&gt;"Ingresso",D40&lt;&gt;"Uscita"),AND(E40&lt;&gt;"Back",E40&lt;&gt;"Lay")),"Completa data / fase / lato",IF(OR(NOT(ISNUMBER(F40)),F40&lt;=1,NOT(ISNUMBER(G40)),G40&lt;=0),"Correggi quota / stake","OK")))))</x:f>
      </x:c>
    </x:row>
    <x:row r="41" ht="22" customHeight="1">
      <x:c r="A41" s="7"/>
      <x:c r="B41" s="7"/>
      <x:c r="C41" s="19"/>
      <x:c r="D41" s="7"/>
      <x:c r="E41" s="7"/>
      <x:c r="F41" s="27"/>
      <x:c r="G41" s="8"/>
      <x:c r="H41" s="7"/>
      <x:c r="I41" s="7"/>
      <x:c r="J41" s="7"/>
      <x:c r="K41" s="7"/>
      <x:c r="L41" s="20" t="str">
        <x:f>IF(Q41&lt;&gt;"OK","",IF(E41="Back",G41*(F41-1),-G41*(F41-1)))</x:f>
      </x:c>
      <x:c r="M41" s="20" t="str">
        <x:f>IF(Q41&lt;&gt;"OK","",IF(E41="Back",-G41,G41))</x:f>
      </x:c>
      <x:c r="N41" s="20" t="str">
        <x:f>IF(Q41&lt;&gt;"OK","",SUMIFS($L$8:$L$1007,$A$8:$A$1007,A41,$B$8:$B$1007,"&lt;="&amp;B41))</x:f>
      </x:c>
      <x:c r="O41" s="20" t="str">
        <x:f>IF(Q41&lt;&gt;"OK","",SUMIFS($M$8:$M$1007,$A$8:$A$1007,A41,$B$8:$B$1007,"&lt;="&amp;B41))</x:f>
      </x:c>
      <x:c r="P41" s="20" t="str">
        <x:f>IF(Q41&lt;&gt;"OK","",MAX(0,-MIN(N41,O41)))</x:f>
      </x:c>
      <x:c r="Q41" s="18" t="str">
        <x:f>IF(A41="",IF(COUNTA(B41:K41)=0,"","Inserisci ID"),IF(COUNTIFS('Diario'!$A$8:$A$507,A41)&lt;&gt;1,"ID assente / duplicato",IF(OR(NOT(ISNUMBER(B41)),B41&lt;1,B41&lt;&gt;INT(B41),COUNTIFS($A$8:$A$1007,A41,$B$8:$B$1007,B41)&lt;&gt;1),"N. esecuzione non valido",IF(OR(NOT(ISNUMBER(C41)),AND(D41&lt;&gt;"Ingresso",D41&lt;&gt;"Uscita"),AND(E41&lt;&gt;"Back",E41&lt;&gt;"Lay")),"Completa data / fase / lato",IF(OR(NOT(ISNUMBER(F41)),F41&lt;=1,NOT(ISNUMBER(G41)),G41&lt;=0),"Correggi quota / stake","OK")))))</x:f>
      </x:c>
    </x:row>
    <x:row r="42" ht="22" customHeight="1">
      <x:c r="A42" s="7"/>
      <x:c r="B42" s="7"/>
      <x:c r="C42" s="19"/>
      <x:c r="D42" s="7"/>
      <x:c r="E42" s="7"/>
      <x:c r="F42" s="27"/>
      <x:c r="G42" s="8"/>
      <x:c r="H42" s="7"/>
      <x:c r="I42" s="7"/>
      <x:c r="J42" s="7"/>
      <x:c r="K42" s="7"/>
      <x:c r="L42" s="20" t="str">
        <x:f>IF(Q42&lt;&gt;"OK","",IF(E42="Back",G42*(F42-1),-G42*(F42-1)))</x:f>
      </x:c>
      <x:c r="M42" s="20" t="str">
        <x:f>IF(Q42&lt;&gt;"OK","",IF(E42="Back",-G42,G42))</x:f>
      </x:c>
      <x:c r="N42" s="20" t="str">
        <x:f>IF(Q42&lt;&gt;"OK","",SUMIFS($L$8:$L$1007,$A$8:$A$1007,A42,$B$8:$B$1007,"&lt;="&amp;B42))</x:f>
      </x:c>
      <x:c r="O42" s="20" t="str">
        <x:f>IF(Q42&lt;&gt;"OK","",SUMIFS($M$8:$M$1007,$A$8:$A$1007,A42,$B$8:$B$1007,"&lt;="&amp;B42))</x:f>
      </x:c>
      <x:c r="P42" s="20" t="str">
        <x:f>IF(Q42&lt;&gt;"OK","",MAX(0,-MIN(N42,O42)))</x:f>
      </x:c>
      <x:c r="Q42" s="18" t="str">
        <x:f>IF(A42="",IF(COUNTA(B42:K42)=0,"","Inserisci ID"),IF(COUNTIFS('Diario'!$A$8:$A$507,A42)&lt;&gt;1,"ID assente / duplicato",IF(OR(NOT(ISNUMBER(B42)),B42&lt;1,B42&lt;&gt;INT(B42),COUNTIFS($A$8:$A$1007,A42,$B$8:$B$1007,B42)&lt;&gt;1),"N. esecuzione non valido",IF(OR(NOT(ISNUMBER(C42)),AND(D42&lt;&gt;"Ingresso",D42&lt;&gt;"Uscita"),AND(E42&lt;&gt;"Back",E42&lt;&gt;"Lay")),"Completa data / fase / lato",IF(OR(NOT(ISNUMBER(F42)),F42&lt;=1,NOT(ISNUMBER(G42)),G42&lt;=0),"Correggi quota / stake","OK")))))</x:f>
      </x:c>
    </x:row>
    <x:row r="43" ht="22" customHeight="1">
      <x:c r="A43" s="7"/>
      <x:c r="B43" s="7"/>
      <x:c r="C43" s="19"/>
      <x:c r="D43" s="7"/>
      <x:c r="E43" s="7"/>
      <x:c r="F43" s="27"/>
      <x:c r="G43" s="8"/>
      <x:c r="H43" s="7"/>
      <x:c r="I43" s="7"/>
      <x:c r="J43" s="7"/>
      <x:c r="K43" s="7"/>
      <x:c r="L43" s="20" t="str">
        <x:f>IF(Q43&lt;&gt;"OK","",IF(E43="Back",G43*(F43-1),-G43*(F43-1)))</x:f>
      </x:c>
      <x:c r="M43" s="20" t="str">
        <x:f>IF(Q43&lt;&gt;"OK","",IF(E43="Back",-G43,G43))</x:f>
      </x:c>
      <x:c r="N43" s="20" t="str">
        <x:f>IF(Q43&lt;&gt;"OK","",SUMIFS($L$8:$L$1007,$A$8:$A$1007,A43,$B$8:$B$1007,"&lt;="&amp;B43))</x:f>
      </x:c>
      <x:c r="O43" s="20" t="str">
        <x:f>IF(Q43&lt;&gt;"OK","",SUMIFS($M$8:$M$1007,$A$8:$A$1007,A43,$B$8:$B$1007,"&lt;="&amp;B43))</x:f>
      </x:c>
      <x:c r="P43" s="20" t="str">
        <x:f>IF(Q43&lt;&gt;"OK","",MAX(0,-MIN(N43,O43)))</x:f>
      </x:c>
      <x:c r="Q43" s="18" t="str">
        <x:f>IF(A43="",IF(COUNTA(B43:K43)=0,"","Inserisci ID"),IF(COUNTIFS('Diario'!$A$8:$A$507,A43)&lt;&gt;1,"ID assente / duplicato",IF(OR(NOT(ISNUMBER(B43)),B43&lt;1,B43&lt;&gt;INT(B43),COUNTIFS($A$8:$A$1007,A43,$B$8:$B$1007,B43)&lt;&gt;1),"N. esecuzione non valido",IF(OR(NOT(ISNUMBER(C43)),AND(D43&lt;&gt;"Ingresso",D43&lt;&gt;"Uscita"),AND(E43&lt;&gt;"Back",E43&lt;&gt;"Lay")),"Completa data / fase / lato",IF(OR(NOT(ISNUMBER(F43)),F43&lt;=1,NOT(ISNUMBER(G43)),G43&lt;=0),"Correggi quota / stake","OK")))))</x:f>
      </x:c>
    </x:row>
    <x:row r="44" ht="22" customHeight="1">
      <x:c r="A44" s="7"/>
      <x:c r="B44" s="7"/>
      <x:c r="C44" s="19"/>
      <x:c r="D44" s="7"/>
      <x:c r="E44" s="7"/>
      <x:c r="F44" s="27"/>
      <x:c r="G44" s="8"/>
      <x:c r="H44" s="7"/>
      <x:c r="I44" s="7"/>
      <x:c r="J44" s="7"/>
      <x:c r="K44" s="7"/>
      <x:c r="L44" s="20" t="str">
        <x:f>IF(Q44&lt;&gt;"OK","",IF(E44="Back",G44*(F44-1),-G44*(F44-1)))</x:f>
      </x:c>
      <x:c r="M44" s="20" t="str">
        <x:f>IF(Q44&lt;&gt;"OK","",IF(E44="Back",-G44,G44))</x:f>
      </x:c>
      <x:c r="N44" s="20" t="str">
        <x:f>IF(Q44&lt;&gt;"OK","",SUMIFS($L$8:$L$1007,$A$8:$A$1007,A44,$B$8:$B$1007,"&lt;="&amp;B44))</x:f>
      </x:c>
      <x:c r="O44" s="20" t="str">
        <x:f>IF(Q44&lt;&gt;"OK","",SUMIFS($M$8:$M$1007,$A$8:$A$1007,A44,$B$8:$B$1007,"&lt;="&amp;B44))</x:f>
      </x:c>
      <x:c r="P44" s="20" t="str">
        <x:f>IF(Q44&lt;&gt;"OK","",MAX(0,-MIN(N44,O44)))</x:f>
      </x:c>
      <x:c r="Q44" s="18" t="str">
        <x:f>IF(A44="",IF(COUNTA(B44:K44)=0,"","Inserisci ID"),IF(COUNTIFS('Diario'!$A$8:$A$507,A44)&lt;&gt;1,"ID assente / duplicato",IF(OR(NOT(ISNUMBER(B44)),B44&lt;1,B44&lt;&gt;INT(B44),COUNTIFS($A$8:$A$1007,A44,$B$8:$B$1007,B44)&lt;&gt;1),"N. esecuzione non valido",IF(OR(NOT(ISNUMBER(C44)),AND(D44&lt;&gt;"Ingresso",D44&lt;&gt;"Uscita"),AND(E44&lt;&gt;"Back",E44&lt;&gt;"Lay")),"Completa data / fase / lato",IF(OR(NOT(ISNUMBER(F44)),F44&lt;=1,NOT(ISNUMBER(G44)),G44&lt;=0),"Correggi quota / stake","OK")))))</x:f>
      </x:c>
    </x:row>
    <x:row r="45" ht="22" customHeight="1">
      <x:c r="A45" s="7"/>
      <x:c r="B45" s="7"/>
      <x:c r="C45" s="19"/>
      <x:c r="D45" s="7"/>
      <x:c r="E45" s="7"/>
      <x:c r="F45" s="27"/>
      <x:c r="G45" s="8"/>
      <x:c r="H45" s="7"/>
      <x:c r="I45" s="7"/>
      <x:c r="J45" s="7"/>
      <x:c r="K45" s="7"/>
      <x:c r="L45" s="20" t="str">
        <x:f>IF(Q45&lt;&gt;"OK","",IF(E45="Back",G45*(F45-1),-G45*(F45-1)))</x:f>
      </x:c>
      <x:c r="M45" s="20" t="str">
        <x:f>IF(Q45&lt;&gt;"OK","",IF(E45="Back",-G45,G45))</x:f>
      </x:c>
      <x:c r="N45" s="20" t="str">
        <x:f>IF(Q45&lt;&gt;"OK","",SUMIFS($L$8:$L$1007,$A$8:$A$1007,A45,$B$8:$B$1007,"&lt;="&amp;B45))</x:f>
      </x:c>
      <x:c r="O45" s="20" t="str">
        <x:f>IF(Q45&lt;&gt;"OK","",SUMIFS($M$8:$M$1007,$A$8:$A$1007,A45,$B$8:$B$1007,"&lt;="&amp;B45))</x:f>
      </x:c>
      <x:c r="P45" s="20" t="str">
        <x:f>IF(Q45&lt;&gt;"OK","",MAX(0,-MIN(N45,O45)))</x:f>
      </x:c>
      <x:c r="Q45" s="18" t="str">
        <x:f>IF(A45="",IF(COUNTA(B45:K45)=0,"","Inserisci ID"),IF(COUNTIFS('Diario'!$A$8:$A$507,A45)&lt;&gt;1,"ID assente / duplicato",IF(OR(NOT(ISNUMBER(B45)),B45&lt;1,B45&lt;&gt;INT(B45),COUNTIFS($A$8:$A$1007,A45,$B$8:$B$1007,B45)&lt;&gt;1),"N. esecuzione non valido",IF(OR(NOT(ISNUMBER(C45)),AND(D45&lt;&gt;"Ingresso",D45&lt;&gt;"Uscita"),AND(E45&lt;&gt;"Back",E45&lt;&gt;"Lay")),"Completa data / fase / lato",IF(OR(NOT(ISNUMBER(F45)),F45&lt;=1,NOT(ISNUMBER(G45)),G45&lt;=0),"Correggi quota / stake","OK")))))</x:f>
      </x:c>
    </x:row>
    <x:row r="46" ht="22" customHeight="1">
      <x:c r="A46" s="7"/>
      <x:c r="B46" s="7"/>
      <x:c r="C46" s="19"/>
      <x:c r="D46" s="7"/>
      <x:c r="E46" s="7"/>
      <x:c r="F46" s="27"/>
      <x:c r="G46" s="8"/>
      <x:c r="H46" s="7"/>
      <x:c r="I46" s="7"/>
      <x:c r="J46" s="7"/>
      <x:c r="K46" s="7"/>
      <x:c r="L46" s="20" t="str">
        <x:f>IF(Q46&lt;&gt;"OK","",IF(E46="Back",G46*(F46-1),-G46*(F46-1)))</x:f>
      </x:c>
      <x:c r="M46" s="20" t="str">
        <x:f>IF(Q46&lt;&gt;"OK","",IF(E46="Back",-G46,G46))</x:f>
      </x:c>
      <x:c r="N46" s="20" t="str">
        <x:f>IF(Q46&lt;&gt;"OK","",SUMIFS($L$8:$L$1007,$A$8:$A$1007,A46,$B$8:$B$1007,"&lt;="&amp;B46))</x:f>
      </x:c>
      <x:c r="O46" s="20" t="str">
        <x:f>IF(Q46&lt;&gt;"OK","",SUMIFS($M$8:$M$1007,$A$8:$A$1007,A46,$B$8:$B$1007,"&lt;="&amp;B46))</x:f>
      </x:c>
      <x:c r="P46" s="20" t="str">
        <x:f>IF(Q46&lt;&gt;"OK","",MAX(0,-MIN(N46,O46)))</x:f>
      </x:c>
      <x:c r="Q46" s="18" t="str">
        <x:f>IF(A46="",IF(COUNTA(B46:K46)=0,"","Inserisci ID"),IF(COUNTIFS('Diario'!$A$8:$A$507,A46)&lt;&gt;1,"ID assente / duplicato",IF(OR(NOT(ISNUMBER(B46)),B46&lt;1,B46&lt;&gt;INT(B46),COUNTIFS($A$8:$A$1007,A46,$B$8:$B$1007,B46)&lt;&gt;1),"N. esecuzione non valido",IF(OR(NOT(ISNUMBER(C46)),AND(D46&lt;&gt;"Ingresso",D46&lt;&gt;"Uscita"),AND(E46&lt;&gt;"Back",E46&lt;&gt;"Lay")),"Completa data / fase / lato",IF(OR(NOT(ISNUMBER(F46)),F46&lt;=1,NOT(ISNUMBER(G46)),G46&lt;=0),"Correggi quota / stake","OK")))))</x:f>
      </x:c>
    </x:row>
    <x:row r="47" ht="22" customHeight="1">
      <x:c r="A47" s="7"/>
      <x:c r="B47" s="7"/>
      <x:c r="C47" s="19"/>
      <x:c r="D47" s="7"/>
      <x:c r="E47" s="7"/>
      <x:c r="F47" s="27"/>
      <x:c r="G47" s="8"/>
      <x:c r="H47" s="7"/>
      <x:c r="I47" s="7"/>
      <x:c r="J47" s="7"/>
      <x:c r="K47" s="7"/>
      <x:c r="L47" s="20" t="str">
        <x:f>IF(Q47&lt;&gt;"OK","",IF(E47="Back",G47*(F47-1),-G47*(F47-1)))</x:f>
      </x:c>
      <x:c r="M47" s="20" t="str">
        <x:f>IF(Q47&lt;&gt;"OK","",IF(E47="Back",-G47,G47))</x:f>
      </x:c>
      <x:c r="N47" s="20" t="str">
        <x:f>IF(Q47&lt;&gt;"OK","",SUMIFS($L$8:$L$1007,$A$8:$A$1007,A47,$B$8:$B$1007,"&lt;="&amp;B47))</x:f>
      </x:c>
      <x:c r="O47" s="20" t="str">
        <x:f>IF(Q47&lt;&gt;"OK","",SUMIFS($M$8:$M$1007,$A$8:$A$1007,A47,$B$8:$B$1007,"&lt;="&amp;B47))</x:f>
      </x:c>
      <x:c r="P47" s="20" t="str">
        <x:f>IF(Q47&lt;&gt;"OK","",MAX(0,-MIN(N47,O47)))</x:f>
      </x:c>
      <x:c r="Q47" s="18" t="str">
        <x:f>IF(A47="",IF(COUNTA(B47:K47)=0,"","Inserisci ID"),IF(COUNTIFS('Diario'!$A$8:$A$507,A47)&lt;&gt;1,"ID assente / duplicato",IF(OR(NOT(ISNUMBER(B47)),B47&lt;1,B47&lt;&gt;INT(B47),COUNTIFS($A$8:$A$1007,A47,$B$8:$B$1007,B47)&lt;&gt;1),"N. esecuzione non valido",IF(OR(NOT(ISNUMBER(C47)),AND(D47&lt;&gt;"Ingresso",D47&lt;&gt;"Uscita"),AND(E47&lt;&gt;"Back",E47&lt;&gt;"Lay")),"Completa data / fase / lato",IF(OR(NOT(ISNUMBER(F47)),F47&lt;=1,NOT(ISNUMBER(G47)),G47&lt;=0),"Correggi quota / stake","OK")))))</x:f>
      </x:c>
    </x:row>
    <x:row r="48" ht="22" customHeight="1">
      <x:c r="A48" s="7"/>
      <x:c r="B48" s="7"/>
      <x:c r="C48" s="19"/>
      <x:c r="D48" s="7"/>
      <x:c r="E48" s="7"/>
      <x:c r="F48" s="27"/>
      <x:c r="G48" s="8"/>
      <x:c r="H48" s="7"/>
      <x:c r="I48" s="7"/>
      <x:c r="J48" s="7"/>
      <x:c r="K48" s="7"/>
      <x:c r="L48" s="20" t="str">
        <x:f>IF(Q48&lt;&gt;"OK","",IF(E48="Back",G48*(F48-1),-G48*(F48-1)))</x:f>
      </x:c>
      <x:c r="M48" s="20" t="str">
        <x:f>IF(Q48&lt;&gt;"OK","",IF(E48="Back",-G48,G48))</x:f>
      </x:c>
      <x:c r="N48" s="20" t="str">
        <x:f>IF(Q48&lt;&gt;"OK","",SUMIFS($L$8:$L$1007,$A$8:$A$1007,A48,$B$8:$B$1007,"&lt;="&amp;B48))</x:f>
      </x:c>
      <x:c r="O48" s="20" t="str">
        <x:f>IF(Q48&lt;&gt;"OK","",SUMIFS($M$8:$M$1007,$A$8:$A$1007,A48,$B$8:$B$1007,"&lt;="&amp;B48))</x:f>
      </x:c>
      <x:c r="P48" s="20" t="str">
        <x:f>IF(Q48&lt;&gt;"OK","",MAX(0,-MIN(N48,O48)))</x:f>
      </x:c>
      <x:c r="Q48" s="18" t="str">
        <x:f>IF(A48="",IF(COUNTA(B48:K48)=0,"","Inserisci ID"),IF(COUNTIFS('Diario'!$A$8:$A$507,A48)&lt;&gt;1,"ID assente / duplicato",IF(OR(NOT(ISNUMBER(B48)),B48&lt;1,B48&lt;&gt;INT(B48),COUNTIFS($A$8:$A$1007,A48,$B$8:$B$1007,B48)&lt;&gt;1),"N. esecuzione non valido",IF(OR(NOT(ISNUMBER(C48)),AND(D48&lt;&gt;"Ingresso",D48&lt;&gt;"Uscita"),AND(E48&lt;&gt;"Back",E48&lt;&gt;"Lay")),"Completa data / fase / lato",IF(OR(NOT(ISNUMBER(F48)),F48&lt;=1,NOT(ISNUMBER(G48)),G48&lt;=0),"Correggi quota / stake","OK")))))</x:f>
      </x:c>
    </x:row>
    <x:row r="49" ht="22" customHeight="1">
      <x:c r="A49" s="7"/>
      <x:c r="B49" s="7"/>
      <x:c r="C49" s="19"/>
      <x:c r="D49" s="7"/>
      <x:c r="E49" s="7"/>
      <x:c r="F49" s="27"/>
      <x:c r="G49" s="8"/>
      <x:c r="H49" s="7"/>
      <x:c r="I49" s="7"/>
      <x:c r="J49" s="7"/>
      <x:c r="K49" s="7"/>
      <x:c r="L49" s="20" t="str">
        <x:f>IF(Q49&lt;&gt;"OK","",IF(E49="Back",G49*(F49-1),-G49*(F49-1)))</x:f>
      </x:c>
      <x:c r="M49" s="20" t="str">
        <x:f>IF(Q49&lt;&gt;"OK","",IF(E49="Back",-G49,G49))</x:f>
      </x:c>
      <x:c r="N49" s="20" t="str">
        <x:f>IF(Q49&lt;&gt;"OK","",SUMIFS($L$8:$L$1007,$A$8:$A$1007,A49,$B$8:$B$1007,"&lt;="&amp;B49))</x:f>
      </x:c>
      <x:c r="O49" s="20" t="str">
        <x:f>IF(Q49&lt;&gt;"OK","",SUMIFS($M$8:$M$1007,$A$8:$A$1007,A49,$B$8:$B$1007,"&lt;="&amp;B49))</x:f>
      </x:c>
      <x:c r="P49" s="20" t="str">
        <x:f>IF(Q49&lt;&gt;"OK","",MAX(0,-MIN(N49,O49)))</x:f>
      </x:c>
      <x:c r="Q49" s="18" t="str">
        <x:f>IF(A49="",IF(COUNTA(B49:K49)=0,"","Inserisci ID"),IF(COUNTIFS('Diario'!$A$8:$A$507,A49)&lt;&gt;1,"ID assente / duplicato",IF(OR(NOT(ISNUMBER(B49)),B49&lt;1,B49&lt;&gt;INT(B49),COUNTIFS($A$8:$A$1007,A49,$B$8:$B$1007,B49)&lt;&gt;1),"N. esecuzione non valido",IF(OR(NOT(ISNUMBER(C49)),AND(D49&lt;&gt;"Ingresso",D49&lt;&gt;"Uscita"),AND(E49&lt;&gt;"Back",E49&lt;&gt;"Lay")),"Completa data / fase / lato",IF(OR(NOT(ISNUMBER(F49)),F49&lt;=1,NOT(ISNUMBER(G49)),G49&lt;=0),"Correggi quota / stake","OK")))))</x:f>
      </x:c>
    </x:row>
    <x:row r="50" ht="22" customHeight="1">
      <x:c r="A50" s="7"/>
      <x:c r="B50" s="7"/>
      <x:c r="C50" s="19"/>
      <x:c r="D50" s="7"/>
      <x:c r="E50" s="7"/>
      <x:c r="F50" s="27"/>
      <x:c r="G50" s="8"/>
      <x:c r="H50" s="7"/>
      <x:c r="I50" s="7"/>
      <x:c r="J50" s="7"/>
      <x:c r="K50" s="7"/>
      <x:c r="L50" s="20" t="str">
        <x:f>IF(Q50&lt;&gt;"OK","",IF(E50="Back",G50*(F50-1),-G50*(F50-1)))</x:f>
      </x:c>
      <x:c r="M50" s="20" t="str">
        <x:f>IF(Q50&lt;&gt;"OK","",IF(E50="Back",-G50,G50))</x:f>
      </x:c>
      <x:c r="N50" s="20" t="str">
        <x:f>IF(Q50&lt;&gt;"OK","",SUMIFS($L$8:$L$1007,$A$8:$A$1007,A50,$B$8:$B$1007,"&lt;="&amp;B50))</x:f>
      </x:c>
      <x:c r="O50" s="20" t="str">
        <x:f>IF(Q50&lt;&gt;"OK","",SUMIFS($M$8:$M$1007,$A$8:$A$1007,A50,$B$8:$B$1007,"&lt;="&amp;B50))</x:f>
      </x:c>
      <x:c r="P50" s="20" t="str">
        <x:f>IF(Q50&lt;&gt;"OK","",MAX(0,-MIN(N50,O50)))</x:f>
      </x:c>
      <x:c r="Q50" s="18" t="str">
        <x:f>IF(A50="",IF(COUNTA(B50:K50)=0,"","Inserisci ID"),IF(COUNTIFS('Diario'!$A$8:$A$507,A50)&lt;&gt;1,"ID assente / duplicato",IF(OR(NOT(ISNUMBER(B50)),B50&lt;1,B50&lt;&gt;INT(B50),COUNTIFS($A$8:$A$1007,A50,$B$8:$B$1007,B50)&lt;&gt;1),"N. esecuzione non valido",IF(OR(NOT(ISNUMBER(C50)),AND(D50&lt;&gt;"Ingresso",D50&lt;&gt;"Uscita"),AND(E50&lt;&gt;"Back",E50&lt;&gt;"Lay")),"Completa data / fase / lato",IF(OR(NOT(ISNUMBER(F50)),F50&lt;=1,NOT(ISNUMBER(G50)),G50&lt;=0),"Correggi quota / stake","OK")))))</x:f>
      </x:c>
    </x:row>
    <x:row r="51" ht="22" customHeight="1">
      <x:c r="A51" s="7"/>
      <x:c r="B51" s="7"/>
      <x:c r="C51" s="19"/>
      <x:c r="D51" s="7"/>
      <x:c r="E51" s="7"/>
      <x:c r="F51" s="27"/>
      <x:c r="G51" s="8"/>
      <x:c r="H51" s="7"/>
      <x:c r="I51" s="7"/>
      <x:c r="J51" s="7"/>
      <x:c r="K51" s="7"/>
      <x:c r="L51" s="20" t="str">
        <x:f>IF(Q51&lt;&gt;"OK","",IF(E51="Back",G51*(F51-1),-G51*(F51-1)))</x:f>
      </x:c>
      <x:c r="M51" s="20" t="str">
        <x:f>IF(Q51&lt;&gt;"OK","",IF(E51="Back",-G51,G51))</x:f>
      </x:c>
      <x:c r="N51" s="20" t="str">
        <x:f>IF(Q51&lt;&gt;"OK","",SUMIFS($L$8:$L$1007,$A$8:$A$1007,A51,$B$8:$B$1007,"&lt;="&amp;B51))</x:f>
      </x:c>
      <x:c r="O51" s="20" t="str">
        <x:f>IF(Q51&lt;&gt;"OK","",SUMIFS($M$8:$M$1007,$A$8:$A$1007,A51,$B$8:$B$1007,"&lt;="&amp;B51))</x:f>
      </x:c>
      <x:c r="P51" s="20" t="str">
        <x:f>IF(Q51&lt;&gt;"OK","",MAX(0,-MIN(N51,O51)))</x:f>
      </x:c>
      <x:c r="Q51" s="18" t="str">
        <x:f>IF(A51="",IF(COUNTA(B51:K51)=0,"","Inserisci ID"),IF(COUNTIFS('Diario'!$A$8:$A$507,A51)&lt;&gt;1,"ID assente / duplicato",IF(OR(NOT(ISNUMBER(B51)),B51&lt;1,B51&lt;&gt;INT(B51),COUNTIFS($A$8:$A$1007,A51,$B$8:$B$1007,B51)&lt;&gt;1),"N. esecuzione non valido",IF(OR(NOT(ISNUMBER(C51)),AND(D51&lt;&gt;"Ingresso",D51&lt;&gt;"Uscita"),AND(E51&lt;&gt;"Back",E51&lt;&gt;"Lay")),"Completa data / fase / lato",IF(OR(NOT(ISNUMBER(F51)),F51&lt;=1,NOT(ISNUMBER(G51)),G51&lt;=0),"Correggi quota / stake","OK")))))</x:f>
      </x:c>
    </x:row>
    <x:row r="52" ht="22" customHeight="1">
      <x:c r="A52" s="7"/>
      <x:c r="B52" s="7"/>
      <x:c r="C52" s="19"/>
      <x:c r="D52" s="7"/>
      <x:c r="E52" s="7"/>
      <x:c r="F52" s="27"/>
      <x:c r="G52" s="8"/>
      <x:c r="H52" s="7"/>
      <x:c r="I52" s="7"/>
      <x:c r="J52" s="7"/>
      <x:c r="K52" s="7"/>
      <x:c r="L52" s="20" t="str">
        <x:f>IF(Q52&lt;&gt;"OK","",IF(E52="Back",G52*(F52-1),-G52*(F52-1)))</x:f>
      </x:c>
      <x:c r="M52" s="20" t="str">
        <x:f>IF(Q52&lt;&gt;"OK","",IF(E52="Back",-G52,G52))</x:f>
      </x:c>
      <x:c r="N52" s="20" t="str">
        <x:f>IF(Q52&lt;&gt;"OK","",SUMIFS($L$8:$L$1007,$A$8:$A$1007,A52,$B$8:$B$1007,"&lt;="&amp;B52))</x:f>
      </x:c>
      <x:c r="O52" s="20" t="str">
        <x:f>IF(Q52&lt;&gt;"OK","",SUMIFS($M$8:$M$1007,$A$8:$A$1007,A52,$B$8:$B$1007,"&lt;="&amp;B52))</x:f>
      </x:c>
      <x:c r="P52" s="20" t="str">
        <x:f>IF(Q52&lt;&gt;"OK","",MAX(0,-MIN(N52,O52)))</x:f>
      </x:c>
      <x:c r="Q52" s="18" t="str">
        <x:f>IF(A52="",IF(COUNTA(B52:K52)=0,"","Inserisci ID"),IF(COUNTIFS('Diario'!$A$8:$A$507,A52)&lt;&gt;1,"ID assente / duplicato",IF(OR(NOT(ISNUMBER(B52)),B52&lt;1,B52&lt;&gt;INT(B52),COUNTIFS($A$8:$A$1007,A52,$B$8:$B$1007,B52)&lt;&gt;1),"N. esecuzione non valido",IF(OR(NOT(ISNUMBER(C52)),AND(D52&lt;&gt;"Ingresso",D52&lt;&gt;"Uscita"),AND(E52&lt;&gt;"Back",E52&lt;&gt;"Lay")),"Completa data / fase / lato",IF(OR(NOT(ISNUMBER(F52)),F52&lt;=1,NOT(ISNUMBER(G52)),G52&lt;=0),"Correggi quota / stake","OK")))))</x:f>
      </x:c>
    </x:row>
    <x:row r="53" ht="22" customHeight="1">
      <x:c r="A53" s="7"/>
      <x:c r="B53" s="7"/>
      <x:c r="C53" s="19"/>
      <x:c r="D53" s="7"/>
      <x:c r="E53" s="7"/>
      <x:c r="F53" s="27"/>
      <x:c r="G53" s="8"/>
      <x:c r="H53" s="7"/>
      <x:c r="I53" s="7"/>
      <x:c r="J53" s="7"/>
      <x:c r="K53" s="7"/>
      <x:c r="L53" s="20" t="str">
        <x:f>IF(Q53&lt;&gt;"OK","",IF(E53="Back",G53*(F53-1),-G53*(F53-1)))</x:f>
      </x:c>
      <x:c r="M53" s="20" t="str">
        <x:f>IF(Q53&lt;&gt;"OK","",IF(E53="Back",-G53,G53))</x:f>
      </x:c>
      <x:c r="N53" s="20" t="str">
        <x:f>IF(Q53&lt;&gt;"OK","",SUMIFS($L$8:$L$1007,$A$8:$A$1007,A53,$B$8:$B$1007,"&lt;="&amp;B53))</x:f>
      </x:c>
      <x:c r="O53" s="20" t="str">
        <x:f>IF(Q53&lt;&gt;"OK","",SUMIFS($M$8:$M$1007,$A$8:$A$1007,A53,$B$8:$B$1007,"&lt;="&amp;B53))</x:f>
      </x:c>
      <x:c r="P53" s="20" t="str">
        <x:f>IF(Q53&lt;&gt;"OK","",MAX(0,-MIN(N53,O53)))</x:f>
      </x:c>
      <x:c r="Q53" s="18" t="str">
        <x:f>IF(A53="",IF(COUNTA(B53:K53)=0,"","Inserisci ID"),IF(COUNTIFS('Diario'!$A$8:$A$507,A53)&lt;&gt;1,"ID assente / duplicato",IF(OR(NOT(ISNUMBER(B53)),B53&lt;1,B53&lt;&gt;INT(B53),COUNTIFS($A$8:$A$1007,A53,$B$8:$B$1007,B53)&lt;&gt;1),"N. esecuzione non valido",IF(OR(NOT(ISNUMBER(C53)),AND(D53&lt;&gt;"Ingresso",D53&lt;&gt;"Uscita"),AND(E53&lt;&gt;"Back",E53&lt;&gt;"Lay")),"Completa data / fase / lato",IF(OR(NOT(ISNUMBER(F53)),F53&lt;=1,NOT(ISNUMBER(G53)),G53&lt;=0),"Correggi quota / stake","OK")))))</x:f>
      </x:c>
    </x:row>
    <x:row r="54" ht="22" customHeight="1">
      <x:c r="A54" s="7"/>
      <x:c r="B54" s="7"/>
      <x:c r="C54" s="19"/>
      <x:c r="D54" s="7"/>
      <x:c r="E54" s="7"/>
      <x:c r="F54" s="27"/>
      <x:c r="G54" s="8"/>
      <x:c r="H54" s="7"/>
      <x:c r="I54" s="7"/>
      <x:c r="J54" s="7"/>
      <x:c r="K54" s="7"/>
      <x:c r="L54" s="20" t="str">
        <x:f>IF(Q54&lt;&gt;"OK","",IF(E54="Back",G54*(F54-1),-G54*(F54-1)))</x:f>
      </x:c>
      <x:c r="M54" s="20" t="str">
        <x:f>IF(Q54&lt;&gt;"OK","",IF(E54="Back",-G54,G54))</x:f>
      </x:c>
      <x:c r="N54" s="20" t="str">
        <x:f>IF(Q54&lt;&gt;"OK","",SUMIFS($L$8:$L$1007,$A$8:$A$1007,A54,$B$8:$B$1007,"&lt;="&amp;B54))</x:f>
      </x:c>
      <x:c r="O54" s="20" t="str">
        <x:f>IF(Q54&lt;&gt;"OK","",SUMIFS($M$8:$M$1007,$A$8:$A$1007,A54,$B$8:$B$1007,"&lt;="&amp;B54))</x:f>
      </x:c>
      <x:c r="P54" s="20" t="str">
        <x:f>IF(Q54&lt;&gt;"OK","",MAX(0,-MIN(N54,O54)))</x:f>
      </x:c>
      <x:c r="Q54" s="18" t="str">
        <x:f>IF(A54="",IF(COUNTA(B54:K54)=0,"","Inserisci ID"),IF(COUNTIFS('Diario'!$A$8:$A$507,A54)&lt;&gt;1,"ID assente / duplicato",IF(OR(NOT(ISNUMBER(B54)),B54&lt;1,B54&lt;&gt;INT(B54),COUNTIFS($A$8:$A$1007,A54,$B$8:$B$1007,B54)&lt;&gt;1),"N. esecuzione non valido",IF(OR(NOT(ISNUMBER(C54)),AND(D54&lt;&gt;"Ingresso",D54&lt;&gt;"Uscita"),AND(E54&lt;&gt;"Back",E54&lt;&gt;"Lay")),"Completa data / fase / lato",IF(OR(NOT(ISNUMBER(F54)),F54&lt;=1,NOT(ISNUMBER(G54)),G54&lt;=0),"Correggi quota / stake","OK")))))</x:f>
      </x:c>
    </x:row>
    <x:row r="55" ht="22" customHeight="1">
      <x:c r="A55" s="7"/>
      <x:c r="B55" s="7"/>
      <x:c r="C55" s="19"/>
      <x:c r="D55" s="7"/>
      <x:c r="E55" s="7"/>
      <x:c r="F55" s="27"/>
      <x:c r="G55" s="8"/>
      <x:c r="H55" s="7"/>
      <x:c r="I55" s="7"/>
      <x:c r="J55" s="7"/>
      <x:c r="K55" s="7"/>
      <x:c r="L55" s="20" t="str">
        <x:f>IF(Q55&lt;&gt;"OK","",IF(E55="Back",G55*(F55-1),-G55*(F55-1)))</x:f>
      </x:c>
      <x:c r="M55" s="20" t="str">
        <x:f>IF(Q55&lt;&gt;"OK","",IF(E55="Back",-G55,G55))</x:f>
      </x:c>
      <x:c r="N55" s="20" t="str">
        <x:f>IF(Q55&lt;&gt;"OK","",SUMIFS($L$8:$L$1007,$A$8:$A$1007,A55,$B$8:$B$1007,"&lt;="&amp;B55))</x:f>
      </x:c>
      <x:c r="O55" s="20" t="str">
        <x:f>IF(Q55&lt;&gt;"OK","",SUMIFS($M$8:$M$1007,$A$8:$A$1007,A55,$B$8:$B$1007,"&lt;="&amp;B55))</x:f>
      </x:c>
      <x:c r="P55" s="20" t="str">
        <x:f>IF(Q55&lt;&gt;"OK","",MAX(0,-MIN(N55,O55)))</x:f>
      </x:c>
      <x:c r="Q55" s="18" t="str">
        <x:f>IF(A55="",IF(COUNTA(B55:K55)=0,"","Inserisci ID"),IF(COUNTIFS('Diario'!$A$8:$A$507,A55)&lt;&gt;1,"ID assente / duplicato",IF(OR(NOT(ISNUMBER(B55)),B55&lt;1,B55&lt;&gt;INT(B55),COUNTIFS($A$8:$A$1007,A55,$B$8:$B$1007,B55)&lt;&gt;1),"N. esecuzione non valido",IF(OR(NOT(ISNUMBER(C55)),AND(D55&lt;&gt;"Ingresso",D55&lt;&gt;"Uscita"),AND(E55&lt;&gt;"Back",E55&lt;&gt;"Lay")),"Completa data / fase / lato",IF(OR(NOT(ISNUMBER(F55)),F55&lt;=1,NOT(ISNUMBER(G55)),G55&lt;=0),"Correggi quota / stake","OK")))))</x:f>
      </x:c>
    </x:row>
    <x:row r="56" ht="22" customHeight="1">
      <x:c r="A56" s="7"/>
      <x:c r="B56" s="7"/>
      <x:c r="C56" s="19"/>
      <x:c r="D56" s="7"/>
      <x:c r="E56" s="7"/>
      <x:c r="F56" s="27"/>
      <x:c r="G56" s="8"/>
      <x:c r="H56" s="7"/>
      <x:c r="I56" s="7"/>
      <x:c r="J56" s="7"/>
      <x:c r="K56" s="7"/>
      <x:c r="L56" s="20" t="str">
        <x:f>IF(Q56&lt;&gt;"OK","",IF(E56="Back",G56*(F56-1),-G56*(F56-1)))</x:f>
      </x:c>
      <x:c r="M56" s="20" t="str">
        <x:f>IF(Q56&lt;&gt;"OK","",IF(E56="Back",-G56,G56))</x:f>
      </x:c>
      <x:c r="N56" s="20" t="str">
        <x:f>IF(Q56&lt;&gt;"OK","",SUMIFS($L$8:$L$1007,$A$8:$A$1007,A56,$B$8:$B$1007,"&lt;="&amp;B56))</x:f>
      </x:c>
      <x:c r="O56" s="20" t="str">
        <x:f>IF(Q56&lt;&gt;"OK","",SUMIFS($M$8:$M$1007,$A$8:$A$1007,A56,$B$8:$B$1007,"&lt;="&amp;B56))</x:f>
      </x:c>
      <x:c r="P56" s="20" t="str">
        <x:f>IF(Q56&lt;&gt;"OK","",MAX(0,-MIN(N56,O56)))</x:f>
      </x:c>
      <x:c r="Q56" s="18" t="str">
        <x:f>IF(A56="",IF(COUNTA(B56:K56)=0,"","Inserisci ID"),IF(COUNTIFS('Diario'!$A$8:$A$507,A56)&lt;&gt;1,"ID assente / duplicato",IF(OR(NOT(ISNUMBER(B56)),B56&lt;1,B56&lt;&gt;INT(B56),COUNTIFS($A$8:$A$1007,A56,$B$8:$B$1007,B56)&lt;&gt;1),"N. esecuzione non valido",IF(OR(NOT(ISNUMBER(C56)),AND(D56&lt;&gt;"Ingresso",D56&lt;&gt;"Uscita"),AND(E56&lt;&gt;"Back",E56&lt;&gt;"Lay")),"Completa data / fase / lato",IF(OR(NOT(ISNUMBER(F56)),F56&lt;=1,NOT(ISNUMBER(G56)),G56&lt;=0),"Correggi quota / stake","OK")))))</x:f>
      </x:c>
    </x:row>
    <x:row r="57" ht="22" customHeight="1">
      <x:c r="A57" s="7"/>
      <x:c r="B57" s="7"/>
      <x:c r="C57" s="19"/>
      <x:c r="D57" s="7"/>
      <x:c r="E57" s="7"/>
      <x:c r="F57" s="27"/>
      <x:c r="G57" s="8"/>
      <x:c r="H57" s="7"/>
      <x:c r="I57" s="7"/>
      <x:c r="J57" s="7"/>
      <x:c r="K57" s="7"/>
      <x:c r="L57" s="20" t="str">
        <x:f>IF(Q57&lt;&gt;"OK","",IF(E57="Back",G57*(F57-1),-G57*(F57-1)))</x:f>
      </x:c>
      <x:c r="M57" s="20" t="str">
        <x:f>IF(Q57&lt;&gt;"OK","",IF(E57="Back",-G57,G57))</x:f>
      </x:c>
      <x:c r="N57" s="20" t="str">
        <x:f>IF(Q57&lt;&gt;"OK","",SUMIFS($L$8:$L$1007,$A$8:$A$1007,A57,$B$8:$B$1007,"&lt;="&amp;B57))</x:f>
      </x:c>
      <x:c r="O57" s="20" t="str">
        <x:f>IF(Q57&lt;&gt;"OK","",SUMIFS($M$8:$M$1007,$A$8:$A$1007,A57,$B$8:$B$1007,"&lt;="&amp;B57))</x:f>
      </x:c>
      <x:c r="P57" s="20" t="str">
        <x:f>IF(Q57&lt;&gt;"OK","",MAX(0,-MIN(N57,O57)))</x:f>
      </x:c>
      <x:c r="Q57" s="18" t="str">
        <x:f>IF(A57="",IF(COUNTA(B57:K57)=0,"","Inserisci ID"),IF(COUNTIFS('Diario'!$A$8:$A$507,A57)&lt;&gt;1,"ID assente / duplicato",IF(OR(NOT(ISNUMBER(B57)),B57&lt;1,B57&lt;&gt;INT(B57),COUNTIFS($A$8:$A$1007,A57,$B$8:$B$1007,B57)&lt;&gt;1),"N. esecuzione non valido",IF(OR(NOT(ISNUMBER(C57)),AND(D57&lt;&gt;"Ingresso",D57&lt;&gt;"Uscita"),AND(E57&lt;&gt;"Back",E57&lt;&gt;"Lay")),"Completa data / fase / lato",IF(OR(NOT(ISNUMBER(F57)),F57&lt;=1,NOT(ISNUMBER(G57)),G57&lt;=0),"Correggi quota / stake","OK")))))</x:f>
      </x:c>
    </x:row>
    <x:row r="58" ht="22" customHeight="1">
      <x:c r="A58" s="7"/>
      <x:c r="B58" s="7"/>
      <x:c r="C58" s="19"/>
      <x:c r="D58" s="7"/>
      <x:c r="E58" s="7"/>
      <x:c r="F58" s="27"/>
      <x:c r="G58" s="8"/>
      <x:c r="H58" s="7"/>
      <x:c r="I58" s="7"/>
      <x:c r="J58" s="7"/>
      <x:c r="K58" s="7"/>
      <x:c r="L58" s="20" t="str">
        <x:f>IF(Q58&lt;&gt;"OK","",IF(E58="Back",G58*(F58-1),-G58*(F58-1)))</x:f>
      </x:c>
      <x:c r="M58" s="20" t="str">
        <x:f>IF(Q58&lt;&gt;"OK","",IF(E58="Back",-G58,G58))</x:f>
      </x:c>
      <x:c r="N58" s="20" t="str">
        <x:f>IF(Q58&lt;&gt;"OK","",SUMIFS($L$8:$L$1007,$A$8:$A$1007,A58,$B$8:$B$1007,"&lt;="&amp;B58))</x:f>
      </x:c>
      <x:c r="O58" s="20" t="str">
        <x:f>IF(Q58&lt;&gt;"OK","",SUMIFS($M$8:$M$1007,$A$8:$A$1007,A58,$B$8:$B$1007,"&lt;="&amp;B58))</x:f>
      </x:c>
      <x:c r="P58" s="20" t="str">
        <x:f>IF(Q58&lt;&gt;"OK","",MAX(0,-MIN(N58,O58)))</x:f>
      </x:c>
      <x:c r="Q58" s="18" t="str">
        <x:f>IF(A58="",IF(COUNTA(B58:K58)=0,"","Inserisci ID"),IF(COUNTIFS('Diario'!$A$8:$A$507,A58)&lt;&gt;1,"ID assente / duplicato",IF(OR(NOT(ISNUMBER(B58)),B58&lt;1,B58&lt;&gt;INT(B58),COUNTIFS($A$8:$A$1007,A58,$B$8:$B$1007,B58)&lt;&gt;1),"N. esecuzione non valido",IF(OR(NOT(ISNUMBER(C58)),AND(D58&lt;&gt;"Ingresso",D58&lt;&gt;"Uscita"),AND(E58&lt;&gt;"Back",E58&lt;&gt;"Lay")),"Completa data / fase / lato",IF(OR(NOT(ISNUMBER(F58)),F58&lt;=1,NOT(ISNUMBER(G58)),G58&lt;=0),"Correggi quota / stake","OK")))))</x:f>
      </x:c>
    </x:row>
    <x:row r="59" ht="22" customHeight="1">
      <x:c r="A59" s="7"/>
      <x:c r="B59" s="7"/>
      <x:c r="C59" s="19"/>
      <x:c r="D59" s="7"/>
      <x:c r="E59" s="7"/>
      <x:c r="F59" s="27"/>
      <x:c r="G59" s="8"/>
      <x:c r="H59" s="7"/>
      <x:c r="I59" s="7"/>
      <x:c r="J59" s="7"/>
      <x:c r="K59" s="7"/>
      <x:c r="L59" s="20" t="str">
        <x:f>IF(Q59&lt;&gt;"OK","",IF(E59="Back",G59*(F59-1),-G59*(F59-1)))</x:f>
      </x:c>
      <x:c r="M59" s="20" t="str">
        <x:f>IF(Q59&lt;&gt;"OK","",IF(E59="Back",-G59,G59))</x:f>
      </x:c>
      <x:c r="N59" s="20" t="str">
        <x:f>IF(Q59&lt;&gt;"OK","",SUMIFS($L$8:$L$1007,$A$8:$A$1007,A59,$B$8:$B$1007,"&lt;="&amp;B59))</x:f>
      </x:c>
      <x:c r="O59" s="20" t="str">
        <x:f>IF(Q59&lt;&gt;"OK","",SUMIFS($M$8:$M$1007,$A$8:$A$1007,A59,$B$8:$B$1007,"&lt;="&amp;B59))</x:f>
      </x:c>
      <x:c r="P59" s="20" t="str">
        <x:f>IF(Q59&lt;&gt;"OK","",MAX(0,-MIN(N59,O59)))</x:f>
      </x:c>
      <x:c r="Q59" s="18" t="str">
        <x:f>IF(A59="",IF(COUNTA(B59:K59)=0,"","Inserisci ID"),IF(COUNTIFS('Diario'!$A$8:$A$507,A59)&lt;&gt;1,"ID assente / duplicato",IF(OR(NOT(ISNUMBER(B59)),B59&lt;1,B59&lt;&gt;INT(B59),COUNTIFS($A$8:$A$1007,A59,$B$8:$B$1007,B59)&lt;&gt;1),"N. esecuzione non valido",IF(OR(NOT(ISNUMBER(C59)),AND(D59&lt;&gt;"Ingresso",D59&lt;&gt;"Uscita"),AND(E59&lt;&gt;"Back",E59&lt;&gt;"Lay")),"Completa data / fase / lato",IF(OR(NOT(ISNUMBER(F59)),F59&lt;=1,NOT(ISNUMBER(G59)),G59&lt;=0),"Correggi quota / stake","OK")))))</x:f>
      </x:c>
    </x:row>
    <x:row r="60" ht="22" customHeight="1">
      <x:c r="A60" s="7"/>
      <x:c r="B60" s="7"/>
      <x:c r="C60" s="19"/>
      <x:c r="D60" s="7"/>
      <x:c r="E60" s="7"/>
      <x:c r="F60" s="27"/>
      <x:c r="G60" s="8"/>
      <x:c r="H60" s="7"/>
      <x:c r="I60" s="7"/>
      <x:c r="J60" s="7"/>
      <x:c r="K60" s="7"/>
      <x:c r="L60" s="20" t="str">
        <x:f>IF(Q60&lt;&gt;"OK","",IF(E60="Back",G60*(F60-1),-G60*(F60-1)))</x:f>
      </x:c>
      <x:c r="M60" s="20" t="str">
        <x:f>IF(Q60&lt;&gt;"OK","",IF(E60="Back",-G60,G60))</x:f>
      </x:c>
      <x:c r="N60" s="20" t="str">
        <x:f>IF(Q60&lt;&gt;"OK","",SUMIFS($L$8:$L$1007,$A$8:$A$1007,A60,$B$8:$B$1007,"&lt;="&amp;B60))</x:f>
      </x:c>
      <x:c r="O60" s="20" t="str">
        <x:f>IF(Q60&lt;&gt;"OK","",SUMIFS($M$8:$M$1007,$A$8:$A$1007,A60,$B$8:$B$1007,"&lt;="&amp;B60))</x:f>
      </x:c>
      <x:c r="P60" s="20" t="str">
        <x:f>IF(Q60&lt;&gt;"OK","",MAX(0,-MIN(N60,O60)))</x:f>
      </x:c>
      <x:c r="Q60" s="18" t="str">
        <x:f>IF(A60="",IF(COUNTA(B60:K60)=0,"","Inserisci ID"),IF(COUNTIFS('Diario'!$A$8:$A$507,A60)&lt;&gt;1,"ID assente / duplicato",IF(OR(NOT(ISNUMBER(B60)),B60&lt;1,B60&lt;&gt;INT(B60),COUNTIFS($A$8:$A$1007,A60,$B$8:$B$1007,B60)&lt;&gt;1),"N. esecuzione non valido",IF(OR(NOT(ISNUMBER(C60)),AND(D60&lt;&gt;"Ingresso",D60&lt;&gt;"Uscita"),AND(E60&lt;&gt;"Back",E60&lt;&gt;"Lay")),"Completa data / fase / lato",IF(OR(NOT(ISNUMBER(F60)),F60&lt;=1,NOT(ISNUMBER(G60)),G60&lt;=0),"Correggi quota / stake","OK")))))</x:f>
      </x:c>
    </x:row>
    <x:row r="61" ht="22" customHeight="1">
      <x:c r="A61" s="7"/>
      <x:c r="B61" s="7"/>
      <x:c r="C61" s="19"/>
      <x:c r="D61" s="7"/>
      <x:c r="E61" s="7"/>
      <x:c r="F61" s="27"/>
      <x:c r="G61" s="8"/>
      <x:c r="H61" s="7"/>
      <x:c r="I61" s="7"/>
      <x:c r="J61" s="7"/>
      <x:c r="K61" s="7"/>
      <x:c r="L61" s="20" t="str">
        <x:f>IF(Q61&lt;&gt;"OK","",IF(E61="Back",G61*(F61-1),-G61*(F61-1)))</x:f>
      </x:c>
      <x:c r="M61" s="20" t="str">
        <x:f>IF(Q61&lt;&gt;"OK","",IF(E61="Back",-G61,G61))</x:f>
      </x:c>
      <x:c r="N61" s="20" t="str">
        <x:f>IF(Q61&lt;&gt;"OK","",SUMIFS($L$8:$L$1007,$A$8:$A$1007,A61,$B$8:$B$1007,"&lt;="&amp;B61))</x:f>
      </x:c>
      <x:c r="O61" s="20" t="str">
        <x:f>IF(Q61&lt;&gt;"OK","",SUMIFS($M$8:$M$1007,$A$8:$A$1007,A61,$B$8:$B$1007,"&lt;="&amp;B61))</x:f>
      </x:c>
      <x:c r="P61" s="20" t="str">
        <x:f>IF(Q61&lt;&gt;"OK","",MAX(0,-MIN(N61,O61)))</x:f>
      </x:c>
      <x:c r="Q61" s="18" t="str">
        <x:f>IF(A61="",IF(COUNTA(B61:K61)=0,"","Inserisci ID"),IF(COUNTIFS('Diario'!$A$8:$A$507,A61)&lt;&gt;1,"ID assente / duplicato",IF(OR(NOT(ISNUMBER(B61)),B61&lt;1,B61&lt;&gt;INT(B61),COUNTIFS($A$8:$A$1007,A61,$B$8:$B$1007,B61)&lt;&gt;1),"N. esecuzione non valido",IF(OR(NOT(ISNUMBER(C61)),AND(D61&lt;&gt;"Ingresso",D61&lt;&gt;"Uscita"),AND(E61&lt;&gt;"Back",E61&lt;&gt;"Lay")),"Completa data / fase / lato",IF(OR(NOT(ISNUMBER(F61)),F61&lt;=1,NOT(ISNUMBER(G61)),G61&lt;=0),"Correggi quota / stake","OK")))))</x:f>
      </x:c>
    </x:row>
    <x:row r="62" ht="22" customHeight="1">
      <x:c r="A62" s="7"/>
      <x:c r="B62" s="7"/>
      <x:c r="C62" s="19"/>
      <x:c r="D62" s="7"/>
      <x:c r="E62" s="7"/>
      <x:c r="F62" s="27"/>
      <x:c r="G62" s="8"/>
      <x:c r="H62" s="7"/>
      <x:c r="I62" s="7"/>
      <x:c r="J62" s="7"/>
      <x:c r="K62" s="7"/>
      <x:c r="L62" s="20" t="str">
        <x:f>IF(Q62&lt;&gt;"OK","",IF(E62="Back",G62*(F62-1),-G62*(F62-1)))</x:f>
      </x:c>
      <x:c r="M62" s="20" t="str">
        <x:f>IF(Q62&lt;&gt;"OK","",IF(E62="Back",-G62,G62))</x:f>
      </x:c>
      <x:c r="N62" s="20" t="str">
        <x:f>IF(Q62&lt;&gt;"OK","",SUMIFS($L$8:$L$1007,$A$8:$A$1007,A62,$B$8:$B$1007,"&lt;="&amp;B62))</x:f>
      </x:c>
      <x:c r="O62" s="20" t="str">
        <x:f>IF(Q62&lt;&gt;"OK","",SUMIFS($M$8:$M$1007,$A$8:$A$1007,A62,$B$8:$B$1007,"&lt;="&amp;B62))</x:f>
      </x:c>
      <x:c r="P62" s="20" t="str">
        <x:f>IF(Q62&lt;&gt;"OK","",MAX(0,-MIN(N62,O62)))</x:f>
      </x:c>
      <x:c r="Q62" s="18" t="str">
        <x:f>IF(A62="",IF(COUNTA(B62:K62)=0,"","Inserisci ID"),IF(COUNTIFS('Diario'!$A$8:$A$507,A62)&lt;&gt;1,"ID assente / duplicato",IF(OR(NOT(ISNUMBER(B62)),B62&lt;1,B62&lt;&gt;INT(B62),COUNTIFS($A$8:$A$1007,A62,$B$8:$B$1007,B62)&lt;&gt;1),"N. esecuzione non valido",IF(OR(NOT(ISNUMBER(C62)),AND(D62&lt;&gt;"Ingresso",D62&lt;&gt;"Uscita"),AND(E62&lt;&gt;"Back",E62&lt;&gt;"Lay")),"Completa data / fase / lato",IF(OR(NOT(ISNUMBER(F62)),F62&lt;=1,NOT(ISNUMBER(G62)),G62&lt;=0),"Correggi quota / stake","OK")))))</x:f>
      </x:c>
    </x:row>
    <x:row r="63" ht="22" customHeight="1">
      <x:c r="A63" s="7"/>
      <x:c r="B63" s="7"/>
      <x:c r="C63" s="19"/>
      <x:c r="D63" s="7"/>
      <x:c r="E63" s="7"/>
      <x:c r="F63" s="27"/>
      <x:c r="G63" s="8"/>
      <x:c r="H63" s="7"/>
      <x:c r="I63" s="7"/>
      <x:c r="J63" s="7"/>
      <x:c r="K63" s="7"/>
      <x:c r="L63" s="20" t="str">
        <x:f>IF(Q63&lt;&gt;"OK","",IF(E63="Back",G63*(F63-1),-G63*(F63-1)))</x:f>
      </x:c>
      <x:c r="M63" s="20" t="str">
        <x:f>IF(Q63&lt;&gt;"OK","",IF(E63="Back",-G63,G63))</x:f>
      </x:c>
      <x:c r="N63" s="20" t="str">
        <x:f>IF(Q63&lt;&gt;"OK","",SUMIFS($L$8:$L$1007,$A$8:$A$1007,A63,$B$8:$B$1007,"&lt;="&amp;B63))</x:f>
      </x:c>
      <x:c r="O63" s="20" t="str">
        <x:f>IF(Q63&lt;&gt;"OK","",SUMIFS($M$8:$M$1007,$A$8:$A$1007,A63,$B$8:$B$1007,"&lt;="&amp;B63))</x:f>
      </x:c>
      <x:c r="P63" s="20" t="str">
        <x:f>IF(Q63&lt;&gt;"OK","",MAX(0,-MIN(N63,O63)))</x:f>
      </x:c>
      <x:c r="Q63" s="18" t="str">
        <x:f>IF(A63="",IF(COUNTA(B63:K63)=0,"","Inserisci ID"),IF(COUNTIFS('Diario'!$A$8:$A$507,A63)&lt;&gt;1,"ID assente / duplicato",IF(OR(NOT(ISNUMBER(B63)),B63&lt;1,B63&lt;&gt;INT(B63),COUNTIFS($A$8:$A$1007,A63,$B$8:$B$1007,B63)&lt;&gt;1),"N. esecuzione non valido",IF(OR(NOT(ISNUMBER(C63)),AND(D63&lt;&gt;"Ingresso",D63&lt;&gt;"Uscita"),AND(E63&lt;&gt;"Back",E63&lt;&gt;"Lay")),"Completa data / fase / lato",IF(OR(NOT(ISNUMBER(F63)),F63&lt;=1,NOT(ISNUMBER(G63)),G63&lt;=0),"Correggi quota / stake","OK")))))</x:f>
      </x:c>
    </x:row>
    <x:row r="64" ht="22" customHeight="1">
      <x:c r="A64" s="7"/>
      <x:c r="B64" s="7"/>
      <x:c r="C64" s="19"/>
      <x:c r="D64" s="7"/>
      <x:c r="E64" s="7"/>
      <x:c r="F64" s="27"/>
      <x:c r="G64" s="8"/>
      <x:c r="H64" s="7"/>
      <x:c r="I64" s="7"/>
      <x:c r="J64" s="7"/>
      <x:c r="K64" s="7"/>
      <x:c r="L64" s="20" t="str">
        <x:f>IF(Q64&lt;&gt;"OK","",IF(E64="Back",G64*(F64-1),-G64*(F64-1)))</x:f>
      </x:c>
      <x:c r="M64" s="20" t="str">
        <x:f>IF(Q64&lt;&gt;"OK","",IF(E64="Back",-G64,G64))</x:f>
      </x:c>
      <x:c r="N64" s="20" t="str">
        <x:f>IF(Q64&lt;&gt;"OK","",SUMIFS($L$8:$L$1007,$A$8:$A$1007,A64,$B$8:$B$1007,"&lt;="&amp;B64))</x:f>
      </x:c>
      <x:c r="O64" s="20" t="str">
        <x:f>IF(Q64&lt;&gt;"OK","",SUMIFS($M$8:$M$1007,$A$8:$A$1007,A64,$B$8:$B$1007,"&lt;="&amp;B64))</x:f>
      </x:c>
      <x:c r="P64" s="20" t="str">
        <x:f>IF(Q64&lt;&gt;"OK","",MAX(0,-MIN(N64,O64)))</x:f>
      </x:c>
      <x:c r="Q64" s="18" t="str">
        <x:f>IF(A64="",IF(COUNTA(B64:K64)=0,"","Inserisci ID"),IF(COUNTIFS('Diario'!$A$8:$A$507,A64)&lt;&gt;1,"ID assente / duplicato",IF(OR(NOT(ISNUMBER(B64)),B64&lt;1,B64&lt;&gt;INT(B64),COUNTIFS($A$8:$A$1007,A64,$B$8:$B$1007,B64)&lt;&gt;1),"N. esecuzione non valido",IF(OR(NOT(ISNUMBER(C64)),AND(D64&lt;&gt;"Ingresso",D64&lt;&gt;"Uscita"),AND(E64&lt;&gt;"Back",E64&lt;&gt;"Lay")),"Completa data / fase / lato",IF(OR(NOT(ISNUMBER(F64)),F64&lt;=1,NOT(ISNUMBER(G64)),G64&lt;=0),"Correggi quota / stake","OK")))))</x:f>
      </x:c>
    </x:row>
    <x:row r="65" ht="22" customHeight="1">
      <x:c r="A65" s="7"/>
      <x:c r="B65" s="7"/>
      <x:c r="C65" s="19"/>
      <x:c r="D65" s="7"/>
      <x:c r="E65" s="7"/>
      <x:c r="F65" s="27"/>
      <x:c r="G65" s="8"/>
      <x:c r="H65" s="7"/>
      <x:c r="I65" s="7"/>
      <x:c r="J65" s="7"/>
      <x:c r="K65" s="7"/>
      <x:c r="L65" s="20" t="str">
        <x:f>IF(Q65&lt;&gt;"OK","",IF(E65="Back",G65*(F65-1),-G65*(F65-1)))</x:f>
      </x:c>
      <x:c r="M65" s="20" t="str">
        <x:f>IF(Q65&lt;&gt;"OK","",IF(E65="Back",-G65,G65))</x:f>
      </x:c>
      <x:c r="N65" s="20" t="str">
        <x:f>IF(Q65&lt;&gt;"OK","",SUMIFS($L$8:$L$1007,$A$8:$A$1007,A65,$B$8:$B$1007,"&lt;="&amp;B65))</x:f>
      </x:c>
      <x:c r="O65" s="20" t="str">
        <x:f>IF(Q65&lt;&gt;"OK","",SUMIFS($M$8:$M$1007,$A$8:$A$1007,A65,$B$8:$B$1007,"&lt;="&amp;B65))</x:f>
      </x:c>
      <x:c r="P65" s="20" t="str">
        <x:f>IF(Q65&lt;&gt;"OK","",MAX(0,-MIN(N65,O65)))</x:f>
      </x:c>
      <x:c r="Q65" s="18" t="str">
        <x:f>IF(A65="",IF(COUNTA(B65:K65)=0,"","Inserisci ID"),IF(COUNTIFS('Diario'!$A$8:$A$507,A65)&lt;&gt;1,"ID assente / duplicato",IF(OR(NOT(ISNUMBER(B65)),B65&lt;1,B65&lt;&gt;INT(B65),COUNTIFS($A$8:$A$1007,A65,$B$8:$B$1007,B65)&lt;&gt;1),"N. esecuzione non valido",IF(OR(NOT(ISNUMBER(C65)),AND(D65&lt;&gt;"Ingresso",D65&lt;&gt;"Uscita"),AND(E65&lt;&gt;"Back",E65&lt;&gt;"Lay")),"Completa data / fase / lato",IF(OR(NOT(ISNUMBER(F65)),F65&lt;=1,NOT(ISNUMBER(G65)),G65&lt;=0),"Correggi quota / stake","OK")))))</x:f>
      </x:c>
    </x:row>
    <x:row r="66" ht="22" customHeight="1">
      <x:c r="A66" s="24"/>
      <x:c r="B66" s="24"/>
      <x:c r="C66" s="26"/>
      <x:c r="D66" s="24"/>
      <x:c r="E66" s="24"/>
      <x:c r="F66" s="28"/>
      <x:c r="G66" s="29"/>
      <x:c r="H66" s="24"/>
      <x:c r="I66" s="24"/>
      <x:c r="J66" s="24"/>
      <x:c r="K66" s="24"/>
      <x:c r="L66" s="20" t="str">
        <x:f>IF(Q66&lt;&gt;"OK","",IF(E66="Back",G66*(F66-1),-G66*(F66-1)))</x:f>
      </x:c>
      <x:c r="M66" s="20" t="str">
        <x:f>IF(Q66&lt;&gt;"OK","",IF(E66="Back",-G66,G66))</x:f>
      </x:c>
      <x:c r="N66" s="20" t="str">
        <x:f>IF(Q66&lt;&gt;"OK","",SUMIFS($L$8:$L$1007,$A$8:$A$1007,A66,$B$8:$B$1007,"&lt;="&amp;B66))</x:f>
      </x:c>
      <x:c r="O66" s="20" t="str">
        <x:f>IF(Q66&lt;&gt;"OK","",SUMIFS($M$8:$M$1007,$A$8:$A$1007,A66,$B$8:$B$1007,"&lt;="&amp;B66))</x:f>
      </x:c>
      <x:c r="P66" s="20" t="str">
        <x:f>IF(Q66&lt;&gt;"OK","",MAX(0,-MIN(N66,O66)))</x:f>
      </x:c>
      <x:c r="Q66" s="18" t="str">
        <x:f>IF(A66="",IF(COUNTA(B66:K66)=0,"","Inserisci ID"),IF(COUNTIFS('Diario'!$A$8:$A$507,A66)&lt;&gt;1,"ID assente / duplicato",IF(OR(NOT(ISNUMBER(B66)),B66&lt;1,B66&lt;&gt;INT(B66),COUNTIFS($A$8:$A$1007,A66,$B$8:$B$1007,B66)&lt;&gt;1),"N. esecuzione non valido",IF(OR(NOT(ISNUMBER(C66)),AND(D66&lt;&gt;"Ingresso",D66&lt;&gt;"Uscita"),AND(E66&lt;&gt;"Back",E66&lt;&gt;"Lay")),"Completa data / fase / lato",IF(OR(NOT(ISNUMBER(F66)),F66&lt;=1,NOT(ISNUMBER(G66)),G66&lt;=0),"Correggi quota / stake","OK")))))</x:f>
      </x:c>
    </x:row>
    <x:row r="67" ht="22" customHeight="1">
      <x:c r="A67" s="24"/>
      <x:c r="B67" s="24"/>
      <x:c r="C67" s="26"/>
      <x:c r="D67" s="24"/>
      <x:c r="E67" s="24"/>
      <x:c r="F67" s="28"/>
      <x:c r="G67" s="29"/>
      <x:c r="H67" s="24"/>
      <x:c r="I67" s="24"/>
      <x:c r="J67" s="24"/>
      <x:c r="K67" s="24"/>
      <x:c r="L67" s="20" t="str">
        <x:f>IF(Q67&lt;&gt;"OK","",IF(E67="Back",G67*(F67-1),-G67*(F67-1)))</x:f>
      </x:c>
      <x:c r="M67" s="20" t="str">
        <x:f>IF(Q67&lt;&gt;"OK","",IF(E67="Back",-G67,G67))</x:f>
      </x:c>
      <x:c r="N67" s="20" t="str">
        <x:f>IF(Q67&lt;&gt;"OK","",SUMIFS($L$8:$L$1007,$A$8:$A$1007,A67,$B$8:$B$1007,"&lt;="&amp;B67))</x:f>
      </x:c>
      <x:c r="O67" s="20" t="str">
        <x:f>IF(Q67&lt;&gt;"OK","",SUMIFS($M$8:$M$1007,$A$8:$A$1007,A67,$B$8:$B$1007,"&lt;="&amp;B67))</x:f>
      </x:c>
      <x:c r="P67" s="20" t="str">
        <x:f>IF(Q67&lt;&gt;"OK","",MAX(0,-MIN(N67,O67)))</x:f>
      </x:c>
      <x:c r="Q67" s="18" t="str">
        <x:f>IF(A67="",IF(COUNTA(B67:K67)=0,"","Inserisci ID"),IF(COUNTIFS('Diario'!$A$8:$A$507,A67)&lt;&gt;1,"ID assente / duplicato",IF(OR(NOT(ISNUMBER(B67)),B67&lt;1,B67&lt;&gt;INT(B67),COUNTIFS($A$8:$A$1007,A67,$B$8:$B$1007,B67)&lt;&gt;1),"N. esecuzione non valido",IF(OR(NOT(ISNUMBER(C67)),AND(D67&lt;&gt;"Ingresso",D67&lt;&gt;"Uscita"),AND(E67&lt;&gt;"Back",E67&lt;&gt;"Lay")),"Completa data / fase / lato",IF(OR(NOT(ISNUMBER(F67)),F67&lt;=1,NOT(ISNUMBER(G67)),G67&lt;=0),"Correggi quota / stake","OK")))))</x:f>
      </x:c>
    </x:row>
    <x:row r="68" ht="22" customHeight="1">
      <x:c r="A68" s="24"/>
      <x:c r="B68" s="24"/>
      <x:c r="C68" s="26"/>
      <x:c r="D68" s="24"/>
      <x:c r="E68" s="24"/>
      <x:c r="F68" s="28"/>
      <x:c r="G68" s="29"/>
      <x:c r="H68" s="24"/>
      <x:c r="I68" s="24"/>
      <x:c r="J68" s="24"/>
      <x:c r="K68" s="24"/>
      <x:c r="L68" s="20" t="str">
        <x:f>IF(Q68&lt;&gt;"OK","",IF(E68="Back",G68*(F68-1),-G68*(F68-1)))</x:f>
      </x:c>
      <x:c r="M68" s="20" t="str">
        <x:f>IF(Q68&lt;&gt;"OK","",IF(E68="Back",-G68,G68))</x:f>
      </x:c>
      <x:c r="N68" s="20" t="str">
        <x:f>IF(Q68&lt;&gt;"OK","",SUMIFS($L$8:$L$1007,$A$8:$A$1007,A68,$B$8:$B$1007,"&lt;="&amp;B68))</x:f>
      </x:c>
      <x:c r="O68" s="20" t="str">
        <x:f>IF(Q68&lt;&gt;"OK","",SUMIFS($M$8:$M$1007,$A$8:$A$1007,A68,$B$8:$B$1007,"&lt;="&amp;B68))</x:f>
      </x:c>
      <x:c r="P68" s="20" t="str">
        <x:f>IF(Q68&lt;&gt;"OK","",MAX(0,-MIN(N68,O68)))</x:f>
      </x:c>
      <x:c r="Q68" s="18" t="str">
        <x:f>IF(A68="",IF(COUNTA(B68:K68)=0,"","Inserisci ID"),IF(COUNTIFS('Diario'!$A$8:$A$507,A68)&lt;&gt;1,"ID assente / duplicato",IF(OR(NOT(ISNUMBER(B68)),B68&lt;1,B68&lt;&gt;INT(B68),COUNTIFS($A$8:$A$1007,A68,$B$8:$B$1007,B68)&lt;&gt;1),"N. esecuzione non valido",IF(OR(NOT(ISNUMBER(C68)),AND(D68&lt;&gt;"Ingresso",D68&lt;&gt;"Uscita"),AND(E68&lt;&gt;"Back",E68&lt;&gt;"Lay")),"Completa data / fase / lato",IF(OR(NOT(ISNUMBER(F68)),F68&lt;=1,NOT(ISNUMBER(G68)),G68&lt;=0),"Correggi quota / stake","OK")))))</x:f>
      </x:c>
    </x:row>
    <x:row r="69" ht="22" customHeight="1">
      <x:c r="A69" s="24"/>
      <x:c r="B69" s="24"/>
      <x:c r="C69" s="26"/>
      <x:c r="D69" s="24"/>
      <x:c r="E69" s="24"/>
      <x:c r="F69" s="28"/>
      <x:c r="G69" s="29"/>
      <x:c r="H69" s="24"/>
      <x:c r="I69" s="24"/>
      <x:c r="J69" s="24"/>
      <x:c r="K69" s="24"/>
      <x:c r="L69" s="20" t="str">
        <x:f>IF(Q69&lt;&gt;"OK","",IF(E69="Back",G69*(F69-1),-G69*(F69-1)))</x:f>
      </x:c>
      <x:c r="M69" s="20" t="str">
        <x:f>IF(Q69&lt;&gt;"OK","",IF(E69="Back",-G69,G69))</x:f>
      </x:c>
      <x:c r="N69" s="20" t="str">
        <x:f>IF(Q69&lt;&gt;"OK","",SUMIFS($L$8:$L$1007,$A$8:$A$1007,A69,$B$8:$B$1007,"&lt;="&amp;B69))</x:f>
      </x:c>
      <x:c r="O69" s="20" t="str">
        <x:f>IF(Q69&lt;&gt;"OK","",SUMIFS($M$8:$M$1007,$A$8:$A$1007,A69,$B$8:$B$1007,"&lt;="&amp;B69))</x:f>
      </x:c>
      <x:c r="P69" s="20" t="str">
        <x:f>IF(Q69&lt;&gt;"OK","",MAX(0,-MIN(N69,O69)))</x:f>
      </x:c>
      <x:c r="Q69" s="18" t="str">
        <x:f>IF(A69="",IF(COUNTA(B69:K69)=0,"","Inserisci ID"),IF(COUNTIFS('Diario'!$A$8:$A$507,A69)&lt;&gt;1,"ID assente / duplicato",IF(OR(NOT(ISNUMBER(B69)),B69&lt;1,B69&lt;&gt;INT(B69),COUNTIFS($A$8:$A$1007,A69,$B$8:$B$1007,B69)&lt;&gt;1),"N. esecuzione non valido",IF(OR(NOT(ISNUMBER(C69)),AND(D69&lt;&gt;"Ingresso",D69&lt;&gt;"Uscita"),AND(E69&lt;&gt;"Back",E69&lt;&gt;"Lay")),"Completa data / fase / lato",IF(OR(NOT(ISNUMBER(F69)),F69&lt;=1,NOT(ISNUMBER(G69)),G69&lt;=0),"Correggi quota / stake","OK")))))</x:f>
      </x:c>
    </x:row>
    <x:row r="70" ht="22" customHeight="1">
      <x:c r="A70" s="24"/>
      <x:c r="B70" s="24"/>
      <x:c r="C70" s="26"/>
      <x:c r="D70" s="24"/>
      <x:c r="E70" s="24"/>
      <x:c r="F70" s="28"/>
      <x:c r="G70" s="29"/>
      <x:c r="H70" s="24"/>
      <x:c r="I70" s="24"/>
      <x:c r="J70" s="24"/>
      <x:c r="K70" s="24"/>
      <x:c r="L70" s="20" t="str">
        <x:f>IF(Q70&lt;&gt;"OK","",IF(E70="Back",G70*(F70-1),-G70*(F70-1)))</x:f>
      </x:c>
      <x:c r="M70" s="20" t="str">
        <x:f>IF(Q70&lt;&gt;"OK","",IF(E70="Back",-G70,G70))</x:f>
      </x:c>
      <x:c r="N70" s="20" t="str">
        <x:f>IF(Q70&lt;&gt;"OK","",SUMIFS($L$8:$L$1007,$A$8:$A$1007,A70,$B$8:$B$1007,"&lt;="&amp;B70))</x:f>
      </x:c>
      <x:c r="O70" s="20" t="str">
        <x:f>IF(Q70&lt;&gt;"OK","",SUMIFS($M$8:$M$1007,$A$8:$A$1007,A70,$B$8:$B$1007,"&lt;="&amp;B70))</x:f>
      </x:c>
      <x:c r="P70" s="20" t="str">
        <x:f>IF(Q70&lt;&gt;"OK","",MAX(0,-MIN(N70,O70)))</x:f>
      </x:c>
      <x:c r="Q70" s="18" t="str">
        <x:f>IF(A70="",IF(COUNTA(B70:K70)=0,"","Inserisci ID"),IF(COUNTIFS('Diario'!$A$8:$A$507,A70)&lt;&gt;1,"ID assente / duplicato",IF(OR(NOT(ISNUMBER(B70)),B70&lt;1,B70&lt;&gt;INT(B70),COUNTIFS($A$8:$A$1007,A70,$B$8:$B$1007,B70)&lt;&gt;1),"N. esecuzione non valido",IF(OR(NOT(ISNUMBER(C70)),AND(D70&lt;&gt;"Ingresso",D70&lt;&gt;"Uscita"),AND(E70&lt;&gt;"Back",E70&lt;&gt;"Lay")),"Completa data / fase / lato",IF(OR(NOT(ISNUMBER(F70)),F70&lt;=1,NOT(ISNUMBER(G70)),G70&lt;=0),"Correggi quota / stake","OK")))))</x:f>
      </x:c>
    </x:row>
    <x:row r="71" ht="22" customHeight="1">
      <x:c r="A71" s="24"/>
      <x:c r="B71" s="24"/>
      <x:c r="C71" s="26"/>
      <x:c r="D71" s="24"/>
      <x:c r="E71" s="24"/>
      <x:c r="F71" s="28"/>
      <x:c r="G71" s="29"/>
      <x:c r="H71" s="24"/>
      <x:c r="I71" s="24"/>
      <x:c r="J71" s="24"/>
      <x:c r="K71" s="24"/>
      <x:c r="L71" s="20" t="str">
        <x:f>IF(Q71&lt;&gt;"OK","",IF(E71="Back",G71*(F71-1),-G71*(F71-1)))</x:f>
      </x:c>
      <x:c r="M71" s="20" t="str">
        <x:f>IF(Q71&lt;&gt;"OK","",IF(E71="Back",-G71,G71))</x:f>
      </x:c>
      <x:c r="N71" s="20" t="str">
        <x:f>IF(Q71&lt;&gt;"OK","",SUMIFS($L$8:$L$1007,$A$8:$A$1007,A71,$B$8:$B$1007,"&lt;="&amp;B71))</x:f>
      </x:c>
      <x:c r="O71" s="20" t="str">
        <x:f>IF(Q71&lt;&gt;"OK","",SUMIFS($M$8:$M$1007,$A$8:$A$1007,A71,$B$8:$B$1007,"&lt;="&amp;B71))</x:f>
      </x:c>
      <x:c r="P71" s="20" t="str">
        <x:f>IF(Q71&lt;&gt;"OK","",MAX(0,-MIN(N71,O71)))</x:f>
      </x:c>
      <x:c r="Q71" s="18" t="str">
        <x:f>IF(A71="",IF(COUNTA(B71:K71)=0,"","Inserisci ID"),IF(COUNTIFS('Diario'!$A$8:$A$507,A71)&lt;&gt;1,"ID assente / duplicato",IF(OR(NOT(ISNUMBER(B71)),B71&lt;1,B71&lt;&gt;INT(B71),COUNTIFS($A$8:$A$1007,A71,$B$8:$B$1007,B71)&lt;&gt;1),"N. esecuzione non valido",IF(OR(NOT(ISNUMBER(C71)),AND(D71&lt;&gt;"Ingresso",D71&lt;&gt;"Uscita"),AND(E71&lt;&gt;"Back",E71&lt;&gt;"Lay")),"Completa data / fase / lato",IF(OR(NOT(ISNUMBER(F71)),F71&lt;=1,NOT(ISNUMBER(G71)),G71&lt;=0),"Correggi quota / stake","OK")))))</x:f>
      </x:c>
    </x:row>
    <x:row r="72" ht="22" customHeight="1">
      <x:c r="A72" s="24"/>
      <x:c r="B72" s="24"/>
      <x:c r="C72" s="26"/>
      <x:c r="D72" s="24"/>
      <x:c r="E72" s="24"/>
      <x:c r="F72" s="28"/>
      <x:c r="G72" s="29"/>
      <x:c r="H72" s="24"/>
      <x:c r="I72" s="24"/>
      <x:c r="J72" s="24"/>
      <x:c r="K72" s="24"/>
      <x:c r="L72" s="20" t="str">
        <x:f>IF(Q72&lt;&gt;"OK","",IF(E72="Back",G72*(F72-1),-G72*(F72-1)))</x:f>
      </x:c>
      <x:c r="M72" s="20" t="str">
        <x:f>IF(Q72&lt;&gt;"OK","",IF(E72="Back",-G72,G72))</x:f>
      </x:c>
      <x:c r="N72" s="20" t="str">
        <x:f>IF(Q72&lt;&gt;"OK","",SUMIFS($L$8:$L$1007,$A$8:$A$1007,A72,$B$8:$B$1007,"&lt;="&amp;B72))</x:f>
      </x:c>
      <x:c r="O72" s="20" t="str">
        <x:f>IF(Q72&lt;&gt;"OK","",SUMIFS($M$8:$M$1007,$A$8:$A$1007,A72,$B$8:$B$1007,"&lt;="&amp;B72))</x:f>
      </x:c>
      <x:c r="P72" s="20" t="str">
        <x:f>IF(Q72&lt;&gt;"OK","",MAX(0,-MIN(N72,O72)))</x:f>
      </x:c>
      <x:c r="Q72" s="18" t="str">
        <x:f>IF(A72="",IF(COUNTA(B72:K72)=0,"","Inserisci ID"),IF(COUNTIFS('Diario'!$A$8:$A$507,A72)&lt;&gt;1,"ID assente / duplicato",IF(OR(NOT(ISNUMBER(B72)),B72&lt;1,B72&lt;&gt;INT(B72),COUNTIFS($A$8:$A$1007,A72,$B$8:$B$1007,B72)&lt;&gt;1),"N. esecuzione non valido",IF(OR(NOT(ISNUMBER(C72)),AND(D72&lt;&gt;"Ingresso",D72&lt;&gt;"Uscita"),AND(E72&lt;&gt;"Back",E72&lt;&gt;"Lay")),"Completa data / fase / lato",IF(OR(NOT(ISNUMBER(F72)),F72&lt;=1,NOT(ISNUMBER(G72)),G72&lt;=0),"Correggi quota / stake","OK")))))</x:f>
      </x:c>
    </x:row>
    <x:row r="73" ht="22" customHeight="1">
      <x:c r="A73" s="24"/>
      <x:c r="B73" s="24"/>
      <x:c r="C73" s="26"/>
      <x:c r="D73" s="24"/>
      <x:c r="E73" s="24"/>
      <x:c r="F73" s="28"/>
      <x:c r="G73" s="29"/>
      <x:c r="H73" s="24"/>
      <x:c r="I73" s="24"/>
      <x:c r="J73" s="24"/>
      <x:c r="K73" s="24"/>
      <x:c r="L73" s="20" t="str">
        <x:f>IF(Q73&lt;&gt;"OK","",IF(E73="Back",G73*(F73-1),-G73*(F73-1)))</x:f>
      </x:c>
      <x:c r="M73" s="20" t="str">
        <x:f>IF(Q73&lt;&gt;"OK","",IF(E73="Back",-G73,G73))</x:f>
      </x:c>
      <x:c r="N73" s="20" t="str">
        <x:f>IF(Q73&lt;&gt;"OK","",SUMIFS($L$8:$L$1007,$A$8:$A$1007,A73,$B$8:$B$1007,"&lt;="&amp;B73))</x:f>
      </x:c>
      <x:c r="O73" s="20" t="str">
        <x:f>IF(Q73&lt;&gt;"OK","",SUMIFS($M$8:$M$1007,$A$8:$A$1007,A73,$B$8:$B$1007,"&lt;="&amp;B73))</x:f>
      </x:c>
      <x:c r="P73" s="20" t="str">
        <x:f>IF(Q73&lt;&gt;"OK","",MAX(0,-MIN(N73,O73)))</x:f>
      </x:c>
      <x:c r="Q73" s="18" t="str">
        <x:f>IF(A73="",IF(COUNTA(B73:K73)=0,"","Inserisci ID"),IF(COUNTIFS('Diario'!$A$8:$A$507,A73)&lt;&gt;1,"ID assente / duplicato",IF(OR(NOT(ISNUMBER(B73)),B73&lt;1,B73&lt;&gt;INT(B73),COUNTIFS($A$8:$A$1007,A73,$B$8:$B$1007,B73)&lt;&gt;1),"N. esecuzione non valido",IF(OR(NOT(ISNUMBER(C73)),AND(D73&lt;&gt;"Ingresso",D73&lt;&gt;"Uscita"),AND(E73&lt;&gt;"Back",E73&lt;&gt;"Lay")),"Completa data / fase / lato",IF(OR(NOT(ISNUMBER(F73)),F73&lt;=1,NOT(ISNUMBER(G73)),G73&lt;=0),"Correggi quota / stake","OK")))))</x:f>
      </x:c>
    </x:row>
    <x:row r="74" ht="22" customHeight="1">
      <x:c r="A74" s="24"/>
      <x:c r="B74" s="24"/>
      <x:c r="C74" s="26"/>
      <x:c r="D74" s="24"/>
      <x:c r="E74" s="24"/>
      <x:c r="F74" s="28"/>
      <x:c r="G74" s="29"/>
      <x:c r="H74" s="24"/>
      <x:c r="I74" s="24"/>
      <x:c r="J74" s="24"/>
      <x:c r="K74" s="24"/>
      <x:c r="L74" s="20" t="str">
        <x:f>IF(Q74&lt;&gt;"OK","",IF(E74="Back",G74*(F74-1),-G74*(F74-1)))</x:f>
      </x:c>
      <x:c r="M74" s="20" t="str">
        <x:f>IF(Q74&lt;&gt;"OK","",IF(E74="Back",-G74,G74))</x:f>
      </x:c>
      <x:c r="N74" s="20" t="str">
        <x:f>IF(Q74&lt;&gt;"OK","",SUMIFS($L$8:$L$1007,$A$8:$A$1007,A74,$B$8:$B$1007,"&lt;="&amp;B74))</x:f>
      </x:c>
      <x:c r="O74" s="20" t="str">
        <x:f>IF(Q74&lt;&gt;"OK","",SUMIFS($M$8:$M$1007,$A$8:$A$1007,A74,$B$8:$B$1007,"&lt;="&amp;B74))</x:f>
      </x:c>
      <x:c r="P74" s="20" t="str">
        <x:f>IF(Q74&lt;&gt;"OK","",MAX(0,-MIN(N74,O74)))</x:f>
      </x:c>
      <x:c r="Q74" s="18" t="str">
        <x:f>IF(A74="",IF(COUNTA(B74:K74)=0,"","Inserisci ID"),IF(COUNTIFS('Diario'!$A$8:$A$507,A74)&lt;&gt;1,"ID assente / duplicato",IF(OR(NOT(ISNUMBER(B74)),B74&lt;1,B74&lt;&gt;INT(B74),COUNTIFS($A$8:$A$1007,A74,$B$8:$B$1007,B74)&lt;&gt;1),"N. esecuzione non valido",IF(OR(NOT(ISNUMBER(C74)),AND(D74&lt;&gt;"Ingresso",D74&lt;&gt;"Uscita"),AND(E74&lt;&gt;"Back",E74&lt;&gt;"Lay")),"Completa data / fase / lato",IF(OR(NOT(ISNUMBER(F74)),F74&lt;=1,NOT(ISNUMBER(G74)),G74&lt;=0),"Correggi quota / stake","OK")))))</x:f>
      </x:c>
    </x:row>
    <x:row r="75" ht="22" customHeight="1">
      <x:c r="A75" s="24"/>
      <x:c r="B75" s="24"/>
      <x:c r="C75" s="26"/>
      <x:c r="D75" s="24"/>
      <x:c r="E75" s="24"/>
      <x:c r="F75" s="28"/>
      <x:c r="G75" s="29"/>
      <x:c r="H75" s="24"/>
      <x:c r="I75" s="24"/>
      <x:c r="J75" s="24"/>
      <x:c r="K75" s="24"/>
      <x:c r="L75" s="20" t="str">
        <x:f>IF(Q75&lt;&gt;"OK","",IF(E75="Back",G75*(F75-1),-G75*(F75-1)))</x:f>
      </x:c>
      <x:c r="M75" s="20" t="str">
        <x:f>IF(Q75&lt;&gt;"OK","",IF(E75="Back",-G75,G75))</x:f>
      </x:c>
      <x:c r="N75" s="20" t="str">
        <x:f>IF(Q75&lt;&gt;"OK","",SUMIFS($L$8:$L$1007,$A$8:$A$1007,A75,$B$8:$B$1007,"&lt;="&amp;B75))</x:f>
      </x:c>
      <x:c r="O75" s="20" t="str">
        <x:f>IF(Q75&lt;&gt;"OK","",SUMIFS($M$8:$M$1007,$A$8:$A$1007,A75,$B$8:$B$1007,"&lt;="&amp;B75))</x:f>
      </x:c>
      <x:c r="P75" s="20" t="str">
        <x:f>IF(Q75&lt;&gt;"OK","",MAX(0,-MIN(N75,O75)))</x:f>
      </x:c>
      <x:c r="Q75" s="18" t="str">
        <x:f>IF(A75="",IF(COUNTA(B75:K75)=0,"","Inserisci ID"),IF(COUNTIFS('Diario'!$A$8:$A$507,A75)&lt;&gt;1,"ID assente / duplicato",IF(OR(NOT(ISNUMBER(B75)),B75&lt;1,B75&lt;&gt;INT(B75),COUNTIFS($A$8:$A$1007,A75,$B$8:$B$1007,B75)&lt;&gt;1),"N. esecuzione non valido",IF(OR(NOT(ISNUMBER(C75)),AND(D75&lt;&gt;"Ingresso",D75&lt;&gt;"Uscita"),AND(E75&lt;&gt;"Back",E75&lt;&gt;"Lay")),"Completa data / fase / lato",IF(OR(NOT(ISNUMBER(F75)),F75&lt;=1,NOT(ISNUMBER(G75)),G75&lt;=0),"Correggi quota / stake","OK")))))</x:f>
      </x:c>
    </x:row>
    <x:row r="76" ht="22" customHeight="1">
      <x:c r="A76" s="24"/>
      <x:c r="B76" s="24"/>
      <x:c r="C76" s="26"/>
      <x:c r="D76" s="24"/>
      <x:c r="E76" s="24"/>
      <x:c r="F76" s="28"/>
      <x:c r="G76" s="29"/>
      <x:c r="H76" s="24"/>
      <x:c r="I76" s="24"/>
      <x:c r="J76" s="24"/>
      <x:c r="K76" s="24"/>
      <x:c r="L76" s="20" t="str">
        <x:f>IF(Q76&lt;&gt;"OK","",IF(E76="Back",G76*(F76-1),-G76*(F76-1)))</x:f>
      </x:c>
      <x:c r="M76" s="20" t="str">
        <x:f>IF(Q76&lt;&gt;"OK","",IF(E76="Back",-G76,G76))</x:f>
      </x:c>
      <x:c r="N76" s="20" t="str">
        <x:f>IF(Q76&lt;&gt;"OK","",SUMIFS($L$8:$L$1007,$A$8:$A$1007,A76,$B$8:$B$1007,"&lt;="&amp;B76))</x:f>
      </x:c>
      <x:c r="O76" s="20" t="str">
        <x:f>IF(Q76&lt;&gt;"OK","",SUMIFS($M$8:$M$1007,$A$8:$A$1007,A76,$B$8:$B$1007,"&lt;="&amp;B76))</x:f>
      </x:c>
      <x:c r="P76" s="20" t="str">
        <x:f>IF(Q76&lt;&gt;"OK","",MAX(0,-MIN(N76,O76)))</x:f>
      </x:c>
      <x:c r="Q76" s="18" t="str">
        <x:f>IF(A76="",IF(COUNTA(B76:K76)=0,"","Inserisci ID"),IF(COUNTIFS('Diario'!$A$8:$A$507,A76)&lt;&gt;1,"ID assente / duplicato",IF(OR(NOT(ISNUMBER(B76)),B76&lt;1,B76&lt;&gt;INT(B76),COUNTIFS($A$8:$A$1007,A76,$B$8:$B$1007,B76)&lt;&gt;1),"N. esecuzione non valido",IF(OR(NOT(ISNUMBER(C76)),AND(D76&lt;&gt;"Ingresso",D76&lt;&gt;"Uscita"),AND(E76&lt;&gt;"Back",E76&lt;&gt;"Lay")),"Completa data / fase / lato",IF(OR(NOT(ISNUMBER(F76)),F76&lt;=1,NOT(ISNUMBER(G76)),G76&lt;=0),"Correggi quota / stake","OK")))))</x:f>
      </x:c>
    </x:row>
    <x:row r="77" ht="22" customHeight="1">
      <x:c r="A77" s="24"/>
      <x:c r="B77" s="24"/>
      <x:c r="C77" s="26"/>
      <x:c r="D77" s="24"/>
      <x:c r="E77" s="24"/>
      <x:c r="F77" s="28"/>
      <x:c r="G77" s="29"/>
      <x:c r="H77" s="24"/>
      <x:c r="I77" s="24"/>
      <x:c r="J77" s="24"/>
      <x:c r="K77" s="24"/>
      <x:c r="L77" s="20" t="str">
        <x:f>IF(Q77&lt;&gt;"OK","",IF(E77="Back",G77*(F77-1),-G77*(F77-1)))</x:f>
      </x:c>
      <x:c r="M77" s="20" t="str">
        <x:f>IF(Q77&lt;&gt;"OK","",IF(E77="Back",-G77,G77))</x:f>
      </x:c>
      <x:c r="N77" s="20" t="str">
        <x:f>IF(Q77&lt;&gt;"OK","",SUMIFS($L$8:$L$1007,$A$8:$A$1007,A77,$B$8:$B$1007,"&lt;="&amp;B77))</x:f>
      </x:c>
      <x:c r="O77" s="20" t="str">
        <x:f>IF(Q77&lt;&gt;"OK","",SUMIFS($M$8:$M$1007,$A$8:$A$1007,A77,$B$8:$B$1007,"&lt;="&amp;B77))</x:f>
      </x:c>
      <x:c r="P77" s="20" t="str">
        <x:f>IF(Q77&lt;&gt;"OK","",MAX(0,-MIN(N77,O77)))</x:f>
      </x:c>
      <x:c r="Q77" s="18" t="str">
        <x:f>IF(A77="",IF(COUNTA(B77:K77)=0,"","Inserisci ID"),IF(COUNTIFS('Diario'!$A$8:$A$507,A77)&lt;&gt;1,"ID assente / duplicato",IF(OR(NOT(ISNUMBER(B77)),B77&lt;1,B77&lt;&gt;INT(B77),COUNTIFS($A$8:$A$1007,A77,$B$8:$B$1007,B77)&lt;&gt;1),"N. esecuzione non valido",IF(OR(NOT(ISNUMBER(C77)),AND(D77&lt;&gt;"Ingresso",D77&lt;&gt;"Uscita"),AND(E77&lt;&gt;"Back",E77&lt;&gt;"Lay")),"Completa data / fase / lato",IF(OR(NOT(ISNUMBER(F77)),F77&lt;=1,NOT(ISNUMBER(G77)),G77&lt;=0),"Correggi quota / stake","OK")))))</x:f>
      </x:c>
    </x:row>
    <x:row r="78" ht="22" customHeight="1">
      <x:c r="A78" s="24"/>
      <x:c r="B78" s="24"/>
      <x:c r="C78" s="26"/>
      <x:c r="D78" s="24"/>
      <x:c r="E78" s="24"/>
      <x:c r="F78" s="28"/>
      <x:c r="G78" s="29"/>
      <x:c r="H78" s="24"/>
      <x:c r="I78" s="24"/>
      <x:c r="J78" s="24"/>
      <x:c r="K78" s="24"/>
      <x:c r="L78" s="20" t="str">
        <x:f>IF(Q78&lt;&gt;"OK","",IF(E78="Back",G78*(F78-1),-G78*(F78-1)))</x:f>
      </x:c>
      <x:c r="M78" s="20" t="str">
        <x:f>IF(Q78&lt;&gt;"OK","",IF(E78="Back",-G78,G78))</x:f>
      </x:c>
      <x:c r="N78" s="20" t="str">
        <x:f>IF(Q78&lt;&gt;"OK","",SUMIFS($L$8:$L$1007,$A$8:$A$1007,A78,$B$8:$B$1007,"&lt;="&amp;B78))</x:f>
      </x:c>
      <x:c r="O78" s="20" t="str">
        <x:f>IF(Q78&lt;&gt;"OK","",SUMIFS($M$8:$M$1007,$A$8:$A$1007,A78,$B$8:$B$1007,"&lt;="&amp;B78))</x:f>
      </x:c>
      <x:c r="P78" s="20" t="str">
        <x:f>IF(Q78&lt;&gt;"OK","",MAX(0,-MIN(N78,O78)))</x:f>
      </x:c>
      <x:c r="Q78" s="18" t="str">
        <x:f>IF(A78="",IF(COUNTA(B78:K78)=0,"","Inserisci ID"),IF(COUNTIFS('Diario'!$A$8:$A$507,A78)&lt;&gt;1,"ID assente / duplicato",IF(OR(NOT(ISNUMBER(B78)),B78&lt;1,B78&lt;&gt;INT(B78),COUNTIFS($A$8:$A$1007,A78,$B$8:$B$1007,B78)&lt;&gt;1),"N. esecuzione non valido",IF(OR(NOT(ISNUMBER(C78)),AND(D78&lt;&gt;"Ingresso",D78&lt;&gt;"Uscita"),AND(E78&lt;&gt;"Back",E78&lt;&gt;"Lay")),"Completa data / fase / lato",IF(OR(NOT(ISNUMBER(F78)),F78&lt;=1,NOT(ISNUMBER(G78)),G78&lt;=0),"Correggi quota / stake","OK")))))</x:f>
      </x:c>
    </x:row>
    <x:row r="79" ht="22" customHeight="1">
      <x:c r="A79" s="24"/>
      <x:c r="B79" s="24"/>
      <x:c r="C79" s="26"/>
      <x:c r="D79" s="24"/>
      <x:c r="E79" s="24"/>
      <x:c r="F79" s="28"/>
      <x:c r="G79" s="29"/>
      <x:c r="H79" s="24"/>
      <x:c r="I79" s="24"/>
      <x:c r="J79" s="24"/>
      <x:c r="K79" s="24"/>
      <x:c r="L79" s="20" t="str">
        <x:f>IF(Q79&lt;&gt;"OK","",IF(E79="Back",G79*(F79-1),-G79*(F79-1)))</x:f>
      </x:c>
      <x:c r="M79" s="20" t="str">
        <x:f>IF(Q79&lt;&gt;"OK","",IF(E79="Back",-G79,G79))</x:f>
      </x:c>
      <x:c r="N79" s="20" t="str">
        <x:f>IF(Q79&lt;&gt;"OK","",SUMIFS($L$8:$L$1007,$A$8:$A$1007,A79,$B$8:$B$1007,"&lt;="&amp;B79))</x:f>
      </x:c>
      <x:c r="O79" s="20" t="str">
        <x:f>IF(Q79&lt;&gt;"OK","",SUMIFS($M$8:$M$1007,$A$8:$A$1007,A79,$B$8:$B$1007,"&lt;="&amp;B79))</x:f>
      </x:c>
      <x:c r="P79" s="20" t="str">
        <x:f>IF(Q79&lt;&gt;"OK","",MAX(0,-MIN(N79,O79)))</x:f>
      </x:c>
      <x:c r="Q79" s="18" t="str">
        <x:f>IF(A79="",IF(COUNTA(B79:K79)=0,"","Inserisci ID"),IF(COUNTIFS('Diario'!$A$8:$A$507,A79)&lt;&gt;1,"ID assente / duplicato",IF(OR(NOT(ISNUMBER(B79)),B79&lt;1,B79&lt;&gt;INT(B79),COUNTIFS($A$8:$A$1007,A79,$B$8:$B$1007,B79)&lt;&gt;1),"N. esecuzione non valido",IF(OR(NOT(ISNUMBER(C79)),AND(D79&lt;&gt;"Ingresso",D79&lt;&gt;"Uscita"),AND(E79&lt;&gt;"Back",E79&lt;&gt;"Lay")),"Completa data / fase / lato",IF(OR(NOT(ISNUMBER(F79)),F79&lt;=1,NOT(ISNUMBER(G79)),G79&lt;=0),"Correggi quota / stake","OK")))))</x:f>
      </x:c>
    </x:row>
    <x:row r="80" ht="22" customHeight="1">
      <x:c r="A80" s="24"/>
      <x:c r="B80" s="24"/>
      <x:c r="C80" s="26"/>
      <x:c r="D80" s="24"/>
      <x:c r="E80" s="24"/>
      <x:c r="F80" s="28"/>
      <x:c r="G80" s="29"/>
      <x:c r="H80" s="24"/>
      <x:c r="I80" s="24"/>
      <x:c r="J80" s="24"/>
      <x:c r="K80" s="24"/>
      <x:c r="L80" s="20" t="str">
        <x:f>IF(Q80&lt;&gt;"OK","",IF(E80="Back",G80*(F80-1),-G80*(F80-1)))</x:f>
      </x:c>
      <x:c r="M80" s="20" t="str">
        <x:f>IF(Q80&lt;&gt;"OK","",IF(E80="Back",-G80,G80))</x:f>
      </x:c>
      <x:c r="N80" s="20" t="str">
        <x:f>IF(Q80&lt;&gt;"OK","",SUMIFS($L$8:$L$1007,$A$8:$A$1007,A80,$B$8:$B$1007,"&lt;="&amp;B80))</x:f>
      </x:c>
      <x:c r="O80" s="20" t="str">
        <x:f>IF(Q80&lt;&gt;"OK","",SUMIFS($M$8:$M$1007,$A$8:$A$1007,A80,$B$8:$B$1007,"&lt;="&amp;B80))</x:f>
      </x:c>
      <x:c r="P80" s="20" t="str">
        <x:f>IF(Q80&lt;&gt;"OK","",MAX(0,-MIN(N80,O80)))</x:f>
      </x:c>
      <x:c r="Q80" s="18" t="str">
        <x:f>IF(A80="",IF(COUNTA(B80:K80)=0,"","Inserisci ID"),IF(COUNTIFS('Diario'!$A$8:$A$507,A80)&lt;&gt;1,"ID assente / duplicato",IF(OR(NOT(ISNUMBER(B80)),B80&lt;1,B80&lt;&gt;INT(B80),COUNTIFS($A$8:$A$1007,A80,$B$8:$B$1007,B80)&lt;&gt;1),"N. esecuzione non valido",IF(OR(NOT(ISNUMBER(C80)),AND(D80&lt;&gt;"Ingresso",D80&lt;&gt;"Uscita"),AND(E80&lt;&gt;"Back",E80&lt;&gt;"Lay")),"Completa data / fase / lato",IF(OR(NOT(ISNUMBER(F80)),F80&lt;=1,NOT(ISNUMBER(G80)),G80&lt;=0),"Correggi quota / stake","OK")))))</x:f>
      </x:c>
    </x:row>
    <x:row r="81" ht="22" customHeight="1">
      <x:c r="A81" s="24"/>
      <x:c r="B81" s="24"/>
      <x:c r="C81" s="26"/>
      <x:c r="D81" s="24"/>
      <x:c r="E81" s="24"/>
      <x:c r="F81" s="28"/>
      <x:c r="G81" s="29"/>
      <x:c r="H81" s="24"/>
      <x:c r="I81" s="24"/>
      <x:c r="J81" s="24"/>
      <x:c r="K81" s="24"/>
      <x:c r="L81" s="20" t="str">
        <x:f>IF(Q81&lt;&gt;"OK","",IF(E81="Back",G81*(F81-1),-G81*(F81-1)))</x:f>
      </x:c>
      <x:c r="M81" s="20" t="str">
        <x:f>IF(Q81&lt;&gt;"OK","",IF(E81="Back",-G81,G81))</x:f>
      </x:c>
      <x:c r="N81" s="20" t="str">
        <x:f>IF(Q81&lt;&gt;"OK","",SUMIFS($L$8:$L$1007,$A$8:$A$1007,A81,$B$8:$B$1007,"&lt;="&amp;B81))</x:f>
      </x:c>
      <x:c r="O81" s="20" t="str">
        <x:f>IF(Q81&lt;&gt;"OK","",SUMIFS($M$8:$M$1007,$A$8:$A$1007,A81,$B$8:$B$1007,"&lt;="&amp;B81))</x:f>
      </x:c>
      <x:c r="P81" s="20" t="str">
        <x:f>IF(Q81&lt;&gt;"OK","",MAX(0,-MIN(N81,O81)))</x:f>
      </x:c>
      <x:c r="Q81" s="18" t="str">
        <x:f>IF(A81="",IF(COUNTA(B81:K81)=0,"","Inserisci ID"),IF(COUNTIFS('Diario'!$A$8:$A$507,A81)&lt;&gt;1,"ID assente / duplicato",IF(OR(NOT(ISNUMBER(B81)),B81&lt;1,B81&lt;&gt;INT(B81),COUNTIFS($A$8:$A$1007,A81,$B$8:$B$1007,B81)&lt;&gt;1),"N. esecuzione non valido",IF(OR(NOT(ISNUMBER(C81)),AND(D81&lt;&gt;"Ingresso",D81&lt;&gt;"Uscita"),AND(E81&lt;&gt;"Back",E81&lt;&gt;"Lay")),"Completa data / fase / lato",IF(OR(NOT(ISNUMBER(F81)),F81&lt;=1,NOT(ISNUMBER(G81)),G81&lt;=0),"Correggi quota / stake","OK")))))</x:f>
      </x:c>
    </x:row>
    <x:row r="82" ht="22" customHeight="1">
      <x:c r="A82" s="24"/>
      <x:c r="B82" s="24"/>
      <x:c r="C82" s="26"/>
      <x:c r="D82" s="24"/>
      <x:c r="E82" s="24"/>
      <x:c r="F82" s="28"/>
      <x:c r="G82" s="29"/>
      <x:c r="H82" s="24"/>
      <x:c r="I82" s="24"/>
      <x:c r="J82" s="24"/>
      <x:c r="K82" s="24"/>
      <x:c r="L82" s="20" t="str">
        <x:f>IF(Q82&lt;&gt;"OK","",IF(E82="Back",G82*(F82-1),-G82*(F82-1)))</x:f>
      </x:c>
      <x:c r="M82" s="20" t="str">
        <x:f>IF(Q82&lt;&gt;"OK","",IF(E82="Back",-G82,G82))</x:f>
      </x:c>
      <x:c r="N82" s="20" t="str">
        <x:f>IF(Q82&lt;&gt;"OK","",SUMIFS($L$8:$L$1007,$A$8:$A$1007,A82,$B$8:$B$1007,"&lt;="&amp;B82))</x:f>
      </x:c>
      <x:c r="O82" s="20" t="str">
        <x:f>IF(Q82&lt;&gt;"OK","",SUMIFS($M$8:$M$1007,$A$8:$A$1007,A82,$B$8:$B$1007,"&lt;="&amp;B82))</x:f>
      </x:c>
      <x:c r="P82" s="20" t="str">
        <x:f>IF(Q82&lt;&gt;"OK","",MAX(0,-MIN(N82,O82)))</x:f>
      </x:c>
      <x:c r="Q82" s="18" t="str">
        <x:f>IF(A82="",IF(COUNTA(B82:K82)=0,"","Inserisci ID"),IF(COUNTIFS('Diario'!$A$8:$A$507,A82)&lt;&gt;1,"ID assente / duplicato",IF(OR(NOT(ISNUMBER(B82)),B82&lt;1,B82&lt;&gt;INT(B82),COUNTIFS($A$8:$A$1007,A82,$B$8:$B$1007,B82)&lt;&gt;1),"N. esecuzione non valido",IF(OR(NOT(ISNUMBER(C82)),AND(D82&lt;&gt;"Ingresso",D82&lt;&gt;"Uscita"),AND(E82&lt;&gt;"Back",E82&lt;&gt;"Lay")),"Completa data / fase / lato",IF(OR(NOT(ISNUMBER(F82)),F82&lt;=1,NOT(ISNUMBER(G82)),G82&lt;=0),"Correggi quota / stake","OK")))))</x:f>
      </x:c>
    </x:row>
    <x:row r="83" ht="22" customHeight="1">
      <x:c r="A83" s="24"/>
      <x:c r="B83" s="24"/>
      <x:c r="C83" s="26"/>
      <x:c r="D83" s="24"/>
      <x:c r="E83" s="24"/>
      <x:c r="F83" s="28"/>
      <x:c r="G83" s="29"/>
      <x:c r="H83" s="24"/>
      <x:c r="I83" s="24"/>
      <x:c r="J83" s="24"/>
      <x:c r="K83" s="24"/>
      <x:c r="L83" s="20" t="str">
        <x:f>IF(Q83&lt;&gt;"OK","",IF(E83="Back",G83*(F83-1),-G83*(F83-1)))</x:f>
      </x:c>
      <x:c r="M83" s="20" t="str">
        <x:f>IF(Q83&lt;&gt;"OK","",IF(E83="Back",-G83,G83))</x:f>
      </x:c>
      <x:c r="N83" s="20" t="str">
        <x:f>IF(Q83&lt;&gt;"OK","",SUMIFS($L$8:$L$1007,$A$8:$A$1007,A83,$B$8:$B$1007,"&lt;="&amp;B83))</x:f>
      </x:c>
      <x:c r="O83" s="20" t="str">
        <x:f>IF(Q83&lt;&gt;"OK","",SUMIFS($M$8:$M$1007,$A$8:$A$1007,A83,$B$8:$B$1007,"&lt;="&amp;B83))</x:f>
      </x:c>
      <x:c r="P83" s="20" t="str">
        <x:f>IF(Q83&lt;&gt;"OK","",MAX(0,-MIN(N83,O83)))</x:f>
      </x:c>
      <x:c r="Q83" s="18" t="str">
        <x:f>IF(A83="",IF(COUNTA(B83:K83)=0,"","Inserisci ID"),IF(COUNTIFS('Diario'!$A$8:$A$507,A83)&lt;&gt;1,"ID assente / duplicato",IF(OR(NOT(ISNUMBER(B83)),B83&lt;1,B83&lt;&gt;INT(B83),COUNTIFS($A$8:$A$1007,A83,$B$8:$B$1007,B83)&lt;&gt;1),"N. esecuzione non valido",IF(OR(NOT(ISNUMBER(C83)),AND(D83&lt;&gt;"Ingresso",D83&lt;&gt;"Uscita"),AND(E83&lt;&gt;"Back",E83&lt;&gt;"Lay")),"Completa data / fase / lato",IF(OR(NOT(ISNUMBER(F83)),F83&lt;=1,NOT(ISNUMBER(G83)),G83&lt;=0),"Correggi quota / stake","OK")))))</x:f>
      </x:c>
    </x:row>
    <x:row r="84" ht="22" customHeight="1">
      <x:c r="A84" s="24"/>
      <x:c r="B84" s="24"/>
      <x:c r="C84" s="26"/>
      <x:c r="D84" s="24"/>
      <x:c r="E84" s="24"/>
      <x:c r="F84" s="28"/>
      <x:c r="G84" s="29"/>
      <x:c r="H84" s="24"/>
      <x:c r="I84" s="24"/>
      <x:c r="J84" s="24"/>
      <x:c r="K84" s="24"/>
      <x:c r="L84" s="20" t="str">
        <x:f>IF(Q84&lt;&gt;"OK","",IF(E84="Back",G84*(F84-1),-G84*(F84-1)))</x:f>
      </x:c>
      <x:c r="M84" s="20" t="str">
        <x:f>IF(Q84&lt;&gt;"OK","",IF(E84="Back",-G84,G84))</x:f>
      </x:c>
      <x:c r="N84" s="20" t="str">
        <x:f>IF(Q84&lt;&gt;"OK","",SUMIFS($L$8:$L$1007,$A$8:$A$1007,A84,$B$8:$B$1007,"&lt;="&amp;B84))</x:f>
      </x:c>
      <x:c r="O84" s="20" t="str">
        <x:f>IF(Q84&lt;&gt;"OK","",SUMIFS($M$8:$M$1007,$A$8:$A$1007,A84,$B$8:$B$1007,"&lt;="&amp;B84))</x:f>
      </x:c>
      <x:c r="P84" s="20" t="str">
        <x:f>IF(Q84&lt;&gt;"OK","",MAX(0,-MIN(N84,O84)))</x:f>
      </x:c>
      <x:c r="Q84" s="18" t="str">
        <x:f>IF(A84="",IF(COUNTA(B84:K84)=0,"","Inserisci ID"),IF(COUNTIFS('Diario'!$A$8:$A$507,A84)&lt;&gt;1,"ID assente / duplicato",IF(OR(NOT(ISNUMBER(B84)),B84&lt;1,B84&lt;&gt;INT(B84),COUNTIFS($A$8:$A$1007,A84,$B$8:$B$1007,B84)&lt;&gt;1),"N. esecuzione non valido",IF(OR(NOT(ISNUMBER(C84)),AND(D84&lt;&gt;"Ingresso",D84&lt;&gt;"Uscita"),AND(E84&lt;&gt;"Back",E84&lt;&gt;"Lay")),"Completa data / fase / lato",IF(OR(NOT(ISNUMBER(F84)),F84&lt;=1,NOT(ISNUMBER(G84)),G84&lt;=0),"Correggi quota / stake","OK")))))</x:f>
      </x:c>
    </x:row>
    <x:row r="85" ht="22" customHeight="1">
      <x:c r="A85" s="24"/>
      <x:c r="B85" s="24"/>
      <x:c r="C85" s="26"/>
      <x:c r="D85" s="24"/>
      <x:c r="E85" s="24"/>
      <x:c r="F85" s="28"/>
      <x:c r="G85" s="29"/>
      <x:c r="H85" s="24"/>
      <x:c r="I85" s="24"/>
      <x:c r="J85" s="24"/>
      <x:c r="K85" s="24"/>
      <x:c r="L85" s="20" t="str">
        <x:f>IF(Q85&lt;&gt;"OK","",IF(E85="Back",G85*(F85-1),-G85*(F85-1)))</x:f>
      </x:c>
      <x:c r="M85" s="20" t="str">
        <x:f>IF(Q85&lt;&gt;"OK","",IF(E85="Back",-G85,G85))</x:f>
      </x:c>
      <x:c r="N85" s="20" t="str">
        <x:f>IF(Q85&lt;&gt;"OK","",SUMIFS($L$8:$L$1007,$A$8:$A$1007,A85,$B$8:$B$1007,"&lt;="&amp;B85))</x:f>
      </x:c>
      <x:c r="O85" s="20" t="str">
        <x:f>IF(Q85&lt;&gt;"OK","",SUMIFS($M$8:$M$1007,$A$8:$A$1007,A85,$B$8:$B$1007,"&lt;="&amp;B85))</x:f>
      </x:c>
      <x:c r="P85" s="20" t="str">
        <x:f>IF(Q85&lt;&gt;"OK","",MAX(0,-MIN(N85,O85)))</x:f>
      </x:c>
      <x:c r="Q85" s="18" t="str">
        <x:f>IF(A85="",IF(COUNTA(B85:K85)=0,"","Inserisci ID"),IF(COUNTIFS('Diario'!$A$8:$A$507,A85)&lt;&gt;1,"ID assente / duplicato",IF(OR(NOT(ISNUMBER(B85)),B85&lt;1,B85&lt;&gt;INT(B85),COUNTIFS($A$8:$A$1007,A85,$B$8:$B$1007,B85)&lt;&gt;1),"N. esecuzione non valido",IF(OR(NOT(ISNUMBER(C85)),AND(D85&lt;&gt;"Ingresso",D85&lt;&gt;"Uscita"),AND(E85&lt;&gt;"Back",E85&lt;&gt;"Lay")),"Completa data / fase / lato",IF(OR(NOT(ISNUMBER(F85)),F85&lt;=1,NOT(ISNUMBER(G85)),G85&lt;=0),"Correggi quota / stake","OK")))))</x:f>
      </x:c>
    </x:row>
    <x:row r="86" ht="22" customHeight="1">
      <x:c r="A86" s="24"/>
      <x:c r="B86" s="24"/>
      <x:c r="C86" s="26"/>
      <x:c r="D86" s="24"/>
      <x:c r="E86" s="24"/>
      <x:c r="F86" s="28"/>
      <x:c r="G86" s="29"/>
      <x:c r="H86" s="24"/>
      <x:c r="I86" s="24"/>
      <x:c r="J86" s="24"/>
      <x:c r="K86" s="24"/>
      <x:c r="L86" s="20" t="str">
        <x:f>IF(Q86&lt;&gt;"OK","",IF(E86="Back",G86*(F86-1),-G86*(F86-1)))</x:f>
      </x:c>
      <x:c r="M86" s="20" t="str">
        <x:f>IF(Q86&lt;&gt;"OK","",IF(E86="Back",-G86,G86))</x:f>
      </x:c>
      <x:c r="N86" s="20" t="str">
        <x:f>IF(Q86&lt;&gt;"OK","",SUMIFS($L$8:$L$1007,$A$8:$A$1007,A86,$B$8:$B$1007,"&lt;="&amp;B86))</x:f>
      </x:c>
      <x:c r="O86" s="20" t="str">
        <x:f>IF(Q86&lt;&gt;"OK","",SUMIFS($M$8:$M$1007,$A$8:$A$1007,A86,$B$8:$B$1007,"&lt;="&amp;B86))</x:f>
      </x:c>
      <x:c r="P86" s="20" t="str">
        <x:f>IF(Q86&lt;&gt;"OK","",MAX(0,-MIN(N86,O86)))</x:f>
      </x:c>
      <x:c r="Q86" s="18" t="str">
        <x:f>IF(A86="",IF(COUNTA(B86:K86)=0,"","Inserisci ID"),IF(COUNTIFS('Diario'!$A$8:$A$507,A86)&lt;&gt;1,"ID assente / duplicato",IF(OR(NOT(ISNUMBER(B86)),B86&lt;1,B86&lt;&gt;INT(B86),COUNTIFS($A$8:$A$1007,A86,$B$8:$B$1007,B86)&lt;&gt;1),"N. esecuzione non valido",IF(OR(NOT(ISNUMBER(C86)),AND(D86&lt;&gt;"Ingresso",D86&lt;&gt;"Uscita"),AND(E86&lt;&gt;"Back",E86&lt;&gt;"Lay")),"Completa data / fase / lato",IF(OR(NOT(ISNUMBER(F86)),F86&lt;=1,NOT(ISNUMBER(G86)),G86&lt;=0),"Correggi quota / stake","OK")))))</x:f>
      </x:c>
    </x:row>
    <x:row r="87" ht="22" customHeight="1">
      <x:c r="A87" s="24"/>
      <x:c r="B87" s="24"/>
      <x:c r="C87" s="26"/>
      <x:c r="D87" s="24"/>
      <x:c r="E87" s="24"/>
      <x:c r="F87" s="28"/>
      <x:c r="G87" s="29"/>
      <x:c r="H87" s="24"/>
      <x:c r="I87" s="24"/>
      <x:c r="J87" s="24"/>
      <x:c r="K87" s="24"/>
      <x:c r="L87" s="20" t="str">
        <x:f>IF(Q87&lt;&gt;"OK","",IF(E87="Back",G87*(F87-1),-G87*(F87-1)))</x:f>
      </x:c>
      <x:c r="M87" s="20" t="str">
        <x:f>IF(Q87&lt;&gt;"OK","",IF(E87="Back",-G87,G87))</x:f>
      </x:c>
      <x:c r="N87" s="20" t="str">
        <x:f>IF(Q87&lt;&gt;"OK","",SUMIFS($L$8:$L$1007,$A$8:$A$1007,A87,$B$8:$B$1007,"&lt;="&amp;B87))</x:f>
      </x:c>
      <x:c r="O87" s="20" t="str">
        <x:f>IF(Q87&lt;&gt;"OK","",SUMIFS($M$8:$M$1007,$A$8:$A$1007,A87,$B$8:$B$1007,"&lt;="&amp;B87))</x:f>
      </x:c>
      <x:c r="P87" s="20" t="str">
        <x:f>IF(Q87&lt;&gt;"OK","",MAX(0,-MIN(N87,O87)))</x:f>
      </x:c>
      <x:c r="Q87" s="18" t="str">
        <x:f>IF(A87="",IF(COUNTA(B87:K87)=0,"","Inserisci ID"),IF(COUNTIFS('Diario'!$A$8:$A$507,A87)&lt;&gt;1,"ID assente / duplicato",IF(OR(NOT(ISNUMBER(B87)),B87&lt;1,B87&lt;&gt;INT(B87),COUNTIFS($A$8:$A$1007,A87,$B$8:$B$1007,B87)&lt;&gt;1),"N. esecuzione non valido",IF(OR(NOT(ISNUMBER(C87)),AND(D87&lt;&gt;"Ingresso",D87&lt;&gt;"Uscita"),AND(E87&lt;&gt;"Back",E87&lt;&gt;"Lay")),"Completa data / fase / lato",IF(OR(NOT(ISNUMBER(F87)),F87&lt;=1,NOT(ISNUMBER(G87)),G87&lt;=0),"Correggi quota / stake","OK")))))</x:f>
      </x:c>
    </x:row>
    <x:row r="88" ht="22" customHeight="1">
      <x:c r="A88" s="24"/>
      <x:c r="B88" s="24"/>
      <x:c r="C88" s="26"/>
      <x:c r="D88" s="24"/>
      <x:c r="E88" s="24"/>
      <x:c r="F88" s="28"/>
      <x:c r="G88" s="29"/>
      <x:c r="H88" s="24"/>
      <x:c r="I88" s="24"/>
      <x:c r="J88" s="24"/>
      <x:c r="K88" s="24"/>
      <x:c r="L88" s="20" t="str">
        <x:f>IF(Q88&lt;&gt;"OK","",IF(E88="Back",G88*(F88-1),-G88*(F88-1)))</x:f>
      </x:c>
      <x:c r="M88" s="20" t="str">
        <x:f>IF(Q88&lt;&gt;"OK","",IF(E88="Back",-G88,G88))</x:f>
      </x:c>
      <x:c r="N88" s="20" t="str">
        <x:f>IF(Q88&lt;&gt;"OK","",SUMIFS($L$8:$L$1007,$A$8:$A$1007,A88,$B$8:$B$1007,"&lt;="&amp;B88))</x:f>
      </x:c>
      <x:c r="O88" s="20" t="str">
        <x:f>IF(Q88&lt;&gt;"OK","",SUMIFS($M$8:$M$1007,$A$8:$A$1007,A88,$B$8:$B$1007,"&lt;="&amp;B88))</x:f>
      </x:c>
      <x:c r="P88" s="20" t="str">
        <x:f>IF(Q88&lt;&gt;"OK","",MAX(0,-MIN(N88,O88)))</x:f>
      </x:c>
      <x:c r="Q88" s="18" t="str">
        <x:f>IF(A88="",IF(COUNTA(B88:K88)=0,"","Inserisci ID"),IF(COUNTIFS('Diario'!$A$8:$A$507,A88)&lt;&gt;1,"ID assente / duplicato",IF(OR(NOT(ISNUMBER(B88)),B88&lt;1,B88&lt;&gt;INT(B88),COUNTIFS($A$8:$A$1007,A88,$B$8:$B$1007,B88)&lt;&gt;1),"N. esecuzione non valido",IF(OR(NOT(ISNUMBER(C88)),AND(D88&lt;&gt;"Ingresso",D88&lt;&gt;"Uscita"),AND(E88&lt;&gt;"Back",E88&lt;&gt;"Lay")),"Completa data / fase / lato",IF(OR(NOT(ISNUMBER(F88)),F88&lt;=1,NOT(ISNUMBER(G88)),G88&lt;=0),"Correggi quota / stake","OK")))))</x:f>
      </x:c>
    </x:row>
    <x:row r="89" ht="22" customHeight="1">
      <x:c r="A89" s="24"/>
      <x:c r="B89" s="24"/>
      <x:c r="C89" s="26"/>
      <x:c r="D89" s="24"/>
      <x:c r="E89" s="24"/>
      <x:c r="F89" s="28"/>
      <x:c r="G89" s="29"/>
      <x:c r="H89" s="24"/>
      <x:c r="I89" s="24"/>
      <x:c r="J89" s="24"/>
      <x:c r="K89" s="24"/>
      <x:c r="L89" s="20" t="str">
        <x:f>IF(Q89&lt;&gt;"OK","",IF(E89="Back",G89*(F89-1),-G89*(F89-1)))</x:f>
      </x:c>
      <x:c r="M89" s="20" t="str">
        <x:f>IF(Q89&lt;&gt;"OK","",IF(E89="Back",-G89,G89))</x:f>
      </x:c>
      <x:c r="N89" s="20" t="str">
        <x:f>IF(Q89&lt;&gt;"OK","",SUMIFS($L$8:$L$1007,$A$8:$A$1007,A89,$B$8:$B$1007,"&lt;="&amp;B89))</x:f>
      </x:c>
      <x:c r="O89" s="20" t="str">
        <x:f>IF(Q89&lt;&gt;"OK","",SUMIFS($M$8:$M$1007,$A$8:$A$1007,A89,$B$8:$B$1007,"&lt;="&amp;B89))</x:f>
      </x:c>
      <x:c r="P89" s="20" t="str">
        <x:f>IF(Q89&lt;&gt;"OK","",MAX(0,-MIN(N89,O89)))</x:f>
      </x:c>
      <x:c r="Q89" s="18" t="str">
        <x:f>IF(A89="",IF(COUNTA(B89:K89)=0,"","Inserisci ID"),IF(COUNTIFS('Diario'!$A$8:$A$507,A89)&lt;&gt;1,"ID assente / duplicato",IF(OR(NOT(ISNUMBER(B89)),B89&lt;1,B89&lt;&gt;INT(B89),COUNTIFS($A$8:$A$1007,A89,$B$8:$B$1007,B89)&lt;&gt;1),"N. esecuzione non valido",IF(OR(NOT(ISNUMBER(C89)),AND(D89&lt;&gt;"Ingresso",D89&lt;&gt;"Uscita"),AND(E89&lt;&gt;"Back",E89&lt;&gt;"Lay")),"Completa data / fase / lato",IF(OR(NOT(ISNUMBER(F89)),F89&lt;=1,NOT(ISNUMBER(G89)),G89&lt;=0),"Correggi quota / stake","OK")))))</x:f>
      </x:c>
    </x:row>
    <x:row r="90" ht="22" customHeight="1">
      <x:c r="A90" s="24"/>
      <x:c r="B90" s="24"/>
      <x:c r="C90" s="26"/>
      <x:c r="D90" s="24"/>
      <x:c r="E90" s="24"/>
      <x:c r="F90" s="28"/>
      <x:c r="G90" s="29"/>
      <x:c r="H90" s="24"/>
      <x:c r="I90" s="24"/>
      <x:c r="J90" s="24"/>
      <x:c r="K90" s="24"/>
      <x:c r="L90" s="20" t="str">
        <x:f>IF(Q90&lt;&gt;"OK","",IF(E90="Back",G90*(F90-1),-G90*(F90-1)))</x:f>
      </x:c>
      <x:c r="M90" s="20" t="str">
        <x:f>IF(Q90&lt;&gt;"OK","",IF(E90="Back",-G90,G90))</x:f>
      </x:c>
      <x:c r="N90" s="20" t="str">
        <x:f>IF(Q90&lt;&gt;"OK","",SUMIFS($L$8:$L$1007,$A$8:$A$1007,A90,$B$8:$B$1007,"&lt;="&amp;B90))</x:f>
      </x:c>
      <x:c r="O90" s="20" t="str">
        <x:f>IF(Q90&lt;&gt;"OK","",SUMIFS($M$8:$M$1007,$A$8:$A$1007,A90,$B$8:$B$1007,"&lt;="&amp;B90))</x:f>
      </x:c>
      <x:c r="P90" s="20" t="str">
        <x:f>IF(Q90&lt;&gt;"OK","",MAX(0,-MIN(N90,O90)))</x:f>
      </x:c>
      <x:c r="Q90" s="18" t="str">
        <x:f>IF(A90="",IF(COUNTA(B90:K90)=0,"","Inserisci ID"),IF(COUNTIFS('Diario'!$A$8:$A$507,A90)&lt;&gt;1,"ID assente / duplicato",IF(OR(NOT(ISNUMBER(B90)),B90&lt;1,B90&lt;&gt;INT(B90),COUNTIFS($A$8:$A$1007,A90,$B$8:$B$1007,B90)&lt;&gt;1),"N. esecuzione non valido",IF(OR(NOT(ISNUMBER(C90)),AND(D90&lt;&gt;"Ingresso",D90&lt;&gt;"Uscita"),AND(E90&lt;&gt;"Back",E90&lt;&gt;"Lay")),"Completa data / fase / lato",IF(OR(NOT(ISNUMBER(F90)),F90&lt;=1,NOT(ISNUMBER(G90)),G90&lt;=0),"Correggi quota / stake","OK")))))</x:f>
      </x:c>
    </x:row>
    <x:row r="91" ht="22" customHeight="1">
      <x:c r="A91" s="24"/>
      <x:c r="B91" s="24"/>
      <x:c r="C91" s="26"/>
      <x:c r="D91" s="24"/>
      <x:c r="E91" s="24"/>
      <x:c r="F91" s="28"/>
      <x:c r="G91" s="29"/>
      <x:c r="H91" s="24"/>
      <x:c r="I91" s="24"/>
      <x:c r="J91" s="24"/>
      <x:c r="K91" s="24"/>
      <x:c r="L91" s="20" t="str">
        <x:f>IF(Q91&lt;&gt;"OK","",IF(E91="Back",G91*(F91-1),-G91*(F91-1)))</x:f>
      </x:c>
      <x:c r="M91" s="20" t="str">
        <x:f>IF(Q91&lt;&gt;"OK","",IF(E91="Back",-G91,G91))</x:f>
      </x:c>
      <x:c r="N91" s="20" t="str">
        <x:f>IF(Q91&lt;&gt;"OK","",SUMIFS($L$8:$L$1007,$A$8:$A$1007,A91,$B$8:$B$1007,"&lt;="&amp;B91))</x:f>
      </x:c>
      <x:c r="O91" s="20" t="str">
        <x:f>IF(Q91&lt;&gt;"OK","",SUMIFS($M$8:$M$1007,$A$8:$A$1007,A91,$B$8:$B$1007,"&lt;="&amp;B91))</x:f>
      </x:c>
      <x:c r="P91" s="20" t="str">
        <x:f>IF(Q91&lt;&gt;"OK","",MAX(0,-MIN(N91,O91)))</x:f>
      </x:c>
      <x:c r="Q91" s="18" t="str">
        <x:f>IF(A91="",IF(COUNTA(B91:K91)=0,"","Inserisci ID"),IF(COUNTIFS('Diario'!$A$8:$A$507,A91)&lt;&gt;1,"ID assente / duplicato",IF(OR(NOT(ISNUMBER(B91)),B91&lt;1,B91&lt;&gt;INT(B91),COUNTIFS($A$8:$A$1007,A91,$B$8:$B$1007,B91)&lt;&gt;1),"N. esecuzione non valido",IF(OR(NOT(ISNUMBER(C91)),AND(D91&lt;&gt;"Ingresso",D91&lt;&gt;"Uscita"),AND(E91&lt;&gt;"Back",E91&lt;&gt;"Lay")),"Completa data / fase / lato",IF(OR(NOT(ISNUMBER(F91)),F91&lt;=1,NOT(ISNUMBER(G91)),G91&lt;=0),"Correggi quota / stake","OK")))))</x:f>
      </x:c>
    </x:row>
    <x:row r="92" ht="22" customHeight="1">
      <x:c r="A92" s="24"/>
      <x:c r="B92" s="24"/>
      <x:c r="C92" s="26"/>
      <x:c r="D92" s="24"/>
      <x:c r="E92" s="24"/>
      <x:c r="F92" s="28"/>
      <x:c r="G92" s="29"/>
      <x:c r="H92" s="24"/>
      <x:c r="I92" s="24"/>
      <x:c r="J92" s="24"/>
      <x:c r="K92" s="24"/>
      <x:c r="L92" s="20" t="str">
        <x:f>IF(Q92&lt;&gt;"OK","",IF(E92="Back",G92*(F92-1),-G92*(F92-1)))</x:f>
      </x:c>
      <x:c r="M92" s="20" t="str">
        <x:f>IF(Q92&lt;&gt;"OK","",IF(E92="Back",-G92,G92))</x:f>
      </x:c>
      <x:c r="N92" s="20" t="str">
        <x:f>IF(Q92&lt;&gt;"OK","",SUMIFS($L$8:$L$1007,$A$8:$A$1007,A92,$B$8:$B$1007,"&lt;="&amp;B92))</x:f>
      </x:c>
      <x:c r="O92" s="20" t="str">
        <x:f>IF(Q92&lt;&gt;"OK","",SUMIFS($M$8:$M$1007,$A$8:$A$1007,A92,$B$8:$B$1007,"&lt;="&amp;B92))</x:f>
      </x:c>
      <x:c r="P92" s="20" t="str">
        <x:f>IF(Q92&lt;&gt;"OK","",MAX(0,-MIN(N92,O92)))</x:f>
      </x:c>
      <x:c r="Q92" s="18" t="str">
        <x:f>IF(A92="",IF(COUNTA(B92:K92)=0,"","Inserisci ID"),IF(COUNTIFS('Diario'!$A$8:$A$507,A92)&lt;&gt;1,"ID assente / duplicato",IF(OR(NOT(ISNUMBER(B92)),B92&lt;1,B92&lt;&gt;INT(B92),COUNTIFS($A$8:$A$1007,A92,$B$8:$B$1007,B92)&lt;&gt;1),"N. esecuzione non valido",IF(OR(NOT(ISNUMBER(C92)),AND(D92&lt;&gt;"Ingresso",D92&lt;&gt;"Uscita"),AND(E92&lt;&gt;"Back",E92&lt;&gt;"Lay")),"Completa data / fase / lato",IF(OR(NOT(ISNUMBER(F92)),F92&lt;=1,NOT(ISNUMBER(G92)),G92&lt;=0),"Correggi quota / stake","OK")))))</x:f>
      </x:c>
    </x:row>
    <x:row r="93" ht="22" customHeight="1">
      <x:c r="A93" s="24"/>
      <x:c r="B93" s="24"/>
      <x:c r="C93" s="26"/>
      <x:c r="D93" s="24"/>
      <x:c r="E93" s="24"/>
      <x:c r="F93" s="28"/>
      <x:c r="G93" s="29"/>
      <x:c r="H93" s="24"/>
      <x:c r="I93" s="24"/>
      <x:c r="J93" s="24"/>
      <x:c r="K93" s="24"/>
      <x:c r="L93" s="20" t="str">
        <x:f>IF(Q93&lt;&gt;"OK","",IF(E93="Back",G93*(F93-1),-G93*(F93-1)))</x:f>
      </x:c>
      <x:c r="M93" s="20" t="str">
        <x:f>IF(Q93&lt;&gt;"OK","",IF(E93="Back",-G93,G93))</x:f>
      </x:c>
      <x:c r="N93" s="20" t="str">
        <x:f>IF(Q93&lt;&gt;"OK","",SUMIFS($L$8:$L$1007,$A$8:$A$1007,A93,$B$8:$B$1007,"&lt;="&amp;B93))</x:f>
      </x:c>
      <x:c r="O93" s="20" t="str">
        <x:f>IF(Q93&lt;&gt;"OK","",SUMIFS($M$8:$M$1007,$A$8:$A$1007,A93,$B$8:$B$1007,"&lt;="&amp;B93))</x:f>
      </x:c>
      <x:c r="P93" s="20" t="str">
        <x:f>IF(Q93&lt;&gt;"OK","",MAX(0,-MIN(N93,O93)))</x:f>
      </x:c>
      <x:c r="Q93" s="18" t="str">
        <x:f>IF(A93="",IF(COUNTA(B93:K93)=0,"","Inserisci ID"),IF(COUNTIFS('Diario'!$A$8:$A$507,A93)&lt;&gt;1,"ID assente / duplicato",IF(OR(NOT(ISNUMBER(B93)),B93&lt;1,B93&lt;&gt;INT(B93),COUNTIFS($A$8:$A$1007,A93,$B$8:$B$1007,B93)&lt;&gt;1),"N. esecuzione non valido",IF(OR(NOT(ISNUMBER(C93)),AND(D93&lt;&gt;"Ingresso",D93&lt;&gt;"Uscita"),AND(E93&lt;&gt;"Back",E93&lt;&gt;"Lay")),"Completa data / fase / lato",IF(OR(NOT(ISNUMBER(F93)),F93&lt;=1,NOT(ISNUMBER(G93)),G93&lt;=0),"Correggi quota / stake","OK")))))</x:f>
      </x:c>
    </x:row>
    <x:row r="94" ht="22" customHeight="1">
      <x:c r="A94" s="24"/>
      <x:c r="B94" s="24"/>
      <x:c r="C94" s="26"/>
      <x:c r="D94" s="24"/>
      <x:c r="E94" s="24"/>
      <x:c r="F94" s="28"/>
      <x:c r="G94" s="29"/>
      <x:c r="H94" s="24"/>
      <x:c r="I94" s="24"/>
      <x:c r="J94" s="24"/>
      <x:c r="K94" s="24"/>
      <x:c r="L94" s="20" t="str">
        <x:f>IF(Q94&lt;&gt;"OK","",IF(E94="Back",G94*(F94-1),-G94*(F94-1)))</x:f>
      </x:c>
      <x:c r="M94" s="20" t="str">
        <x:f>IF(Q94&lt;&gt;"OK","",IF(E94="Back",-G94,G94))</x:f>
      </x:c>
      <x:c r="N94" s="20" t="str">
        <x:f>IF(Q94&lt;&gt;"OK","",SUMIFS($L$8:$L$1007,$A$8:$A$1007,A94,$B$8:$B$1007,"&lt;="&amp;B94))</x:f>
      </x:c>
      <x:c r="O94" s="20" t="str">
        <x:f>IF(Q94&lt;&gt;"OK","",SUMIFS($M$8:$M$1007,$A$8:$A$1007,A94,$B$8:$B$1007,"&lt;="&amp;B94))</x:f>
      </x:c>
      <x:c r="P94" s="20" t="str">
        <x:f>IF(Q94&lt;&gt;"OK","",MAX(0,-MIN(N94,O94)))</x:f>
      </x:c>
      <x:c r="Q94" s="18" t="str">
        <x:f>IF(A94="",IF(COUNTA(B94:K94)=0,"","Inserisci ID"),IF(COUNTIFS('Diario'!$A$8:$A$507,A94)&lt;&gt;1,"ID assente / duplicato",IF(OR(NOT(ISNUMBER(B94)),B94&lt;1,B94&lt;&gt;INT(B94),COUNTIFS($A$8:$A$1007,A94,$B$8:$B$1007,B94)&lt;&gt;1),"N. esecuzione non valido",IF(OR(NOT(ISNUMBER(C94)),AND(D94&lt;&gt;"Ingresso",D94&lt;&gt;"Uscita"),AND(E94&lt;&gt;"Back",E94&lt;&gt;"Lay")),"Completa data / fase / lato",IF(OR(NOT(ISNUMBER(F94)),F94&lt;=1,NOT(ISNUMBER(G94)),G94&lt;=0),"Correggi quota / stake","OK")))))</x:f>
      </x:c>
    </x:row>
    <x:row r="95" ht="22" customHeight="1">
      <x:c r="A95" s="24"/>
      <x:c r="B95" s="24"/>
      <x:c r="C95" s="26"/>
      <x:c r="D95" s="24"/>
      <x:c r="E95" s="24"/>
      <x:c r="F95" s="28"/>
      <x:c r="G95" s="29"/>
      <x:c r="H95" s="24"/>
      <x:c r="I95" s="24"/>
      <x:c r="J95" s="24"/>
      <x:c r="K95" s="24"/>
      <x:c r="L95" s="20" t="str">
        <x:f>IF(Q95&lt;&gt;"OK","",IF(E95="Back",G95*(F95-1),-G95*(F95-1)))</x:f>
      </x:c>
      <x:c r="M95" s="20" t="str">
        <x:f>IF(Q95&lt;&gt;"OK","",IF(E95="Back",-G95,G95))</x:f>
      </x:c>
      <x:c r="N95" s="20" t="str">
        <x:f>IF(Q95&lt;&gt;"OK","",SUMIFS($L$8:$L$1007,$A$8:$A$1007,A95,$B$8:$B$1007,"&lt;="&amp;B95))</x:f>
      </x:c>
      <x:c r="O95" s="20" t="str">
        <x:f>IF(Q95&lt;&gt;"OK","",SUMIFS($M$8:$M$1007,$A$8:$A$1007,A95,$B$8:$B$1007,"&lt;="&amp;B95))</x:f>
      </x:c>
      <x:c r="P95" s="20" t="str">
        <x:f>IF(Q95&lt;&gt;"OK","",MAX(0,-MIN(N95,O95)))</x:f>
      </x:c>
      <x:c r="Q95" s="18" t="str">
        <x:f>IF(A95="",IF(COUNTA(B95:K95)=0,"","Inserisci ID"),IF(COUNTIFS('Diario'!$A$8:$A$507,A95)&lt;&gt;1,"ID assente / duplicato",IF(OR(NOT(ISNUMBER(B95)),B95&lt;1,B95&lt;&gt;INT(B95),COUNTIFS($A$8:$A$1007,A95,$B$8:$B$1007,B95)&lt;&gt;1),"N. esecuzione non valido",IF(OR(NOT(ISNUMBER(C95)),AND(D95&lt;&gt;"Ingresso",D95&lt;&gt;"Uscita"),AND(E95&lt;&gt;"Back",E95&lt;&gt;"Lay")),"Completa data / fase / lato",IF(OR(NOT(ISNUMBER(F95)),F95&lt;=1,NOT(ISNUMBER(G95)),G95&lt;=0),"Correggi quota / stake","OK")))))</x:f>
      </x:c>
    </x:row>
    <x:row r="96" ht="22" customHeight="1">
      <x:c r="A96" s="24"/>
      <x:c r="B96" s="24"/>
      <x:c r="C96" s="26"/>
      <x:c r="D96" s="24"/>
      <x:c r="E96" s="24"/>
      <x:c r="F96" s="28"/>
      <x:c r="G96" s="29"/>
      <x:c r="H96" s="24"/>
      <x:c r="I96" s="24"/>
      <x:c r="J96" s="24"/>
      <x:c r="K96" s="24"/>
      <x:c r="L96" s="20" t="str">
        <x:f>IF(Q96&lt;&gt;"OK","",IF(E96="Back",G96*(F96-1),-G96*(F96-1)))</x:f>
      </x:c>
      <x:c r="M96" s="20" t="str">
        <x:f>IF(Q96&lt;&gt;"OK","",IF(E96="Back",-G96,G96))</x:f>
      </x:c>
      <x:c r="N96" s="20" t="str">
        <x:f>IF(Q96&lt;&gt;"OK","",SUMIFS($L$8:$L$1007,$A$8:$A$1007,A96,$B$8:$B$1007,"&lt;="&amp;B96))</x:f>
      </x:c>
      <x:c r="O96" s="20" t="str">
        <x:f>IF(Q96&lt;&gt;"OK","",SUMIFS($M$8:$M$1007,$A$8:$A$1007,A96,$B$8:$B$1007,"&lt;="&amp;B96))</x:f>
      </x:c>
      <x:c r="P96" s="20" t="str">
        <x:f>IF(Q96&lt;&gt;"OK","",MAX(0,-MIN(N96,O96)))</x:f>
      </x:c>
      <x:c r="Q96" s="18" t="str">
        <x:f>IF(A96="",IF(COUNTA(B96:K96)=0,"","Inserisci ID"),IF(COUNTIFS('Diario'!$A$8:$A$507,A96)&lt;&gt;1,"ID assente / duplicato",IF(OR(NOT(ISNUMBER(B96)),B96&lt;1,B96&lt;&gt;INT(B96),COUNTIFS($A$8:$A$1007,A96,$B$8:$B$1007,B96)&lt;&gt;1),"N. esecuzione non valido",IF(OR(NOT(ISNUMBER(C96)),AND(D96&lt;&gt;"Ingresso",D96&lt;&gt;"Uscita"),AND(E96&lt;&gt;"Back",E96&lt;&gt;"Lay")),"Completa data / fase / lato",IF(OR(NOT(ISNUMBER(F96)),F96&lt;=1,NOT(ISNUMBER(G96)),G96&lt;=0),"Correggi quota / stake","OK")))))</x:f>
      </x:c>
    </x:row>
    <x:row r="97" ht="22" customHeight="1">
      <x:c r="A97" s="24"/>
      <x:c r="B97" s="24"/>
      <x:c r="C97" s="26"/>
      <x:c r="D97" s="24"/>
      <x:c r="E97" s="24"/>
      <x:c r="F97" s="28"/>
      <x:c r="G97" s="29"/>
      <x:c r="H97" s="24"/>
      <x:c r="I97" s="24"/>
      <x:c r="J97" s="24"/>
      <x:c r="K97" s="24"/>
      <x:c r="L97" s="20" t="str">
        <x:f>IF(Q97&lt;&gt;"OK","",IF(E97="Back",G97*(F97-1),-G97*(F97-1)))</x:f>
      </x:c>
      <x:c r="M97" s="20" t="str">
        <x:f>IF(Q97&lt;&gt;"OK","",IF(E97="Back",-G97,G97))</x:f>
      </x:c>
      <x:c r="N97" s="20" t="str">
        <x:f>IF(Q97&lt;&gt;"OK","",SUMIFS($L$8:$L$1007,$A$8:$A$1007,A97,$B$8:$B$1007,"&lt;="&amp;B97))</x:f>
      </x:c>
      <x:c r="O97" s="20" t="str">
        <x:f>IF(Q97&lt;&gt;"OK","",SUMIFS($M$8:$M$1007,$A$8:$A$1007,A97,$B$8:$B$1007,"&lt;="&amp;B97))</x:f>
      </x:c>
      <x:c r="P97" s="20" t="str">
        <x:f>IF(Q97&lt;&gt;"OK","",MAX(0,-MIN(N97,O97)))</x:f>
      </x:c>
      <x:c r="Q97" s="18" t="str">
        <x:f>IF(A97="",IF(COUNTA(B97:K97)=0,"","Inserisci ID"),IF(COUNTIFS('Diario'!$A$8:$A$507,A97)&lt;&gt;1,"ID assente / duplicato",IF(OR(NOT(ISNUMBER(B97)),B97&lt;1,B97&lt;&gt;INT(B97),COUNTIFS($A$8:$A$1007,A97,$B$8:$B$1007,B97)&lt;&gt;1),"N. esecuzione non valido",IF(OR(NOT(ISNUMBER(C97)),AND(D97&lt;&gt;"Ingresso",D97&lt;&gt;"Uscita"),AND(E97&lt;&gt;"Back",E97&lt;&gt;"Lay")),"Completa data / fase / lato",IF(OR(NOT(ISNUMBER(F97)),F97&lt;=1,NOT(ISNUMBER(G97)),G97&lt;=0),"Correggi quota / stake","OK")))))</x:f>
      </x:c>
    </x:row>
    <x:row r="98" ht="22" customHeight="1">
      <x:c r="A98" s="24"/>
      <x:c r="B98" s="24"/>
      <x:c r="C98" s="26"/>
      <x:c r="D98" s="24"/>
      <x:c r="E98" s="24"/>
      <x:c r="F98" s="28"/>
      <x:c r="G98" s="29"/>
      <x:c r="H98" s="24"/>
      <x:c r="I98" s="24"/>
      <x:c r="J98" s="24"/>
      <x:c r="K98" s="24"/>
      <x:c r="L98" s="20" t="str">
        <x:f>IF(Q98&lt;&gt;"OK","",IF(E98="Back",G98*(F98-1),-G98*(F98-1)))</x:f>
      </x:c>
      <x:c r="M98" s="20" t="str">
        <x:f>IF(Q98&lt;&gt;"OK","",IF(E98="Back",-G98,G98))</x:f>
      </x:c>
      <x:c r="N98" s="20" t="str">
        <x:f>IF(Q98&lt;&gt;"OK","",SUMIFS($L$8:$L$1007,$A$8:$A$1007,A98,$B$8:$B$1007,"&lt;="&amp;B98))</x:f>
      </x:c>
      <x:c r="O98" s="20" t="str">
        <x:f>IF(Q98&lt;&gt;"OK","",SUMIFS($M$8:$M$1007,$A$8:$A$1007,A98,$B$8:$B$1007,"&lt;="&amp;B98))</x:f>
      </x:c>
      <x:c r="P98" s="20" t="str">
        <x:f>IF(Q98&lt;&gt;"OK","",MAX(0,-MIN(N98,O98)))</x:f>
      </x:c>
      <x:c r="Q98" s="18" t="str">
        <x:f>IF(A98="",IF(COUNTA(B98:K98)=0,"","Inserisci ID"),IF(COUNTIFS('Diario'!$A$8:$A$507,A98)&lt;&gt;1,"ID assente / duplicato",IF(OR(NOT(ISNUMBER(B98)),B98&lt;1,B98&lt;&gt;INT(B98),COUNTIFS($A$8:$A$1007,A98,$B$8:$B$1007,B98)&lt;&gt;1),"N. esecuzione non valido",IF(OR(NOT(ISNUMBER(C98)),AND(D98&lt;&gt;"Ingresso",D98&lt;&gt;"Uscita"),AND(E98&lt;&gt;"Back",E98&lt;&gt;"Lay")),"Completa data / fase / lato",IF(OR(NOT(ISNUMBER(F98)),F98&lt;=1,NOT(ISNUMBER(G98)),G98&lt;=0),"Correggi quota / stake","OK")))))</x:f>
      </x:c>
    </x:row>
    <x:row r="99" ht="22" customHeight="1">
      <x:c r="A99" s="24"/>
      <x:c r="B99" s="24"/>
      <x:c r="C99" s="26"/>
      <x:c r="D99" s="24"/>
      <x:c r="E99" s="24"/>
      <x:c r="F99" s="28"/>
      <x:c r="G99" s="29"/>
      <x:c r="H99" s="24"/>
      <x:c r="I99" s="24"/>
      <x:c r="J99" s="24"/>
      <x:c r="K99" s="24"/>
      <x:c r="L99" s="20" t="str">
        <x:f>IF(Q99&lt;&gt;"OK","",IF(E99="Back",G99*(F99-1),-G99*(F99-1)))</x:f>
      </x:c>
      <x:c r="M99" s="20" t="str">
        <x:f>IF(Q99&lt;&gt;"OK","",IF(E99="Back",-G99,G99))</x:f>
      </x:c>
      <x:c r="N99" s="20" t="str">
        <x:f>IF(Q99&lt;&gt;"OK","",SUMIFS($L$8:$L$1007,$A$8:$A$1007,A99,$B$8:$B$1007,"&lt;="&amp;B99))</x:f>
      </x:c>
      <x:c r="O99" s="20" t="str">
        <x:f>IF(Q99&lt;&gt;"OK","",SUMIFS($M$8:$M$1007,$A$8:$A$1007,A99,$B$8:$B$1007,"&lt;="&amp;B99))</x:f>
      </x:c>
      <x:c r="P99" s="20" t="str">
        <x:f>IF(Q99&lt;&gt;"OK","",MAX(0,-MIN(N99,O99)))</x:f>
      </x:c>
      <x:c r="Q99" s="18" t="str">
        <x:f>IF(A99="",IF(COUNTA(B99:K99)=0,"","Inserisci ID"),IF(COUNTIFS('Diario'!$A$8:$A$507,A99)&lt;&gt;1,"ID assente / duplicato",IF(OR(NOT(ISNUMBER(B99)),B99&lt;1,B99&lt;&gt;INT(B99),COUNTIFS($A$8:$A$1007,A99,$B$8:$B$1007,B99)&lt;&gt;1),"N. esecuzione non valido",IF(OR(NOT(ISNUMBER(C99)),AND(D99&lt;&gt;"Ingresso",D99&lt;&gt;"Uscita"),AND(E99&lt;&gt;"Back",E99&lt;&gt;"Lay")),"Completa data / fase / lato",IF(OR(NOT(ISNUMBER(F99)),F99&lt;=1,NOT(ISNUMBER(G99)),G99&lt;=0),"Correggi quota / stake","OK")))))</x:f>
      </x:c>
    </x:row>
    <x:row r="100" ht="22" customHeight="1">
      <x:c r="A100" s="24"/>
      <x:c r="B100" s="24"/>
      <x:c r="C100" s="26"/>
      <x:c r="D100" s="24"/>
      <x:c r="E100" s="24"/>
      <x:c r="F100" s="28"/>
      <x:c r="G100" s="29"/>
      <x:c r="H100" s="24"/>
      <x:c r="I100" s="24"/>
      <x:c r="J100" s="24"/>
      <x:c r="K100" s="24"/>
      <x:c r="L100" s="20" t="str">
        <x:f>IF(Q100&lt;&gt;"OK","",IF(E100="Back",G100*(F100-1),-G100*(F100-1)))</x:f>
      </x:c>
      <x:c r="M100" s="20" t="str">
        <x:f>IF(Q100&lt;&gt;"OK","",IF(E100="Back",-G100,G100))</x:f>
      </x:c>
      <x:c r="N100" s="20" t="str">
        <x:f>IF(Q100&lt;&gt;"OK","",SUMIFS($L$8:$L$1007,$A$8:$A$1007,A100,$B$8:$B$1007,"&lt;="&amp;B100))</x:f>
      </x:c>
      <x:c r="O100" s="20" t="str">
        <x:f>IF(Q100&lt;&gt;"OK","",SUMIFS($M$8:$M$1007,$A$8:$A$1007,A100,$B$8:$B$1007,"&lt;="&amp;B100))</x:f>
      </x:c>
      <x:c r="P100" s="20" t="str">
        <x:f>IF(Q100&lt;&gt;"OK","",MAX(0,-MIN(N100,O100)))</x:f>
      </x:c>
      <x:c r="Q100" s="18" t="str">
        <x:f>IF(A100="",IF(COUNTA(B100:K100)=0,"","Inserisci ID"),IF(COUNTIFS('Diario'!$A$8:$A$507,A100)&lt;&gt;1,"ID assente / duplicato",IF(OR(NOT(ISNUMBER(B100)),B100&lt;1,B100&lt;&gt;INT(B100),COUNTIFS($A$8:$A$1007,A100,$B$8:$B$1007,B100)&lt;&gt;1),"N. esecuzione non valido",IF(OR(NOT(ISNUMBER(C100)),AND(D100&lt;&gt;"Ingresso",D100&lt;&gt;"Uscita"),AND(E100&lt;&gt;"Back",E100&lt;&gt;"Lay")),"Completa data / fase / lato",IF(OR(NOT(ISNUMBER(F100)),F100&lt;=1,NOT(ISNUMBER(G100)),G100&lt;=0),"Correggi quota / stake","OK")))))</x:f>
      </x:c>
    </x:row>
    <x:row r="101" ht="22" customHeight="1">
      <x:c r="A101" s="24"/>
      <x:c r="B101" s="24"/>
      <x:c r="C101" s="26"/>
      <x:c r="D101" s="24"/>
      <x:c r="E101" s="24"/>
      <x:c r="F101" s="28"/>
      <x:c r="G101" s="29"/>
      <x:c r="H101" s="24"/>
      <x:c r="I101" s="24"/>
      <x:c r="J101" s="24"/>
      <x:c r="K101" s="24"/>
      <x:c r="L101" s="20" t="str">
        <x:f>IF(Q101&lt;&gt;"OK","",IF(E101="Back",G101*(F101-1),-G101*(F101-1)))</x:f>
      </x:c>
      <x:c r="M101" s="20" t="str">
        <x:f>IF(Q101&lt;&gt;"OK","",IF(E101="Back",-G101,G101))</x:f>
      </x:c>
      <x:c r="N101" s="20" t="str">
        <x:f>IF(Q101&lt;&gt;"OK","",SUMIFS($L$8:$L$1007,$A$8:$A$1007,A101,$B$8:$B$1007,"&lt;="&amp;B101))</x:f>
      </x:c>
      <x:c r="O101" s="20" t="str">
        <x:f>IF(Q101&lt;&gt;"OK","",SUMIFS($M$8:$M$1007,$A$8:$A$1007,A101,$B$8:$B$1007,"&lt;="&amp;B101))</x:f>
      </x:c>
      <x:c r="P101" s="20" t="str">
        <x:f>IF(Q101&lt;&gt;"OK","",MAX(0,-MIN(N101,O101)))</x:f>
      </x:c>
      <x:c r="Q101" s="18" t="str">
        <x:f>IF(A101="",IF(COUNTA(B101:K101)=0,"","Inserisci ID"),IF(COUNTIFS('Diario'!$A$8:$A$507,A101)&lt;&gt;1,"ID assente / duplicato",IF(OR(NOT(ISNUMBER(B101)),B101&lt;1,B101&lt;&gt;INT(B101),COUNTIFS($A$8:$A$1007,A101,$B$8:$B$1007,B101)&lt;&gt;1),"N. esecuzione non valido",IF(OR(NOT(ISNUMBER(C101)),AND(D101&lt;&gt;"Ingresso",D101&lt;&gt;"Uscita"),AND(E101&lt;&gt;"Back",E101&lt;&gt;"Lay")),"Completa data / fase / lato",IF(OR(NOT(ISNUMBER(F101)),F101&lt;=1,NOT(ISNUMBER(G101)),G101&lt;=0),"Correggi quota / stake","OK")))))</x:f>
      </x:c>
    </x:row>
    <x:row r="102" ht="22" customHeight="1">
      <x:c r="A102" s="24"/>
      <x:c r="B102" s="24"/>
      <x:c r="C102" s="26"/>
      <x:c r="D102" s="24"/>
      <x:c r="E102" s="24"/>
      <x:c r="F102" s="28"/>
      <x:c r="G102" s="29"/>
      <x:c r="H102" s="24"/>
      <x:c r="I102" s="24"/>
      <x:c r="J102" s="24"/>
      <x:c r="K102" s="24"/>
      <x:c r="L102" s="20" t="str">
        <x:f>IF(Q102&lt;&gt;"OK","",IF(E102="Back",G102*(F102-1),-G102*(F102-1)))</x:f>
      </x:c>
      <x:c r="M102" s="20" t="str">
        <x:f>IF(Q102&lt;&gt;"OK","",IF(E102="Back",-G102,G102))</x:f>
      </x:c>
      <x:c r="N102" s="20" t="str">
        <x:f>IF(Q102&lt;&gt;"OK","",SUMIFS($L$8:$L$1007,$A$8:$A$1007,A102,$B$8:$B$1007,"&lt;="&amp;B102))</x:f>
      </x:c>
      <x:c r="O102" s="20" t="str">
        <x:f>IF(Q102&lt;&gt;"OK","",SUMIFS($M$8:$M$1007,$A$8:$A$1007,A102,$B$8:$B$1007,"&lt;="&amp;B102))</x:f>
      </x:c>
      <x:c r="P102" s="20" t="str">
        <x:f>IF(Q102&lt;&gt;"OK","",MAX(0,-MIN(N102,O102)))</x:f>
      </x:c>
      <x:c r="Q102" s="18" t="str">
        <x:f>IF(A102="",IF(COUNTA(B102:K102)=0,"","Inserisci ID"),IF(COUNTIFS('Diario'!$A$8:$A$507,A102)&lt;&gt;1,"ID assente / duplicato",IF(OR(NOT(ISNUMBER(B102)),B102&lt;1,B102&lt;&gt;INT(B102),COUNTIFS($A$8:$A$1007,A102,$B$8:$B$1007,B102)&lt;&gt;1),"N. esecuzione non valido",IF(OR(NOT(ISNUMBER(C102)),AND(D102&lt;&gt;"Ingresso",D102&lt;&gt;"Uscita"),AND(E102&lt;&gt;"Back",E102&lt;&gt;"Lay")),"Completa data / fase / lato",IF(OR(NOT(ISNUMBER(F102)),F102&lt;=1,NOT(ISNUMBER(G102)),G102&lt;=0),"Correggi quota / stake","OK")))))</x:f>
      </x:c>
    </x:row>
    <x:row r="103" ht="22" customHeight="1">
      <x:c r="A103" s="24"/>
      <x:c r="B103" s="24"/>
      <x:c r="C103" s="26"/>
      <x:c r="D103" s="24"/>
      <x:c r="E103" s="24"/>
      <x:c r="F103" s="28"/>
      <x:c r="G103" s="29"/>
      <x:c r="H103" s="24"/>
      <x:c r="I103" s="24"/>
      <x:c r="J103" s="24"/>
      <x:c r="K103" s="24"/>
      <x:c r="L103" s="20" t="str">
        <x:f>IF(Q103&lt;&gt;"OK","",IF(E103="Back",G103*(F103-1),-G103*(F103-1)))</x:f>
      </x:c>
      <x:c r="M103" s="20" t="str">
        <x:f>IF(Q103&lt;&gt;"OK","",IF(E103="Back",-G103,G103))</x:f>
      </x:c>
      <x:c r="N103" s="20" t="str">
        <x:f>IF(Q103&lt;&gt;"OK","",SUMIFS($L$8:$L$1007,$A$8:$A$1007,A103,$B$8:$B$1007,"&lt;="&amp;B103))</x:f>
      </x:c>
      <x:c r="O103" s="20" t="str">
        <x:f>IF(Q103&lt;&gt;"OK","",SUMIFS($M$8:$M$1007,$A$8:$A$1007,A103,$B$8:$B$1007,"&lt;="&amp;B103))</x:f>
      </x:c>
      <x:c r="P103" s="20" t="str">
        <x:f>IF(Q103&lt;&gt;"OK","",MAX(0,-MIN(N103,O103)))</x:f>
      </x:c>
      <x:c r="Q103" s="18" t="str">
        <x:f>IF(A103="",IF(COUNTA(B103:K103)=0,"","Inserisci ID"),IF(COUNTIFS('Diario'!$A$8:$A$507,A103)&lt;&gt;1,"ID assente / duplicato",IF(OR(NOT(ISNUMBER(B103)),B103&lt;1,B103&lt;&gt;INT(B103),COUNTIFS($A$8:$A$1007,A103,$B$8:$B$1007,B103)&lt;&gt;1),"N. esecuzione non valido",IF(OR(NOT(ISNUMBER(C103)),AND(D103&lt;&gt;"Ingresso",D103&lt;&gt;"Uscita"),AND(E103&lt;&gt;"Back",E103&lt;&gt;"Lay")),"Completa data / fase / lato",IF(OR(NOT(ISNUMBER(F103)),F103&lt;=1,NOT(ISNUMBER(G103)),G103&lt;=0),"Correggi quota / stake","OK")))))</x:f>
      </x:c>
    </x:row>
    <x:row r="104" ht="22" customHeight="1">
      <x:c r="A104" s="24"/>
      <x:c r="B104" s="24"/>
      <x:c r="C104" s="26"/>
      <x:c r="D104" s="24"/>
      <x:c r="E104" s="24"/>
      <x:c r="F104" s="28"/>
      <x:c r="G104" s="29"/>
      <x:c r="H104" s="24"/>
      <x:c r="I104" s="24"/>
      <x:c r="J104" s="24"/>
      <x:c r="K104" s="24"/>
      <x:c r="L104" s="20" t="str">
        <x:f>IF(Q104&lt;&gt;"OK","",IF(E104="Back",G104*(F104-1),-G104*(F104-1)))</x:f>
      </x:c>
      <x:c r="M104" s="20" t="str">
        <x:f>IF(Q104&lt;&gt;"OK","",IF(E104="Back",-G104,G104))</x:f>
      </x:c>
      <x:c r="N104" s="20" t="str">
        <x:f>IF(Q104&lt;&gt;"OK","",SUMIFS($L$8:$L$1007,$A$8:$A$1007,A104,$B$8:$B$1007,"&lt;="&amp;B104))</x:f>
      </x:c>
      <x:c r="O104" s="20" t="str">
        <x:f>IF(Q104&lt;&gt;"OK","",SUMIFS($M$8:$M$1007,$A$8:$A$1007,A104,$B$8:$B$1007,"&lt;="&amp;B104))</x:f>
      </x:c>
      <x:c r="P104" s="20" t="str">
        <x:f>IF(Q104&lt;&gt;"OK","",MAX(0,-MIN(N104,O104)))</x:f>
      </x:c>
      <x:c r="Q104" s="18" t="str">
        <x:f>IF(A104="",IF(COUNTA(B104:K104)=0,"","Inserisci ID"),IF(COUNTIFS('Diario'!$A$8:$A$507,A104)&lt;&gt;1,"ID assente / duplicato",IF(OR(NOT(ISNUMBER(B104)),B104&lt;1,B104&lt;&gt;INT(B104),COUNTIFS($A$8:$A$1007,A104,$B$8:$B$1007,B104)&lt;&gt;1),"N. esecuzione non valido",IF(OR(NOT(ISNUMBER(C104)),AND(D104&lt;&gt;"Ingresso",D104&lt;&gt;"Uscita"),AND(E104&lt;&gt;"Back",E104&lt;&gt;"Lay")),"Completa data / fase / lato",IF(OR(NOT(ISNUMBER(F104)),F104&lt;=1,NOT(ISNUMBER(G104)),G104&lt;=0),"Correggi quota / stake","OK")))))</x:f>
      </x:c>
    </x:row>
    <x:row r="105" ht="22" customHeight="1">
      <x:c r="A105" s="24"/>
      <x:c r="B105" s="24"/>
      <x:c r="C105" s="26"/>
      <x:c r="D105" s="24"/>
      <x:c r="E105" s="24"/>
      <x:c r="F105" s="28"/>
      <x:c r="G105" s="29"/>
      <x:c r="H105" s="24"/>
      <x:c r="I105" s="24"/>
      <x:c r="J105" s="24"/>
      <x:c r="K105" s="24"/>
      <x:c r="L105" s="20" t="str">
        <x:f>IF(Q105&lt;&gt;"OK","",IF(E105="Back",G105*(F105-1),-G105*(F105-1)))</x:f>
      </x:c>
      <x:c r="M105" s="20" t="str">
        <x:f>IF(Q105&lt;&gt;"OK","",IF(E105="Back",-G105,G105))</x:f>
      </x:c>
      <x:c r="N105" s="20" t="str">
        <x:f>IF(Q105&lt;&gt;"OK","",SUMIFS($L$8:$L$1007,$A$8:$A$1007,A105,$B$8:$B$1007,"&lt;="&amp;B105))</x:f>
      </x:c>
      <x:c r="O105" s="20" t="str">
        <x:f>IF(Q105&lt;&gt;"OK","",SUMIFS($M$8:$M$1007,$A$8:$A$1007,A105,$B$8:$B$1007,"&lt;="&amp;B105))</x:f>
      </x:c>
      <x:c r="P105" s="20" t="str">
        <x:f>IF(Q105&lt;&gt;"OK","",MAX(0,-MIN(N105,O105)))</x:f>
      </x:c>
      <x:c r="Q105" s="18" t="str">
        <x:f>IF(A105="",IF(COUNTA(B105:K105)=0,"","Inserisci ID"),IF(COUNTIFS('Diario'!$A$8:$A$507,A105)&lt;&gt;1,"ID assente / duplicato",IF(OR(NOT(ISNUMBER(B105)),B105&lt;1,B105&lt;&gt;INT(B105),COUNTIFS($A$8:$A$1007,A105,$B$8:$B$1007,B105)&lt;&gt;1),"N. esecuzione non valido",IF(OR(NOT(ISNUMBER(C105)),AND(D105&lt;&gt;"Ingresso",D105&lt;&gt;"Uscita"),AND(E105&lt;&gt;"Back",E105&lt;&gt;"Lay")),"Completa data / fase / lato",IF(OR(NOT(ISNUMBER(F105)),F105&lt;=1,NOT(ISNUMBER(G105)),G105&lt;=0),"Correggi quota / stake","OK")))))</x:f>
      </x:c>
    </x:row>
    <x:row r="106" ht="22" customHeight="1">
      <x:c r="A106" s="24"/>
      <x:c r="B106" s="24"/>
      <x:c r="C106" s="26"/>
      <x:c r="D106" s="24"/>
      <x:c r="E106" s="24"/>
      <x:c r="F106" s="28"/>
      <x:c r="G106" s="29"/>
      <x:c r="H106" s="24"/>
      <x:c r="I106" s="24"/>
      <x:c r="J106" s="24"/>
      <x:c r="K106" s="24"/>
      <x:c r="L106" s="20" t="str">
        <x:f>IF(Q106&lt;&gt;"OK","",IF(E106="Back",G106*(F106-1),-G106*(F106-1)))</x:f>
      </x:c>
      <x:c r="M106" s="20" t="str">
        <x:f>IF(Q106&lt;&gt;"OK","",IF(E106="Back",-G106,G106))</x:f>
      </x:c>
      <x:c r="N106" s="20" t="str">
        <x:f>IF(Q106&lt;&gt;"OK","",SUMIFS($L$8:$L$1007,$A$8:$A$1007,A106,$B$8:$B$1007,"&lt;="&amp;B106))</x:f>
      </x:c>
      <x:c r="O106" s="20" t="str">
        <x:f>IF(Q106&lt;&gt;"OK","",SUMIFS($M$8:$M$1007,$A$8:$A$1007,A106,$B$8:$B$1007,"&lt;="&amp;B106))</x:f>
      </x:c>
      <x:c r="P106" s="20" t="str">
        <x:f>IF(Q106&lt;&gt;"OK","",MAX(0,-MIN(N106,O106)))</x:f>
      </x:c>
      <x:c r="Q106" s="18" t="str">
        <x:f>IF(A106="",IF(COUNTA(B106:K106)=0,"","Inserisci ID"),IF(COUNTIFS('Diario'!$A$8:$A$507,A106)&lt;&gt;1,"ID assente / duplicato",IF(OR(NOT(ISNUMBER(B106)),B106&lt;1,B106&lt;&gt;INT(B106),COUNTIFS($A$8:$A$1007,A106,$B$8:$B$1007,B106)&lt;&gt;1),"N. esecuzione non valido",IF(OR(NOT(ISNUMBER(C106)),AND(D106&lt;&gt;"Ingresso",D106&lt;&gt;"Uscita"),AND(E106&lt;&gt;"Back",E106&lt;&gt;"Lay")),"Completa data / fase / lato",IF(OR(NOT(ISNUMBER(F106)),F106&lt;=1,NOT(ISNUMBER(G106)),G106&lt;=0),"Correggi quota / stake","OK")))))</x:f>
      </x:c>
    </x:row>
    <x:row r="107" ht="22" customHeight="1">
      <x:c r="A107" s="24"/>
      <x:c r="B107" s="24"/>
      <x:c r="C107" s="26"/>
      <x:c r="D107" s="24"/>
      <x:c r="E107" s="24"/>
      <x:c r="F107" s="28"/>
      <x:c r="G107" s="29"/>
      <x:c r="H107" s="24"/>
      <x:c r="I107" s="24"/>
      <x:c r="J107" s="24"/>
      <x:c r="K107" s="24"/>
      <x:c r="L107" s="20" t="str">
        <x:f>IF(Q107&lt;&gt;"OK","",IF(E107="Back",G107*(F107-1),-G107*(F107-1)))</x:f>
      </x:c>
      <x:c r="M107" s="20" t="str">
        <x:f>IF(Q107&lt;&gt;"OK","",IF(E107="Back",-G107,G107))</x:f>
      </x:c>
      <x:c r="N107" s="20" t="str">
        <x:f>IF(Q107&lt;&gt;"OK","",SUMIFS($L$8:$L$1007,$A$8:$A$1007,A107,$B$8:$B$1007,"&lt;="&amp;B107))</x:f>
      </x:c>
      <x:c r="O107" s="20" t="str">
        <x:f>IF(Q107&lt;&gt;"OK","",SUMIFS($M$8:$M$1007,$A$8:$A$1007,A107,$B$8:$B$1007,"&lt;="&amp;B107))</x:f>
      </x:c>
      <x:c r="P107" s="20" t="str">
        <x:f>IF(Q107&lt;&gt;"OK","",MAX(0,-MIN(N107,O107)))</x:f>
      </x:c>
      <x:c r="Q107" s="18" t="str">
        <x:f>IF(A107="",IF(COUNTA(B107:K107)=0,"","Inserisci ID"),IF(COUNTIFS('Diario'!$A$8:$A$507,A107)&lt;&gt;1,"ID assente / duplicato",IF(OR(NOT(ISNUMBER(B107)),B107&lt;1,B107&lt;&gt;INT(B107),COUNTIFS($A$8:$A$1007,A107,$B$8:$B$1007,B107)&lt;&gt;1),"N. esecuzione non valido",IF(OR(NOT(ISNUMBER(C107)),AND(D107&lt;&gt;"Ingresso",D107&lt;&gt;"Uscita"),AND(E107&lt;&gt;"Back",E107&lt;&gt;"Lay")),"Completa data / fase / lato",IF(OR(NOT(ISNUMBER(F107)),F107&lt;=1,NOT(ISNUMBER(G107)),G107&lt;=0),"Correggi quota / stake","OK")))))</x:f>
      </x:c>
    </x:row>
    <x:row r="108" ht="22" customHeight="1">
      <x:c r="A108" s="24"/>
      <x:c r="B108" s="24"/>
      <x:c r="C108" s="26"/>
      <x:c r="D108" s="24"/>
      <x:c r="E108" s="24"/>
      <x:c r="F108" s="28"/>
      <x:c r="G108" s="29"/>
      <x:c r="H108" s="24"/>
      <x:c r="I108" s="24"/>
      <x:c r="J108" s="24"/>
      <x:c r="K108" s="24"/>
      <x:c r="L108" s="20" t="str">
        <x:f>IF(Q108&lt;&gt;"OK","",IF(E108="Back",G108*(F108-1),-G108*(F108-1)))</x:f>
      </x:c>
      <x:c r="M108" s="20" t="str">
        <x:f>IF(Q108&lt;&gt;"OK","",IF(E108="Back",-G108,G108))</x:f>
      </x:c>
      <x:c r="N108" s="20" t="str">
        <x:f>IF(Q108&lt;&gt;"OK","",SUMIFS($L$8:$L$1007,$A$8:$A$1007,A108,$B$8:$B$1007,"&lt;="&amp;B108))</x:f>
      </x:c>
      <x:c r="O108" s="20" t="str">
        <x:f>IF(Q108&lt;&gt;"OK","",SUMIFS($M$8:$M$1007,$A$8:$A$1007,A108,$B$8:$B$1007,"&lt;="&amp;B108))</x:f>
      </x:c>
      <x:c r="P108" s="20" t="str">
        <x:f>IF(Q108&lt;&gt;"OK","",MAX(0,-MIN(N108,O108)))</x:f>
      </x:c>
      <x:c r="Q108" s="18" t="str">
        <x:f>IF(A108="",IF(COUNTA(B108:K108)=0,"","Inserisci ID"),IF(COUNTIFS('Diario'!$A$8:$A$507,A108)&lt;&gt;1,"ID assente / duplicato",IF(OR(NOT(ISNUMBER(B108)),B108&lt;1,B108&lt;&gt;INT(B108),COUNTIFS($A$8:$A$1007,A108,$B$8:$B$1007,B108)&lt;&gt;1),"N. esecuzione non valido",IF(OR(NOT(ISNUMBER(C108)),AND(D108&lt;&gt;"Ingresso",D108&lt;&gt;"Uscita"),AND(E108&lt;&gt;"Back",E108&lt;&gt;"Lay")),"Completa data / fase / lato",IF(OR(NOT(ISNUMBER(F108)),F108&lt;=1,NOT(ISNUMBER(G108)),G108&lt;=0),"Correggi quota / stake","OK")))))</x:f>
      </x:c>
    </x:row>
    <x:row r="109" ht="22" customHeight="1">
      <x:c r="A109" s="24"/>
      <x:c r="B109" s="24"/>
      <x:c r="C109" s="26"/>
      <x:c r="D109" s="24"/>
      <x:c r="E109" s="24"/>
      <x:c r="F109" s="28"/>
      <x:c r="G109" s="29"/>
      <x:c r="H109" s="24"/>
      <x:c r="I109" s="24"/>
      <x:c r="J109" s="24"/>
      <x:c r="K109" s="24"/>
      <x:c r="L109" s="20" t="str">
        <x:f>IF(Q109&lt;&gt;"OK","",IF(E109="Back",G109*(F109-1),-G109*(F109-1)))</x:f>
      </x:c>
      <x:c r="M109" s="20" t="str">
        <x:f>IF(Q109&lt;&gt;"OK","",IF(E109="Back",-G109,G109))</x:f>
      </x:c>
      <x:c r="N109" s="20" t="str">
        <x:f>IF(Q109&lt;&gt;"OK","",SUMIFS($L$8:$L$1007,$A$8:$A$1007,A109,$B$8:$B$1007,"&lt;="&amp;B109))</x:f>
      </x:c>
      <x:c r="O109" s="20" t="str">
        <x:f>IF(Q109&lt;&gt;"OK","",SUMIFS($M$8:$M$1007,$A$8:$A$1007,A109,$B$8:$B$1007,"&lt;="&amp;B109))</x:f>
      </x:c>
      <x:c r="P109" s="20" t="str">
        <x:f>IF(Q109&lt;&gt;"OK","",MAX(0,-MIN(N109,O109)))</x:f>
      </x:c>
      <x:c r="Q109" s="18" t="str">
        <x:f>IF(A109="",IF(COUNTA(B109:K109)=0,"","Inserisci ID"),IF(COUNTIFS('Diario'!$A$8:$A$507,A109)&lt;&gt;1,"ID assente / duplicato",IF(OR(NOT(ISNUMBER(B109)),B109&lt;1,B109&lt;&gt;INT(B109),COUNTIFS($A$8:$A$1007,A109,$B$8:$B$1007,B109)&lt;&gt;1),"N. esecuzione non valido",IF(OR(NOT(ISNUMBER(C109)),AND(D109&lt;&gt;"Ingresso",D109&lt;&gt;"Uscita"),AND(E109&lt;&gt;"Back",E109&lt;&gt;"Lay")),"Completa data / fase / lato",IF(OR(NOT(ISNUMBER(F109)),F109&lt;=1,NOT(ISNUMBER(G109)),G109&lt;=0),"Correggi quota / stake","OK")))))</x:f>
      </x:c>
    </x:row>
    <x:row r="110" ht="22" customHeight="1">
      <x:c r="A110" s="24"/>
      <x:c r="B110" s="24"/>
      <x:c r="C110" s="26"/>
      <x:c r="D110" s="24"/>
      <x:c r="E110" s="24"/>
      <x:c r="F110" s="28"/>
      <x:c r="G110" s="29"/>
      <x:c r="H110" s="24"/>
      <x:c r="I110" s="24"/>
      <x:c r="J110" s="24"/>
      <x:c r="K110" s="24"/>
      <x:c r="L110" s="20" t="str">
        <x:f>IF(Q110&lt;&gt;"OK","",IF(E110="Back",G110*(F110-1),-G110*(F110-1)))</x:f>
      </x:c>
      <x:c r="M110" s="20" t="str">
        <x:f>IF(Q110&lt;&gt;"OK","",IF(E110="Back",-G110,G110))</x:f>
      </x:c>
      <x:c r="N110" s="20" t="str">
        <x:f>IF(Q110&lt;&gt;"OK","",SUMIFS($L$8:$L$1007,$A$8:$A$1007,A110,$B$8:$B$1007,"&lt;="&amp;B110))</x:f>
      </x:c>
      <x:c r="O110" s="20" t="str">
        <x:f>IF(Q110&lt;&gt;"OK","",SUMIFS($M$8:$M$1007,$A$8:$A$1007,A110,$B$8:$B$1007,"&lt;="&amp;B110))</x:f>
      </x:c>
      <x:c r="P110" s="20" t="str">
        <x:f>IF(Q110&lt;&gt;"OK","",MAX(0,-MIN(N110,O110)))</x:f>
      </x:c>
      <x:c r="Q110" s="18" t="str">
        <x:f>IF(A110="",IF(COUNTA(B110:K110)=0,"","Inserisci ID"),IF(COUNTIFS('Diario'!$A$8:$A$507,A110)&lt;&gt;1,"ID assente / duplicato",IF(OR(NOT(ISNUMBER(B110)),B110&lt;1,B110&lt;&gt;INT(B110),COUNTIFS($A$8:$A$1007,A110,$B$8:$B$1007,B110)&lt;&gt;1),"N. esecuzione non valido",IF(OR(NOT(ISNUMBER(C110)),AND(D110&lt;&gt;"Ingresso",D110&lt;&gt;"Uscita"),AND(E110&lt;&gt;"Back",E110&lt;&gt;"Lay")),"Completa data / fase / lato",IF(OR(NOT(ISNUMBER(F110)),F110&lt;=1,NOT(ISNUMBER(G110)),G110&lt;=0),"Correggi quota / stake","OK")))))</x:f>
      </x:c>
    </x:row>
    <x:row r="111" ht="22" customHeight="1">
      <x:c r="A111" s="24"/>
      <x:c r="B111" s="24"/>
      <x:c r="C111" s="26"/>
      <x:c r="D111" s="24"/>
      <x:c r="E111" s="24"/>
      <x:c r="F111" s="28"/>
      <x:c r="G111" s="29"/>
      <x:c r="H111" s="24"/>
      <x:c r="I111" s="24"/>
      <x:c r="J111" s="24"/>
      <x:c r="K111" s="24"/>
      <x:c r="L111" s="20" t="str">
        <x:f>IF(Q111&lt;&gt;"OK","",IF(E111="Back",G111*(F111-1),-G111*(F111-1)))</x:f>
      </x:c>
      <x:c r="M111" s="20" t="str">
        <x:f>IF(Q111&lt;&gt;"OK","",IF(E111="Back",-G111,G111))</x:f>
      </x:c>
      <x:c r="N111" s="20" t="str">
        <x:f>IF(Q111&lt;&gt;"OK","",SUMIFS($L$8:$L$1007,$A$8:$A$1007,A111,$B$8:$B$1007,"&lt;="&amp;B111))</x:f>
      </x:c>
      <x:c r="O111" s="20" t="str">
        <x:f>IF(Q111&lt;&gt;"OK","",SUMIFS($M$8:$M$1007,$A$8:$A$1007,A111,$B$8:$B$1007,"&lt;="&amp;B111))</x:f>
      </x:c>
      <x:c r="P111" s="20" t="str">
        <x:f>IF(Q111&lt;&gt;"OK","",MAX(0,-MIN(N111,O111)))</x:f>
      </x:c>
      <x:c r="Q111" s="18" t="str">
        <x:f>IF(A111="",IF(COUNTA(B111:K111)=0,"","Inserisci ID"),IF(COUNTIFS('Diario'!$A$8:$A$507,A111)&lt;&gt;1,"ID assente / duplicato",IF(OR(NOT(ISNUMBER(B111)),B111&lt;1,B111&lt;&gt;INT(B111),COUNTIFS($A$8:$A$1007,A111,$B$8:$B$1007,B111)&lt;&gt;1),"N. esecuzione non valido",IF(OR(NOT(ISNUMBER(C111)),AND(D111&lt;&gt;"Ingresso",D111&lt;&gt;"Uscita"),AND(E111&lt;&gt;"Back",E111&lt;&gt;"Lay")),"Completa data / fase / lato",IF(OR(NOT(ISNUMBER(F111)),F111&lt;=1,NOT(ISNUMBER(G111)),G111&lt;=0),"Correggi quota / stake","OK")))))</x:f>
      </x:c>
    </x:row>
    <x:row r="112" ht="22" customHeight="1">
      <x:c r="A112" s="24"/>
      <x:c r="B112" s="24"/>
      <x:c r="C112" s="26"/>
      <x:c r="D112" s="24"/>
      <x:c r="E112" s="24"/>
      <x:c r="F112" s="28"/>
      <x:c r="G112" s="29"/>
      <x:c r="H112" s="24"/>
      <x:c r="I112" s="24"/>
      <x:c r="J112" s="24"/>
      <x:c r="K112" s="24"/>
      <x:c r="L112" s="20" t="str">
        <x:f>IF(Q112&lt;&gt;"OK","",IF(E112="Back",G112*(F112-1),-G112*(F112-1)))</x:f>
      </x:c>
      <x:c r="M112" s="20" t="str">
        <x:f>IF(Q112&lt;&gt;"OK","",IF(E112="Back",-G112,G112))</x:f>
      </x:c>
      <x:c r="N112" s="20" t="str">
        <x:f>IF(Q112&lt;&gt;"OK","",SUMIFS($L$8:$L$1007,$A$8:$A$1007,A112,$B$8:$B$1007,"&lt;="&amp;B112))</x:f>
      </x:c>
      <x:c r="O112" s="20" t="str">
        <x:f>IF(Q112&lt;&gt;"OK","",SUMIFS($M$8:$M$1007,$A$8:$A$1007,A112,$B$8:$B$1007,"&lt;="&amp;B112))</x:f>
      </x:c>
      <x:c r="P112" s="20" t="str">
        <x:f>IF(Q112&lt;&gt;"OK","",MAX(0,-MIN(N112,O112)))</x:f>
      </x:c>
      <x:c r="Q112" s="18" t="str">
        <x:f>IF(A112="",IF(COUNTA(B112:K112)=0,"","Inserisci ID"),IF(COUNTIFS('Diario'!$A$8:$A$507,A112)&lt;&gt;1,"ID assente / duplicato",IF(OR(NOT(ISNUMBER(B112)),B112&lt;1,B112&lt;&gt;INT(B112),COUNTIFS($A$8:$A$1007,A112,$B$8:$B$1007,B112)&lt;&gt;1),"N. esecuzione non valido",IF(OR(NOT(ISNUMBER(C112)),AND(D112&lt;&gt;"Ingresso",D112&lt;&gt;"Uscita"),AND(E112&lt;&gt;"Back",E112&lt;&gt;"Lay")),"Completa data / fase / lato",IF(OR(NOT(ISNUMBER(F112)),F112&lt;=1,NOT(ISNUMBER(G112)),G112&lt;=0),"Correggi quota / stake","OK")))))</x:f>
      </x:c>
    </x:row>
    <x:row r="113" ht="22" customHeight="1">
      <x:c r="A113" s="24"/>
      <x:c r="B113" s="24"/>
      <x:c r="C113" s="26"/>
      <x:c r="D113" s="24"/>
      <x:c r="E113" s="24"/>
      <x:c r="F113" s="28"/>
      <x:c r="G113" s="29"/>
      <x:c r="H113" s="24"/>
      <x:c r="I113" s="24"/>
      <x:c r="J113" s="24"/>
      <x:c r="K113" s="24"/>
      <x:c r="L113" s="20" t="str">
        <x:f>IF(Q113&lt;&gt;"OK","",IF(E113="Back",G113*(F113-1),-G113*(F113-1)))</x:f>
      </x:c>
      <x:c r="M113" s="20" t="str">
        <x:f>IF(Q113&lt;&gt;"OK","",IF(E113="Back",-G113,G113))</x:f>
      </x:c>
      <x:c r="N113" s="20" t="str">
        <x:f>IF(Q113&lt;&gt;"OK","",SUMIFS($L$8:$L$1007,$A$8:$A$1007,A113,$B$8:$B$1007,"&lt;="&amp;B113))</x:f>
      </x:c>
      <x:c r="O113" s="20" t="str">
        <x:f>IF(Q113&lt;&gt;"OK","",SUMIFS($M$8:$M$1007,$A$8:$A$1007,A113,$B$8:$B$1007,"&lt;="&amp;B113))</x:f>
      </x:c>
      <x:c r="P113" s="20" t="str">
        <x:f>IF(Q113&lt;&gt;"OK","",MAX(0,-MIN(N113,O113)))</x:f>
      </x:c>
      <x:c r="Q113" s="18" t="str">
        <x:f>IF(A113="",IF(COUNTA(B113:K113)=0,"","Inserisci ID"),IF(COUNTIFS('Diario'!$A$8:$A$507,A113)&lt;&gt;1,"ID assente / duplicato",IF(OR(NOT(ISNUMBER(B113)),B113&lt;1,B113&lt;&gt;INT(B113),COUNTIFS($A$8:$A$1007,A113,$B$8:$B$1007,B113)&lt;&gt;1),"N. esecuzione non valido",IF(OR(NOT(ISNUMBER(C113)),AND(D113&lt;&gt;"Ingresso",D113&lt;&gt;"Uscita"),AND(E113&lt;&gt;"Back",E113&lt;&gt;"Lay")),"Completa data / fase / lato",IF(OR(NOT(ISNUMBER(F113)),F113&lt;=1,NOT(ISNUMBER(G113)),G113&lt;=0),"Correggi quota / stake","OK")))))</x:f>
      </x:c>
    </x:row>
    <x:row r="114" ht="22" customHeight="1">
      <x:c r="A114" s="24"/>
      <x:c r="B114" s="24"/>
      <x:c r="C114" s="26"/>
      <x:c r="D114" s="24"/>
      <x:c r="E114" s="24"/>
      <x:c r="F114" s="28"/>
      <x:c r="G114" s="29"/>
      <x:c r="H114" s="24"/>
      <x:c r="I114" s="24"/>
      <x:c r="J114" s="24"/>
      <x:c r="K114" s="24"/>
      <x:c r="L114" s="20" t="str">
        <x:f>IF(Q114&lt;&gt;"OK","",IF(E114="Back",G114*(F114-1),-G114*(F114-1)))</x:f>
      </x:c>
      <x:c r="M114" s="20" t="str">
        <x:f>IF(Q114&lt;&gt;"OK","",IF(E114="Back",-G114,G114))</x:f>
      </x:c>
      <x:c r="N114" s="20" t="str">
        <x:f>IF(Q114&lt;&gt;"OK","",SUMIFS($L$8:$L$1007,$A$8:$A$1007,A114,$B$8:$B$1007,"&lt;="&amp;B114))</x:f>
      </x:c>
      <x:c r="O114" s="20" t="str">
        <x:f>IF(Q114&lt;&gt;"OK","",SUMIFS($M$8:$M$1007,$A$8:$A$1007,A114,$B$8:$B$1007,"&lt;="&amp;B114))</x:f>
      </x:c>
      <x:c r="P114" s="20" t="str">
        <x:f>IF(Q114&lt;&gt;"OK","",MAX(0,-MIN(N114,O114)))</x:f>
      </x:c>
      <x:c r="Q114" s="18" t="str">
        <x:f>IF(A114="",IF(COUNTA(B114:K114)=0,"","Inserisci ID"),IF(COUNTIFS('Diario'!$A$8:$A$507,A114)&lt;&gt;1,"ID assente / duplicato",IF(OR(NOT(ISNUMBER(B114)),B114&lt;1,B114&lt;&gt;INT(B114),COUNTIFS($A$8:$A$1007,A114,$B$8:$B$1007,B114)&lt;&gt;1),"N. esecuzione non valido",IF(OR(NOT(ISNUMBER(C114)),AND(D114&lt;&gt;"Ingresso",D114&lt;&gt;"Uscita"),AND(E114&lt;&gt;"Back",E114&lt;&gt;"Lay")),"Completa data / fase / lato",IF(OR(NOT(ISNUMBER(F114)),F114&lt;=1,NOT(ISNUMBER(G114)),G114&lt;=0),"Correggi quota / stake","OK")))))</x:f>
      </x:c>
    </x:row>
    <x:row r="115" ht="22" customHeight="1">
      <x:c r="A115" s="24"/>
      <x:c r="B115" s="24"/>
      <x:c r="C115" s="26"/>
      <x:c r="D115" s="24"/>
      <x:c r="E115" s="24"/>
      <x:c r="F115" s="28"/>
      <x:c r="G115" s="29"/>
      <x:c r="H115" s="24"/>
      <x:c r="I115" s="24"/>
      <x:c r="J115" s="24"/>
      <x:c r="K115" s="24"/>
      <x:c r="L115" s="20" t="str">
        <x:f>IF(Q115&lt;&gt;"OK","",IF(E115="Back",G115*(F115-1),-G115*(F115-1)))</x:f>
      </x:c>
      <x:c r="M115" s="20" t="str">
        <x:f>IF(Q115&lt;&gt;"OK","",IF(E115="Back",-G115,G115))</x:f>
      </x:c>
      <x:c r="N115" s="20" t="str">
        <x:f>IF(Q115&lt;&gt;"OK","",SUMIFS($L$8:$L$1007,$A$8:$A$1007,A115,$B$8:$B$1007,"&lt;="&amp;B115))</x:f>
      </x:c>
      <x:c r="O115" s="20" t="str">
        <x:f>IF(Q115&lt;&gt;"OK","",SUMIFS($M$8:$M$1007,$A$8:$A$1007,A115,$B$8:$B$1007,"&lt;="&amp;B115))</x:f>
      </x:c>
      <x:c r="P115" s="20" t="str">
        <x:f>IF(Q115&lt;&gt;"OK","",MAX(0,-MIN(N115,O115)))</x:f>
      </x:c>
      <x:c r="Q115" s="18" t="str">
        <x:f>IF(A115="",IF(COUNTA(B115:K115)=0,"","Inserisci ID"),IF(COUNTIFS('Diario'!$A$8:$A$507,A115)&lt;&gt;1,"ID assente / duplicato",IF(OR(NOT(ISNUMBER(B115)),B115&lt;1,B115&lt;&gt;INT(B115),COUNTIFS($A$8:$A$1007,A115,$B$8:$B$1007,B115)&lt;&gt;1),"N. esecuzione non valido",IF(OR(NOT(ISNUMBER(C115)),AND(D115&lt;&gt;"Ingresso",D115&lt;&gt;"Uscita"),AND(E115&lt;&gt;"Back",E115&lt;&gt;"Lay")),"Completa data / fase / lato",IF(OR(NOT(ISNUMBER(F115)),F115&lt;=1,NOT(ISNUMBER(G115)),G115&lt;=0),"Correggi quota / stake","OK")))))</x:f>
      </x:c>
    </x:row>
    <x:row r="116" ht="22" customHeight="1">
      <x:c r="A116" s="24"/>
      <x:c r="B116" s="24"/>
      <x:c r="C116" s="26"/>
      <x:c r="D116" s="24"/>
      <x:c r="E116" s="24"/>
      <x:c r="F116" s="28"/>
      <x:c r="G116" s="29"/>
      <x:c r="H116" s="24"/>
      <x:c r="I116" s="24"/>
      <x:c r="J116" s="24"/>
      <x:c r="K116" s="24"/>
      <x:c r="L116" s="20" t="str">
        <x:f>IF(Q116&lt;&gt;"OK","",IF(E116="Back",G116*(F116-1),-G116*(F116-1)))</x:f>
      </x:c>
      <x:c r="M116" s="20" t="str">
        <x:f>IF(Q116&lt;&gt;"OK","",IF(E116="Back",-G116,G116))</x:f>
      </x:c>
      <x:c r="N116" s="20" t="str">
        <x:f>IF(Q116&lt;&gt;"OK","",SUMIFS($L$8:$L$1007,$A$8:$A$1007,A116,$B$8:$B$1007,"&lt;="&amp;B116))</x:f>
      </x:c>
      <x:c r="O116" s="20" t="str">
        <x:f>IF(Q116&lt;&gt;"OK","",SUMIFS($M$8:$M$1007,$A$8:$A$1007,A116,$B$8:$B$1007,"&lt;="&amp;B116))</x:f>
      </x:c>
      <x:c r="P116" s="20" t="str">
        <x:f>IF(Q116&lt;&gt;"OK","",MAX(0,-MIN(N116,O116)))</x:f>
      </x:c>
      <x:c r="Q116" s="18" t="str">
        <x:f>IF(A116="",IF(COUNTA(B116:K116)=0,"","Inserisci ID"),IF(COUNTIFS('Diario'!$A$8:$A$507,A116)&lt;&gt;1,"ID assente / duplicato",IF(OR(NOT(ISNUMBER(B116)),B116&lt;1,B116&lt;&gt;INT(B116),COUNTIFS($A$8:$A$1007,A116,$B$8:$B$1007,B116)&lt;&gt;1),"N. esecuzione non valido",IF(OR(NOT(ISNUMBER(C116)),AND(D116&lt;&gt;"Ingresso",D116&lt;&gt;"Uscita"),AND(E116&lt;&gt;"Back",E116&lt;&gt;"Lay")),"Completa data / fase / lato",IF(OR(NOT(ISNUMBER(F116)),F116&lt;=1,NOT(ISNUMBER(G116)),G116&lt;=0),"Correggi quota / stake","OK")))))</x:f>
      </x:c>
    </x:row>
    <x:row r="117" ht="22" customHeight="1">
      <x:c r="A117" s="24"/>
      <x:c r="B117" s="24"/>
      <x:c r="C117" s="26"/>
      <x:c r="D117" s="24"/>
      <x:c r="E117" s="24"/>
      <x:c r="F117" s="28"/>
      <x:c r="G117" s="29"/>
      <x:c r="H117" s="24"/>
      <x:c r="I117" s="24"/>
      <x:c r="J117" s="24"/>
      <x:c r="K117" s="24"/>
      <x:c r="L117" s="20" t="str">
        <x:f>IF(Q117&lt;&gt;"OK","",IF(E117="Back",G117*(F117-1),-G117*(F117-1)))</x:f>
      </x:c>
      <x:c r="M117" s="20" t="str">
        <x:f>IF(Q117&lt;&gt;"OK","",IF(E117="Back",-G117,G117))</x:f>
      </x:c>
      <x:c r="N117" s="20" t="str">
        <x:f>IF(Q117&lt;&gt;"OK","",SUMIFS($L$8:$L$1007,$A$8:$A$1007,A117,$B$8:$B$1007,"&lt;="&amp;B117))</x:f>
      </x:c>
      <x:c r="O117" s="20" t="str">
        <x:f>IF(Q117&lt;&gt;"OK","",SUMIFS($M$8:$M$1007,$A$8:$A$1007,A117,$B$8:$B$1007,"&lt;="&amp;B117))</x:f>
      </x:c>
      <x:c r="P117" s="20" t="str">
        <x:f>IF(Q117&lt;&gt;"OK","",MAX(0,-MIN(N117,O117)))</x:f>
      </x:c>
      <x:c r="Q117" s="18" t="str">
        <x:f>IF(A117="",IF(COUNTA(B117:K117)=0,"","Inserisci ID"),IF(COUNTIFS('Diario'!$A$8:$A$507,A117)&lt;&gt;1,"ID assente / duplicato",IF(OR(NOT(ISNUMBER(B117)),B117&lt;1,B117&lt;&gt;INT(B117),COUNTIFS($A$8:$A$1007,A117,$B$8:$B$1007,B117)&lt;&gt;1),"N. esecuzione non valido",IF(OR(NOT(ISNUMBER(C117)),AND(D117&lt;&gt;"Ingresso",D117&lt;&gt;"Uscita"),AND(E117&lt;&gt;"Back",E117&lt;&gt;"Lay")),"Completa data / fase / lato",IF(OR(NOT(ISNUMBER(F117)),F117&lt;=1,NOT(ISNUMBER(G117)),G117&lt;=0),"Correggi quota / stake","OK")))))</x:f>
      </x:c>
    </x:row>
    <x:row r="118" ht="22" customHeight="1">
      <x:c r="A118" s="24"/>
      <x:c r="B118" s="24"/>
      <x:c r="C118" s="26"/>
      <x:c r="D118" s="24"/>
      <x:c r="E118" s="24"/>
      <x:c r="F118" s="28"/>
      <x:c r="G118" s="29"/>
      <x:c r="H118" s="24"/>
      <x:c r="I118" s="24"/>
      <x:c r="J118" s="24"/>
      <x:c r="K118" s="24"/>
      <x:c r="L118" s="20" t="str">
        <x:f>IF(Q118&lt;&gt;"OK","",IF(E118="Back",G118*(F118-1),-G118*(F118-1)))</x:f>
      </x:c>
      <x:c r="M118" s="20" t="str">
        <x:f>IF(Q118&lt;&gt;"OK","",IF(E118="Back",-G118,G118))</x:f>
      </x:c>
      <x:c r="N118" s="20" t="str">
        <x:f>IF(Q118&lt;&gt;"OK","",SUMIFS($L$8:$L$1007,$A$8:$A$1007,A118,$B$8:$B$1007,"&lt;="&amp;B118))</x:f>
      </x:c>
      <x:c r="O118" s="20" t="str">
        <x:f>IF(Q118&lt;&gt;"OK","",SUMIFS($M$8:$M$1007,$A$8:$A$1007,A118,$B$8:$B$1007,"&lt;="&amp;B118))</x:f>
      </x:c>
      <x:c r="P118" s="20" t="str">
        <x:f>IF(Q118&lt;&gt;"OK","",MAX(0,-MIN(N118,O118)))</x:f>
      </x:c>
      <x:c r="Q118" s="18" t="str">
        <x:f>IF(A118="",IF(COUNTA(B118:K118)=0,"","Inserisci ID"),IF(COUNTIFS('Diario'!$A$8:$A$507,A118)&lt;&gt;1,"ID assente / duplicato",IF(OR(NOT(ISNUMBER(B118)),B118&lt;1,B118&lt;&gt;INT(B118),COUNTIFS($A$8:$A$1007,A118,$B$8:$B$1007,B118)&lt;&gt;1),"N. esecuzione non valido",IF(OR(NOT(ISNUMBER(C118)),AND(D118&lt;&gt;"Ingresso",D118&lt;&gt;"Uscita"),AND(E118&lt;&gt;"Back",E118&lt;&gt;"Lay")),"Completa data / fase / lato",IF(OR(NOT(ISNUMBER(F118)),F118&lt;=1,NOT(ISNUMBER(G118)),G118&lt;=0),"Correggi quota / stake","OK")))))</x:f>
      </x:c>
    </x:row>
    <x:row r="119" ht="22" customHeight="1">
      <x:c r="A119" s="24"/>
      <x:c r="B119" s="24"/>
      <x:c r="C119" s="26"/>
      <x:c r="D119" s="24"/>
      <x:c r="E119" s="24"/>
      <x:c r="F119" s="28"/>
      <x:c r="G119" s="29"/>
      <x:c r="H119" s="24"/>
      <x:c r="I119" s="24"/>
      <x:c r="J119" s="24"/>
      <x:c r="K119" s="24"/>
      <x:c r="L119" s="20" t="str">
        <x:f>IF(Q119&lt;&gt;"OK","",IF(E119="Back",G119*(F119-1),-G119*(F119-1)))</x:f>
      </x:c>
      <x:c r="M119" s="20" t="str">
        <x:f>IF(Q119&lt;&gt;"OK","",IF(E119="Back",-G119,G119))</x:f>
      </x:c>
      <x:c r="N119" s="20" t="str">
        <x:f>IF(Q119&lt;&gt;"OK","",SUMIFS($L$8:$L$1007,$A$8:$A$1007,A119,$B$8:$B$1007,"&lt;="&amp;B119))</x:f>
      </x:c>
      <x:c r="O119" s="20" t="str">
        <x:f>IF(Q119&lt;&gt;"OK","",SUMIFS($M$8:$M$1007,$A$8:$A$1007,A119,$B$8:$B$1007,"&lt;="&amp;B119))</x:f>
      </x:c>
      <x:c r="P119" s="20" t="str">
        <x:f>IF(Q119&lt;&gt;"OK","",MAX(0,-MIN(N119,O119)))</x:f>
      </x:c>
      <x:c r="Q119" s="18" t="str">
        <x:f>IF(A119="",IF(COUNTA(B119:K119)=0,"","Inserisci ID"),IF(COUNTIFS('Diario'!$A$8:$A$507,A119)&lt;&gt;1,"ID assente / duplicato",IF(OR(NOT(ISNUMBER(B119)),B119&lt;1,B119&lt;&gt;INT(B119),COUNTIFS($A$8:$A$1007,A119,$B$8:$B$1007,B119)&lt;&gt;1),"N. esecuzione non valido",IF(OR(NOT(ISNUMBER(C119)),AND(D119&lt;&gt;"Ingresso",D119&lt;&gt;"Uscita"),AND(E119&lt;&gt;"Back",E119&lt;&gt;"Lay")),"Completa data / fase / lato",IF(OR(NOT(ISNUMBER(F119)),F119&lt;=1,NOT(ISNUMBER(G119)),G119&lt;=0),"Correggi quota / stake","OK")))))</x:f>
      </x:c>
    </x:row>
    <x:row r="120" ht="22" customHeight="1">
      <x:c r="A120" s="24"/>
      <x:c r="B120" s="24"/>
      <x:c r="C120" s="26"/>
      <x:c r="D120" s="24"/>
      <x:c r="E120" s="24"/>
      <x:c r="F120" s="28"/>
      <x:c r="G120" s="29"/>
      <x:c r="H120" s="24"/>
      <x:c r="I120" s="24"/>
      <x:c r="J120" s="24"/>
      <x:c r="K120" s="24"/>
      <x:c r="L120" s="20" t="str">
        <x:f>IF(Q120&lt;&gt;"OK","",IF(E120="Back",G120*(F120-1),-G120*(F120-1)))</x:f>
      </x:c>
      <x:c r="M120" s="20" t="str">
        <x:f>IF(Q120&lt;&gt;"OK","",IF(E120="Back",-G120,G120))</x:f>
      </x:c>
      <x:c r="N120" s="20" t="str">
        <x:f>IF(Q120&lt;&gt;"OK","",SUMIFS($L$8:$L$1007,$A$8:$A$1007,A120,$B$8:$B$1007,"&lt;="&amp;B120))</x:f>
      </x:c>
      <x:c r="O120" s="20" t="str">
        <x:f>IF(Q120&lt;&gt;"OK","",SUMIFS($M$8:$M$1007,$A$8:$A$1007,A120,$B$8:$B$1007,"&lt;="&amp;B120))</x:f>
      </x:c>
      <x:c r="P120" s="20" t="str">
        <x:f>IF(Q120&lt;&gt;"OK","",MAX(0,-MIN(N120,O120)))</x:f>
      </x:c>
      <x:c r="Q120" s="18" t="str">
        <x:f>IF(A120="",IF(COUNTA(B120:K120)=0,"","Inserisci ID"),IF(COUNTIFS('Diario'!$A$8:$A$507,A120)&lt;&gt;1,"ID assente / duplicato",IF(OR(NOT(ISNUMBER(B120)),B120&lt;1,B120&lt;&gt;INT(B120),COUNTIFS($A$8:$A$1007,A120,$B$8:$B$1007,B120)&lt;&gt;1),"N. esecuzione non valido",IF(OR(NOT(ISNUMBER(C120)),AND(D120&lt;&gt;"Ingresso",D120&lt;&gt;"Uscita"),AND(E120&lt;&gt;"Back",E120&lt;&gt;"Lay")),"Completa data / fase / lato",IF(OR(NOT(ISNUMBER(F120)),F120&lt;=1,NOT(ISNUMBER(G120)),G120&lt;=0),"Correggi quota / stake","OK")))))</x:f>
      </x:c>
    </x:row>
    <x:row r="121" ht="22" customHeight="1">
      <x:c r="A121" s="24"/>
      <x:c r="B121" s="24"/>
      <x:c r="C121" s="26"/>
      <x:c r="D121" s="24"/>
      <x:c r="E121" s="24"/>
      <x:c r="F121" s="28"/>
      <x:c r="G121" s="29"/>
      <x:c r="H121" s="24"/>
      <x:c r="I121" s="24"/>
      <x:c r="J121" s="24"/>
      <x:c r="K121" s="24"/>
      <x:c r="L121" s="20" t="str">
        <x:f>IF(Q121&lt;&gt;"OK","",IF(E121="Back",G121*(F121-1),-G121*(F121-1)))</x:f>
      </x:c>
      <x:c r="M121" s="20" t="str">
        <x:f>IF(Q121&lt;&gt;"OK","",IF(E121="Back",-G121,G121))</x:f>
      </x:c>
      <x:c r="N121" s="20" t="str">
        <x:f>IF(Q121&lt;&gt;"OK","",SUMIFS($L$8:$L$1007,$A$8:$A$1007,A121,$B$8:$B$1007,"&lt;="&amp;B121))</x:f>
      </x:c>
      <x:c r="O121" s="20" t="str">
        <x:f>IF(Q121&lt;&gt;"OK","",SUMIFS($M$8:$M$1007,$A$8:$A$1007,A121,$B$8:$B$1007,"&lt;="&amp;B121))</x:f>
      </x:c>
      <x:c r="P121" s="20" t="str">
        <x:f>IF(Q121&lt;&gt;"OK","",MAX(0,-MIN(N121,O121)))</x:f>
      </x:c>
      <x:c r="Q121" s="18" t="str">
        <x:f>IF(A121="",IF(COUNTA(B121:K121)=0,"","Inserisci ID"),IF(COUNTIFS('Diario'!$A$8:$A$507,A121)&lt;&gt;1,"ID assente / duplicato",IF(OR(NOT(ISNUMBER(B121)),B121&lt;1,B121&lt;&gt;INT(B121),COUNTIFS($A$8:$A$1007,A121,$B$8:$B$1007,B121)&lt;&gt;1),"N. esecuzione non valido",IF(OR(NOT(ISNUMBER(C121)),AND(D121&lt;&gt;"Ingresso",D121&lt;&gt;"Uscita"),AND(E121&lt;&gt;"Back",E121&lt;&gt;"Lay")),"Completa data / fase / lato",IF(OR(NOT(ISNUMBER(F121)),F121&lt;=1,NOT(ISNUMBER(G121)),G121&lt;=0),"Correggi quota / stake","OK")))))</x:f>
      </x:c>
    </x:row>
    <x:row r="122" ht="22" customHeight="1">
      <x:c r="A122" s="24"/>
      <x:c r="B122" s="24"/>
      <x:c r="C122" s="26"/>
      <x:c r="D122" s="24"/>
      <x:c r="E122" s="24"/>
      <x:c r="F122" s="28"/>
      <x:c r="G122" s="29"/>
      <x:c r="H122" s="24"/>
      <x:c r="I122" s="24"/>
      <x:c r="J122" s="24"/>
      <x:c r="K122" s="24"/>
      <x:c r="L122" s="20" t="str">
        <x:f>IF(Q122&lt;&gt;"OK","",IF(E122="Back",G122*(F122-1),-G122*(F122-1)))</x:f>
      </x:c>
      <x:c r="M122" s="20" t="str">
        <x:f>IF(Q122&lt;&gt;"OK","",IF(E122="Back",-G122,G122))</x:f>
      </x:c>
      <x:c r="N122" s="20" t="str">
        <x:f>IF(Q122&lt;&gt;"OK","",SUMIFS($L$8:$L$1007,$A$8:$A$1007,A122,$B$8:$B$1007,"&lt;="&amp;B122))</x:f>
      </x:c>
      <x:c r="O122" s="20" t="str">
        <x:f>IF(Q122&lt;&gt;"OK","",SUMIFS($M$8:$M$1007,$A$8:$A$1007,A122,$B$8:$B$1007,"&lt;="&amp;B122))</x:f>
      </x:c>
      <x:c r="P122" s="20" t="str">
        <x:f>IF(Q122&lt;&gt;"OK","",MAX(0,-MIN(N122,O122)))</x:f>
      </x:c>
      <x:c r="Q122" s="18" t="str">
        <x:f>IF(A122="",IF(COUNTA(B122:K122)=0,"","Inserisci ID"),IF(COUNTIFS('Diario'!$A$8:$A$507,A122)&lt;&gt;1,"ID assente / duplicato",IF(OR(NOT(ISNUMBER(B122)),B122&lt;1,B122&lt;&gt;INT(B122),COUNTIFS($A$8:$A$1007,A122,$B$8:$B$1007,B122)&lt;&gt;1),"N. esecuzione non valido",IF(OR(NOT(ISNUMBER(C122)),AND(D122&lt;&gt;"Ingresso",D122&lt;&gt;"Uscita"),AND(E122&lt;&gt;"Back",E122&lt;&gt;"Lay")),"Completa data / fase / lato",IF(OR(NOT(ISNUMBER(F122)),F122&lt;=1,NOT(ISNUMBER(G122)),G122&lt;=0),"Correggi quota / stake","OK")))))</x:f>
      </x:c>
    </x:row>
    <x:row r="123" ht="22" customHeight="1">
      <x:c r="A123" s="24"/>
      <x:c r="B123" s="24"/>
      <x:c r="C123" s="26"/>
      <x:c r="D123" s="24"/>
      <x:c r="E123" s="24"/>
      <x:c r="F123" s="28"/>
      <x:c r="G123" s="29"/>
      <x:c r="H123" s="24"/>
      <x:c r="I123" s="24"/>
      <x:c r="J123" s="24"/>
      <x:c r="K123" s="24"/>
      <x:c r="L123" s="20" t="str">
        <x:f>IF(Q123&lt;&gt;"OK","",IF(E123="Back",G123*(F123-1),-G123*(F123-1)))</x:f>
      </x:c>
      <x:c r="M123" s="20" t="str">
        <x:f>IF(Q123&lt;&gt;"OK","",IF(E123="Back",-G123,G123))</x:f>
      </x:c>
      <x:c r="N123" s="20" t="str">
        <x:f>IF(Q123&lt;&gt;"OK","",SUMIFS($L$8:$L$1007,$A$8:$A$1007,A123,$B$8:$B$1007,"&lt;="&amp;B123))</x:f>
      </x:c>
      <x:c r="O123" s="20" t="str">
        <x:f>IF(Q123&lt;&gt;"OK","",SUMIFS($M$8:$M$1007,$A$8:$A$1007,A123,$B$8:$B$1007,"&lt;="&amp;B123))</x:f>
      </x:c>
      <x:c r="P123" s="20" t="str">
        <x:f>IF(Q123&lt;&gt;"OK","",MAX(0,-MIN(N123,O123)))</x:f>
      </x:c>
      <x:c r="Q123" s="18" t="str">
        <x:f>IF(A123="",IF(COUNTA(B123:K123)=0,"","Inserisci ID"),IF(COUNTIFS('Diario'!$A$8:$A$507,A123)&lt;&gt;1,"ID assente / duplicato",IF(OR(NOT(ISNUMBER(B123)),B123&lt;1,B123&lt;&gt;INT(B123),COUNTIFS($A$8:$A$1007,A123,$B$8:$B$1007,B123)&lt;&gt;1),"N. esecuzione non valido",IF(OR(NOT(ISNUMBER(C123)),AND(D123&lt;&gt;"Ingresso",D123&lt;&gt;"Uscita"),AND(E123&lt;&gt;"Back",E123&lt;&gt;"Lay")),"Completa data / fase / lato",IF(OR(NOT(ISNUMBER(F123)),F123&lt;=1,NOT(ISNUMBER(G123)),G123&lt;=0),"Correggi quota / stake","OK")))))</x:f>
      </x:c>
    </x:row>
    <x:row r="124" ht="22" customHeight="1">
      <x:c r="A124" s="24"/>
      <x:c r="B124" s="24"/>
      <x:c r="C124" s="26"/>
      <x:c r="D124" s="24"/>
      <x:c r="E124" s="24"/>
      <x:c r="F124" s="28"/>
      <x:c r="G124" s="29"/>
      <x:c r="H124" s="24"/>
      <x:c r="I124" s="24"/>
      <x:c r="J124" s="24"/>
      <x:c r="K124" s="24"/>
      <x:c r="L124" s="20" t="str">
        <x:f>IF(Q124&lt;&gt;"OK","",IF(E124="Back",G124*(F124-1),-G124*(F124-1)))</x:f>
      </x:c>
      <x:c r="M124" s="20" t="str">
        <x:f>IF(Q124&lt;&gt;"OK","",IF(E124="Back",-G124,G124))</x:f>
      </x:c>
      <x:c r="N124" s="20" t="str">
        <x:f>IF(Q124&lt;&gt;"OK","",SUMIFS($L$8:$L$1007,$A$8:$A$1007,A124,$B$8:$B$1007,"&lt;="&amp;B124))</x:f>
      </x:c>
      <x:c r="O124" s="20" t="str">
        <x:f>IF(Q124&lt;&gt;"OK","",SUMIFS($M$8:$M$1007,$A$8:$A$1007,A124,$B$8:$B$1007,"&lt;="&amp;B124))</x:f>
      </x:c>
      <x:c r="P124" s="20" t="str">
        <x:f>IF(Q124&lt;&gt;"OK","",MAX(0,-MIN(N124,O124)))</x:f>
      </x:c>
      <x:c r="Q124" s="18" t="str">
        <x:f>IF(A124="",IF(COUNTA(B124:K124)=0,"","Inserisci ID"),IF(COUNTIFS('Diario'!$A$8:$A$507,A124)&lt;&gt;1,"ID assente / duplicato",IF(OR(NOT(ISNUMBER(B124)),B124&lt;1,B124&lt;&gt;INT(B124),COUNTIFS($A$8:$A$1007,A124,$B$8:$B$1007,B124)&lt;&gt;1),"N. esecuzione non valido",IF(OR(NOT(ISNUMBER(C124)),AND(D124&lt;&gt;"Ingresso",D124&lt;&gt;"Uscita"),AND(E124&lt;&gt;"Back",E124&lt;&gt;"Lay")),"Completa data / fase / lato",IF(OR(NOT(ISNUMBER(F124)),F124&lt;=1,NOT(ISNUMBER(G124)),G124&lt;=0),"Correggi quota / stake","OK")))))</x:f>
      </x:c>
    </x:row>
    <x:row r="125" ht="22" customHeight="1">
      <x:c r="A125" s="24"/>
      <x:c r="B125" s="24"/>
      <x:c r="C125" s="26"/>
      <x:c r="D125" s="24"/>
      <x:c r="E125" s="24"/>
      <x:c r="F125" s="28"/>
      <x:c r="G125" s="29"/>
      <x:c r="H125" s="24"/>
      <x:c r="I125" s="24"/>
      <x:c r="J125" s="24"/>
      <x:c r="K125" s="24"/>
      <x:c r="L125" s="20" t="str">
        <x:f>IF(Q125&lt;&gt;"OK","",IF(E125="Back",G125*(F125-1),-G125*(F125-1)))</x:f>
      </x:c>
      <x:c r="M125" s="20" t="str">
        <x:f>IF(Q125&lt;&gt;"OK","",IF(E125="Back",-G125,G125))</x:f>
      </x:c>
      <x:c r="N125" s="20" t="str">
        <x:f>IF(Q125&lt;&gt;"OK","",SUMIFS($L$8:$L$1007,$A$8:$A$1007,A125,$B$8:$B$1007,"&lt;="&amp;B125))</x:f>
      </x:c>
      <x:c r="O125" s="20" t="str">
        <x:f>IF(Q125&lt;&gt;"OK","",SUMIFS($M$8:$M$1007,$A$8:$A$1007,A125,$B$8:$B$1007,"&lt;="&amp;B125))</x:f>
      </x:c>
      <x:c r="P125" s="20" t="str">
        <x:f>IF(Q125&lt;&gt;"OK","",MAX(0,-MIN(N125,O125)))</x:f>
      </x:c>
      <x:c r="Q125" s="18" t="str">
        <x:f>IF(A125="",IF(COUNTA(B125:K125)=0,"","Inserisci ID"),IF(COUNTIFS('Diario'!$A$8:$A$507,A125)&lt;&gt;1,"ID assente / duplicato",IF(OR(NOT(ISNUMBER(B125)),B125&lt;1,B125&lt;&gt;INT(B125),COUNTIFS($A$8:$A$1007,A125,$B$8:$B$1007,B125)&lt;&gt;1),"N. esecuzione non valido",IF(OR(NOT(ISNUMBER(C125)),AND(D125&lt;&gt;"Ingresso",D125&lt;&gt;"Uscita"),AND(E125&lt;&gt;"Back",E125&lt;&gt;"Lay")),"Completa data / fase / lato",IF(OR(NOT(ISNUMBER(F125)),F125&lt;=1,NOT(ISNUMBER(G125)),G125&lt;=0),"Correggi quota / stake","OK")))))</x:f>
      </x:c>
    </x:row>
    <x:row r="126" ht="22" customHeight="1">
      <x:c r="A126" s="24"/>
      <x:c r="B126" s="24"/>
      <x:c r="C126" s="26"/>
      <x:c r="D126" s="24"/>
      <x:c r="E126" s="24"/>
      <x:c r="F126" s="28"/>
      <x:c r="G126" s="29"/>
      <x:c r="H126" s="24"/>
      <x:c r="I126" s="24"/>
      <x:c r="J126" s="24"/>
      <x:c r="K126" s="24"/>
      <x:c r="L126" s="20" t="str">
        <x:f>IF(Q126&lt;&gt;"OK","",IF(E126="Back",G126*(F126-1),-G126*(F126-1)))</x:f>
      </x:c>
      <x:c r="M126" s="20" t="str">
        <x:f>IF(Q126&lt;&gt;"OK","",IF(E126="Back",-G126,G126))</x:f>
      </x:c>
      <x:c r="N126" s="20" t="str">
        <x:f>IF(Q126&lt;&gt;"OK","",SUMIFS($L$8:$L$1007,$A$8:$A$1007,A126,$B$8:$B$1007,"&lt;="&amp;B126))</x:f>
      </x:c>
      <x:c r="O126" s="20" t="str">
        <x:f>IF(Q126&lt;&gt;"OK","",SUMIFS($M$8:$M$1007,$A$8:$A$1007,A126,$B$8:$B$1007,"&lt;="&amp;B126))</x:f>
      </x:c>
      <x:c r="P126" s="20" t="str">
        <x:f>IF(Q126&lt;&gt;"OK","",MAX(0,-MIN(N126,O126)))</x:f>
      </x:c>
      <x:c r="Q126" s="18" t="str">
        <x:f>IF(A126="",IF(COUNTA(B126:K126)=0,"","Inserisci ID"),IF(COUNTIFS('Diario'!$A$8:$A$507,A126)&lt;&gt;1,"ID assente / duplicato",IF(OR(NOT(ISNUMBER(B126)),B126&lt;1,B126&lt;&gt;INT(B126),COUNTIFS($A$8:$A$1007,A126,$B$8:$B$1007,B126)&lt;&gt;1),"N. esecuzione non valido",IF(OR(NOT(ISNUMBER(C126)),AND(D126&lt;&gt;"Ingresso",D126&lt;&gt;"Uscita"),AND(E126&lt;&gt;"Back",E126&lt;&gt;"Lay")),"Completa data / fase / lato",IF(OR(NOT(ISNUMBER(F126)),F126&lt;=1,NOT(ISNUMBER(G126)),G126&lt;=0),"Correggi quota / stake","OK")))))</x:f>
      </x:c>
    </x:row>
    <x:row r="127" ht="22" customHeight="1">
      <x:c r="A127" s="24"/>
      <x:c r="B127" s="24"/>
      <x:c r="C127" s="26"/>
      <x:c r="D127" s="24"/>
      <x:c r="E127" s="24"/>
      <x:c r="F127" s="28"/>
      <x:c r="G127" s="29"/>
      <x:c r="H127" s="24"/>
      <x:c r="I127" s="24"/>
      <x:c r="J127" s="24"/>
      <x:c r="K127" s="24"/>
      <x:c r="L127" s="20" t="str">
        <x:f>IF(Q127&lt;&gt;"OK","",IF(E127="Back",G127*(F127-1),-G127*(F127-1)))</x:f>
      </x:c>
      <x:c r="M127" s="20" t="str">
        <x:f>IF(Q127&lt;&gt;"OK","",IF(E127="Back",-G127,G127))</x:f>
      </x:c>
      <x:c r="N127" s="20" t="str">
        <x:f>IF(Q127&lt;&gt;"OK","",SUMIFS($L$8:$L$1007,$A$8:$A$1007,A127,$B$8:$B$1007,"&lt;="&amp;B127))</x:f>
      </x:c>
      <x:c r="O127" s="20" t="str">
        <x:f>IF(Q127&lt;&gt;"OK","",SUMIFS($M$8:$M$1007,$A$8:$A$1007,A127,$B$8:$B$1007,"&lt;="&amp;B127))</x:f>
      </x:c>
      <x:c r="P127" s="20" t="str">
        <x:f>IF(Q127&lt;&gt;"OK","",MAX(0,-MIN(N127,O127)))</x:f>
      </x:c>
      <x:c r="Q127" s="18" t="str">
        <x:f>IF(A127="",IF(COUNTA(B127:K127)=0,"","Inserisci ID"),IF(COUNTIFS('Diario'!$A$8:$A$507,A127)&lt;&gt;1,"ID assente / duplicato",IF(OR(NOT(ISNUMBER(B127)),B127&lt;1,B127&lt;&gt;INT(B127),COUNTIFS($A$8:$A$1007,A127,$B$8:$B$1007,B127)&lt;&gt;1),"N. esecuzione non valido",IF(OR(NOT(ISNUMBER(C127)),AND(D127&lt;&gt;"Ingresso",D127&lt;&gt;"Uscita"),AND(E127&lt;&gt;"Back",E127&lt;&gt;"Lay")),"Completa data / fase / lato",IF(OR(NOT(ISNUMBER(F127)),F127&lt;=1,NOT(ISNUMBER(G127)),G127&lt;=0),"Correggi quota / stake","OK")))))</x:f>
      </x:c>
    </x:row>
    <x:row r="128" ht="22" customHeight="1">
      <x:c r="A128" s="24"/>
      <x:c r="B128" s="24"/>
      <x:c r="C128" s="26"/>
      <x:c r="D128" s="24"/>
      <x:c r="E128" s="24"/>
      <x:c r="F128" s="28"/>
      <x:c r="G128" s="29"/>
      <x:c r="H128" s="24"/>
      <x:c r="I128" s="24"/>
      <x:c r="J128" s="24"/>
      <x:c r="K128" s="24"/>
      <x:c r="L128" s="20" t="str">
        <x:f>IF(Q128&lt;&gt;"OK","",IF(E128="Back",G128*(F128-1),-G128*(F128-1)))</x:f>
      </x:c>
      <x:c r="M128" s="20" t="str">
        <x:f>IF(Q128&lt;&gt;"OK","",IF(E128="Back",-G128,G128))</x:f>
      </x:c>
      <x:c r="N128" s="20" t="str">
        <x:f>IF(Q128&lt;&gt;"OK","",SUMIFS($L$8:$L$1007,$A$8:$A$1007,A128,$B$8:$B$1007,"&lt;="&amp;B128))</x:f>
      </x:c>
      <x:c r="O128" s="20" t="str">
        <x:f>IF(Q128&lt;&gt;"OK","",SUMIFS($M$8:$M$1007,$A$8:$A$1007,A128,$B$8:$B$1007,"&lt;="&amp;B128))</x:f>
      </x:c>
      <x:c r="P128" s="20" t="str">
        <x:f>IF(Q128&lt;&gt;"OK","",MAX(0,-MIN(N128,O128)))</x:f>
      </x:c>
      <x:c r="Q128" s="18" t="str">
        <x:f>IF(A128="",IF(COUNTA(B128:K128)=0,"","Inserisci ID"),IF(COUNTIFS('Diario'!$A$8:$A$507,A128)&lt;&gt;1,"ID assente / duplicato",IF(OR(NOT(ISNUMBER(B128)),B128&lt;1,B128&lt;&gt;INT(B128),COUNTIFS($A$8:$A$1007,A128,$B$8:$B$1007,B128)&lt;&gt;1),"N. esecuzione non valido",IF(OR(NOT(ISNUMBER(C128)),AND(D128&lt;&gt;"Ingresso",D128&lt;&gt;"Uscita"),AND(E128&lt;&gt;"Back",E128&lt;&gt;"Lay")),"Completa data / fase / lato",IF(OR(NOT(ISNUMBER(F128)),F128&lt;=1,NOT(ISNUMBER(G128)),G128&lt;=0),"Correggi quota / stake","OK")))))</x:f>
      </x:c>
    </x:row>
    <x:row r="129" ht="22" customHeight="1">
      <x:c r="A129" s="24"/>
      <x:c r="B129" s="24"/>
      <x:c r="C129" s="26"/>
      <x:c r="D129" s="24"/>
      <x:c r="E129" s="24"/>
      <x:c r="F129" s="28"/>
      <x:c r="G129" s="29"/>
      <x:c r="H129" s="24"/>
      <x:c r="I129" s="24"/>
      <x:c r="J129" s="24"/>
      <x:c r="K129" s="24"/>
      <x:c r="L129" s="20" t="str">
        <x:f>IF(Q129&lt;&gt;"OK","",IF(E129="Back",G129*(F129-1),-G129*(F129-1)))</x:f>
      </x:c>
      <x:c r="M129" s="20" t="str">
        <x:f>IF(Q129&lt;&gt;"OK","",IF(E129="Back",-G129,G129))</x:f>
      </x:c>
      <x:c r="N129" s="20" t="str">
        <x:f>IF(Q129&lt;&gt;"OK","",SUMIFS($L$8:$L$1007,$A$8:$A$1007,A129,$B$8:$B$1007,"&lt;="&amp;B129))</x:f>
      </x:c>
      <x:c r="O129" s="20" t="str">
        <x:f>IF(Q129&lt;&gt;"OK","",SUMIFS($M$8:$M$1007,$A$8:$A$1007,A129,$B$8:$B$1007,"&lt;="&amp;B129))</x:f>
      </x:c>
      <x:c r="P129" s="20" t="str">
        <x:f>IF(Q129&lt;&gt;"OK","",MAX(0,-MIN(N129,O129)))</x:f>
      </x:c>
      <x:c r="Q129" s="18" t="str">
        <x:f>IF(A129="",IF(COUNTA(B129:K129)=0,"","Inserisci ID"),IF(COUNTIFS('Diario'!$A$8:$A$507,A129)&lt;&gt;1,"ID assente / duplicato",IF(OR(NOT(ISNUMBER(B129)),B129&lt;1,B129&lt;&gt;INT(B129),COUNTIFS($A$8:$A$1007,A129,$B$8:$B$1007,B129)&lt;&gt;1),"N. esecuzione non valido",IF(OR(NOT(ISNUMBER(C129)),AND(D129&lt;&gt;"Ingresso",D129&lt;&gt;"Uscita"),AND(E129&lt;&gt;"Back",E129&lt;&gt;"Lay")),"Completa data / fase / lato",IF(OR(NOT(ISNUMBER(F129)),F129&lt;=1,NOT(ISNUMBER(G129)),G129&lt;=0),"Correggi quota / stake","OK")))))</x:f>
      </x:c>
    </x:row>
    <x:row r="130" ht="22" customHeight="1">
      <x:c r="A130" s="24"/>
      <x:c r="B130" s="24"/>
      <x:c r="C130" s="26"/>
      <x:c r="D130" s="24"/>
      <x:c r="E130" s="24"/>
      <x:c r="F130" s="28"/>
      <x:c r="G130" s="29"/>
      <x:c r="H130" s="24"/>
      <x:c r="I130" s="24"/>
      <x:c r="J130" s="24"/>
      <x:c r="K130" s="24"/>
      <x:c r="L130" s="20" t="str">
        <x:f>IF(Q130&lt;&gt;"OK","",IF(E130="Back",G130*(F130-1),-G130*(F130-1)))</x:f>
      </x:c>
      <x:c r="M130" s="20" t="str">
        <x:f>IF(Q130&lt;&gt;"OK","",IF(E130="Back",-G130,G130))</x:f>
      </x:c>
      <x:c r="N130" s="20" t="str">
        <x:f>IF(Q130&lt;&gt;"OK","",SUMIFS($L$8:$L$1007,$A$8:$A$1007,A130,$B$8:$B$1007,"&lt;="&amp;B130))</x:f>
      </x:c>
      <x:c r="O130" s="20" t="str">
        <x:f>IF(Q130&lt;&gt;"OK","",SUMIFS($M$8:$M$1007,$A$8:$A$1007,A130,$B$8:$B$1007,"&lt;="&amp;B130))</x:f>
      </x:c>
      <x:c r="P130" s="20" t="str">
        <x:f>IF(Q130&lt;&gt;"OK","",MAX(0,-MIN(N130,O130)))</x:f>
      </x:c>
      <x:c r="Q130" s="18" t="str">
        <x:f>IF(A130="",IF(COUNTA(B130:K130)=0,"","Inserisci ID"),IF(COUNTIFS('Diario'!$A$8:$A$507,A130)&lt;&gt;1,"ID assente / duplicato",IF(OR(NOT(ISNUMBER(B130)),B130&lt;1,B130&lt;&gt;INT(B130),COUNTIFS($A$8:$A$1007,A130,$B$8:$B$1007,B130)&lt;&gt;1),"N. esecuzione non valido",IF(OR(NOT(ISNUMBER(C130)),AND(D130&lt;&gt;"Ingresso",D130&lt;&gt;"Uscita"),AND(E130&lt;&gt;"Back",E130&lt;&gt;"Lay")),"Completa data / fase / lato",IF(OR(NOT(ISNUMBER(F130)),F130&lt;=1,NOT(ISNUMBER(G130)),G130&lt;=0),"Correggi quota / stake","OK")))))</x:f>
      </x:c>
    </x:row>
    <x:row r="131" ht="22" customHeight="1">
      <x:c r="A131" s="24"/>
      <x:c r="B131" s="24"/>
      <x:c r="C131" s="26"/>
      <x:c r="D131" s="24"/>
      <x:c r="E131" s="24"/>
      <x:c r="F131" s="28"/>
      <x:c r="G131" s="29"/>
      <x:c r="H131" s="24"/>
      <x:c r="I131" s="24"/>
      <x:c r="J131" s="24"/>
      <x:c r="K131" s="24"/>
      <x:c r="L131" s="20" t="str">
        <x:f>IF(Q131&lt;&gt;"OK","",IF(E131="Back",G131*(F131-1),-G131*(F131-1)))</x:f>
      </x:c>
      <x:c r="M131" s="20" t="str">
        <x:f>IF(Q131&lt;&gt;"OK","",IF(E131="Back",-G131,G131))</x:f>
      </x:c>
      <x:c r="N131" s="20" t="str">
        <x:f>IF(Q131&lt;&gt;"OK","",SUMIFS($L$8:$L$1007,$A$8:$A$1007,A131,$B$8:$B$1007,"&lt;="&amp;B131))</x:f>
      </x:c>
      <x:c r="O131" s="20" t="str">
        <x:f>IF(Q131&lt;&gt;"OK","",SUMIFS($M$8:$M$1007,$A$8:$A$1007,A131,$B$8:$B$1007,"&lt;="&amp;B131))</x:f>
      </x:c>
      <x:c r="P131" s="20" t="str">
        <x:f>IF(Q131&lt;&gt;"OK","",MAX(0,-MIN(N131,O131)))</x:f>
      </x:c>
      <x:c r="Q131" s="18" t="str">
        <x:f>IF(A131="",IF(COUNTA(B131:K131)=0,"","Inserisci ID"),IF(COUNTIFS('Diario'!$A$8:$A$507,A131)&lt;&gt;1,"ID assente / duplicato",IF(OR(NOT(ISNUMBER(B131)),B131&lt;1,B131&lt;&gt;INT(B131),COUNTIFS($A$8:$A$1007,A131,$B$8:$B$1007,B131)&lt;&gt;1),"N. esecuzione non valido",IF(OR(NOT(ISNUMBER(C131)),AND(D131&lt;&gt;"Ingresso",D131&lt;&gt;"Uscita"),AND(E131&lt;&gt;"Back",E131&lt;&gt;"Lay")),"Completa data / fase / lato",IF(OR(NOT(ISNUMBER(F131)),F131&lt;=1,NOT(ISNUMBER(G131)),G131&lt;=0),"Correggi quota / stake","OK")))))</x:f>
      </x:c>
    </x:row>
    <x:row r="132" ht="22" customHeight="1">
      <x:c r="A132" s="24"/>
      <x:c r="B132" s="24"/>
      <x:c r="C132" s="26"/>
      <x:c r="D132" s="24"/>
      <x:c r="E132" s="24"/>
      <x:c r="F132" s="28"/>
      <x:c r="G132" s="29"/>
      <x:c r="H132" s="24"/>
      <x:c r="I132" s="24"/>
      <x:c r="J132" s="24"/>
      <x:c r="K132" s="24"/>
      <x:c r="L132" s="20" t="str">
        <x:f>IF(Q132&lt;&gt;"OK","",IF(E132="Back",G132*(F132-1),-G132*(F132-1)))</x:f>
      </x:c>
      <x:c r="M132" s="20" t="str">
        <x:f>IF(Q132&lt;&gt;"OK","",IF(E132="Back",-G132,G132))</x:f>
      </x:c>
      <x:c r="N132" s="20" t="str">
        <x:f>IF(Q132&lt;&gt;"OK","",SUMIFS($L$8:$L$1007,$A$8:$A$1007,A132,$B$8:$B$1007,"&lt;="&amp;B132))</x:f>
      </x:c>
      <x:c r="O132" s="20" t="str">
        <x:f>IF(Q132&lt;&gt;"OK","",SUMIFS($M$8:$M$1007,$A$8:$A$1007,A132,$B$8:$B$1007,"&lt;="&amp;B132))</x:f>
      </x:c>
      <x:c r="P132" s="20" t="str">
        <x:f>IF(Q132&lt;&gt;"OK","",MAX(0,-MIN(N132,O132)))</x:f>
      </x:c>
      <x:c r="Q132" s="18" t="str">
        <x:f>IF(A132="",IF(COUNTA(B132:K132)=0,"","Inserisci ID"),IF(COUNTIFS('Diario'!$A$8:$A$507,A132)&lt;&gt;1,"ID assente / duplicato",IF(OR(NOT(ISNUMBER(B132)),B132&lt;1,B132&lt;&gt;INT(B132),COUNTIFS($A$8:$A$1007,A132,$B$8:$B$1007,B132)&lt;&gt;1),"N. esecuzione non valido",IF(OR(NOT(ISNUMBER(C132)),AND(D132&lt;&gt;"Ingresso",D132&lt;&gt;"Uscita"),AND(E132&lt;&gt;"Back",E132&lt;&gt;"Lay")),"Completa data / fase / lato",IF(OR(NOT(ISNUMBER(F132)),F132&lt;=1,NOT(ISNUMBER(G132)),G132&lt;=0),"Correggi quota / stake","OK")))))</x:f>
      </x:c>
    </x:row>
    <x:row r="133" ht="22" customHeight="1">
      <x:c r="A133" s="24"/>
      <x:c r="B133" s="24"/>
      <x:c r="C133" s="26"/>
      <x:c r="D133" s="24"/>
      <x:c r="E133" s="24"/>
      <x:c r="F133" s="28"/>
      <x:c r="G133" s="29"/>
      <x:c r="H133" s="24"/>
      <x:c r="I133" s="24"/>
      <x:c r="J133" s="24"/>
      <x:c r="K133" s="24"/>
      <x:c r="L133" s="20" t="str">
        <x:f>IF(Q133&lt;&gt;"OK","",IF(E133="Back",G133*(F133-1),-G133*(F133-1)))</x:f>
      </x:c>
      <x:c r="M133" s="20" t="str">
        <x:f>IF(Q133&lt;&gt;"OK","",IF(E133="Back",-G133,G133))</x:f>
      </x:c>
      <x:c r="N133" s="20" t="str">
        <x:f>IF(Q133&lt;&gt;"OK","",SUMIFS($L$8:$L$1007,$A$8:$A$1007,A133,$B$8:$B$1007,"&lt;="&amp;B133))</x:f>
      </x:c>
      <x:c r="O133" s="20" t="str">
        <x:f>IF(Q133&lt;&gt;"OK","",SUMIFS($M$8:$M$1007,$A$8:$A$1007,A133,$B$8:$B$1007,"&lt;="&amp;B133))</x:f>
      </x:c>
      <x:c r="P133" s="20" t="str">
        <x:f>IF(Q133&lt;&gt;"OK","",MAX(0,-MIN(N133,O133)))</x:f>
      </x:c>
      <x:c r="Q133" s="18" t="str">
        <x:f>IF(A133="",IF(COUNTA(B133:K133)=0,"","Inserisci ID"),IF(COUNTIFS('Diario'!$A$8:$A$507,A133)&lt;&gt;1,"ID assente / duplicato",IF(OR(NOT(ISNUMBER(B133)),B133&lt;1,B133&lt;&gt;INT(B133),COUNTIFS($A$8:$A$1007,A133,$B$8:$B$1007,B133)&lt;&gt;1),"N. esecuzione non valido",IF(OR(NOT(ISNUMBER(C133)),AND(D133&lt;&gt;"Ingresso",D133&lt;&gt;"Uscita"),AND(E133&lt;&gt;"Back",E133&lt;&gt;"Lay")),"Completa data / fase / lato",IF(OR(NOT(ISNUMBER(F133)),F133&lt;=1,NOT(ISNUMBER(G133)),G133&lt;=0),"Correggi quota / stake","OK")))))</x:f>
      </x:c>
    </x:row>
    <x:row r="134" ht="22" customHeight="1">
      <x:c r="A134" s="24"/>
      <x:c r="B134" s="24"/>
      <x:c r="C134" s="26"/>
      <x:c r="D134" s="24"/>
      <x:c r="E134" s="24"/>
      <x:c r="F134" s="28"/>
      <x:c r="G134" s="29"/>
      <x:c r="H134" s="24"/>
      <x:c r="I134" s="24"/>
      <x:c r="J134" s="24"/>
      <x:c r="K134" s="24"/>
      <x:c r="L134" s="20" t="str">
        <x:f>IF(Q134&lt;&gt;"OK","",IF(E134="Back",G134*(F134-1),-G134*(F134-1)))</x:f>
      </x:c>
      <x:c r="M134" s="20" t="str">
        <x:f>IF(Q134&lt;&gt;"OK","",IF(E134="Back",-G134,G134))</x:f>
      </x:c>
      <x:c r="N134" s="20" t="str">
        <x:f>IF(Q134&lt;&gt;"OK","",SUMIFS($L$8:$L$1007,$A$8:$A$1007,A134,$B$8:$B$1007,"&lt;="&amp;B134))</x:f>
      </x:c>
      <x:c r="O134" s="20" t="str">
        <x:f>IF(Q134&lt;&gt;"OK","",SUMIFS($M$8:$M$1007,$A$8:$A$1007,A134,$B$8:$B$1007,"&lt;="&amp;B134))</x:f>
      </x:c>
      <x:c r="P134" s="20" t="str">
        <x:f>IF(Q134&lt;&gt;"OK","",MAX(0,-MIN(N134,O134)))</x:f>
      </x:c>
      <x:c r="Q134" s="18" t="str">
        <x:f>IF(A134="",IF(COUNTA(B134:K134)=0,"","Inserisci ID"),IF(COUNTIFS('Diario'!$A$8:$A$507,A134)&lt;&gt;1,"ID assente / duplicato",IF(OR(NOT(ISNUMBER(B134)),B134&lt;1,B134&lt;&gt;INT(B134),COUNTIFS($A$8:$A$1007,A134,$B$8:$B$1007,B134)&lt;&gt;1),"N. esecuzione non valido",IF(OR(NOT(ISNUMBER(C134)),AND(D134&lt;&gt;"Ingresso",D134&lt;&gt;"Uscita"),AND(E134&lt;&gt;"Back",E134&lt;&gt;"Lay")),"Completa data / fase / lato",IF(OR(NOT(ISNUMBER(F134)),F134&lt;=1,NOT(ISNUMBER(G134)),G134&lt;=0),"Correggi quota / stake","OK")))))</x:f>
      </x:c>
    </x:row>
    <x:row r="135" ht="22" customHeight="1">
      <x:c r="A135" s="24"/>
      <x:c r="B135" s="24"/>
      <x:c r="C135" s="26"/>
      <x:c r="D135" s="24"/>
      <x:c r="E135" s="24"/>
      <x:c r="F135" s="28"/>
      <x:c r="G135" s="29"/>
      <x:c r="H135" s="24"/>
      <x:c r="I135" s="24"/>
      <x:c r="J135" s="24"/>
      <x:c r="K135" s="24"/>
      <x:c r="L135" s="20" t="str">
        <x:f>IF(Q135&lt;&gt;"OK","",IF(E135="Back",G135*(F135-1),-G135*(F135-1)))</x:f>
      </x:c>
      <x:c r="M135" s="20" t="str">
        <x:f>IF(Q135&lt;&gt;"OK","",IF(E135="Back",-G135,G135))</x:f>
      </x:c>
      <x:c r="N135" s="20" t="str">
        <x:f>IF(Q135&lt;&gt;"OK","",SUMIFS($L$8:$L$1007,$A$8:$A$1007,A135,$B$8:$B$1007,"&lt;="&amp;B135))</x:f>
      </x:c>
      <x:c r="O135" s="20" t="str">
        <x:f>IF(Q135&lt;&gt;"OK","",SUMIFS($M$8:$M$1007,$A$8:$A$1007,A135,$B$8:$B$1007,"&lt;="&amp;B135))</x:f>
      </x:c>
      <x:c r="P135" s="20" t="str">
        <x:f>IF(Q135&lt;&gt;"OK","",MAX(0,-MIN(N135,O135)))</x:f>
      </x:c>
      <x:c r="Q135" s="18" t="str">
        <x:f>IF(A135="",IF(COUNTA(B135:K135)=0,"","Inserisci ID"),IF(COUNTIFS('Diario'!$A$8:$A$507,A135)&lt;&gt;1,"ID assente / duplicato",IF(OR(NOT(ISNUMBER(B135)),B135&lt;1,B135&lt;&gt;INT(B135),COUNTIFS($A$8:$A$1007,A135,$B$8:$B$1007,B135)&lt;&gt;1),"N. esecuzione non valido",IF(OR(NOT(ISNUMBER(C135)),AND(D135&lt;&gt;"Ingresso",D135&lt;&gt;"Uscita"),AND(E135&lt;&gt;"Back",E135&lt;&gt;"Lay")),"Completa data / fase / lato",IF(OR(NOT(ISNUMBER(F135)),F135&lt;=1,NOT(ISNUMBER(G135)),G135&lt;=0),"Correggi quota / stake","OK")))))</x:f>
      </x:c>
    </x:row>
    <x:row r="136" ht="22" customHeight="1">
      <x:c r="A136" s="24"/>
      <x:c r="B136" s="24"/>
      <x:c r="C136" s="26"/>
      <x:c r="D136" s="24"/>
      <x:c r="E136" s="24"/>
      <x:c r="F136" s="28"/>
      <x:c r="G136" s="29"/>
      <x:c r="H136" s="24"/>
      <x:c r="I136" s="24"/>
      <x:c r="J136" s="24"/>
      <x:c r="K136" s="24"/>
      <x:c r="L136" s="20" t="str">
        <x:f>IF(Q136&lt;&gt;"OK","",IF(E136="Back",G136*(F136-1),-G136*(F136-1)))</x:f>
      </x:c>
      <x:c r="M136" s="20" t="str">
        <x:f>IF(Q136&lt;&gt;"OK","",IF(E136="Back",-G136,G136))</x:f>
      </x:c>
      <x:c r="N136" s="20" t="str">
        <x:f>IF(Q136&lt;&gt;"OK","",SUMIFS($L$8:$L$1007,$A$8:$A$1007,A136,$B$8:$B$1007,"&lt;="&amp;B136))</x:f>
      </x:c>
      <x:c r="O136" s="20" t="str">
        <x:f>IF(Q136&lt;&gt;"OK","",SUMIFS($M$8:$M$1007,$A$8:$A$1007,A136,$B$8:$B$1007,"&lt;="&amp;B136))</x:f>
      </x:c>
      <x:c r="P136" s="20" t="str">
        <x:f>IF(Q136&lt;&gt;"OK","",MAX(0,-MIN(N136,O136)))</x:f>
      </x:c>
      <x:c r="Q136" s="18" t="str">
        <x:f>IF(A136="",IF(COUNTA(B136:K136)=0,"","Inserisci ID"),IF(COUNTIFS('Diario'!$A$8:$A$507,A136)&lt;&gt;1,"ID assente / duplicato",IF(OR(NOT(ISNUMBER(B136)),B136&lt;1,B136&lt;&gt;INT(B136),COUNTIFS($A$8:$A$1007,A136,$B$8:$B$1007,B136)&lt;&gt;1),"N. esecuzione non valido",IF(OR(NOT(ISNUMBER(C136)),AND(D136&lt;&gt;"Ingresso",D136&lt;&gt;"Uscita"),AND(E136&lt;&gt;"Back",E136&lt;&gt;"Lay")),"Completa data / fase / lato",IF(OR(NOT(ISNUMBER(F136)),F136&lt;=1,NOT(ISNUMBER(G136)),G136&lt;=0),"Correggi quota / stake","OK")))))</x:f>
      </x:c>
    </x:row>
    <x:row r="137" ht="22" customHeight="1">
      <x:c r="A137" s="24"/>
      <x:c r="B137" s="24"/>
      <x:c r="C137" s="26"/>
      <x:c r="D137" s="24"/>
      <x:c r="E137" s="24"/>
      <x:c r="F137" s="28"/>
      <x:c r="G137" s="29"/>
      <x:c r="H137" s="24"/>
      <x:c r="I137" s="24"/>
      <x:c r="J137" s="24"/>
      <x:c r="K137" s="24"/>
      <x:c r="L137" s="20" t="str">
        <x:f>IF(Q137&lt;&gt;"OK","",IF(E137="Back",G137*(F137-1),-G137*(F137-1)))</x:f>
      </x:c>
      <x:c r="M137" s="20" t="str">
        <x:f>IF(Q137&lt;&gt;"OK","",IF(E137="Back",-G137,G137))</x:f>
      </x:c>
      <x:c r="N137" s="20" t="str">
        <x:f>IF(Q137&lt;&gt;"OK","",SUMIFS($L$8:$L$1007,$A$8:$A$1007,A137,$B$8:$B$1007,"&lt;="&amp;B137))</x:f>
      </x:c>
      <x:c r="O137" s="20" t="str">
        <x:f>IF(Q137&lt;&gt;"OK","",SUMIFS($M$8:$M$1007,$A$8:$A$1007,A137,$B$8:$B$1007,"&lt;="&amp;B137))</x:f>
      </x:c>
      <x:c r="P137" s="20" t="str">
        <x:f>IF(Q137&lt;&gt;"OK","",MAX(0,-MIN(N137,O137)))</x:f>
      </x:c>
      <x:c r="Q137" s="18" t="str">
        <x:f>IF(A137="",IF(COUNTA(B137:K137)=0,"","Inserisci ID"),IF(COUNTIFS('Diario'!$A$8:$A$507,A137)&lt;&gt;1,"ID assente / duplicato",IF(OR(NOT(ISNUMBER(B137)),B137&lt;1,B137&lt;&gt;INT(B137),COUNTIFS($A$8:$A$1007,A137,$B$8:$B$1007,B137)&lt;&gt;1),"N. esecuzione non valido",IF(OR(NOT(ISNUMBER(C137)),AND(D137&lt;&gt;"Ingresso",D137&lt;&gt;"Uscita"),AND(E137&lt;&gt;"Back",E137&lt;&gt;"Lay")),"Completa data / fase / lato",IF(OR(NOT(ISNUMBER(F137)),F137&lt;=1,NOT(ISNUMBER(G137)),G137&lt;=0),"Correggi quota / stake","OK")))))</x:f>
      </x:c>
    </x:row>
    <x:row r="138" ht="22" customHeight="1">
      <x:c r="A138" s="24"/>
      <x:c r="B138" s="24"/>
      <x:c r="C138" s="26"/>
      <x:c r="D138" s="24"/>
      <x:c r="E138" s="24"/>
      <x:c r="F138" s="28"/>
      <x:c r="G138" s="29"/>
      <x:c r="H138" s="24"/>
      <x:c r="I138" s="24"/>
      <x:c r="J138" s="24"/>
      <x:c r="K138" s="24"/>
      <x:c r="L138" s="20" t="str">
        <x:f>IF(Q138&lt;&gt;"OK","",IF(E138="Back",G138*(F138-1),-G138*(F138-1)))</x:f>
      </x:c>
      <x:c r="M138" s="20" t="str">
        <x:f>IF(Q138&lt;&gt;"OK","",IF(E138="Back",-G138,G138))</x:f>
      </x:c>
      <x:c r="N138" s="20" t="str">
        <x:f>IF(Q138&lt;&gt;"OK","",SUMIFS($L$8:$L$1007,$A$8:$A$1007,A138,$B$8:$B$1007,"&lt;="&amp;B138))</x:f>
      </x:c>
      <x:c r="O138" s="20" t="str">
        <x:f>IF(Q138&lt;&gt;"OK","",SUMIFS($M$8:$M$1007,$A$8:$A$1007,A138,$B$8:$B$1007,"&lt;="&amp;B138))</x:f>
      </x:c>
      <x:c r="P138" s="20" t="str">
        <x:f>IF(Q138&lt;&gt;"OK","",MAX(0,-MIN(N138,O138)))</x:f>
      </x:c>
      <x:c r="Q138" s="18" t="str">
        <x:f>IF(A138="",IF(COUNTA(B138:K138)=0,"","Inserisci ID"),IF(COUNTIFS('Diario'!$A$8:$A$507,A138)&lt;&gt;1,"ID assente / duplicato",IF(OR(NOT(ISNUMBER(B138)),B138&lt;1,B138&lt;&gt;INT(B138),COUNTIFS($A$8:$A$1007,A138,$B$8:$B$1007,B138)&lt;&gt;1),"N. esecuzione non valido",IF(OR(NOT(ISNUMBER(C138)),AND(D138&lt;&gt;"Ingresso",D138&lt;&gt;"Uscita"),AND(E138&lt;&gt;"Back",E138&lt;&gt;"Lay")),"Completa data / fase / lato",IF(OR(NOT(ISNUMBER(F138)),F138&lt;=1,NOT(ISNUMBER(G138)),G138&lt;=0),"Correggi quota / stake","OK")))))</x:f>
      </x:c>
    </x:row>
    <x:row r="139" ht="22" customHeight="1">
      <x:c r="A139" s="24"/>
      <x:c r="B139" s="24"/>
      <x:c r="C139" s="26"/>
      <x:c r="D139" s="24"/>
      <x:c r="E139" s="24"/>
      <x:c r="F139" s="28"/>
      <x:c r="G139" s="29"/>
      <x:c r="H139" s="24"/>
      <x:c r="I139" s="24"/>
      <x:c r="J139" s="24"/>
      <x:c r="K139" s="24"/>
      <x:c r="L139" s="20" t="str">
        <x:f>IF(Q139&lt;&gt;"OK","",IF(E139="Back",G139*(F139-1),-G139*(F139-1)))</x:f>
      </x:c>
      <x:c r="M139" s="20" t="str">
        <x:f>IF(Q139&lt;&gt;"OK","",IF(E139="Back",-G139,G139))</x:f>
      </x:c>
      <x:c r="N139" s="20" t="str">
        <x:f>IF(Q139&lt;&gt;"OK","",SUMIFS($L$8:$L$1007,$A$8:$A$1007,A139,$B$8:$B$1007,"&lt;="&amp;B139))</x:f>
      </x:c>
      <x:c r="O139" s="20" t="str">
        <x:f>IF(Q139&lt;&gt;"OK","",SUMIFS($M$8:$M$1007,$A$8:$A$1007,A139,$B$8:$B$1007,"&lt;="&amp;B139))</x:f>
      </x:c>
      <x:c r="P139" s="20" t="str">
        <x:f>IF(Q139&lt;&gt;"OK","",MAX(0,-MIN(N139,O139)))</x:f>
      </x:c>
      <x:c r="Q139" s="18" t="str">
        <x:f>IF(A139="",IF(COUNTA(B139:K139)=0,"","Inserisci ID"),IF(COUNTIFS('Diario'!$A$8:$A$507,A139)&lt;&gt;1,"ID assente / duplicato",IF(OR(NOT(ISNUMBER(B139)),B139&lt;1,B139&lt;&gt;INT(B139),COUNTIFS($A$8:$A$1007,A139,$B$8:$B$1007,B139)&lt;&gt;1),"N. esecuzione non valido",IF(OR(NOT(ISNUMBER(C139)),AND(D139&lt;&gt;"Ingresso",D139&lt;&gt;"Uscita"),AND(E139&lt;&gt;"Back",E139&lt;&gt;"Lay")),"Completa data / fase / lato",IF(OR(NOT(ISNUMBER(F139)),F139&lt;=1,NOT(ISNUMBER(G139)),G139&lt;=0),"Correggi quota / stake","OK")))))</x:f>
      </x:c>
    </x:row>
    <x:row r="140" ht="22" customHeight="1">
      <x:c r="A140" s="24"/>
      <x:c r="B140" s="24"/>
      <x:c r="C140" s="26"/>
      <x:c r="D140" s="24"/>
      <x:c r="E140" s="24"/>
      <x:c r="F140" s="28"/>
      <x:c r="G140" s="29"/>
      <x:c r="H140" s="24"/>
      <x:c r="I140" s="24"/>
      <x:c r="J140" s="24"/>
      <x:c r="K140" s="24"/>
      <x:c r="L140" s="20" t="str">
        <x:f>IF(Q140&lt;&gt;"OK","",IF(E140="Back",G140*(F140-1),-G140*(F140-1)))</x:f>
      </x:c>
      <x:c r="M140" s="20" t="str">
        <x:f>IF(Q140&lt;&gt;"OK","",IF(E140="Back",-G140,G140))</x:f>
      </x:c>
      <x:c r="N140" s="20" t="str">
        <x:f>IF(Q140&lt;&gt;"OK","",SUMIFS($L$8:$L$1007,$A$8:$A$1007,A140,$B$8:$B$1007,"&lt;="&amp;B140))</x:f>
      </x:c>
      <x:c r="O140" s="20" t="str">
        <x:f>IF(Q140&lt;&gt;"OK","",SUMIFS($M$8:$M$1007,$A$8:$A$1007,A140,$B$8:$B$1007,"&lt;="&amp;B140))</x:f>
      </x:c>
      <x:c r="P140" s="20" t="str">
        <x:f>IF(Q140&lt;&gt;"OK","",MAX(0,-MIN(N140,O140)))</x:f>
      </x:c>
      <x:c r="Q140" s="18" t="str">
        <x:f>IF(A140="",IF(COUNTA(B140:K140)=0,"","Inserisci ID"),IF(COUNTIFS('Diario'!$A$8:$A$507,A140)&lt;&gt;1,"ID assente / duplicato",IF(OR(NOT(ISNUMBER(B140)),B140&lt;1,B140&lt;&gt;INT(B140),COUNTIFS($A$8:$A$1007,A140,$B$8:$B$1007,B140)&lt;&gt;1),"N. esecuzione non valido",IF(OR(NOT(ISNUMBER(C140)),AND(D140&lt;&gt;"Ingresso",D140&lt;&gt;"Uscita"),AND(E140&lt;&gt;"Back",E140&lt;&gt;"Lay")),"Completa data / fase / lato",IF(OR(NOT(ISNUMBER(F140)),F140&lt;=1,NOT(ISNUMBER(G140)),G140&lt;=0),"Correggi quota / stake","OK")))))</x:f>
      </x:c>
    </x:row>
    <x:row r="141" ht="22" customHeight="1">
      <x:c r="A141" s="24"/>
      <x:c r="B141" s="24"/>
      <x:c r="C141" s="26"/>
      <x:c r="D141" s="24"/>
      <x:c r="E141" s="24"/>
      <x:c r="F141" s="28"/>
      <x:c r="G141" s="29"/>
      <x:c r="H141" s="24"/>
      <x:c r="I141" s="24"/>
      <x:c r="J141" s="24"/>
      <x:c r="K141" s="24"/>
      <x:c r="L141" s="20" t="str">
        <x:f>IF(Q141&lt;&gt;"OK","",IF(E141="Back",G141*(F141-1),-G141*(F141-1)))</x:f>
      </x:c>
      <x:c r="M141" s="20" t="str">
        <x:f>IF(Q141&lt;&gt;"OK","",IF(E141="Back",-G141,G141))</x:f>
      </x:c>
      <x:c r="N141" s="20" t="str">
        <x:f>IF(Q141&lt;&gt;"OK","",SUMIFS($L$8:$L$1007,$A$8:$A$1007,A141,$B$8:$B$1007,"&lt;="&amp;B141))</x:f>
      </x:c>
      <x:c r="O141" s="20" t="str">
        <x:f>IF(Q141&lt;&gt;"OK","",SUMIFS($M$8:$M$1007,$A$8:$A$1007,A141,$B$8:$B$1007,"&lt;="&amp;B141))</x:f>
      </x:c>
      <x:c r="P141" s="20" t="str">
        <x:f>IF(Q141&lt;&gt;"OK","",MAX(0,-MIN(N141,O141)))</x:f>
      </x:c>
      <x:c r="Q141" s="18" t="str">
        <x:f>IF(A141="",IF(COUNTA(B141:K141)=0,"","Inserisci ID"),IF(COUNTIFS('Diario'!$A$8:$A$507,A141)&lt;&gt;1,"ID assente / duplicato",IF(OR(NOT(ISNUMBER(B141)),B141&lt;1,B141&lt;&gt;INT(B141),COUNTIFS($A$8:$A$1007,A141,$B$8:$B$1007,B141)&lt;&gt;1),"N. esecuzione non valido",IF(OR(NOT(ISNUMBER(C141)),AND(D141&lt;&gt;"Ingresso",D141&lt;&gt;"Uscita"),AND(E141&lt;&gt;"Back",E141&lt;&gt;"Lay")),"Completa data / fase / lato",IF(OR(NOT(ISNUMBER(F141)),F141&lt;=1,NOT(ISNUMBER(G141)),G141&lt;=0),"Correggi quota / stake","OK")))))</x:f>
      </x:c>
    </x:row>
    <x:row r="142" ht="22" customHeight="1">
      <x:c r="A142" s="24"/>
      <x:c r="B142" s="24"/>
      <x:c r="C142" s="26"/>
      <x:c r="D142" s="24"/>
      <x:c r="E142" s="24"/>
      <x:c r="F142" s="28"/>
      <x:c r="G142" s="29"/>
      <x:c r="H142" s="24"/>
      <x:c r="I142" s="24"/>
      <x:c r="J142" s="24"/>
      <x:c r="K142" s="24"/>
      <x:c r="L142" s="20" t="str">
        <x:f>IF(Q142&lt;&gt;"OK","",IF(E142="Back",G142*(F142-1),-G142*(F142-1)))</x:f>
      </x:c>
      <x:c r="M142" s="20" t="str">
        <x:f>IF(Q142&lt;&gt;"OK","",IF(E142="Back",-G142,G142))</x:f>
      </x:c>
      <x:c r="N142" s="20" t="str">
        <x:f>IF(Q142&lt;&gt;"OK","",SUMIFS($L$8:$L$1007,$A$8:$A$1007,A142,$B$8:$B$1007,"&lt;="&amp;B142))</x:f>
      </x:c>
      <x:c r="O142" s="20" t="str">
        <x:f>IF(Q142&lt;&gt;"OK","",SUMIFS($M$8:$M$1007,$A$8:$A$1007,A142,$B$8:$B$1007,"&lt;="&amp;B142))</x:f>
      </x:c>
      <x:c r="P142" s="20" t="str">
        <x:f>IF(Q142&lt;&gt;"OK","",MAX(0,-MIN(N142,O142)))</x:f>
      </x:c>
      <x:c r="Q142" s="18" t="str">
        <x:f>IF(A142="",IF(COUNTA(B142:K142)=0,"","Inserisci ID"),IF(COUNTIFS('Diario'!$A$8:$A$507,A142)&lt;&gt;1,"ID assente / duplicato",IF(OR(NOT(ISNUMBER(B142)),B142&lt;1,B142&lt;&gt;INT(B142),COUNTIFS($A$8:$A$1007,A142,$B$8:$B$1007,B142)&lt;&gt;1),"N. esecuzione non valido",IF(OR(NOT(ISNUMBER(C142)),AND(D142&lt;&gt;"Ingresso",D142&lt;&gt;"Uscita"),AND(E142&lt;&gt;"Back",E142&lt;&gt;"Lay")),"Completa data / fase / lato",IF(OR(NOT(ISNUMBER(F142)),F142&lt;=1,NOT(ISNUMBER(G142)),G142&lt;=0),"Correggi quota / stake","OK")))))</x:f>
      </x:c>
    </x:row>
    <x:row r="143" ht="22" customHeight="1">
      <x:c r="A143" s="24"/>
      <x:c r="B143" s="24"/>
      <x:c r="C143" s="26"/>
      <x:c r="D143" s="24"/>
      <x:c r="E143" s="24"/>
      <x:c r="F143" s="28"/>
      <x:c r="G143" s="29"/>
      <x:c r="H143" s="24"/>
      <x:c r="I143" s="24"/>
      <x:c r="J143" s="24"/>
      <x:c r="K143" s="24"/>
      <x:c r="L143" s="20" t="str">
        <x:f>IF(Q143&lt;&gt;"OK","",IF(E143="Back",G143*(F143-1),-G143*(F143-1)))</x:f>
      </x:c>
      <x:c r="M143" s="20" t="str">
        <x:f>IF(Q143&lt;&gt;"OK","",IF(E143="Back",-G143,G143))</x:f>
      </x:c>
      <x:c r="N143" s="20" t="str">
        <x:f>IF(Q143&lt;&gt;"OK","",SUMIFS($L$8:$L$1007,$A$8:$A$1007,A143,$B$8:$B$1007,"&lt;="&amp;B143))</x:f>
      </x:c>
      <x:c r="O143" s="20" t="str">
        <x:f>IF(Q143&lt;&gt;"OK","",SUMIFS($M$8:$M$1007,$A$8:$A$1007,A143,$B$8:$B$1007,"&lt;="&amp;B143))</x:f>
      </x:c>
      <x:c r="P143" s="20" t="str">
        <x:f>IF(Q143&lt;&gt;"OK","",MAX(0,-MIN(N143,O143)))</x:f>
      </x:c>
      <x:c r="Q143" s="18" t="str">
        <x:f>IF(A143="",IF(COUNTA(B143:K143)=0,"","Inserisci ID"),IF(COUNTIFS('Diario'!$A$8:$A$507,A143)&lt;&gt;1,"ID assente / duplicato",IF(OR(NOT(ISNUMBER(B143)),B143&lt;1,B143&lt;&gt;INT(B143),COUNTIFS($A$8:$A$1007,A143,$B$8:$B$1007,B143)&lt;&gt;1),"N. esecuzione non valido",IF(OR(NOT(ISNUMBER(C143)),AND(D143&lt;&gt;"Ingresso",D143&lt;&gt;"Uscita"),AND(E143&lt;&gt;"Back",E143&lt;&gt;"Lay")),"Completa data / fase / lato",IF(OR(NOT(ISNUMBER(F143)),F143&lt;=1,NOT(ISNUMBER(G143)),G143&lt;=0),"Correggi quota / stake","OK")))))</x:f>
      </x:c>
    </x:row>
    <x:row r="144" ht="22" customHeight="1">
      <x:c r="A144" s="24"/>
      <x:c r="B144" s="24"/>
      <x:c r="C144" s="26"/>
      <x:c r="D144" s="24"/>
      <x:c r="E144" s="24"/>
      <x:c r="F144" s="28"/>
      <x:c r="G144" s="29"/>
      <x:c r="H144" s="24"/>
      <x:c r="I144" s="24"/>
      <x:c r="J144" s="24"/>
      <x:c r="K144" s="24"/>
      <x:c r="L144" s="20" t="str">
        <x:f>IF(Q144&lt;&gt;"OK","",IF(E144="Back",G144*(F144-1),-G144*(F144-1)))</x:f>
      </x:c>
      <x:c r="M144" s="20" t="str">
        <x:f>IF(Q144&lt;&gt;"OK","",IF(E144="Back",-G144,G144))</x:f>
      </x:c>
      <x:c r="N144" s="20" t="str">
        <x:f>IF(Q144&lt;&gt;"OK","",SUMIFS($L$8:$L$1007,$A$8:$A$1007,A144,$B$8:$B$1007,"&lt;="&amp;B144))</x:f>
      </x:c>
      <x:c r="O144" s="20" t="str">
        <x:f>IF(Q144&lt;&gt;"OK","",SUMIFS($M$8:$M$1007,$A$8:$A$1007,A144,$B$8:$B$1007,"&lt;="&amp;B144))</x:f>
      </x:c>
      <x:c r="P144" s="20" t="str">
        <x:f>IF(Q144&lt;&gt;"OK","",MAX(0,-MIN(N144,O144)))</x:f>
      </x:c>
      <x:c r="Q144" s="18" t="str">
        <x:f>IF(A144="",IF(COUNTA(B144:K144)=0,"","Inserisci ID"),IF(COUNTIFS('Diario'!$A$8:$A$507,A144)&lt;&gt;1,"ID assente / duplicato",IF(OR(NOT(ISNUMBER(B144)),B144&lt;1,B144&lt;&gt;INT(B144),COUNTIFS($A$8:$A$1007,A144,$B$8:$B$1007,B144)&lt;&gt;1),"N. esecuzione non valido",IF(OR(NOT(ISNUMBER(C144)),AND(D144&lt;&gt;"Ingresso",D144&lt;&gt;"Uscita"),AND(E144&lt;&gt;"Back",E144&lt;&gt;"Lay")),"Completa data / fase / lato",IF(OR(NOT(ISNUMBER(F144)),F144&lt;=1,NOT(ISNUMBER(G144)),G144&lt;=0),"Correggi quota / stake","OK")))))</x:f>
      </x:c>
    </x:row>
    <x:row r="145" ht="22" customHeight="1">
      <x:c r="A145" s="24"/>
      <x:c r="B145" s="24"/>
      <x:c r="C145" s="26"/>
      <x:c r="D145" s="24"/>
      <x:c r="E145" s="24"/>
      <x:c r="F145" s="28"/>
      <x:c r="G145" s="29"/>
      <x:c r="H145" s="24"/>
      <x:c r="I145" s="24"/>
      <x:c r="J145" s="24"/>
      <x:c r="K145" s="24"/>
      <x:c r="L145" s="20" t="str">
        <x:f>IF(Q145&lt;&gt;"OK","",IF(E145="Back",G145*(F145-1),-G145*(F145-1)))</x:f>
      </x:c>
      <x:c r="M145" s="20" t="str">
        <x:f>IF(Q145&lt;&gt;"OK","",IF(E145="Back",-G145,G145))</x:f>
      </x:c>
      <x:c r="N145" s="20" t="str">
        <x:f>IF(Q145&lt;&gt;"OK","",SUMIFS($L$8:$L$1007,$A$8:$A$1007,A145,$B$8:$B$1007,"&lt;="&amp;B145))</x:f>
      </x:c>
      <x:c r="O145" s="20" t="str">
        <x:f>IF(Q145&lt;&gt;"OK","",SUMIFS($M$8:$M$1007,$A$8:$A$1007,A145,$B$8:$B$1007,"&lt;="&amp;B145))</x:f>
      </x:c>
      <x:c r="P145" s="20" t="str">
        <x:f>IF(Q145&lt;&gt;"OK","",MAX(0,-MIN(N145,O145)))</x:f>
      </x:c>
      <x:c r="Q145" s="18" t="str">
        <x:f>IF(A145="",IF(COUNTA(B145:K145)=0,"","Inserisci ID"),IF(COUNTIFS('Diario'!$A$8:$A$507,A145)&lt;&gt;1,"ID assente / duplicato",IF(OR(NOT(ISNUMBER(B145)),B145&lt;1,B145&lt;&gt;INT(B145),COUNTIFS($A$8:$A$1007,A145,$B$8:$B$1007,B145)&lt;&gt;1),"N. esecuzione non valido",IF(OR(NOT(ISNUMBER(C145)),AND(D145&lt;&gt;"Ingresso",D145&lt;&gt;"Uscita"),AND(E145&lt;&gt;"Back",E145&lt;&gt;"Lay")),"Completa data / fase / lato",IF(OR(NOT(ISNUMBER(F145)),F145&lt;=1,NOT(ISNUMBER(G145)),G145&lt;=0),"Correggi quota / stake","OK")))))</x:f>
      </x:c>
    </x:row>
    <x:row r="146" ht="22" customHeight="1">
      <x:c r="A146" s="24"/>
      <x:c r="B146" s="24"/>
      <x:c r="C146" s="26"/>
      <x:c r="D146" s="24"/>
      <x:c r="E146" s="24"/>
      <x:c r="F146" s="28"/>
      <x:c r="G146" s="29"/>
      <x:c r="H146" s="24"/>
      <x:c r="I146" s="24"/>
      <x:c r="J146" s="24"/>
      <x:c r="K146" s="24"/>
      <x:c r="L146" s="20" t="str">
        <x:f>IF(Q146&lt;&gt;"OK","",IF(E146="Back",G146*(F146-1),-G146*(F146-1)))</x:f>
      </x:c>
      <x:c r="M146" s="20" t="str">
        <x:f>IF(Q146&lt;&gt;"OK","",IF(E146="Back",-G146,G146))</x:f>
      </x:c>
      <x:c r="N146" s="20" t="str">
        <x:f>IF(Q146&lt;&gt;"OK","",SUMIFS($L$8:$L$1007,$A$8:$A$1007,A146,$B$8:$B$1007,"&lt;="&amp;B146))</x:f>
      </x:c>
      <x:c r="O146" s="20" t="str">
        <x:f>IF(Q146&lt;&gt;"OK","",SUMIFS($M$8:$M$1007,$A$8:$A$1007,A146,$B$8:$B$1007,"&lt;="&amp;B146))</x:f>
      </x:c>
      <x:c r="P146" s="20" t="str">
        <x:f>IF(Q146&lt;&gt;"OK","",MAX(0,-MIN(N146,O146)))</x:f>
      </x:c>
      <x:c r="Q146" s="18" t="str">
        <x:f>IF(A146="",IF(COUNTA(B146:K146)=0,"","Inserisci ID"),IF(COUNTIFS('Diario'!$A$8:$A$507,A146)&lt;&gt;1,"ID assente / duplicato",IF(OR(NOT(ISNUMBER(B146)),B146&lt;1,B146&lt;&gt;INT(B146),COUNTIFS($A$8:$A$1007,A146,$B$8:$B$1007,B146)&lt;&gt;1),"N. esecuzione non valido",IF(OR(NOT(ISNUMBER(C146)),AND(D146&lt;&gt;"Ingresso",D146&lt;&gt;"Uscita"),AND(E146&lt;&gt;"Back",E146&lt;&gt;"Lay")),"Completa data / fase / lato",IF(OR(NOT(ISNUMBER(F146)),F146&lt;=1,NOT(ISNUMBER(G146)),G146&lt;=0),"Correggi quota / stake","OK")))))</x:f>
      </x:c>
    </x:row>
    <x:row r="147" ht="22" customHeight="1">
      <x:c r="A147" s="24"/>
      <x:c r="B147" s="24"/>
      <x:c r="C147" s="26"/>
      <x:c r="D147" s="24"/>
      <x:c r="E147" s="24"/>
      <x:c r="F147" s="28"/>
      <x:c r="G147" s="29"/>
      <x:c r="H147" s="24"/>
      <x:c r="I147" s="24"/>
      <x:c r="J147" s="24"/>
      <x:c r="K147" s="24"/>
      <x:c r="L147" s="20" t="str">
        <x:f>IF(Q147&lt;&gt;"OK","",IF(E147="Back",G147*(F147-1),-G147*(F147-1)))</x:f>
      </x:c>
      <x:c r="M147" s="20" t="str">
        <x:f>IF(Q147&lt;&gt;"OK","",IF(E147="Back",-G147,G147))</x:f>
      </x:c>
      <x:c r="N147" s="20" t="str">
        <x:f>IF(Q147&lt;&gt;"OK","",SUMIFS($L$8:$L$1007,$A$8:$A$1007,A147,$B$8:$B$1007,"&lt;="&amp;B147))</x:f>
      </x:c>
      <x:c r="O147" s="20" t="str">
        <x:f>IF(Q147&lt;&gt;"OK","",SUMIFS($M$8:$M$1007,$A$8:$A$1007,A147,$B$8:$B$1007,"&lt;="&amp;B147))</x:f>
      </x:c>
      <x:c r="P147" s="20" t="str">
        <x:f>IF(Q147&lt;&gt;"OK","",MAX(0,-MIN(N147,O147)))</x:f>
      </x:c>
      <x:c r="Q147" s="18" t="str">
        <x:f>IF(A147="",IF(COUNTA(B147:K147)=0,"","Inserisci ID"),IF(COUNTIFS('Diario'!$A$8:$A$507,A147)&lt;&gt;1,"ID assente / duplicato",IF(OR(NOT(ISNUMBER(B147)),B147&lt;1,B147&lt;&gt;INT(B147),COUNTIFS($A$8:$A$1007,A147,$B$8:$B$1007,B147)&lt;&gt;1),"N. esecuzione non valido",IF(OR(NOT(ISNUMBER(C147)),AND(D147&lt;&gt;"Ingresso",D147&lt;&gt;"Uscita"),AND(E147&lt;&gt;"Back",E147&lt;&gt;"Lay")),"Completa data / fase / lato",IF(OR(NOT(ISNUMBER(F147)),F147&lt;=1,NOT(ISNUMBER(G147)),G147&lt;=0),"Correggi quota / stake","OK")))))</x:f>
      </x:c>
    </x:row>
    <x:row r="148" ht="22" customHeight="1">
      <x:c r="A148" s="24"/>
      <x:c r="B148" s="24"/>
      <x:c r="C148" s="26"/>
      <x:c r="D148" s="24"/>
      <x:c r="E148" s="24"/>
      <x:c r="F148" s="28"/>
      <x:c r="G148" s="29"/>
      <x:c r="H148" s="24"/>
      <x:c r="I148" s="24"/>
      <x:c r="J148" s="24"/>
      <x:c r="K148" s="24"/>
      <x:c r="L148" s="20" t="str">
        <x:f>IF(Q148&lt;&gt;"OK","",IF(E148="Back",G148*(F148-1),-G148*(F148-1)))</x:f>
      </x:c>
      <x:c r="M148" s="20" t="str">
        <x:f>IF(Q148&lt;&gt;"OK","",IF(E148="Back",-G148,G148))</x:f>
      </x:c>
      <x:c r="N148" s="20" t="str">
        <x:f>IF(Q148&lt;&gt;"OK","",SUMIFS($L$8:$L$1007,$A$8:$A$1007,A148,$B$8:$B$1007,"&lt;="&amp;B148))</x:f>
      </x:c>
      <x:c r="O148" s="20" t="str">
        <x:f>IF(Q148&lt;&gt;"OK","",SUMIFS($M$8:$M$1007,$A$8:$A$1007,A148,$B$8:$B$1007,"&lt;="&amp;B148))</x:f>
      </x:c>
      <x:c r="P148" s="20" t="str">
        <x:f>IF(Q148&lt;&gt;"OK","",MAX(0,-MIN(N148,O148)))</x:f>
      </x:c>
      <x:c r="Q148" s="18" t="str">
        <x:f>IF(A148="",IF(COUNTA(B148:K148)=0,"","Inserisci ID"),IF(COUNTIFS('Diario'!$A$8:$A$507,A148)&lt;&gt;1,"ID assente / duplicato",IF(OR(NOT(ISNUMBER(B148)),B148&lt;1,B148&lt;&gt;INT(B148),COUNTIFS($A$8:$A$1007,A148,$B$8:$B$1007,B148)&lt;&gt;1),"N. esecuzione non valido",IF(OR(NOT(ISNUMBER(C148)),AND(D148&lt;&gt;"Ingresso",D148&lt;&gt;"Uscita"),AND(E148&lt;&gt;"Back",E148&lt;&gt;"Lay")),"Completa data / fase / lato",IF(OR(NOT(ISNUMBER(F148)),F148&lt;=1,NOT(ISNUMBER(G148)),G148&lt;=0),"Correggi quota / stake","OK")))))</x:f>
      </x:c>
    </x:row>
    <x:row r="149" ht="22" customHeight="1">
      <x:c r="A149" s="24"/>
      <x:c r="B149" s="24"/>
      <x:c r="C149" s="26"/>
      <x:c r="D149" s="24"/>
      <x:c r="E149" s="24"/>
      <x:c r="F149" s="28"/>
      <x:c r="G149" s="29"/>
      <x:c r="H149" s="24"/>
      <x:c r="I149" s="24"/>
      <x:c r="J149" s="24"/>
      <x:c r="K149" s="24"/>
      <x:c r="L149" s="20" t="str">
        <x:f>IF(Q149&lt;&gt;"OK","",IF(E149="Back",G149*(F149-1),-G149*(F149-1)))</x:f>
      </x:c>
      <x:c r="M149" s="20" t="str">
        <x:f>IF(Q149&lt;&gt;"OK","",IF(E149="Back",-G149,G149))</x:f>
      </x:c>
      <x:c r="N149" s="20" t="str">
        <x:f>IF(Q149&lt;&gt;"OK","",SUMIFS($L$8:$L$1007,$A$8:$A$1007,A149,$B$8:$B$1007,"&lt;="&amp;B149))</x:f>
      </x:c>
      <x:c r="O149" s="20" t="str">
        <x:f>IF(Q149&lt;&gt;"OK","",SUMIFS($M$8:$M$1007,$A$8:$A$1007,A149,$B$8:$B$1007,"&lt;="&amp;B149))</x:f>
      </x:c>
      <x:c r="P149" s="20" t="str">
        <x:f>IF(Q149&lt;&gt;"OK","",MAX(0,-MIN(N149,O149)))</x:f>
      </x:c>
      <x:c r="Q149" s="18" t="str">
        <x:f>IF(A149="",IF(COUNTA(B149:K149)=0,"","Inserisci ID"),IF(COUNTIFS('Diario'!$A$8:$A$507,A149)&lt;&gt;1,"ID assente / duplicato",IF(OR(NOT(ISNUMBER(B149)),B149&lt;1,B149&lt;&gt;INT(B149),COUNTIFS($A$8:$A$1007,A149,$B$8:$B$1007,B149)&lt;&gt;1),"N. esecuzione non valido",IF(OR(NOT(ISNUMBER(C149)),AND(D149&lt;&gt;"Ingresso",D149&lt;&gt;"Uscita"),AND(E149&lt;&gt;"Back",E149&lt;&gt;"Lay")),"Completa data / fase / lato",IF(OR(NOT(ISNUMBER(F149)),F149&lt;=1,NOT(ISNUMBER(G149)),G149&lt;=0),"Correggi quota / stake","OK")))))</x:f>
      </x:c>
    </x:row>
    <x:row r="150" ht="22" customHeight="1">
      <x:c r="A150" s="24"/>
      <x:c r="B150" s="24"/>
      <x:c r="C150" s="26"/>
      <x:c r="D150" s="24"/>
      <x:c r="E150" s="24"/>
      <x:c r="F150" s="28"/>
      <x:c r="G150" s="29"/>
      <x:c r="H150" s="24"/>
      <x:c r="I150" s="24"/>
      <x:c r="J150" s="24"/>
      <x:c r="K150" s="24"/>
      <x:c r="L150" s="20" t="str">
        <x:f>IF(Q150&lt;&gt;"OK","",IF(E150="Back",G150*(F150-1),-G150*(F150-1)))</x:f>
      </x:c>
      <x:c r="M150" s="20" t="str">
        <x:f>IF(Q150&lt;&gt;"OK","",IF(E150="Back",-G150,G150))</x:f>
      </x:c>
      <x:c r="N150" s="20" t="str">
        <x:f>IF(Q150&lt;&gt;"OK","",SUMIFS($L$8:$L$1007,$A$8:$A$1007,A150,$B$8:$B$1007,"&lt;="&amp;B150))</x:f>
      </x:c>
      <x:c r="O150" s="20" t="str">
        <x:f>IF(Q150&lt;&gt;"OK","",SUMIFS($M$8:$M$1007,$A$8:$A$1007,A150,$B$8:$B$1007,"&lt;="&amp;B150))</x:f>
      </x:c>
      <x:c r="P150" s="20" t="str">
        <x:f>IF(Q150&lt;&gt;"OK","",MAX(0,-MIN(N150,O150)))</x:f>
      </x:c>
      <x:c r="Q150" s="18" t="str">
        <x:f>IF(A150="",IF(COUNTA(B150:K150)=0,"","Inserisci ID"),IF(COUNTIFS('Diario'!$A$8:$A$507,A150)&lt;&gt;1,"ID assente / duplicato",IF(OR(NOT(ISNUMBER(B150)),B150&lt;1,B150&lt;&gt;INT(B150),COUNTIFS($A$8:$A$1007,A150,$B$8:$B$1007,B150)&lt;&gt;1),"N. esecuzione non valido",IF(OR(NOT(ISNUMBER(C150)),AND(D150&lt;&gt;"Ingresso",D150&lt;&gt;"Uscita"),AND(E150&lt;&gt;"Back",E150&lt;&gt;"Lay")),"Completa data / fase / lato",IF(OR(NOT(ISNUMBER(F150)),F150&lt;=1,NOT(ISNUMBER(G150)),G150&lt;=0),"Correggi quota / stake","OK")))))</x:f>
      </x:c>
    </x:row>
    <x:row r="151" ht="22" customHeight="1">
      <x:c r="A151" s="24"/>
      <x:c r="B151" s="24"/>
      <x:c r="C151" s="26"/>
      <x:c r="D151" s="24"/>
      <x:c r="E151" s="24"/>
      <x:c r="F151" s="28"/>
      <x:c r="G151" s="29"/>
      <x:c r="H151" s="24"/>
      <x:c r="I151" s="24"/>
      <x:c r="J151" s="24"/>
      <x:c r="K151" s="24"/>
      <x:c r="L151" s="20" t="str">
        <x:f>IF(Q151&lt;&gt;"OK","",IF(E151="Back",G151*(F151-1),-G151*(F151-1)))</x:f>
      </x:c>
      <x:c r="M151" s="20" t="str">
        <x:f>IF(Q151&lt;&gt;"OK","",IF(E151="Back",-G151,G151))</x:f>
      </x:c>
      <x:c r="N151" s="20" t="str">
        <x:f>IF(Q151&lt;&gt;"OK","",SUMIFS($L$8:$L$1007,$A$8:$A$1007,A151,$B$8:$B$1007,"&lt;="&amp;B151))</x:f>
      </x:c>
      <x:c r="O151" s="20" t="str">
        <x:f>IF(Q151&lt;&gt;"OK","",SUMIFS($M$8:$M$1007,$A$8:$A$1007,A151,$B$8:$B$1007,"&lt;="&amp;B151))</x:f>
      </x:c>
      <x:c r="P151" s="20" t="str">
        <x:f>IF(Q151&lt;&gt;"OK","",MAX(0,-MIN(N151,O151)))</x:f>
      </x:c>
      <x:c r="Q151" s="18" t="str">
        <x:f>IF(A151="",IF(COUNTA(B151:K151)=0,"","Inserisci ID"),IF(COUNTIFS('Diario'!$A$8:$A$507,A151)&lt;&gt;1,"ID assente / duplicato",IF(OR(NOT(ISNUMBER(B151)),B151&lt;1,B151&lt;&gt;INT(B151),COUNTIFS($A$8:$A$1007,A151,$B$8:$B$1007,B151)&lt;&gt;1),"N. esecuzione non valido",IF(OR(NOT(ISNUMBER(C151)),AND(D151&lt;&gt;"Ingresso",D151&lt;&gt;"Uscita"),AND(E151&lt;&gt;"Back",E151&lt;&gt;"Lay")),"Completa data / fase / lato",IF(OR(NOT(ISNUMBER(F151)),F151&lt;=1,NOT(ISNUMBER(G151)),G151&lt;=0),"Correggi quota / stake","OK")))))</x:f>
      </x:c>
    </x:row>
    <x:row r="152" ht="22" customHeight="1">
      <x:c r="A152" s="24"/>
      <x:c r="B152" s="24"/>
      <x:c r="C152" s="26"/>
      <x:c r="D152" s="24"/>
      <x:c r="E152" s="24"/>
      <x:c r="F152" s="28"/>
      <x:c r="G152" s="29"/>
      <x:c r="H152" s="24"/>
      <x:c r="I152" s="24"/>
      <x:c r="J152" s="24"/>
      <x:c r="K152" s="24"/>
      <x:c r="L152" s="20" t="str">
        <x:f>IF(Q152&lt;&gt;"OK","",IF(E152="Back",G152*(F152-1),-G152*(F152-1)))</x:f>
      </x:c>
      <x:c r="M152" s="20" t="str">
        <x:f>IF(Q152&lt;&gt;"OK","",IF(E152="Back",-G152,G152))</x:f>
      </x:c>
      <x:c r="N152" s="20" t="str">
        <x:f>IF(Q152&lt;&gt;"OK","",SUMIFS($L$8:$L$1007,$A$8:$A$1007,A152,$B$8:$B$1007,"&lt;="&amp;B152))</x:f>
      </x:c>
      <x:c r="O152" s="20" t="str">
        <x:f>IF(Q152&lt;&gt;"OK","",SUMIFS($M$8:$M$1007,$A$8:$A$1007,A152,$B$8:$B$1007,"&lt;="&amp;B152))</x:f>
      </x:c>
      <x:c r="P152" s="20" t="str">
        <x:f>IF(Q152&lt;&gt;"OK","",MAX(0,-MIN(N152,O152)))</x:f>
      </x:c>
      <x:c r="Q152" s="18" t="str">
        <x:f>IF(A152="",IF(COUNTA(B152:K152)=0,"","Inserisci ID"),IF(COUNTIFS('Diario'!$A$8:$A$507,A152)&lt;&gt;1,"ID assente / duplicato",IF(OR(NOT(ISNUMBER(B152)),B152&lt;1,B152&lt;&gt;INT(B152),COUNTIFS($A$8:$A$1007,A152,$B$8:$B$1007,B152)&lt;&gt;1),"N. esecuzione non valido",IF(OR(NOT(ISNUMBER(C152)),AND(D152&lt;&gt;"Ingresso",D152&lt;&gt;"Uscita"),AND(E152&lt;&gt;"Back",E152&lt;&gt;"Lay")),"Completa data / fase / lato",IF(OR(NOT(ISNUMBER(F152)),F152&lt;=1,NOT(ISNUMBER(G152)),G152&lt;=0),"Correggi quota / stake","OK")))))</x:f>
      </x:c>
    </x:row>
    <x:row r="153" ht="22" customHeight="1">
      <x:c r="A153" s="24"/>
      <x:c r="B153" s="24"/>
      <x:c r="C153" s="26"/>
      <x:c r="D153" s="24"/>
      <x:c r="E153" s="24"/>
      <x:c r="F153" s="28"/>
      <x:c r="G153" s="29"/>
      <x:c r="H153" s="24"/>
      <x:c r="I153" s="24"/>
      <x:c r="J153" s="24"/>
      <x:c r="K153" s="24"/>
      <x:c r="L153" s="20" t="str">
        <x:f>IF(Q153&lt;&gt;"OK","",IF(E153="Back",G153*(F153-1),-G153*(F153-1)))</x:f>
      </x:c>
      <x:c r="M153" s="20" t="str">
        <x:f>IF(Q153&lt;&gt;"OK","",IF(E153="Back",-G153,G153))</x:f>
      </x:c>
      <x:c r="N153" s="20" t="str">
        <x:f>IF(Q153&lt;&gt;"OK","",SUMIFS($L$8:$L$1007,$A$8:$A$1007,A153,$B$8:$B$1007,"&lt;="&amp;B153))</x:f>
      </x:c>
      <x:c r="O153" s="20" t="str">
        <x:f>IF(Q153&lt;&gt;"OK","",SUMIFS($M$8:$M$1007,$A$8:$A$1007,A153,$B$8:$B$1007,"&lt;="&amp;B153))</x:f>
      </x:c>
      <x:c r="P153" s="20" t="str">
        <x:f>IF(Q153&lt;&gt;"OK","",MAX(0,-MIN(N153,O153)))</x:f>
      </x:c>
      <x:c r="Q153" s="18" t="str">
        <x:f>IF(A153="",IF(COUNTA(B153:K153)=0,"","Inserisci ID"),IF(COUNTIFS('Diario'!$A$8:$A$507,A153)&lt;&gt;1,"ID assente / duplicato",IF(OR(NOT(ISNUMBER(B153)),B153&lt;1,B153&lt;&gt;INT(B153),COUNTIFS($A$8:$A$1007,A153,$B$8:$B$1007,B153)&lt;&gt;1),"N. esecuzione non valido",IF(OR(NOT(ISNUMBER(C153)),AND(D153&lt;&gt;"Ingresso",D153&lt;&gt;"Uscita"),AND(E153&lt;&gt;"Back",E153&lt;&gt;"Lay")),"Completa data / fase / lato",IF(OR(NOT(ISNUMBER(F153)),F153&lt;=1,NOT(ISNUMBER(G153)),G153&lt;=0),"Correggi quota / stake","OK")))))</x:f>
      </x:c>
    </x:row>
    <x:row r="154" ht="22" customHeight="1">
      <x:c r="A154" s="24"/>
      <x:c r="B154" s="24"/>
      <x:c r="C154" s="26"/>
      <x:c r="D154" s="24"/>
      <x:c r="E154" s="24"/>
      <x:c r="F154" s="28"/>
      <x:c r="G154" s="29"/>
      <x:c r="H154" s="24"/>
      <x:c r="I154" s="24"/>
      <x:c r="J154" s="24"/>
      <x:c r="K154" s="24"/>
      <x:c r="L154" s="20" t="str">
        <x:f>IF(Q154&lt;&gt;"OK","",IF(E154="Back",G154*(F154-1),-G154*(F154-1)))</x:f>
      </x:c>
      <x:c r="M154" s="20" t="str">
        <x:f>IF(Q154&lt;&gt;"OK","",IF(E154="Back",-G154,G154))</x:f>
      </x:c>
      <x:c r="N154" s="20" t="str">
        <x:f>IF(Q154&lt;&gt;"OK","",SUMIFS($L$8:$L$1007,$A$8:$A$1007,A154,$B$8:$B$1007,"&lt;="&amp;B154))</x:f>
      </x:c>
      <x:c r="O154" s="20" t="str">
        <x:f>IF(Q154&lt;&gt;"OK","",SUMIFS($M$8:$M$1007,$A$8:$A$1007,A154,$B$8:$B$1007,"&lt;="&amp;B154))</x:f>
      </x:c>
      <x:c r="P154" s="20" t="str">
        <x:f>IF(Q154&lt;&gt;"OK","",MAX(0,-MIN(N154,O154)))</x:f>
      </x:c>
      <x:c r="Q154" s="18" t="str">
        <x:f>IF(A154="",IF(COUNTA(B154:K154)=0,"","Inserisci ID"),IF(COUNTIFS('Diario'!$A$8:$A$507,A154)&lt;&gt;1,"ID assente / duplicato",IF(OR(NOT(ISNUMBER(B154)),B154&lt;1,B154&lt;&gt;INT(B154),COUNTIFS($A$8:$A$1007,A154,$B$8:$B$1007,B154)&lt;&gt;1),"N. esecuzione non valido",IF(OR(NOT(ISNUMBER(C154)),AND(D154&lt;&gt;"Ingresso",D154&lt;&gt;"Uscita"),AND(E154&lt;&gt;"Back",E154&lt;&gt;"Lay")),"Completa data / fase / lato",IF(OR(NOT(ISNUMBER(F154)),F154&lt;=1,NOT(ISNUMBER(G154)),G154&lt;=0),"Correggi quota / stake","OK")))))</x:f>
      </x:c>
    </x:row>
    <x:row r="155" ht="22" customHeight="1">
      <x:c r="A155" s="24"/>
      <x:c r="B155" s="24"/>
      <x:c r="C155" s="26"/>
      <x:c r="D155" s="24"/>
      <x:c r="E155" s="24"/>
      <x:c r="F155" s="28"/>
      <x:c r="G155" s="29"/>
      <x:c r="H155" s="24"/>
      <x:c r="I155" s="24"/>
      <x:c r="J155" s="24"/>
      <x:c r="K155" s="24"/>
      <x:c r="L155" s="20" t="str">
        <x:f>IF(Q155&lt;&gt;"OK","",IF(E155="Back",G155*(F155-1),-G155*(F155-1)))</x:f>
      </x:c>
      <x:c r="M155" s="20" t="str">
        <x:f>IF(Q155&lt;&gt;"OK","",IF(E155="Back",-G155,G155))</x:f>
      </x:c>
      <x:c r="N155" s="20" t="str">
        <x:f>IF(Q155&lt;&gt;"OK","",SUMIFS($L$8:$L$1007,$A$8:$A$1007,A155,$B$8:$B$1007,"&lt;="&amp;B155))</x:f>
      </x:c>
      <x:c r="O155" s="20" t="str">
        <x:f>IF(Q155&lt;&gt;"OK","",SUMIFS($M$8:$M$1007,$A$8:$A$1007,A155,$B$8:$B$1007,"&lt;="&amp;B155))</x:f>
      </x:c>
      <x:c r="P155" s="20" t="str">
        <x:f>IF(Q155&lt;&gt;"OK","",MAX(0,-MIN(N155,O155)))</x:f>
      </x:c>
      <x:c r="Q155" s="18" t="str">
        <x:f>IF(A155="",IF(COUNTA(B155:K155)=0,"","Inserisci ID"),IF(COUNTIFS('Diario'!$A$8:$A$507,A155)&lt;&gt;1,"ID assente / duplicato",IF(OR(NOT(ISNUMBER(B155)),B155&lt;1,B155&lt;&gt;INT(B155),COUNTIFS($A$8:$A$1007,A155,$B$8:$B$1007,B155)&lt;&gt;1),"N. esecuzione non valido",IF(OR(NOT(ISNUMBER(C155)),AND(D155&lt;&gt;"Ingresso",D155&lt;&gt;"Uscita"),AND(E155&lt;&gt;"Back",E155&lt;&gt;"Lay")),"Completa data / fase / lato",IF(OR(NOT(ISNUMBER(F155)),F155&lt;=1,NOT(ISNUMBER(G155)),G155&lt;=0),"Correggi quota / stake","OK")))))</x:f>
      </x:c>
    </x:row>
    <x:row r="156" ht="22" customHeight="1">
      <x:c r="A156" s="24"/>
      <x:c r="B156" s="24"/>
      <x:c r="C156" s="26"/>
      <x:c r="D156" s="24"/>
      <x:c r="E156" s="24"/>
      <x:c r="F156" s="28"/>
      <x:c r="G156" s="29"/>
      <x:c r="H156" s="24"/>
      <x:c r="I156" s="24"/>
      <x:c r="J156" s="24"/>
      <x:c r="K156" s="24"/>
      <x:c r="L156" s="20" t="str">
        <x:f>IF(Q156&lt;&gt;"OK","",IF(E156="Back",G156*(F156-1),-G156*(F156-1)))</x:f>
      </x:c>
      <x:c r="M156" s="20" t="str">
        <x:f>IF(Q156&lt;&gt;"OK","",IF(E156="Back",-G156,G156))</x:f>
      </x:c>
      <x:c r="N156" s="20" t="str">
        <x:f>IF(Q156&lt;&gt;"OK","",SUMIFS($L$8:$L$1007,$A$8:$A$1007,A156,$B$8:$B$1007,"&lt;="&amp;B156))</x:f>
      </x:c>
      <x:c r="O156" s="20" t="str">
        <x:f>IF(Q156&lt;&gt;"OK","",SUMIFS($M$8:$M$1007,$A$8:$A$1007,A156,$B$8:$B$1007,"&lt;="&amp;B156))</x:f>
      </x:c>
      <x:c r="P156" s="20" t="str">
        <x:f>IF(Q156&lt;&gt;"OK","",MAX(0,-MIN(N156,O156)))</x:f>
      </x:c>
      <x:c r="Q156" s="18" t="str">
        <x:f>IF(A156="",IF(COUNTA(B156:K156)=0,"","Inserisci ID"),IF(COUNTIFS('Diario'!$A$8:$A$507,A156)&lt;&gt;1,"ID assente / duplicato",IF(OR(NOT(ISNUMBER(B156)),B156&lt;1,B156&lt;&gt;INT(B156),COUNTIFS($A$8:$A$1007,A156,$B$8:$B$1007,B156)&lt;&gt;1),"N. esecuzione non valido",IF(OR(NOT(ISNUMBER(C156)),AND(D156&lt;&gt;"Ingresso",D156&lt;&gt;"Uscita"),AND(E156&lt;&gt;"Back",E156&lt;&gt;"Lay")),"Completa data / fase / lato",IF(OR(NOT(ISNUMBER(F156)),F156&lt;=1,NOT(ISNUMBER(G156)),G156&lt;=0),"Correggi quota / stake","OK")))))</x:f>
      </x:c>
    </x:row>
    <x:row r="157" ht="22" customHeight="1">
      <x:c r="A157" s="24"/>
      <x:c r="B157" s="24"/>
      <x:c r="C157" s="26"/>
      <x:c r="D157" s="24"/>
      <x:c r="E157" s="24"/>
      <x:c r="F157" s="28"/>
      <x:c r="G157" s="29"/>
      <x:c r="H157" s="24"/>
      <x:c r="I157" s="24"/>
      <x:c r="J157" s="24"/>
      <x:c r="K157" s="24"/>
      <x:c r="L157" s="20" t="str">
        <x:f>IF(Q157&lt;&gt;"OK","",IF(E157="Back",G157*(F157-1),-G157*(F157-1)))</x:f>
      </x:c>
      <x:c r="M157" s="20" t="str">
        <x:f>IF(Q157&lt;&gt;"OK","",IF(E157="Back",-G157,G157))</x:f>
      </x:c>
      <x:c r="N157" s="20" t="str">
        <x:f>IF(Q157&lt;&gt;"OK","",SUMIFS($L$8:$L$1007,$A$8:$A$1007,A157,$B$8:$B$1007,"&lt;="&amp;B157))</x:f>
      </x:c>
      <x:c r="O157" s="20" t="str">
        <x:f>IF(Q157&lt;&gt;"OK","",SUMIFS($M$8:$M$1007,$A$8:$A$1007,A157,$B$8:$B$1007,"&lt;="&amp;B157))</x:f>
      </x:c>
      <x:c r="P157" s="20" t="str">
        <x:f>IF(Q157&lt;&gt;"OK","",MAX(0,-MIN(N157,O157)))</x:f>
      </x:c>
      <x:c r="Q157" s="18" t="str">
        <x:f>IF(A157="",IF(COUNTA(B157:K157)=0,"","Inserisci ID"),IF(COUNTIFS('Diario'!$A$8:$A$507,A157)&lt;&gt;1,"ID assente / duplicato",IF(OR(NOT(ISNUMBER(B157)),B157&lt;1,B157&lt;&gt;INT(B157),COUNTIFS($A$8:$A$1007,A157,$B$8:$B$1007,B157)&lt;&gt;1),"N. esecuzione non valido",IF(OR(NOT(ISNUMBER(C157)),AND(D157&lt;&gt;"Ingresso",D157&lt;&gt;"Uscita"),AND(E157&lt;&gt;"Back",E157&lt;&gt;"Lay")),"Completa data / fase / lato",IF(OR(NOT(ISNUMBER(F157)),F157&lt;=1,NOT(ISNUMBER(G157)),G157&lt;=0),"Correggi quota / stake","OK")))))</x:f>
      </x:c>
    </x:row>
    <x:row r="158" ht="22" customHeight="1">
      <x:c r="A158" s="24"/>
      <x:c r="B158" s="24"/>
      <x:c r="C158" s="26"/>
      <x:c r="D158" s="24"/>
      <x:c r="E158" s="24"/>
      <x:c r="F158" s="28"/>
      <x:c r="G158" s="29"/>
      <x:c r="H158" s="24"/>
      <x:c r="I158" s="24"/>
      <x:c r="J158" s="24"/>
      <x:c r="K158" s="24"/>
      <x:c r="L158" s="20" t="str">
        <x:f>IF(Q158&lt;&gt;"OK","",IF(E158="Back",G158*(F158-1),-G158*(F158-1)))</x:f>
      </x:c>
      <x:c r="M158" s="20" t="str">
        <x:f>IF(Q158&lt;&gt;"OK","",IF(E158="Back",-G158,G158))</x:f>
      </x:c>
      <x:c r="N158" s="20" t="str">
        <x:f>IF(Q158&lt;&gt;"OK","",SUMIFS($L$8:$L$1007,$A$8:$A$1007,A158,$B$8:$B$1007,"&lt;="&amp;B158))</x:f>
      </x:c>
      <x:c r="O158" s="20" t="str">
        <x:f>IF(Q158&lt;&gt;"OK","",SUMIFS($M$8:$M$1007,$A$8:$A$1007,A158,$B$8:$B$1007,"&lt;="&amp;B158))</x:f>
      </x:c>
      <x:c r="P158" s="20" t="str">
        <x:f>IF(Q158&lt;&gt;"OK","",MAX(0,-MIN(N158,O158)))</x:f>
      </x:c>
      <x:c r="Q158" s="18" t="str">
        <x:f>IF(A158="",IF(COUNTA(B158:K158)=0,"","Inserisci ID"),IF(COUNTIFS('Diario'!$A$8:$A$507,A158)&lt;&gt;1,"ID assente / duplicato",IF(OR(NOT(ISNUMBER(B158)),B158&lt;1,B158&lt;&gt;INT(B158),COUNTIFS($A$8:$A$1007,A158,$B$8:$B$1007,B158)&lt;&gt;1),"N. esecuzione non valido",IF(OR(NOT(ISNUMBER(C158)),AND(D158&lt;&gt;"Ingresso",D158&lt;&gt;"Uscita"),AND(E158&lt;&gt;"Back",E158&lt;&gt;"Lay")),"Completa data / fase / lato",IF(OR(NOT(ISNUMBER(F158)),F158&lt;=1,NOT(ISNUMBER(G158)),G158&lt;=0),"Correggi quota / stake","OK")))))</x:f>
      </x:c>
    </x:row>
    <x:row r="159" ht="22" customHeight="1">
      <x:c r="A159" s="24"/>
      <x:c r="B159" s="24"/>
      <x:c r="C159" s="26"/>
      <x:c r="D159" s="24"/>
      <x:c r="E159" s="24"/>
      <x:c r="F159" s="28"/>
      <x:c r="G159" s="29"/>
      <x:c r="H159" s="24"/>
      <x:c r="I159" s="24"/>
      <x:c r="J159" s="24"/>
      <x:c r="K159" s="24"/>
      <x:c r="L159" s="20" t="str">
        <x:f>IF(Q159&lt;&gt;"OK","",IF(E159="Back",G159*(F159-1),-G159*(F159-1)))</x:f>
      </x:c>
      <x:c r="M159" s="20" t="str">
        <x:f>IF(Q159&lt;&gt;"OK","",IF(E159="Back",-G159,G159))</x:f>
      </x:c>
      <x:c r="N159" s="20" t="str">
        <x:f>IF(Q159&lt;&gt;"OK","",SUMIFS($L$8:$L$1007,$A$8:$A$1007,A159,$B$8:$B$1007,"&lt;="&amp;B159))</x:f>
      </x:c>
      <x:c r="O159" s="20" t="str">
        <x:f>IF(Q159&lt;&gt;"OK","",SUMIFS($M$8:$M$1007,$A$8:$A$1007,A159,$B$8:$B$1007,"&lt;="&amp;B159))</x:f>
      </x:c>
      <x:c r="P159" s="20" t="str">
        <x:f>IF(Q159&lt;&gt;"OK","",MAX(0,-MIN(N159,O159)))</x:f>
      </x:c>
      <x:c r="Q159" s="18" t="str">
        <x:f>IF(A159="",IF(COUNTA(B159:K159)=0,"","Inserisci ID"),IF(COUNTIFS('Diario'!$A$8:$A$507,A159)&lt;&gt;1,"ID assente / duplicato",IF(OR(NOT(ISNUMBER(B159)),B159&lt;1,B159&lt;&gt;INT(B159),COUNTIFS($A$8:$A$1007,A159,$B$8:$B$1007,B159)&lt;&gt;1),"N. esecuzione non valido",IF(OR(NOT(ISNUMBER(C159)),AND(D159&lt;&gt;"Ingresso",D159&lt;&gt;"Uscita"),AND(E159&lt;&gt;"Back",E159&lt;&gt;"Lay")),"Completa data / fase / lato",IF(OR(NOT(ISNUMBER(F159)),F159&lt;=1,NOT(ISNUMBER(G159)),G159&lt;=0),"Correggi quota / stake","OK")))))</x:f>
      </x:c>
    </x:row>
    <x:row r="160" ht="22" customHeight="1">
      <x:c r="A160" s="24"/>
      <x:c r="B160" s="24"/>
      <x:c r="C160" s="26"/>
      <x:c r="D160" s="24"/>
      <x:c r="E160" s="24"/>
      <x:c r="F160" s="28"/>
      <x:c r="G160" s="29"/>
      <x:c r="H160" s="24"/>
      <x:c r="I160" s="24"/>
      <x:c r="J160" s="24"/>
      <x:c r="K160" s="24"/>
      <x:c r="L160" s="20" t="str">
        <x:f>IF(Q160&lt;&gt;"OK","",IF(E160="Back",G160*(F160-1),-G160*(F160-1)))</x:f>
      </x:c>
      <x:c r="M160" s="20" t="str">
        <x:f>IF(Q160&lt;&gt;"OK","",IF(E160="Back",-G160,G160))</x:f>
      </x:c>
      <x:c r="N160" s="20" t="str">
        <x:f>IF(Q160&lt;&gt;"OK","",SUMIFS($L$8:$L$1007,$A$8:$A$1007,A160,$B$8:$B$1007,"&lt;="&amp;B160))</x:f>
      </x:c>
      <x:c r="O160" s="20" t="str">
        <x:f>IF(Q160&lt;&gt;"OK","",SUMIFS($M$8:$M$1007,$A$8:$A$1007,A160,$B$8:$B$1007,"&lt;="&amp;B160))</x:f>
      </x:c>
      <x:c r="P160" s="20" t="str">
        <x:f>IF(Q160&lt;&gt;"OK","",MAX(0,-MIN(N160,O160)))</x:f>
      </x:c>
      <x:c r="Q160" s="18" t="str">
        <x:f>IF(A160="",IF(COUNTA(B160:K160)=0,"","Inserisci ID"),IF(COUNTIFS('Diario'!$A$8:$A$507,A160)&lt;&gt;1,"ID assente / duplicato",IF(OR(NOT(ISNUMBER(B160)),B160&lt;1,B160&lt;&gt;INT(B160),COUNTIFS($A$8:$A$1007,A160,$B$8:$B$1007,B160)&lt;&gt;1),"N. esecuzione non valido",IF(OR(NOT(ISNUMBER(C160)),AND(D160&lt;&gt;"Ingresso",D160&lt;&gt;"Uscita"),AND(E160&lt;&gt;"Back",E160&lt;&gt;"Lay")),"Completa data / fase / lato",IF(OR(NOT(ISNUMBER(F160)),F160&lt;=1,NOT(ISNUMBER(G160)),G160&lt;=0),"Correggi quota / stake","OK")))))</x:f>
      </x:c>
    </x:row>
    <x:row r="161" ht="22" customHeight="1">
      <x:c r="A161" s="24"/>
      <x:c r="B161" s="24"/>
      <x:c r="C161" s="26"/>
      <x:c r="D161" s="24"/>
      <x:c r="E161" s="24"/>
      <x:c r="F161" s="28"/>
      <x:c r="G161" s="29"/>
      <x:c r="H161" s="24"/>
      <x:c r="I161" s="24"/>
      <x:c r="J161" s="24"/>
      <x:c r="K161" s="24"/>
      <x:c r="L161" s="20" t="str">
        <x:f>IF(Q161&lt;&gt;"OK","",IF(E161="Back",G161*(F161-1),-G161*(F161-1)))</x:f>
      </x:c>
      <x:c r="M161" s="20" t="str">
        <x:f>IF(Q161&lt;&gt;"OK","",IF(E161="Back",-G161,G161))</x:f>
      </x:c>
      <x:c r="N161" s="20" t="str">
        <x:f>IF(Q161&lt;&gt;"OK","",SUMIFS($L$8:$L$1007,$A$8:$A$1007,A161,$B$8:$B$1007,"&lt;="&amp;B161))</x:f>
      </x:c>
      <x:c r="O161" s="20" t="str">
        <x:f>IF(Q161&lt;&gt;"OK","",SUMIFS($M$8:$M$1007,$A$8:$A$1007,A161,$B$8:$B$1007,"&lt;="&amp;B161))</x:f>
      </x:c>
      <x:c r="P161" s="20" t="str">
        <x:f>IF(Q161&lt;&gt;"OK","",MAX(0,-MIN(N161,O161)))</x:f>
      </x:c>
      <x:c r="Q161" s="18" t="str">
        <x:f>IF(A161="",IF(COUNTA(B161:K161)=0,"","Inserisci ID"),IF(COUNTIFS('Diario'!$A$8:$A$507,A161)&lt;&gt;1,"ID assente / duplicato",IF(OR(NOT(ISNUMBER(B161)),B161&lt;1,B161&lt;&gt;INT(B161),COUNTIFS($A$8:$A$1007,A161,$B$8:$B$1007,B161)&lt;&gt;1),"N. esecuzione non valido",IF(OR(NOT(ISNUMBER(C161)),AND(D161&lt;&gt;"Ingresso",D161&lt;&gt;"Uscita"),AND(E161&lt;&gt;"Back",E161&lt;&gt;"Lay")),"Completa data / fase / lato",IF(OR(NOT(ISNUMBER(F161)),F161&lt;=1,NOT(ISNUMBER(G161)),G161&lt;=0),"Correggi quota / stake","OK")))))</x:f>
      </x:c>
    </x:row>
    <x:row r="162" ht="22" customHeight="1">
      <x:c r="A162" s="24"/>
      <x:c r="B162" s="24"/>
      <x:c r="C162" s="26"/>
      <x:c r="D162" s="24"/>
      <x:c r="E162" s="24"/>
      <x:c r="F162" s="28"/>
      <x:c r="G162" s="29"/>
      <x:c r="H162" s="24"/>
      <x:c r="I162" s="24"/>
      <x:c r="J162" s="24"/>
      <x:c r="K162" s="24"/>
      <x:c r="L162" s="20" t="str">
        <x:f>IF(Q162&lt;&gt;"OK","",IF(E162="Back",G162*(F162-1),-G162*(F162-1)))</x:f>
      </x:c>
      <x:c r="M162" s="20" t="str">
        <x:f>IF(Q162&lt;&gt;"OK","",IF(E162="Back",-G162,G162))</x:f>
      </x:c>
      <x:c r="N162" s="20" t="str">
        <x:f>IF(Q162&lt;&gt;"OK","",SUMIFS($L$8:$L$1007,$A$8:$A$1007,A162,$B$8:$B$1007,"&lt;="&amp;B162))</x:f>
      </x:c>
      <x:c r="O162" s="20" t="str">
        <x:f>IF(Q162&lt;&gt;"OK","",SUMIFS($M$8:$M$1007,$A$8:$A$1007,A162,$B$8:$B$1007,"&lt;="&amp;B162))</x:f>
      </x:c>
      <x:c r="P162" s="20" t="str">
        <x:f>IF(Q162&lt;&gt;"OK","",MAX(0,-MIN(N162,O162)))</x:f>
      </x:c>
      <x:c r="Q162" s="18" t="str">
        <x:f>IF(A162="",IF(COUNTA(B162:K162)=0,"","Inserisci ID"),IF(COUNTIFS('Diario'!$A$8:$A$507,A162)&lt;&gt;1,"ID assente / duplicato",IF(OR(NOT(ISNUMBER(B162)),B162&lt;1,B162&lt;&gt;INT(B162),COUNTIFS($A$8:$A$1007,A162,$B$8:$B$1007,B162)&lt;&gt;1),"N. esecuzione non valido",IF(OR(NOT(ISNUMBER(C162)),AND(D162&lt;&gt;"Ingresso",D162&lt;&gt;"Uscita"),AND(E162&lt;&gt;"Back",E162&lt;&gt;"Lay")),"Completa data / fase / lato",IF(OR(NOT(ISNUMBER(F162)),F162&lt;=1,NOT(ISNUMBER(G162)),G162&lt;=0),"Correggi quota / stake","OK")))))</x:f>
      </x:c>
    </x:row>
    <x:row r="163" ht="22" customHeight="1">
      <x:c r="A163" s="24"/>
      <x:c r="B163" s="24"/>
      <x:c r="C163" s="26"/>
      <x:c r="D163" s="24"/>
      <x:c r="E163" s="24"/>
      <x:c r="F163" s="28"/>
      <x:c r="G163" s="29"/>
      <x:c r="H163" s="24"/>
      <x:c r="I163" s="24"/>
      <x:c r="J163" s="24"/>
      <x:c r="K163" s="24"/>
      <x:c r="L163" s="20" t="str">
        <x:f>IF(Q163&lt;&gt;"OK","",IF(E163="Back",G163*(F163-1),-G163*(F163-1)))</x:f>
      </x:c>
      <x:c r="M163" s="20" t="str">
        <x:f>IF(Q163&lt;&gt;"OK","",IF(E163="Back",-G163,G163))</x:f>
      </x:c>
      <x:c r="N163" s="20" t="str">
        <x:f>IF(Q163&lt;&gt;"OK","",SUMIFS($L$8:$L$1007,$A$8:$A$1007,A163,$B$8:$B$1007,"&lt;="&amp;B163))</x:f>
      </x:c>
      <x:c r="O163" s="20" t="str">
        <x:f>IF(Q163&lt;&gt;"OK","",SUMIFS($M$8:$M$1007,$A$8:$A$1007,A163,$B$8:$B$1007,"&lt;="&amp;B163))</x:f>
      </x:c>
      <x:c r="P163" s="20" t="str">
        <x:f>IF(Q163&lt;&gt;"OK","",MAX(0,-MIN(N163,O163)))</x:f>
      </x:c>
      <x:c r="Q163" s="18" t="str">
        <x:f>IF(A163="",IF(COUNTA(B163:K163)=0,"","Inserisci ID"),IF(COUNTIFS('Diario'!$A$8:$A$507,A163)&lt;&gt;1,"ID assente / duplicato",IF(OR(NOT(ISNUMBER(B163)),B163&lt;1,B163&lt;&gt;INT(B163),COUNTIFS($A$8:$A$1007,A163,$B$8:$B$1007,B163)&lt;&gt;1),"N. esecuzione non valido",IF(OR(NOT(ISNUMBER(C163)),AND(D163&lt;&gt;"Ingresso",D163&lt;&gt;"Uscita"),AND(E163&lt;&gt;"Back",E163&lt;&gt;"Lay")),"Completa data / fase / lato",IF(OR(NOT(ISNUMBER(F163)),F163&lt;=1,NOT(ISNUMBER(G163)),G163&lt;=0),"Correggi quota / stake","OK")))))</x:f>
      </x:c>
    </x:row>
    <x:row r="164" ht="22" customHeight="1">
      <x:c r="A164" s="24"/>
      <x:c r="B164" s="24"/>
      <x:c r="C164" s="26"/>
      <x:c r="D164" s="24"/>
      <x:c r="E164" s="24"/>
      <x:c r="F164" s="28"/>
      <x:c r="G164" s="29"/>
      <x:c r="H164" s="24"/>
      <x:c r="I164" s="24"/>
      <x:c r="J164" s="24"/>
      <x:c r="K164" s="24"/>
      <x:c r="L164" s="20" t="str">
        <x:f>IF(Q164&lt;&gt;"OK","",IF(E164="Back",G164*(F164-1),-G164*(F164-1)))</x:f>
      </x:c>
      <x:c r="M164" s="20" t="str">
        <x:f>IF(Q164&lt;&gt;"OK","",IF(E164="Back",-G164,G164))</x:f>
      </x:c>
      <x:c r="N164" s="20" t="str">
        <x:f>IF(Q164&lt;&gt;"OK","",SUMIFS($L$8:$L$1007,$A$8:$A$1007,A164,$B$8:$B$1007,"&lt;="&amp;B164))</x:f>
      </x:c>
      <x:c r="O164" s="20" t="str">
        <x:f>IF(Q164&lt;&gt;"OK","",SUMIFS($M$8:$M$1007,$A$8:$A$1007,A164,$B$8:$B$1007,"&lt;="&amp;B164))</x:f>
      </x:c>
      <x:c r="P164" s="20" t="str">
        <x:f>IF(Q164&lt;&gt;"OK","",MAX(0,-MIN(N164,O164)))</x:f>
      </x:c>
      <x:c r="Q164" s="18" t="str">
        <x:f>IF(A164="",IF(COUNTA(B164:K164)=0,"","Inserisci ID"),IF(COUNTIFS('Diario'!$A$8:$A$507,A164)&lt;&gt;1,"ID assente / duplicato",IF(OR(NOT(ISNUMBER(B164)),B164&lt;1,B164&lt;&gt;INT(B164),COUNTIFS($A$8:$A$1007,A164,$B$8:$B$1007,B164)&lt;&gt;1),"N. esecuzione non valido",IF(OR(NOT(ISNUMBER(C164)),AND(D164&lt;&gt;"Ingresso",D164&lt;&gt;"Uscita"),AND(E164&lt;&gt;"Back",E164&lt;&gt;"Lay")),"Completa data / fase / lato",IF(OR(NOT(ISNUMBER(F164)),F164&lt;=1,NOT(ISNUMBER(G164)),G164&lt;=0),"Correggi quota / stake","OK")))))</x:f>
      </x:c>
    </x:row>
    <x:row r="165" ht="22" customHeight="1">
      <x:c r="A165" s="24"/>
      <x:c r="B165" s="24"/>
      <x:c r="C165" s="26"/>
      <x:c r="D165" s="24"/>
      <x:c r="E165" s="24"/>
      <x:c r="F165" s="28"/>
      <x:c r="G165" s="29"/>
      <x:c r="H165" s="24"/>
      <x:c r="I165" s="24"/>
      <x:c r="J165" s="24"/>
      <x:c r="K165" s="24"/>
      <x:c r="L165" s="20" t="str">
        <x:f>IF(Q165&lt;&gt;"OK","",IF(E165="Back",G165*(F165-1),-G165*(F165-1)))</x:f>
      </x:c>
      <x:c r="M165" s="20" t="str">
        <x:f>IF(Q165&lt;&gt;"OK","",IF(E165="Back",-G165,G165))</x:f>
      </x:c>
      <x:c r="N165" s="20" t="str">
        <x:f>IF(Q165&lt;&gt;"OK","",SUMIFS($L$8:$L$1007,$A$8:$A$1007,A165,$B$8:$B$1007,"&lt;="&amp;B165))</x:f>
      </x:c>
      <x:c r="O165" s="20" t="str">
        <x:f>IF(Q165&lt;&gt;"OK","",SUMIFS($M$8:$M$1007,$A$8:$A$1007,A165,$B$8:$B$1007,"&lt;="&amp;B165))</x:f>
      </x:c>
      <x:c r="P165" s="20" t="str">
        <x:f>IF(Q165&lt;&gt;"OK","",MAX(0,-MIN(N165,O165)))</x:f>
      </x:c>
      <x:c r="Q165" s="18" t="str">
        <x:f>IF(A165="",IF(COUNTA(B165:K165)=0,"","Inserisci ID"),IF(COUNTIFS('Diario'!$A$8:$A$507,A165)&lt;&gt;1,"ID assente / duplicato",IF(OR(NOT(ISNUMBER(B165)),B165&lt;1,B165&lt;&gt;INT(B165),COUNTIFS($A$8:$A$1007,A165,$B$8:$B$1007,B165)&lt;&gt;1),"N. esecuzione non valido",IF(OR(NOT(ISNUMBER(C165)),AND(D165&lt;&gt;"Ingresso",D165&lt;&gt;"Uscita"),AND(E165&lt;&gt;"Back",E165&lt;&gt;"Lay")),"Completa data / fase / lato",IF(OR(NOT(ISNUMBER(F165)),F165&lt;=1,NOT(ISNUMBER(G165)),G165&lt;=0),"Correggi quota / stake","OK")))))</x:f>
      </x:c>
    </x:row>
    <x:row r="166" ht="22" customHeight="1">
      <x:c r="A166" s="24"/>
      <x:c r="B166" s="24"/>
      <x:c r="C166" s="26"/>
      <x:c r="D166" s="24"/>
      <x:c r="E166" s="24"/>
      <x:c r="F166" s="28"/>
      <x:c r="G166" s="29"/>
      <x:c r="H166" s="24"/>
      <x:c r="I166" s="24"/>
      <x:c r="J166" s="24"/>
      <x:c r="K166" s="24"/>
      <x:c r="L166" s="20" t="str">
        <x:f>IF(Q166&lt;&gt;"OK","",IF(E166="Back",G166*(F166-1),-G166*(F166-1)))</x:f>
      </x:c>
      <x:c r="M166" s="20" t="str">
        <x:f>IF(Q166&lt;&gt;"OK","",IF(E166="Back",-G166,G166))</x:f>
      </x:c>
      <x:c r="N166" s="20" t="str">
        <x:f>IF(Q166&lt;&gt;"OK","",SUMIFS($L$8:$L$1007,$A$8:$A$1007,A166,$B$8:$B$1007,"&lt;="&amp;B166))</x:f>
      </x:c>
      <x:c r="O166" s="20" t="str">
        <x:f>IF(Q166&lt;&gt;"OK","",SUMIFS($M$8:$M$1007,$A$8:$A$1007,A166,$B$8:$B$1007,"&lt;="&amp;B166))</x:f>
      </x:c>
      <x:c r="P166" s="20" t="str">
        <x:f>IF(Q166&lt;&gt;"OK","",MAX(0,-MIN(N166,O166)))</x:f>
      </x:c>
      <x:c r="Q166" s="18" t="str">
        <x:f>IF(A166="",IF(COUNTA(B166:K166)=0,"","Inserisci ID"),IF(COUNTIFS('Diario'!$A$8:$A$507,A166)&lt;&gt;1,"ID assente / duplicato",IF(OR(NOT(ISNUMBER(B166)),B166&lt;1,B166&lt;&gt;INT(B166),COUNTIFS($A$8:$A$1007,A166,$B$8:$B$1007,B166)&lt;&gt;1),"N. esecuzione non valido",IF(OR(NOT(ISNUMBER(C166)),AND(D166&lt;&gt;"Ingresso",D166&lt;&gt;"Uscita"),AND(E166&lt;&gt;"Back",E166&lt;&gt;"Lay")),"Completa data / fase / lato",IF(OR(NOT(ISNUMBER(F166)),F166&lt;=1,NOT(ISNUMBER(G166)),G166&lt;=0),"Correggi quota / stake","OK")))))</x:f>
      </x:c>
    </x:row>
    <x:row r="167" ht="22" customHeight="1">
      <x:c r="A167" s="24"/>
      <x:c r="B167" s="24"/>
      <x:c r="C167" s="26"/>
      <x:c r="D167" s="24"/>
      <x:c r="E167" s="24"/>
      <x:c r="F167" s="28"/>
      <x:c r="G167" s="29"/>
      <x:c r="H167" s="24"/>
      <x:c r="I167" s="24"/>
      <x:c r="J167" s="24"/>
      <x:c r="K167" s="24"/>
      <x:c r="L167" s="20" t="str">
        <x:f>IF(Q167&lt;&gt;"OK","",IF(E167="Back",G167*(F167-1),-G167*(F167-1)))</x:f>
      </x:c>
      <x:c r="M167" s="20" t="str">
        <x:f>IF(Q167&lt;&gt;"OK","",IF(E167="Back",-G167,G167))</x:f>
      </x:c>
      <x:c r="N167" s="20" t="str">
        <x:f>IF(Q167&lt;&gt;"OK","",SUMIFS($L$8:$L$1007,$A$8:$A$1007,A167,$B$8:$B$1007,"&lt;="&amp;B167))</x:f>
      </x:c>
      <x:c r="O167" s="20" t="str">
        <x:f>IF(Q167&lt;&gt;"OK","",SUMIFS($M$8:$M$1007,$A$8:$A$1007,A167,$B$8:$B$1007,"&lt;="&amp;B167))</x:f>
      </x:c>
      <x:c r="P167" s="20" t="str">
        <x:f>IF(Q167&lt;&gt;"OK","",MAX(0,-MIN(N167,O167)))</x:f>
      </x:c>
      <x:c r="Q167" s="18" t="str">
        <x:f>IF(A167="",IF(COUNTA(B167:K167)=0,"","Inserisci ID"),IF(COUNTIFS('Diario'!$A$8:$A$507,A167)&lt;&gt;1,"ID assente / duplicato",IF(OR(NOT(ISNUMBER(B167)),B167&lt;1,B167&lt;&gt;INT(B167),COUNTIFS($A$8:$A$1007,A167,$B$8:$B$1007,B167)&lt;&gt;1),"N. esecuzione non valido",IF(OR(NOT(ISNUMBER(C167)),AND(D167&lt;&gt;"Ingresso",D167&lt;&gt;"Uscita"),AND(E167&lt;&gt;"Back",E167&lt;&gt;"Lay")),"Completa data / fase / lato",IF(OR(NOT(ISNUMBER(F167)),F167&lt;=1,NOT(ISNUMBER(G167)),G167&lt;=0),"Correggi quota / stake","OK")))))</x:f>
      </x:c>
    </x:row>
    <x:row r="168" ht="22" customHeight="1">
      <x:c r="A168" s="24"/>
      <x:c r="B168" s="24"/>
      <x:c r="C168" s="26"/>
      <x:c r="D168" s="24"/>
      <x:c r="E168" s="24"/>
      <x:c r="F168" s="28"/>
      <x:c r="G168" s="29"/>
      <x:c r="H168" s="24"/>
      <x:c r="I168" s="24"/>
      <x:c r="J168" s="24"/>
      <x:c r="K168" s="24"/>
      <x:c r="L168" s="20" t="str">
        <x:f>IF(Q168&lt;&gt;"OK","",IF(E168="Back",G168*(F168-1),-G168*(F168-1)))</x:f>
      </x:c>
      <x:c r="M168" s="20" t="str">
        <x:f>IF(Q168&lt;&gt;"OK","",IF(E168="Back",-G168,G168))</x:f>
      </x:c>
      <x:c r="N168" s="20" t="str">
        <x:f>IF(Q168&lt;&gt;"OK","",SUMIFS($L$8:$L$1007,$A$8:$A$1007,A168,$B$8:$B$1007,"&lt;="&amp;B168))</x:f>
      </x:c>
      <x:c r="O168" s="20" t="str">
        <x:f>IF(Q168&lt;&gt;"OK","",SUMIFS($M$8:$M$1007,$A$8:$A$1007,A168,$B$8:$B$1007,"&lt;="&amp;B168))</x:f>
      </x:c>
      <x:c r="P168" s="20" t="str">
        <x:f>IF(Q168&lt;&gt;"OK","",MAX(0,-MIN(N168,O168)))</x:f>
      </x:c>
      <x:c r="Q168" s="18" t="str">
        <x:f>IF(A168="",IF(COUNTA(B168:K168)=0,"","Inserisci ID"),IF(COUNTIFS('Diario'!$A$8:$A$507,A168)&lt;&gt;1,"ID assente / duplicato",IF(OR(NOT(ISNUMBER(B168)),B168&lt;1,B168&lt;&gt;INT(B168),COUNTIFS($A$8:$A$1007,A168,$B$8:$B$1007,B168)&lt;&gt;1),"N. esecuzione non valido",IF(OR(NOT(ISNUMBER(C168)),AND(D168&lt;&gt;"Ingresso",D168&lt;&gt;"Uscita"),AND(E168&lt;&gt;"Back",E168&lt;&gt;"Lay")),"Completa data / fase / lato",IF(OR(NOT(ISNUMBER(F168)),F168&lt;=1,NOT(ISNUMBER(G168)),G168&lt;=0),"Correggi quota / stake","OK")))))</x:f>
      </x:c>
    </x:row>
    <x:row r="169" ht="22" customHeight="1">
      <x:c r="A169" s="24"/>
      <x:c r="B169" s="24"/>
      <x:c r="C169" s="26"/>
      <x:c r="D169" s="24"/>
      <x:c r="E169" s="24"/>
      <x:c r="F169" s="28"/>
      <x:c r="G169" s="29"/>
      <x:c r="H169" s="24"/>
      <x:c r="I169" s="24"/>
      <x:c r="J169" s="24"/>
      <x:c r="K169" s="24"/>
      <x:c r="L169" s="20" t="str">
        <x:f>IF(Q169&lt;&gt;"OK","",IF(E169="Back",G169*(F169-1),-G169*(F169-1)))</x:f>
      </x:c>
      <x:c r="M169" s="20" t="str">
        <x:f>IF(Q169&lt;&gt;"OK","",IF(E169="Back",-G169,G169))</x:f>
      </x:c>
      <x:c r="N169" s="20" t="str">
        <x:f>IF(Q169&lt;&gt;"OK","",SUMIFS($L$8:$L$1007,$A$8:$A$1007,A169,$B$8:$B$1007,"&lt;="&amp;B169))</x:f>
      </x:c>
      <x:c r="O169" s="20" t="str">
        <x:f>IF(Q169&lt;&gt;"OK","",SUMIFS($M$8:$M$1007,$A$8:$A$1007,A169,$B$8:$B$1007,"&lt;="&amp;B169))</x:f>
      </x:c>
      <x:c r="P169" s="20" t="str">
        <x:f>IF(Q169&lt;&gt;"OK","",MAX(0,-MIN(N169,O169)))</x:f>
      </x:c>
      <x:c r="Q169" s="18" t="str">
        <x:f>IF(A169="",IF(COUNTA(B169:K169)=0,"","Inserisci ID"),IF(COUNTIFS('Diario'!$A$8:$A$507,A169)&lt;&gt;1,"ID assente / duplicato",IF(OR(NOT(ISNUMBER(B169)),B169&lt;1,B169&lt;&gt;INT(B169),COUNTIFS($A$8:$A$1007,A169,$B$8:$B$1007,B169)&lt;&gt;1),"N. esecuzione non valido",IF(OR(NOT(ISNUMBER(C169)),AND(D169&lt;&gt;"Ingresso",D169&lt;&gt;"Uscita"),AND(E169&lt;&gt;"Back",E169&lt;&gt;"Lay")),"Completa data / fase / lato",IF(OR(NOT(ISNUMBER(F169)),F169&lt;=1,NOT(ISNUMBER(G169)),G169&lt;=0),"Correggi quota / stake","OK")))))</x:f>
      </x:c>
    </x:row>
    <x:row r="170" ht="22" customHeight="1">
      <x:c r="A170" s="24"/>
      <x:c r="B170" s="24"/>
      <x:c r="C170" s="26"/>
      <x:c r="D170" s="24"/>
      <x:c r="E170" s="24"/>
      <x:c r="F170" s="28"/>
      <x:c r="G170" s="29"/>
      <x:c r="H170" s="24"/>
      <x:c r="I170" s="24"/>
      <x:c r="J170" s="24"/>
      <x:c r="K170" s="24"/>
      <x:c r="L170" s="20" t="str">
        <x:f>IF(Q170&lt;&gt;"OK","",IF(E170="Back",G170*(F170-1),-G170*(F170-1)))</x:f>
      </x:c>
      <x:c r="M170" s="20" t="str">
        <x:f>IF(Q170&lt;&gt;"OK","",IF(E170="Back",-G170,G170))</x:f>
      </x:c>
      <x:c r="N170" s="20" t="str">
        <x:f>IF(Q170&lt;&gt;"OK","",SUMIFS($L$8:$L$1007,$A$8:$A$1007,A170,$B$8:$B$1007,"&lt;="&amp;B170))</x:f>
      </x:c>
      <x:c r="O170" s="20" t="str">
        <x:f>IF(Q170&lt;&gt;"OK","",SUMIFS($M$8:$M$1007,$A$8:$A$1007,A170,$B$8:$B$1007,"&lt;="&amp;B170))</x:f>
      </x:c>
      <x:c r="P170" s="20" t="str">
        <x:f>IF(Q170&lt;&gt;"OK","",MAX(0,-MIN(N170,O170)))</x:f>
      </x:c>
      <x:c r="Q170" s="18" t="str">
        <x:f>IF(A170="",IF(COUNTA(B170:K170)=0,"","Inserisci ID"),IF(COUNTIFS('Diario'!$A$8:$A$507,A170)&lt;&gt;1,"ID assente / duplicato",IF(OR(NOT(ISNUMBER(B170)),B170&lt;1,B170&lt;&gt;INT(B170),COUNTIFS($A$8:$A$1007,A170,$B$8:$B$1007,B170)&lt;&gt;1),"N. esecuzione non valido",IF(OR(NOT(ISNUMBER(C170)),AND(D170&lt;&gt;"Ingresso",D170&lt;&gt;"Uscita"),AND(E170&lt;&gt;"Back",E170&lt;&gt;"Lay")),"Completa data / fase / lato",IF(OR(NOT(ISNUMBER(F170)),F170&lt;=1,NOT(ISNUMBER(G170)),G170&lt;=0),"Correggi quota / stake","OK")))))</x:f>
      </x:c>
    </x:row>
    <x:row r="171" ht="22" customHeight="1">
      <x:c r="A171" s="24"/>
      <x:c r="B171" s="24"/>
      <x:c r="C171" s="26"/>
      <x:c r="D171" s="24"/>
      <x:c r="E171" s="24"/>
      <x:c r="F171" s="28"/>
      <x:c r="G171" s="29"/>
      <x:c r="H171" s="24"/>
      <x:c r="I171" s="24"/>
      <x:c r="J171" s="24"/>
      <x:c r="K171" s="24"/>
      <x:c r="L171" s="20" t="str">
        <x:f>IF(Q171&lt;&gt;"OK","",IF(E171="Back",G171*(F171-1),-G171*(F171-1)))</x:f>
      </x:c>
      <x:c r="M171" s="20" t="str">
        <x:f>IF(Q171&lt;&gt;"OK","",IF(E171="Back",-G171,G171))</x:f>
      </x:c>
      <x:c r="N171" s="20" t="str">
        <x:f>IF(Q171&lt;&gt;"OK","",SUMIFS($L$8:$L$1007,$A$8:$A$1007,A171,$B$8:$B$1007,"&lt;="&amp;B171))</x:f>
      </x:c>
      <x:c r="O171" s="20" t="str">
        <x:f>IF(Q171&lt;&gt;"OK","",SUMIFS($M$8:$M$1007,$A$8:$A$1007,A171,$B$8:$B$1007,"&lt;="&amp;B171))</x:f>
      </x:c>
      <x:c r="P171" s="20" t="str">
        <x:f>IF(Q171&lt;&gt;"OK","",MAX(0,-MIN(N171,O171)))</x:f>
      </x:c>
      <x:c r="Q171" s="18" t="str">
        <x:f>IF(A171="",IF(COUNTA(B171:K171)=0,"","Inserisci ID"),IF(COUNTIFS('Diario'!$A$8:$A$507,A171)&lt;&gt;1,"ID assente / duplicato",IF(OR(NOT(ISNUMBER(B171)),B171&lt;1,B171&lt;&gt;INT(B171),COUNTIFS($A$8:$A$1007,A171,$B$8:$B$1007,B171)&lt;&gt;1),"N. esecuzione non valido",IF(OR(NOT(ISNUMBER(C171)),AND(D171&lt;&gt;"Ingresso",D171&lt;&gt;"Uscita"),AND(E171&lt;&gt;"Back",E171&lt;&gt;"Lay")),"Completa data / fase / lato",IF(OR(NOT(ISNUMBER(F171)),F171&lt;=1,NOT(ISNUMBER(G171)),G171&lt;=0),"Correggi quota / stake","OK")))))</x:f>
      </x:c>
    </x:row>
    <x:row r="172" ht="22" customHeight="1">
      <x:c r="A172" s="24"/>
      <x:c r="B172" s="24"/>
      <x:c r="C172" s="26"/>
      <x:c r="D172" s="24"/>
      <x:c r="E172" s="24"/>
      <x:c r="F172" s="28"/>
      <x:c r="G172" s="29"/>
      <x:c r="H172" s="24"/>
      <x:c r="I172" s="24"/>
      <x:c r="J172" s="24"/>
      <x:c r="K172" s="24"/>
      <x:c r="L172" s="20" t="str">
        <x:f>IF(Q172&lt;&gt;"OK","",IF(E172="Back",G172*(F172-1),-G172*(F172-1)))</x:f>
      </x:c>
      <x:c r="M172" s="20" t="str">
        <x:f>IF(Q172&lt;&gt;"OK","",IF(E172="Back",-G172,G172))</x:f>
      </x:c>
      <x:c r="N172" s="20" t="str">
        <x:f>IF(Q172&lt;&gt;"OK","",SUMIFS($L$8:$L$1007,$A$8:$A$1007,A172,$B$8:$B$1007,"&lt;="&amp;B172))</x:f>
      </x:c>
      <x:c r="O172" s="20" t="str">
        <x:f>IF(Q172&lt;&gt;"OK","",SUMIFS($M$8:$M$1007,$A$8:$A$1007,A172,$B$8:$B$1007,"&lt;="&amp;B172))</x:f>
      </x:c>
      <x:c r="P172" s="20" t="str">
        <x:f>IF(Q172&lt;&gt;"OK","",MAX(0,-MIN(N172,O172)))</x:f>
      </x:c>
      <x:c r="Q172" s="18" t="str">
        <x:f>IF(A172="",IF(COUNTA(B172:K172)=0,"","Inserisci ID"),IF(COUNTIFS('Diario'!$A$8:$A$507,A172)&lt;&gt;1,"ID assente / duplicato",IF(OR(NOT(ISNUMBER(B172)),B172&lt;1,B172&lt;&gt;INT(B172),COUNTIFS($A$8:$A$1007,A172,$B$8:$B$1007,B172)&lt;&gt;1),"N. esecuzione non valido",IF(OR(NOT(ISNUMBER(C172)),AND(D172&lt;&gt;"Ingresso",D172&lt;&gt;"Uscita"),AND(E172&lt;&gt;"Back",E172&lt;&gt;"Lay")),"Completa data / fase / lato",IF(OR(NOT(ISNUMBER(F172)),F172&lt;=1,NOT(ISNUMBER(G172)),G172&lt;=0),"Correggi quota / stake","OK")))))</x:f>
      </x:c>
    </x:row>
    <x:row r="173" ht="22" customHeight="1">
      <x:c r="A173" s="24"/>
      <x:c r="B173" s="24"/>
      <x:c r="C173" s="26"/>
      <x:c r="D173" s="24"/>
      <x:c r="E173" s="24"/>
      <x:c r="F173" s="28"/>
      <x:c r="G173" s="29"/>
      <x:c r="H173" s="24"/>
      <x:c r="I173" s="24"/>
      <x:c r="J173" s="24"/>
      <x:c r="K173" s="24"/>
      <x:c r="L173" s="20" t="str">
        <x:f>IF(Q173&lt;&gt;"OK","",IF(E173="Back",G173*(F173-1),-G173*(F173-1)))</x:f>
      </x:c>
      <x:c r="M173" s="20" t="str">
        <x:f>IF(Q173&lt;&gt;"OK","",IF(E173="Back",-G173,G173))</x:f>
      </x:c>
      <x:c r="N173" s="20" t="str">
        <x:f>IF(Q173&lt;&gt;"OK","",SUMIFS($L$8:$L$1007,$A$8:$A$1007,A173,$B$8:$B$1007,"&lt;="&amp;B173))</x:f>
      </x:c>
      <x:c r="O173" s="20" t="str">
        <x:f>IF(Q173&lt;&gt;"OK","",SUMIFS($M$8:$M$1007,$A$8:$A$1007,A173,$B$8:$B$1007,"&lt;="&amp;B173))</x:f>
      </x:c>
      <x:c r="P173" s="20" t="str">
        <x:f>IF(Q173&lt;&gt;"OK","",MAX(0,-MIN(N173,O173)))</x:f>
      </x:c>
      <x:c r="Q173" s="18" t="str">
        <x:f>IF(A173="",IF(COUNTA(B173:K173)=0,"","Inserisci ID"),IF(COUNTIFS('Diario'!$A$8:$A$507,A173)&lt;&gt;1,"ID assente / duplicato",IF(OR(NOT(ISNUMBER(B173)),B173&lt;1,B173&lt;&gt;INT(B173),COUNTIFS($A$8:$A$1007,A173,$B$8:$B$1007,B173)&lt;&gt;1),"N. esecuzione non valido",IF(OR(NOT(ISNUMBER(C173)),AND(D173&lt;&gt;"Ingresso",D173&lt;&gt;"Uscita"),AND(E173&lt;&gt;"Back",E173&lt;&gt;"Lay")),"Completa data / fase / lato",IF(OR(NOT(ISNUMBER(F173)),F173&lt;=1,NOT(ISNUMBER(G173)),G173&lt;=0),"Correggi quota / stake","OK")))))</x:f>
      </x:c>
    </x:row>
    <x:row r="174" ht="22" customHeight="1">
      <x:c r="A174" s="24"/>
      <x:c r="B174" s="24"/>
      <x:c r="C174" s="26"/>
      <x:c r="D174" s="24"/>
      <x:c r="E174" s="24"/>
      <x:c r="F174" s="28"/>
      <x:c r="G174" s="29"/>
      <x:c r="H174" s="24"/>
      <x:c r="I174" s="24"/>
      <x:c r="J174" s="24"/>
      <x:c r="K174" s="24"/>
      <x:c r="L174" s="20" t="str">
        <x:f>IF(Q174&lt;&gt;"OK","",IF(E174="Back",G174*(F174-1),-G174*(F174-1)))</x:f>
      </x:c>
      <x:c r="M174" s="20" t="str">
        <x:f>IF(Q174&lt;&gt;"OK","",IF(E174="Back",-G174,G174))</x:f>
      </x:c>
      <x:c r="N174" s="20" t="str">
        <x:f>IF(Q174&lt;&gt;"OK","",SUMIFS($L$8:$L$1007,$A$8:$A$1007,A174,$B$8:$B$1007,"&lt;="&amp;B174))</x:f>
      </x:c>
      <x:c r="O174" s="20" t="str">
        <x:f>IF(Q174&lt;&gt;"OK","",SUMIFS($M$8:$M$1007,$A$8:$A$1007,A174,$B$8:$B$1007,"&lt;="&amp;B174))</x:f>
      </x:c>
      <x:c r="P174" s="20" t="str">
        <x:f>IF(Q174&lt;&gt;"OK","",MAX(0,-MIN(N174,O174)))</x:f>
      </x:c>
      <x:c r="Q174" s="18" t="str">
        <x:f>IF(A174="",IF(COUNTA(B174:K174)=0,"","Inserisci ID"),IF(COUNTIFS('Diario'!$A$8:$A$507,A174)&lt;&gt;1,"ID assente / duplicato",IF(OR(NOT(ISNUMBER(B174)),B174&lt;1,B174&lt;&gt;INT(B174),COUNTIFS($A$8:$A$1007,A174,$B$8:$B$1007,B174)&lt;&gt;1),"N. esecuzione non valido",IF(OR(NOT(ISNUMBER(C174)),AND(D174&lt;&gt;"Ingresso",D174&lt;&gt;"Uscita"),AND(E174&lt;&gt;"Back",E174&lt;&gt;"Lay")),"Completa data / fase / lato",IF(OR(NOT(ISNUMBER(F174)),F174&lt;=1,NOT(ISNUMBER(G174)),G174&lt;=0),"Correggi quota / stake","OK")))))</x:f>
      </x:c>
    </x:row>
    <x:row r="175" ht="22" customHeight="1">
      <x:c r="A175" s="24"/>
      <x:c r="B175" s="24"/>
      <x:c r="C175" s="26"/>
      <x:c r="D175" s="24"/>
      <x:c r="E175" s="24"/>
      <x:c r="F175" s="28"/>
      <x:c r="G175" s="29"/>
      <x:c r="H175" s="24"/>
      <x:c r="I175" s="24"/>
      <x:c r="J175" s="24"/>
      <x:c r="K175" s="24"/>
      <x:c r="L175" s="20" t="str">
        <x:f>IF(Q175&lt;&gt;"OK","",IF(E175="Back",G175*(F175-1),-G175*(F175-1)))</x:f>
      </x:c>
      <x:c r="M175" s="20" t="str">
        <x:f>IF(Q175&lt;&gt;"OK","",IF(E175="Back",-G175,G175))</x:f>
      </x:c>
      <x:c r="N175" s="20" t="str">
        <x:f>IF(Q175&lt;&gt;"OK","",SUMIFS($L$8:$L$1007,$A$8:$A$1007,A175,$B$8:$B$1007,"&lt;="&amp;B175))</x:f>
      </x:c>
      <x:c r="O175" s="20" t="str">
        <x:f>IF(Q175&lt;&gt;"OK","",SUMIFS($M$8:$M$1007,$A$8:$A$1007,A175,$B$8:$B$1007,"&lt;="&amp;B175))</x:f>
      </x:c>
      <x:c r="P175" s="20" t="str">
        <x:f>IF(Q175&lt;&gt;"OK","",MAX(0,-MIN(N175,O175)))</x:f>
      </x:c>
      <x:c r="Q175" s="18" t="str">
        <x:f>IF(A175="",IF(COUNTA(B175:K175)=0,"","Inserisci ID"),IF(COUNTIFS('Diario'!$A$8:$A$507,A175)&lt;&gt;1,"ID assente / duplicato",IF(OR(NOT(ISNUMBER(B175)),B175&lt;1,B175&lt;&gt;INT(B175),COUNTIFS($A$8:$A$1007,A175,$B$8:$B$1007,B175)&lt;&gt;1),"N. esecuzione non valido",IF(OR(NOT(ISNUMBER(C175)),AND(D175&lt;&gt;"Ingresso",D175&lt;&gt;"Uscita"),AND(E175&lt;&gt;"Back",E175&lt;&gt;"Lay")),"Completa data / fase / lato",IF(OR(NOT(ISNUMBER(F175)),F175&lt;=1,NOT(ISNUMBER(G175)),G175&lt;=0),"Correggi quota / stake","OK")))))</x:f>
      </x:c>
    </x:row>
    <x:row r="176" ht="22" customHeight="1">
      <x:c r="A176" s="24"/>
      <x:c r="B176" s="24"/>
      <x:c r="C176" s="26"/>
      <x:c r="D176" s="24"/>
      <x:c r="E176" s="24"/>
      <x:c r="F176" s="28"/>
      <x:c r="G176" s="29"/>
      <x:c r="H176" s="24"/>
      <x:c r="I176" s="24"/>
      <x:c r="J176" s="24"/>
      <x:c r="K176" s="24"/>
      <x:c r="L176" s="20" t="str">
        <x:f>IF(Q176&lt;&gt;"OK","",IF(E176="Back",G176*(F176-1),-G176*(F176-1)))</x:f>
      </x:c>
      <x:c r="M176" s="20" t="str">
        <x:f>IF(Q176&lt;&gt;"OK","",IF(E176="Back",-G176,G176))</x:f>
      </x:c>
      <x:c r="N176" s="20" t="str">
        <x:f>IF(Q176&lt;&gt;"OK","",SUMIFS($L$8:$L$1007,$A$8:$A$1007,A176,$B$8:$B$1007,"&lt;="&amp;B176))</x:f>
      </x:c>
      <x:c r="O176" s="20" t="str">
        <x:f>IF(Q176&lt;&gt;"OK","",SUMIFS($M$8:$M$1007,$A$8:$A$1007,A176,$B$8:$B$1007,"&lt;="&amp;B176))</x:f>
      </x:c>
      <x:c r="P176" s="20" t="str">
        <x:f>IF(Q176&lt;&gt;"OK","",MAX(0,-MIN(N176,O176)))</x:f>
      </x:c>
      <x:c r="Q176" s="18" t="str">
        <x:f>IF(A176="",IF(COUNTA(B176:K176)=0,"","Inserisci ID"),IF(COUNTIFS('Diario'!$A$8:$A$507,A176)&lt;&gt;1,"ID assente / duplicato",IF(OR(NOT(ISNUMBER(B176)),B176&lt;1,B176&lt;&gt;INT(B176),COUNTIFS($A$8:$A$1007,A176,$B$8:$B$1007,B176)&lt;&gt;1),"N. esecuzione non valido",IF(OR(NOT(ISNUMBER(C176)),AND(D176&lt;&gt;"Ingresso",D176&lt;&gt;"Uscita"),AND(E176&lt;&gt;"Back",E176&lt;&gt;"Lay")),"Completa data / fase / lato",IF(OR(NOT(ISNUMBER(F176)),F176&lt;=1,NOT(ISNUMBER(G176)),G176&lt;=0),"Correggi quota / stake","OK")))))</x:f>
      </x:c>
    </x:row>
    <x:row r="177" ht="22" customHeight="1">
      <x:c r="A177" s="24"/>
      <x:c r="B177" s="24"/>
      <x:c r="C177" s="26"/>
      <x:c r="D177" s="24"/>
      <x:c r="E177" s="24"/>
      <x:c r="F177" s="28"/>
      <x:c r="G177" s="29"/>
      <x:c r="H177" s="24"/>
      <x:c r="I177" s="24"/>
      <x:c r="J177" s="24"/>
      <x:c r="K177" s="24"/>
      <x:c r="L177" s="20" t="str">
        <x:f>IF(Q177&lt;&gt;"OK","",IF(E177="Back",G177*(F177-1),-G177*(F177-1)))</x:f>
      </x:c>
      <x:c r="M177" s="20" t="str">
        <x:f>IF(Q177&lt;&gt;"OK","",IF(E177="Back",-G177,G177))</x:f>
      </x:c>
      <x:c r="N177" s="20" t="str">
        <x:f>IF(Q177&lt;&gt;"OK","",SUMIFS($L$8:$L$1007,$A$8:$A$1007,A177,$B$8:$B$1007,"&lt;="&amp;B177))</x:f>
      </x:c>
      <x:c r="O177" s="20" t="str">
        <x:f>IF(Q177&lt;&gt;"OK","",SUMIFS($M$8:$M$1007,$A$8:$A$1007,A177,$B$8:$B$1007,"&lt;="&amp;B177))</x:f>
      </x:c>
      <x:c r="P177" s="20" t="str">
        <x:f>IF(Q177&lt;&gt;"OK","",MAX(0,-MIN(N177,O177)))</x:f>
      </x:c>
      <x:c r="Q177" s="18" t="str">
        <x:f>IF(A177="",IF(COUNTA(B177:K177)=0,"","Inserisci ID"),IF(COUNTIFS('Diario'!$A$8:$A$507,A177)&lt;&gt;1,"ID assente / duplicato",IF(OR(NOT(ISNUMBER(B177)),B177&lt;1,B177&lt;&gt;INT(B177),COUNTIFS($A$8:$A$1007,A177,$B$8:$B$1007,B177)&lt;&gt;1),"N. esecuzione non valido",IF(OR(NOT(ISNUMBER(C177)),AND(D177&lt;&gt;"Ingresso",D177&lt;&gt;"Uscita"),AND(E177&lt;&gt;"Back",E177&lt;&gt;"Lay")),"Completa data / fase / lato",IF(OR(NOT(ISNUMBER(F177)),F177&lt;=1,NOT(ISNUMBER(G177)),G177&lt;=0),"Correggi quota / stake","OK")))))</x:f>
      </x:c>
    </x:row>
    <x:row r="178" ht="22" customHeight="1">
      <x:c r="A178" s="24"/>
      <x:c r="B178" s="24"/>
      <x:c r="C178" s="26"/>
      <x:c r="D178" s="24"/>
      <x:c r="E178" s="24"/>
      <x:c r="F178" s="28"/>
      <x:c r="G178" s="29"/>
      <x:c r="H178" s="24"/>
      <x:c r="I178" s="24"/>
      <x:c r="J178" s="24"/>
      <x:c r="K178" s="24"/>
      <x:c r="L178" s="20" t="str">
        <x:f>IF(Q178&lt;&gt;"OK","",IF(E178="Back",G178*(F178-1),-G178*(F178-1)))</x:f>
      </x:c>
      <x:c r="M178" s="20" t="str">
        <x:f>IF(Q178&lt;&gt;"OK","",IF(E178="Back",-G178,G178))</x:f>
      </x:c>
      <x:c r="N178" s="20" t="str">
        <x:f>IF(Q178&lt;&gt;"OK","",SUMIFS($L$8:$L$1007,$A$8:$A$1007,A178,$B$8:$B$1007,"&lt;="&amp;B178))</x:f>
      </x:c>
      <x:c r="O178" s="20" t="str">
        <x:f>IF(Q178&lt;&gt;"OK","",SUMIFS($M$8:$M$1007,$A$8:$A$1007,A178,$B$8:$B$1007,"&lt;="&amp;B178))</x:f>
      </x:c>
      <x:c r="P178" s="20" t="str">
        <x:f>IF(Q178&lt;&gt;"OK","",MAX(0,-MIN(N178,O178)))</x:f>
      </x:c>
      <x:c r="Q178" s="18" t="str">
        <x:f>IF(A178="",IF(COUNTA(B178:K178)=0,"","Inserisci ID"),IF(COUNTIFS('Diario'!$A$8:$A$507,A178)&lt;&gt;1,"ID assente / duplicato",IF(OR(NOT(ISNUMBER(B178)),B178&lt;1,B178&lt;&gt;INT(B178),COUNTIFS($A$8:$A$1007,A178,$B$8:$B$1007,B178)&lt;&gt;1),"N. esecuzione non valido",IF(OR(NOT(ISNUMBER(C178)),AND(D178&lt;&gt;"Ingresso",D178&lt;&gt;"Uscita"),AND(E178&lt;&gt;"Back",E178&lt;&gt;"Lay")),"Completa data / fase / lato",IF(OR(NOT(ISNUMBER(F178)),F178&lt;=1,NOT(ISNUMBER(G178)),G178&lt;=0),"Correggi quota / stake","OK")))))</x:f>
      </x:c>
    </x:row>
    <x:row r="179" ht="22" customHeight="1">
      <x:c r="A179" s="24"/>
      <x:c r="B179" s="24"/>
      <x:c r="C179" s="26"/>
      <x:c r="D179" s="24"/>
      <x:c r="E179" s="24"/>
      <x:c r="F179" s="28"/>
      <x:c r="G179" s="29"/>
      <x:c r="H179" s="24"/>
      <x:c r="I179" s="24"/>
      <x:c r="J179" s="24"/>
      <x:c r="K179" s="24"/>
      <x:c r="L179" s="20" t="str">
        <x:f>IF(Q179&lt;&gt;"OK","",IF(E179="Back",G179*(F179-1),-G179*(F179-1)))</x:f>
      </x:c>
      <x:c r="M179" s="20" t="str">
        <x:f>IF(Q179&lt;&gt;"OK","",IF(E179="Back",-G179,G179))</x:f>
      </x:c>
      <x:c r="N179" s="20" t="str">
        <x:f>IF(Q179&lt;&gt;"OK","",SUMIFS($L$8:$L$1007,$A$8:$A$1007,A179,$B$8:$B$1007,"&lt;="&amp;B179))</x:f>
      </x:c>
      <x:c r="O179" s="20" t="str">
        <x:f>IF(Q179&lt;&gt;"OK","",SUMIFS($M$8:$M$1007,$A$8:$A$1007,A179,$B$8:$B$1007,"&lt;="&amp;B179))</x:f>
      </x:c>
      <x:c r="P179" s="20" t="str">
        <x:f>IF(Q179&lt;&gt;"OK","",MAX(0,-MIN(N179,O179)))</x:f>
      </x:c>
      <x:c r="Q179" s="18" t="str">
        <x:f>IF(A179="",IF(COUNTA(B179:K179)=0,"","Inserisci ID"),IF(COUNTIFS('Diario'!$A$8:$A$507,A179)&lt;&gt;1,"ID assente / duplicato",IF(OR(NOT(ISNUMBER(B179)),B179&lt;1,B179&lt;&gt;INT(B179),COUNTIFS($A$8:$A$1007,A179,$B$8:$B$1007,B179)&lt;&gt;1),"N. esecuzione non valido",IF(OR(NOT(ISNUMBER(C179)),AND(D179&lt;&gt;"Ingresso",D179&lt;&gt;"Uscita"),AND(E179&lt;&gt;"Back",E179&lt;&gt;"Lay")),"Completa data / fase / lato",IF(OR(NOT(ISNUMBER(F179)),F179&lt;=1,NOT(ISNUMBER(G179)),G179&lt;=0),"Correggi quota / stake","OK")))))</x:f>
      </x:c>
    </x:row>
    <x:row r="180" ht="22" customHeight="1">
      <x:c r="A180" s="24"/>
      <x:c r="B180" s="24"/>
      <x:c r="C180" s="26"/>
      <x:c r="D180" s="24"/>
      <x:c r="E180" s="24"/>
      <x:c r="F180" s="28"/>
      <x:c r="G180" s="29"/>
      <x:c r="H180" s="24"/>
      <x:c r="I180" s="24"/>
      <x:c r="J180" s="24"/>
      <x:c r="K180" s="24"/>
      <x:c r="L180" s="20" t="str">
        <x:f>IF(Q180&lt;&gt;"OK","",IF(E180="Back",G180*(F180-1),-G180*(F180-1)))</x:f>
      </x:c>
      <x:c r="M180" s="20" t="str">
        <x:f>IF(Q180&lt;&gt;"OK","",IF(E180="Back",-G180,G180))</x:f>
      </x:c>
      <x:c r="N180" s="20" t="str">
        <x:f>IF(Q180&lt;&gt;"OK","",SUMIFS($L$8:$L$1007,$A$8:$A$1007,A180,$B$8:$B$1007,"&lt;="&amp;B180))</x:f>
      </x:c>
      <x:c r="O180" s="20" t="str">
        <x:f>IF(Q180&lt;&gt;"OK","",SUMIFS($M$8:$M$1007,$A$8:$A$1007,A180,$B$8:$B$1007,"&lt;="&amp;B180))</x:f>
      </x:c>
      <x:c r="P180" s="20" t="str">
        <x:f>IF(Q180&lt;&gt;"OK","",MAX(0,-MIN(N180,O180)))</x:f>
      </x:c>
      <x:c r="Q180" s="18" t="str">
        <x:f>IF(A180="",IF(COUNTA(B180:K180)=0,"","Inserisci ID"),IF(COUNTIFS('Diario'!$A$8:$A$507,A180)&lt;&gt;1,"ID assente / duplicato",IF(OR(NOT(ISNUMBER(B180)),B180&lt;1,B180&lt;&gt;INT(B180),COUNTIFS($A$8:$A$1007,A180,$B$8:$B$1007,B180)&lt;&gt;1),"N. esecuzione non valido",IF(OR(NOT(ISNUMBER(C180)),AND(D180&lt;&gt;"Ingresso",D180&lt;&gt;"Uscita"),AND(E180&lt;&gt;"Back",E180&lt;&gt;"Lay")),"Completa data / fase / lato",IF(OR(NOT(ISNUMBER(F180)),F180&lt;=1,NOT(ISNUMBER(G180)),G180&lt;=0),"Correggi quota / stake","OK")))))</x:f>
      </x:c>
    </x:row>
    <x:row r="181" ht="22" customHeight="1">
      <x:c r="A181" s="24"/>
      <x:c r="B181" s="24"/>
      <x:c r="C181" s="26"/>
      <x:c r="D181" s="24"/>
      <x:c r="E181" s="24"/>
      <x:c r="F181" s="28"/>
      <x:c r="G181" s="29"/>
      <x:c r="H181" s="24"/>
      <x:c r="I181" s="24"/>
      <x:c r="J181" s="24"/>
      <x:c r="K181" s="24"/>
      <x:c r="L181" s="20" t="str">
        <x:f>IF(Q181&lt;&gt;"OK","",IF(E181="Back",G181*(F181-1),-G181*(F181-1)))</x:f>
      </x:c>
      <x:c r="M181" s="20" t="str">
        <x:f>IF(Q181&lt;&gt;"OK","",IF(E181="Back",-G181,G181))</x:f>
      </x:c>
      <x:c r="N181" s="20" t="str">
        <x:f>IF(Q181&lt;&gt;"OK","",SUMIFS($L$8:$L$1007,$A$8:$A$1007,A181,$B$8:$B$1007,"&lt;="&amp;B181))</x:f>
      </x:c>
      <x:c r="O181" s="20" t="str">
        <x:f>IF(Q181&lt;&gt;"OK","",SUMIFS($M$8:$M$1007,$A$8:$A$1007,A181,$B$8:$B$1007,"&lt;="&amp;B181))</x:f>
      </x:c>
      <x:c r="P181" s="20" t="str">
        <x:f>IF(Q181&lt;&gt;"OK","",MAX(0,-MIN(N181,O181)))</x:f>
      </x:c>
      <x:c r="Q181" s="18" t="str">
        <x:f>IF(A181="",IF(COUNTA(B181:K181)=0,"","Inserisci ID"),IF(COUNTIFS('Diario'!$A$8:$A$507,A181)&lt;&gt;1,"ID assente / duplicato",IF(OR(NOT(ISNUMBER(B181)),B181&lt;1,B181&lt;&gt;INT(B181),COUNTIFS($A$8:$A$1007,A181,$B$8:$B$1007,B181)&lt;&gt;1),"N. esecuzione non valido",IF(OR(NOT(ISNUMBER(C181)),AND(D181&lt;&gt;"Ingresso",D181&lt;&gt;"Uscita"),AND(E181&lt;&gt;"Back",E181&lt;&gt;"Lay")),"Completa data / fase / lato",IF(OR(NOT(ISNUMBER(F181)),F181&lt;=1,NOT(ISNUMBER(G181)),G181&lt;=0),"Correggi quota / stake","OK")))))</x:f>
      </x:c>
    </x:row>
    <x:row r="182" ht="22" customHeight="1">
      <x:c r="A182" s="24"/>
      <x:c r="B182" s="24"/>
      <x:c r="C182" s="26"/>
      <x:c r="D182" s="24"/>
      <x:c r="E182" s="24"/>
      <x:c r="F182" s="28"/>
      <x:c r="G182" s="29"/>
      <x:c r="H182" s="24"/>
      <x:c r="I182" s="24"/>
      <x:c r="J182" s="24"/>
      <x:c r="K182" s="24"/>
      <x:c r="L182" s="20" t="str">
        <x:f>IF(Q182&lt;&gt;"OK","",IF(E182="Back",G182*(F182-1),-G182*(F182-1)))</x:f>
      </x:c>
      <x:c r="M182" s="20" t="str">
        <x:f>IF(Q182&lt;&gt;"OK","",IF(E182="Back",-G182,G182))</x:f>
      </x:c>
      <x:c r="N182" s="20" t="str">
        <x:f>IF(Q182&lt;&gt;"OK","",SUMIFS($L$8:$L$1007,$A$8:$A$1007,A182,$B$8:$B$1007,"&lt;="&amp;B182))</x:f>
      </x:c>
      <x:c r="O182" s="20" t="str">
        <x:f>IF(Q182&lt;&gt;"OK","",SUMIFS($M$8:$M$1007,$A$8:$A$1007,A182,$B$8:$B$1007,"&lt;="&amp;B182))</x:f>
      </x:c>
      <x:c r="P182" s="20" t="str">
        <x:f>IF(Q182&lt;&gt;"OK","",MAX(0,-MIN(N182,O182)))</x:f>
      </x:c>
      <x:c r="Q182" s="18" t="str">
        <x:f>IF(A182="",IF(COUNTA(B182:K182)=0,"","Inserisci ID"),IF(COUNTIFS('Diario'!$A$8:$A$507,A182)&lt;&gt;1,"ID assente / duplicato",IF(OR(NOT(ISNUMBER(B182)),B182&lt;1,B182&lt;&gt;INT(B182),COUNTIFS($A$8:$A$1007,A182,$B$8:$B$1007,B182)&lt;&gt;1),"N. esecuzione non valido",IF(OR(NOT(ISNUMBER(C182)),AND(D182&lt;&gt;"Ingresso",D182&lt;&gt;"Uscita"),AND(E182&lt;&gt;"Back",E182&lt;&gt;"Lay")),"Completa data / fase / lato",IF(OR(NOT(ISNUMBER(F182)),F182&lt;=1,NOT(ISNUMBER(G182)),G182&lt;=0),"Correggi quota / stake","OK")))))</x:f>
      </x:c>
    </x:row>
    <x:row r="183" ht="22" customHeight="1">
      <x:c r="A183" s="24"/>
      <x:c r="B183" s="24"/>
      <x:c r="C183" s="26"/>
      <x:c r="D183" s="24"/>
      <x:c r="E183" s="24"/>
      <x:c r="F183" s="28"/>
      <x:c r="G183" s="29"/>
      <x:c r="H183" s="24"/>
      <x:c r="I183" s="24"/>
      <x:c r="J183" s="24"/>
      <x:c r="K183" s="24"/>
      <x:c r="L183" s="20" t="str">
        <x:f>IF(Q183&lt;&gt;"OK","",IF(E183="Back",G183*(F183-1),-G183*(F183-1)))</x:f>
      </x:c>
      <x:c r="M183" s="20" t="str">
        <x:f>IF(Q183&lt;&gt;"OK","",IF(E183="Back",-G183,G183))</x:f>
      </x:c>
      <x:c r="N183" s="20" t="str">
        <x:f>IF(Q183&lt;&gt;"OK","",SUMIFS($L$8:$L$1007,$A$8:$A$1007,A183,$B$8:$B$1007,"&lt;="&amp;B183))</x:f>
      </x:c>
      <x:c r="O183" s="20" t="str">
        <x:f>IF(Q183&lt;&gt;"OK","",SUMIFS($M$8:$M$1007,$A$8:$A$1007,A183,$B$8:$B$1007,"&lt;="&amp;B183))</x:f>
      </x:c>
      <x:c r="P183" s="20" t="str">
        <x:f>IF(Q183&lt;&gt;"OK","",MAX(0,-MIN(N183,O183)))</x:f>
      </x:c>
      <x:c r="Q183" s="18" t="str">
        <x:f>IF(A183="",IF(COUNTA(B183:K183)=0,"","Inserisci ID"),IF(COUNTIFS('Diario'!$A$8:$A$507,A183)&lt;&gt;1,"ID assente / duplicato",IF(OR(NOT(ISNUMBER(B183)),B183&lt;1,B183&lt;&gt;INT(B183),COUNTIFS($A$8:$A$1007,A183,$B$8:$B$1007,B183)&lt;&gt;1),"N. esecuzione non valido",IF(OR(NOT(ISNUMBER(C183)),AND(D183&lt;&gt;"Ingresso",D183&lt;&gt;"Uscita"),AND(E183&lt;&gt;"Back",E183&lt;&gt;"Lay")),"Completa data / fase / lato",IF(OR(NOT(ISNUMBER(F183)),F183&lt;=1,NOT(ISNUMBER(G183)),G183&lt;=0),"Correggi quota / stake","OK")))))</x:f>
      </x:c>
    </x:row>
    <x:row r="184" ht="22" customHeight="1">
      <x:c r="A184" s="24"/>
      <x:c r="B184" s="24"/>
      <x:c r="C184" s="26"/>
      <x:c r="D184" s="24"/>
      <x:c r="E184" s="24"/>
      <x:c r="F184" s="28"/>
      <x:c r="G184" s="29"/>
      <x:c r="H184" s="24"/>
      <x:c r="I184" s="24"/>
      <x:c r="J184" s="24"/>
      <x:c r="K184" s="24"/>
      <x:c r="L184" s="20" t="str">
        <x:f>IF(Q184&lt;&gt;"OK","",IF(E184="Back",G184*(F184-1),-G184*(F184-1)))</x:f>
      </x:c>
      <x:c r="M184" s="20" t="str">
        <x:f>IF(Q184&lt;&gt;"OK","",IF(E184="Back",-G184,G184))</x:f>
      </x:c>
      <x:c r="N184" s="20" t="str">
        <x:f>IF(Q184&lt;&gt;"OK","",SUMIFS($L$8:$L$1007,$A$8:$A$1007,A184,$B$8:$B$1007,"&lt;="&amp;B184))</x:f>
      </x:c>
      <x:c r="O184" s="20" t="str">
        <x:f>IF(Q184&lt;&gt;"OK","",SUMIFS($M$8:$M$1007,$A$8:$A$1007,A184,$B$8:$B$1007,"&lt;="&amp;B184))</x:f>
      </x:c>
      <x:c r="P184" s="20" t="str">
        <x:f>IF(Q184&lt;&gt;"OK","",MAX(0,-MIN(N184,O184)))</x:f>
      </x:c>
      <x:c r="Q184" s="18" t="str">
        <x:f>IF(A184="",IF(COUNTA(B184:K184)=0,"","Inserisci ID"),IF(COUNTIFS('Diario'!$A$8:$A$507,A184)&lt;&gt;1,"ID assente / duplicato",IF(OR(NOT(ISNUMBER(B184)),B184&lt;1,B184&lt;&gt;INT(B184),COUNTIFS($A$8:$A$1007,A184,$B$8:$B$1007,B184)&lt;&gt;1),"N. esecuzione non valido",IF(OR(NOT(ISNUMBER(C184)),AND(D184&lt;&gt;"Ingresso",D184&lt;&gt;"Uscita"),AND(E184&lt;&gt;"Back",E184&lt;&gt;"Lay")),"Completa data / fase / lato",IF(OR(NOT(ISNUMBER(F184)),F184&lt;=1,NOT(ISNUMBER(G184)),G184&lt;=0),"Correggi quota / stake","OK")))))</x:f>
      </x:c>
    </x:row>
    <x:row r="185" ht="22" customHeight="1">
      <x:c r="A185" s="24"/>
      <x:c r="B185" s="24"/>
      <x:c r="C185" s="26"/>
      <x:c r="D185" s="24"/>
      <x:c r="E185" s="24"/>
      <x:c r="F185" s="28"/>
      <x:c r="G185" s="29"/>
      <x:c r="H185" s="24"/>
      <x:c r="I185" s="24"/>
      <x:c r="J185" s="24"/>
      <x:c r="K185" s="24"/>
      <x:c r="L185" s="20" t="str">
        <x:f>IF(Q185&lt;&gt;"OK","",IF(E185="Back",G185*(F185-1),-G185*(F185-1)))</x:f>
      </x:c>
      <x:c r="M185" s="20" t="str">
        <x:f>IF(Q185&lt;&gt;"OK","",IF(E185="Back",-G185,G185))</x:f>
      </x:c>
      <x:c r="N185" s="20" t="str">
        <x:f>IF(Q185&lt;&gt;"OK","",SUMIFS($L$8:$L$1007,$A$8:$A$1007,A185,$B$8:$B$1007,"&lt;="&amp;B185))</x:f>
      </x:c>
      <x:c r="O185" s="20" t="str">
        <x:f>IF(Q185&lt;&gt;"OK","",SUMIFS($M$8:$M$1007,$A$8:$A$1007,A185,$B$8:$B$1007,"&lt;="&amp;B185))</x:f>
      </x:c>
      <x:c r="P185" s="20" t="str">
        <x:f>IF(Q185&lt;&gt;"OK","",MAX(0,-MIN(N185,O185)))</x:f>
      </x:c>
      <x:c r="Q185" s="18" t="str">
        <x:f>IF(A185="",IF(COUNTA(B185:K185)=0,"","Inserisci ID"),IF(COUNTIFS('Diario'!$A$8:$A$507,A185)&lt;&gt;1,"ID assente / duplicato",IF(OR(NOT(ISNUMBER(B185)),B185&lt;1,B185&lt;&gt;INT(B185),COUNTIFS($A$8:$A$1007,A185,$B$8:$B$1007,B185)&lt;&gt;1),"N. esecuzione non valido",IF(OR(NOT(ISNUMBER(C185)),AND(D185&lt;&gt;"Ingresso",D185&lt;&gt;"Uscita"),AND(E185&lt;&gt;"Back",E185&lt;&gt;"Lay")),"Completa data / fase / lato",IF(OR(NOT(ISNUMBER(F185)),F185&lt;=1,NOT(ISNUMBER(G185)),G185&lt;=0),"Correggi quota / stake","OK")))))</x:f>
      </x:c>
    </x:row>
    <x:row r="186" ht="22" customHeight="1">
      <x:c r="A186" s="24"/>
      <x:c r="B186" s="24"/>
      <x:c r="C186" s="26"/>
      <x:c r="D186" s="24"/>
      <x:c r="E186" s="24"/>
      <x:c r="F186" s="28"/>
      <x:c r="G186" s="29"/>
      <x:c r="H186" s="24"/>
      <x:c r="I186" s="24"/>
      <x:c r="J186" s="24"/>
      <x:c r="K186" s="24"/>
      <x:c r="L186" s="20" t="str">
        <x:f>IF(Q186&lt;&gt;"OK","",IF(E186="Back",G186*(F186-1),-G186*(F186-1)))</x:f>
      </x:c>
      <x:c r="M186" s="20" t="str">
        <x:f>IF(Q186&lt;&gt;"OK","",IF(E186="Back",-G186,G186))</x:f>
      </x:c>
      <x:c r="N186" s="20" t="str">
        <x:f>IF(Q186&lt;&gt;"OK","",SUMIFS($L$8:$L$1007,$A$8:$A$1007,A186,$B$8:$B$1007,"&lt;="&amp;B186))</x:f>
      </x:c>
      <x:c r="O186" s="20" t="str">
        <x:f>IF(Q186&lt;&gt;"OK","",SUMIFS($M$8:$M$1007,$A$8:$A$1007,A186,$B$8:$B$1007,"&lt;="&amp;B186))</x:f>
      </x:c>
      <x:c r="P186" s="20" t="str">
        <x:f>IF(Q186&lt;&gt;"OK","",MAX(0,-MIN(N186,O186)))</x:f>
      </x:c>
      <x:c r="Q186" s="18" t="str">
        <x:f>IF(A186="",IF(COUNTA(B186:K186)=0,"","Inserisci ID"),IF(COUNTIFS('Diario'!$A$8:$A$507,A186)&lt;&gt;1,"ID assente / duplicato",IF(OR(NOT(ISNUMBER(B186)),B186&lt;1,B186&lt;&gt;INT(B186),COUNTIFS($A$8:$A$1007,A186,$B$8:$B$1007,B186)&lt;&gt;1),"N. esecuzione non valido",IF(OR(NOT(ISNUMBER(C186)),AND(D186&lt;&gt;"Ingresso",D186&lt;&gt;"Uscita"),AND(E186&lt;&gt;"Back",E186&lt;&gt;"Lay")),"Completa data / fase / lato",IF(OR(NOT(ISNUMBER(F186)),F186&lt;=1,NOT(ISNUMBER(G186)),G186&lt;=0),"Correggi quota / stake","OK")))))</x:f>
      </x:c>
    </x:row>
    <x:row r="187" ht="22" customHeight="1">
      <x:c r="A187" s="24"/>
      <x:c r="B187" s="24"/>
      <x:c r="C187" s="26"/>
      <x:c r="D187" s="24"/>
      <x:c r="E187" s="24"/>
      <x:c r="F187" s="28"/>
      <x:c r="G187" s="29"/>
      <x:c r="H187" s="24"/>
      <x:c r="I187" s="24"/>
      <x:c r="J187" s="24"/>
      <x:c r="K187" s="24"/>
      <x:c r="L187" s="20" t="str">
        <x:f>IF(Q187&lt;&gt;"OK","",IF(E187="Back",G187*(F187-1),-G187*(F187-1)))</x:f>
      </x:c>
      <x:c r="M187" s="20" t="str">
        <x:f>IF(Q187&lt;&gt;"OK","",IF(E187="Back",-G187,G187))</x:f>
      </x:c>
      <x:c r="N187" s="20" t="str">
        <x:f>IF(Q187&lt;&gt;"OK","",SUMIFS($L$8:$L$1007,$A$8:$A$1007,A187,$B$8:$B$1007,"&lt;="&amp;B187))</x:f>
      </x:c>
      <x:c r="O187" s="20" t="str">
        <x:f>IF(Q187&lt;&gt;"OK","",SUMIFS($M$8:$M$1007,$A$8:$A$1007,A187,$B$8:$B$1007,"&lt;="&amp;B187))</x:f>
      </x:c>
      <x:c r="P187" s="20" t="str">
        <x:f>IF(Q187&lt;&gt;"OK","",MAX(0,-MIN(N187,O187)))</x:f>
      </x:c>
      <x:c r="Q187" s="18" t="str">
        <x:f>IF(A187="",IF(COUNTA(B187:K187)=0,"","Inserisci ID"),IF(COUNTIFS('Diario'!$A$8:$A$507,A187)&lt;&gt;1,"ID assente / duplicato",IF(OR(NOT(ISNUMBER(B187)),B187&lt;1,B187&lt;&gt;INT(B187),COUNTIFS($A$8:$A$1007,A187,$B$8:$B$1007,B187)&lt;&gt;1),"N. esecuzione non valido",IF(OR(NOT(ISNUMBER(C187)),AND(D187&lt;&gt;"Ingresso",D187&lt;&gt;"Uscita"),AND(E187&lt;&gt;"Back",E187&lt;&gt;"Lay")),"Completa data / fase / lato",IF(OR(NOT(ISNUMBER(F187)),F187&lt;=1,NOT(ISNUMBER(G187)),G187&lt;=0),"Correggi quota / stake","OK")))))</x:f>
      </x:c>
    </x:row>
    <x:row r="188" ht="22" customHeight="1">
      <x:c r="A188" s="24"/>
      <x:c r="B188" s="24"/>
      <x:c r="C188" s="26"/>
      <x:c r="D188" s="24"/>
      <x:c r="E188" s="24"/>
      <x:c r="F188" s="28"/>
      <x:c r="G188" s="29"/>
      <x:c r="H188" s="24"/>
      <x:c r="I188" s="24"/>
      <x:c r="J188" s="24"/>
      <x:c r="K188" s="24"/>
      <x:c r="L188" s="20" t="str">
        <x:f>IF(Q188&lt;&gt;"OK","",IF(E188="Back",G188*(F188-1),-G188*(F188-1)))</x:f>
      </x:c>
      <x:c r="M188" s="20" t="str">
        <x:f>IF(Q188&lt;&gt;"OK","",IF(E188="Back",-G188,G188))</x:f>
      </x:c>
      <x:c r="N188" s="20" t="str">
        <x:f>IF(Q188&lt;&gt;"OK","",SUMIFS($L$8:$L$1007,$A$8:$A$1007,A188,$B$8:$B$1007,"&lt;="&amp;B188))</x:f>
      </x:c>
      <x:c r="O188" s="20" t="str">
        <x:f>IF(Q188&lt;&gt;"OK","",SUMIFS($M$8:$M$1007,$A$8:$A$1007,A188,$B$8:$B$1007,"&lt;="&amp;B188))</x:f>
      </x:c>
      <x:c r="P188" s="20" t="str">
        <x:f>IF(Q188&lt;&gt;"OK","",MAX(0,-MIN(N188,O188)))</x:f>
      </x:c>
      <x:c r="Q188" s="18" t="str">
        <x:f>IF(A188="",IF(COUNTA(B188:K188)=0,"","Inserisci ID"),IF(COUNTIFS('Diario'!$A$8:$A$507,A188)&lt;&gt;1,"ID assente / duplicato",IF(OR(NOT(ISNUMBER(B188)),B188&lt;1,B188&lt;&gt;INT(B188),COUNTIFS($A$8:$A$1007,A188,$B$8:$B$1007,B188)&lt;&gt;1),"N. esecuzione non valido",IF(OR(NOT(ISNUMBER(C188)),AND(D188&lt;&gt;"Ingresso",D188&lt;&gt;"Uscita"),AND(E188&lt;&gt;"Back",E188&lt;&gt;"Lay")),"Completa data / fase / lato",IF(OR(NOT(ISNUMBER(F188)),F188&lt;=1,NOT(ISNUMBER(G188)),G188&lt;=0),"Correggi quota / stake","OK")))))</x:f>
      </x:c>
    </x:row>
    <x:row r="189" ht="22" customHeight="1">
      <x:c r="A189" s="24"/>
      <x:c r="B189" s="24"/>
      <x:c r="C189" s="26"/>
      <x:c r="D189" s="24"/>
      <x:c r="E189" s="24"/>
      <x:c r="F189" s="28"/>
      <x:c r="G189" s="29"/>
      <x:c r="H189" s="24"/>
      <x:c r="I189" s="24"/>
      <x:c r="J189" s="24"/>
      <x:c r="K189" s="24"/>
      <x:c r="L189" s="20" t="str">
        <x:f>IF(Q189&lt;&gt;"OK","",IF(E189="Back",G189*(F189-1),-G189*(F189-1)))</x:f>
      </x:c>
      <x:c r="M189" s="20" t="str">
        <x:f>IF(Q189&lt;&gt;"OK","",IF(E189="Back",-G189,G189))</x:f>
      </x:c>
      <x:c r="N189" s="20" t="str">
        <x:f>IF(Q189&lt;&gt;"OK","",SUMIFS($L$8:$L$1007,$A$8:$A$1007,A189,$B$8:$B$1007,"&lt;="&amp;B189))</x:f>
      </x:c>
      <x:c r="O189" s="20" t="str">
        <x:f>IF(Q189&lt;&gt;"OK","",SUMIFS($M$8:$M$1007,$A$8:$A$1007,A189,$B$8:$B$1007,"&lt;="&amp;B189))</x:f>
      </x:c>
      <x:c r="P189" s="20" t="str">
        <x:f>IF(Q189&lt;&gt;"OK","",MAX(0,-MIN(N189,O189)))</x:f>
      </x:c>
      <x:c r="Q189" s="18" t="str">
        <x:f>IF(A189="",IF(COUNTA(B189:K189)=0,"","Inserisci ID"),IF(COUNTIFS('Diario'!$A$8:$A$507,A189)&lt;&gt;1,"ID assente / duplicato",IF(OR(NOT(ISNUMBER(B189)),B189&lt;1,B189&lt;&gt;INT(B189),COUNTIFS($A$8:$A$1007,A189,$B$8:$B$1007,B189)&lt;&gt;1),"N. esecuzione non valido",IF(OR(NOT(ISNUMBER(C189)),AND(D189&lt;&gt;"Ingresso",D189&lt;&gt;"Uscita"),AND(E189&lt;&gt;"Back",E189&lt;&gt;"Lay")),"Completa data / fase / lato",IF(OR(NOT(ISNUMBER(F189)),F189&lt;=1,NOT(ISNUMBER(G189)),G189&lt;=0),"Correggi quota / stake","OK")))))</x:f>
      </x:c>
    </x:row>
    <x:row r="190" ht="22" customHeight="1">
      <x:c r="A190" s="24"/>
      <x:c r="B190" s="24"/>
      <x:c r="C190" s="26"/>
      <x:c r="D190" s="24"/>
      <x:c r="E190" s="24"/>
      <x:c r="F190" s="28"/>
      <x:c r="G190" s="29"/>
      <x:c r="H190" s="24"/>
      <x:c r="I190" s="24"/>
      <x:c r="J190" s="24"/>
      <x:c r="K190" s="24"/>
      <x:c r="L190" s="20" t="str">
        <x:f>IF(Q190&lt;&gt;"OK","",IF(E190="Back",G190*(F190-1),-G190*(F190-1)))</x:f>
      </x:c>
      <x:c r="M190" s="20" t="str">
        <x:f>IF(Q190&lt;&gt;"OK","",IF(E190="Back",-G190,G190))</x:f>
      </x:c>
      <x:c r="N190" s="20" t="str">
        <x:f>IF(Q190&lt;&gt;"OK","",SUMIFS($L$8:$L$1007,$A$8:$A$1007,A190,$B$8:$B$1007,"&lt;="&amp;B190))</x:f>
      </x:c>
      <x:c r="O190" s="20" t="str">
        <x:f>IF(Q190&lt;&gt;"OK","",SUMIFS($M$8:$M$1007,$A$8:$A$1007,A190,$B$8:$B$1007,"&lt;="&amp;B190))</x:f>
      </x:c>
      <x:c r="P190" s="20" t="str">
        <x:f>IF(Q190&lt;&gt;"OK","",MAX(0,-MIN(N190,O190)))</x:f>
      </x:c>
      <x:c r="Q190" s="18" t="str">
        <x:f>IF(A190="",IF(COUNTA(B190:K190)=0,"","Inserisci ID"),IF(COUNTIFS('Diario'!$A$8:$A$507,A190)&lt;&gt;1,"ID assente / duplicato",IF(OR(NOT(ISNUMBER(B190)),B190&lt;1,B190&lt;&gt;INT(B190),COUNTIFS($A$8:$A$1007,A190,$B$8:$B$1007,B190)&lt;&gt;1),"N. esecuzione non valido",IF(OR(NOT(ISNUMBER(C190)),AND(D190&lt;&gt;"Ingresso",D190&lt;&gt;"Uscita"),AND(E190&lt;&gt;"Back",E190&lt;&gt;"Lay")),"Completa data / fase / lato",IF(OR(NOT(ISNUMBER(F190)),F190&lt;=1,NOT(ISNUMBER(G190)),G190&lt;=0),"Correggi quota / stake","OK")))))</x:f>
      </x:c>
    </x:row>
    <x:row r="191" ht="22" customHeight="1">
      <x:c r="A191" s="24"/>
      <x:c r="B191" s="24"/>
      <x:c r="C191" s="26"/>
      <x:c r="D191" s="24"/>
      <x:c r="E191" s="24"/>
      <x:c r="F191" s="28"/>
      <x:c r="G191" s="29"/>
      <x:c r="H191" s="24"/>
      <x:c r="I191" s="24"/>
      <x:c r="J191" s="24"/>
      <x:c r="K191" s="24"/>
      <x:c r="L191" s="20" t="str">
        <x:f>IF(Q191&lt;&gt;"OK","",IF(E191="Back",G191*(F191-1),-G191*(F191-1)))</x:f>
      </x:c>
      <x:c r="M191" s="20" t="str">
        <x:f>IF(Q191&lt;&gt;"OK","",IF(E191="Back",-G191,G191))</x:f>
      </x:c>
      <x:c r="N191" s="20" t="str">
        <x:f>IF(Q191&lt;&gt;"OK","",SUMIFS($L$8:$L$1007,$A$8:$A$1007,A191,$B$8:$B$1007,"&lt;="&amp;B191))</x:f>
      </x:c>
      <x:c r="O191" s="20" t="str">
        <x:f>IF(Q191&lt;&gt;"OK","",SUMIFS($M$8:$M$1007,$A$8:$A$1007,A191,$B$8:$B$1007,"&lt;="&amp;B191))</x:f>
      </x:c>
      <x:c r="P191" s="20" t="str">
        <x:f>IF(Q191&lt;&gt;"OK","",MAX(0,-MIN(N191,O191)))</x:f>
      </x:c>
      <x:c r="Q191" s="18" t="str">
        <x:f>IF(A191="",IF(COUNTA(B191:K191)=0,"","Inserisci ID"),IF(COUNTIFS('Diario'!$A$8:$A$507,A191)&lt;&gt;1,"ID assente / duplicato",IF(OR(NOT(ISNUMBER(B191)),B191&lt;1,B191&lt;&gt;INT(B191),COUNTIFS($A$8:$A$1007,A191,$B$8:$B$1007,B191)&lt;&gt;1),"N. esecuzione non valido",IF(OR(NOT(ISNUMBER(C191)),AND(D191&lt;&gt;"Ingresso",D191&lt;&gt;"Uscita"),AND(E191&lt;&gt;"Back",E191&lt;&gt;"Lay")),"Completa data / fase / lato",IF(OR(NOT(ISNUMBER(F191)),F191&lt;=1,NOT(ISNUMBER(G191)),G191&lt;=0),"Correggi quota / stake","OK")))))</x:f>
      </x:c>
    </x:row>
    <x:row r="192" ht="22" customHeight="1">
      <x:c r="A192" s="24"/>
      <x:c r="B192" s="24"/>
      <x:c r="C192" s="26"/>
      <x:c r="D192" s="24"/>
      <x:c r="E192" s="24"/>
      <x:c r="F192" s="28"/>
      <x:c r="G192" s="29"/>
      <x:c r="H192" s="24"/>
      <x:c r="I192" s="24"/>
      <x:c r="J192" s="24"/>
      <x:c r="K192" s="24"/>
      <x:c r="L192" s="20" t="str">
        <x:f>IF(Q192&lt;&gt;"OK","",IF(E192="Back",G192*(F192-1),-G192*(F192-1)))</x:f>
      </x:c>
      <x:c r="M192" s="20" t="str">
        <x:f>IF(Q192&lt;&gt;"OK","",IF(E192="Back",-G192,G192))</x:f>
      </x:c>
      <x:c r="N192" s="20" t="str">
        <x:f>IF(Q192&lt;&gt;"OK","",SUMIFS($L$8:$L$1007,$A$8:$A$1007,A192,$B$8:$B$1007,"&lt;="&amp;B192))</x:f>
      </x:c>
      <x:c r="O192" s="20" t="str">
        <x:f>IF(Q192&lt;&gt;"OK","",SUMIFS($M$8:$M$1007,$A$8:$A$1007,A192,$B$8:$B$1007,"&lt;="&amp;B192))</x:f>
      </x:c>
      <x:c r="P192" s="20" t="str">
        <x:f>IF(Q192&lt;&gt;"OK","",MAX(0,-MIN(N192,O192)))</x:f>
      </x:c>
      <x:c r="Q192" s="18" t="str">
        <x:f>IF(A192="",IF(COUNTA(B192:K192)=0,"","Inserisci ID"),IF(COUNTIFS('Diario'!$A$8:$A$507,A192)&lt;&gt;1,"ID assente / duplicato",IF(OR(NOT(ISNUMBER(B192)),B192&lt;1,B192&lt;&gt;INT(B192),COUNTIFS($A$8:$A$1007,A192,$B$8:$B$1007,B192)&lt;&gt;1),"N. esecuzione non valido",IF(OR(NOT(ISNUMBER(C192)),AND(D192&lt;&gt;"Ingresso",D192&lt;&gt;"Uscita"),AND(E192&lt;&gt;"Back",E192&lt;&gt;"Lay")),"Completa data / fase / lato",IF(OR(NOT(ISNUMBER(F192)),F192&lt;=1,NOT(ISNUMBER(G192)),G192&lt;=0),"Correggi quota / stake","OK")))))</x:f>
      </x:c>
    </x:row>
    <x:row r="193" ht="22" customHeight="1">
      <x:c r="A193" s="24"/>
      <x:c r="B193" s="24"/>
      <x:c r="C193" s="26"/>
      <x:c r="D193" s="24"/>
      <x:c r="E193" s="24"/>
      <x:c r="F193" s="28"/>
      <x:c r="G193" s="29"/>
      <x:c r="H193" s="24"/>
      <x:c r="I193" s="24"/>
      <x:c r="J193" s="24"/>
      <x:c r="K193" s="24"/>
      <x:c r="L193" s="20" t="str">
        <x:f>IF(Q193&lt;&gt;"OK","",IF(E193="Back",G193*(F193-1),-G193*(F193-1)))</x:f>
      </x:c>
      <x:c r="M193" s="20" t="str">
        <x:f>IF(Q193&lt;&gt;"OK","",IF(E193="Back",-G193,G193))</x:f>
      </x:c>
      <x:c r="N193" s="20" t="str">
        <x:f>IF(Q193&lt;&gt;"OK","",SUMIFS($L$8:$L$1007,$A$8:$A$1007,A193,$B$8:$B$1007,"&lt;="&amp;B193))</x:f>
      </x:c>
      <x:c r="O193" s="20" t="str">
        <x:f>IF(Q193&lt;&gt;"OK","",SUMIFS($M$8:$M$1007,$A$8:$A$1007,A193,$B$8:$B$1007,"&lt;="&amp;B193))</x:f>
      </x:c>
      <x:c r="P193" s="20" t="str">
        <x:f>IF(Q193&lt;&gt;"OK","",MAX(0,-MIN(N193,O193)))</x:f>
      </x:c>
      <x:c r="Q193" s="18" t="str">
        <x:f>IF(A193="",IF(COUNTA(B193:K193)=0,"","Inserisci ID"),IF(COUNTIFS('Diario'!$A$8:$A$507,A193)&lt;&gt;1,"ID assente / duplicato",IF(OR(NOT(ISNUMBER(B193)),B193&lt;1,B193&lt;&gt;INT(B193),COUNTIFS($A$8:$A$1007,A193,$B$8:$B$1007,B193)&lt;&gt;1),"N. esecuzione non valido",IF(OR(NOT(ISNUMBER(C193)),AND(D193&lt;&gt;"Ingresso",D193&lt;&gt;"Uscita"),AND(E193&lt;&gt;"Back",E193&lt;&gt;"Lay")),"Completa data / fase / lato",IF(OR(NOT(ISNUMBER(F193)),F193&lt;=1,NOT(ISNUMBER(G193)),G193&lt;=0),"Correggi quota / stake","OK")))))</x:f>
      </x:c>
    </x:row>
    <x:row r="194" ht="22" customHeight="1">
      <x:c r="A194" s="24"/>
      <x:c r="B194" s="24"/>
      <x:c r="C194" s="26"/>
      <x:c r="D194" s="24"/>
      <x:c r="E194" s="24"/>
      <x:c r="F194" s="28"/>
      <x:c r="G194" s="29"/>
      <x:c r="H194" s="24"/>
      <x:c r="I194" s="24"/>
      <x:c r="J194" s="24"/>
      <x:c r="K194" s="24"/>
      <x:c r="L194" s="20" t="str">
        <x:f>IF(Q194&lt;&gt;"OK","",IF(E194="Back",G194*(F194-1),-G194*(F194-1)))</x:f>
      </x:c>
      <x:c r="M194" s="20" t="str">
        <x:f>IF(Q194&lt;&gt;"OK","",IF(E194="Back",-G194,G194))</x:f>
      </x:c>
      <x:c r="N194" s="20" t="str">
        <x:f>IF(Q194&lt;&gt;"OK","",SUMIFS($L$8:$L$1007,$A$8:$A$1007,A194,$B$8:$B$1007,"&lt;="&amp;B194))</x:f>
      </x:c>
      <x:c r="O194" s="20" t="str">
        <x:f>IF(Q194&lt;&gt;"OK","",SUMIFS($M$8:$M$1007,$A$8:$A$1007,A194,$B$8:$B$1007,"&lt;="&amp;B194))</x:f>
      </x:c>
      <x:c r="P194" s="20" t="str">
        <x:f>IF(Q194&lt;&gt;"OK","",MAX(0,-MIN(N194,O194)))</x:f>
      </x:c>
      <x:c r="Q194" s="18" t="str">
        <x:f>IF(A194="",IF(COUNTA(B194:K194)=0,"","Inserisci ID"),IF(COUNTIFS('Diario'!$A$8:$A$507,A194)&lt;&gt;1,"ID assente / duplicato",IF(OR(NOT(ISNUMBER(B194)),B194&lt;1,B194&lt;&gt;INT(B194),COUNTIFS($A$8:$A$1007,A194,$B$8:$B$1007,B194)&lt;&gt;1),"N. esecuzione non valido",IF(OR(NOT(ISNUMBER(C194)),AND(D194&lt;&gt;"Ingresso",D194&lt;&gt;"Uscita"),AND(E194&lt;&gt;"Back",E194&lt;&gt;"Lay")),"Completa data / fase / lato",IF(OR(NOT(ISNUMBER(F194)),F194&lt;=1,NOT(ISNUMBER(G194)),G194&lt;=0),"Correggi quota / stake","OK")))))</x:f>
      </x:c>
    </x:row>
    <x:row r="195" ht="22" customHeight="1">
      <x:c r="A195" s="24"/>
      <x:c r="B195" s="24"/>
      <x:c r="C195" s="26"/>
      <x:c r="D195" s="24"/>
      <x:c r="E195" s="24"/>
      <x:c r="F195" s="28"/>
      <x:c r="G195" s="29"/>
      <x:c r="H195" s="24"/>
      <x:c r="I195" s="24"/>
      <x:c r="J195" s="24"/>
      <x:c r="K195" s="24"/>
      <x:c r="L195" s="20" t="str">
        <x:f>IF(Q195&lt;&gt;"OK","",IF(E195="Back",G195*(F195-1),-G195*(F195-1)))</x:f>
      </x:c>
      <x:c r="M195" s="20" t="str">
        <x:f>IF(Q195&lt;&gt;"OK","",IF(E195="Back",-G195,G195))</x:f>
      </x:c>
      <x:c r="N195" s="20" t="str">
        <x:f>IF(Q195&lt;&gt;"OK","",SUMIFS($L$8:$L$1007,$A$8:$A$1007,A195,$B$8:$B$1007,"&lt;="&amp;B195))</x:f>
      </x:c>
      <x:c r="O195" s="20" t="str">
        <x:f>IF(Q195&lt;&gt;"OK","",SUMIFS($M$8:$M$1007,$A$8:$A$1007,A195,$B$8:$B$1007,"&lt;="&amp;B195))</x:f>
      </x:c>
      <x:c r="P195" s="20" t="str">
        <x:f>IF(Q195&lt;&gt;"OK","",MAX(0,-MIN(N195,O195)))</x:f>
      </x:c>
      <x:c r="Q195" s="18" t="str">
        <x:f>IF(A195="",IF(COUNTA(B195:K195)=0,"","Inserisci ID"),IF(COUNTIFS('Diario'!$A$8:$A$507,A195)&lt;&gt;1,"ID assente / duplicato",IF(OR(NOT(ISNUMBER(B195)),B195&lt;1,B195&lt;&gt;INT(B195),COUNTIFS($A$8:$A$1007,A195,$B$8:$B$1007,B195)&lt;&gt;1),"N. esecuzione non valido",IF(OR(NOT(ISNUMBER(C195)),AND(D195&lt;&gt;"Ingresso",D195&lt;&gt;"Uscita"),AND(E195&lt;&gt;"Back",E195&lt;&gt;"Lay")),"Completa data / fase / lato",IF(OR(NOT(ISNUMBER(F195)),F195&lt;=1,NOT(ISNUMBER(G195)),G195&lt;=0),"Correggi quota / stake","OK")))))</x:f>
      </x:c>
    </x:row>
    <x:row r="196" ht="22" customHeight="1">
      <x:c r="A196" s="24"/>
      <x:c r="B196" s="24"/>
      <x:c r="C196" s="26"/>
      <x:c r="D196" s="24"/>
      <x:c r="E196" s="24"/>
      <x:c r="F196" s="28"/>
      <x:c r="G196" s="29"/>
      <x:c r="H196" s="24"/>
      <x:c r="I196" s="24"/>
      <x:c r="J196" s="24"/>
      <x:c r="K196" s="24"/>
      <x:c r="L196" s="20" t="str">
        <x:f>IF(Q196&lt;&gt;"OK","",IF(E196="Back",G196*(F196-1),-G196*(F196-1)))</x:f>
      </x:c>
      <x:c r="M196" s="20" t="str">
        <x:f>IF(Q196&lt;&gt;"OK","",IF(E196="Back",-G196,G196))</x:f>
      </x:c>
      <x:c r="N196" s="20" t="str">
        <x:f>IF(Q196&lt;&gt;"OK","",SUMIFS($L$8:$L$1007,$A$8:$A$1007,A196,$B$8:$B$1007,"&lt;="&amp;B196))</x:f>
      </x:c>
      <x:c r="O196" s="20" t="str">
        <x:f>IF(Q196&lt;&gt;"OK","",SUMIFS($M$8:$M$1007,$A$8:$A$1007,A196,$B$8:$B$1007,"&lt;="&amp;B196))</x:f>
      </x:c>
      <x:c r="P196" s="20" t="str">
        <x:f>IF(Q196&lt;&gt;"OK","",MAX(0,-MIN(N196,O196)))</x:f>
      </x:c>
      <x:c r="Q196" s="18" t="str">
        <x:f>IF(A196="",IF(COUNTA(B196:K196)=0,"","Inserisci ID"),IF(COUNTIFS('Diario'!$A$8:$A$507,A196)&lt;&gt;1,"ID assente / duplicato",IF(OR(NOT(ISNUMBER(B196)),B196&lt;1,B196&lt;&gt;INT(B196),COUNTIFS($A$8:$A$1007,A196,$B$8:$B$1007,B196)&lt;&gt;1),"N. esecuzione non valido",IF(OR(NOT(ISNUMBER(C196)),AND(D196&lt;&gt;"Ingresso",D196&lt;&gt;"Uscita"),AND(E196&lt;&gt;"Back",E196&lt;&gt;"Lay")),"Completa data / fase / lato",IF(OR(NOT(ISNUMBER(F196)),F196&lt;=1,NOT(ISNUMBER(G196)),G196&lt;=0),"Correggi quota / stake","OK")))))</x:f>
      </x:c>
    </x:row>
    <x:row r="197" ht="22" customHeight="1">
      <x:c r="A197" s="24"/>
      <x:c r="B197" s="24"/>
      <x:c r="C197" s="26"/>
      <x:c r="D197" s="24"/>
      <x:c r="E197" s="24"/>
      <x:c r="F197" s="28"/>
      <x:c r="G197" s="29"/>
      <x:c r="H197" s="24"/>
      <x:c r="I197" s="24"/>
      <x:c r="J197" s="24"/>
      <x:c r="K197" s="24"/>
      <x:c r="L197" s="20" t="str">
        <x:f>IF(Q197&lt;&gt;"OK","",IF(E197="Back",G197*(F197-1),-G197*(F197-1)))</x:f>
      </x:c>
      <x:c r="M197" s="20" t="str">
        <x:f>IF(Q197&lt;&gt;"OK","",IF(E197="Back",-G197,G197))</x:f>
      </x:c>
      <x:c r="N197" s="20" t="str">
        <x:f>IF(Q197&lt;&gt;"OK","",SUMIFS($L$8:$L$1007,$A$8:$A$1007,A197,$B$8:$B$1007,"&lt;="&amp;B197))</x:f>
      </x:c>
      <x:c r="O197" s="20" t="str">
        <x:f>IF(Q197&lt;&gt;"OK","",SUMIFS($M$8:$M$1007,$A$8:$A$1007,A197,$B$8:$B$1007,"&lt;="&amp;B197))</x:f>
      </x:c>
      <x:c r="P197" s="20" t="str">
        <x:f>IF(Q197&lt;&gt;"OK","",MAX(0,-MIN(N197,O197)))</x:f>
      </x:c>
      <x:c r="Q197" s="18" t="str">
        <x:f>IF(A197="",IF(COUNTA(B197:K197)=0,"","Inserisci ID"),IF(COUNTIFS('Diario'!$A$8:$A$507,A197)&lt;&gt;1,"ID assente / duplicato",IF(OR(NOT(ISNUMBER(B197)),B197&lt;1,B197&lt;&gt;INT(B197),COUNTIFS($A$8:$A$1007,A197,$B$8:$B$1007,B197)&lt;&gt;1),"N. esecuzione non valido",IF(OR(NOT(ISNUMBER(C197)),AND(D197&lt;&gt;"Ingresso",D197&lt;&gt;"Uscita"),AND(E197&lt;&gt;"Back",E197&lt;&gt;"Lay")),"Completa data / fase / lato",IF(OR(NOT(ISNUMBER(F197)),F197&lt;=1,NOT(ISNUMBER(G197)),G197&lt;=0),"Correggi quota / stake","OK")))))</x:f>
      </x:c>
    </x:row>
    <x:row r="198" ht="22" customHeight="1">
      <x:c r="A198" s="24"/>
      <x:c r="B198" s="24"/>
      <x:c r="C198" s="26"/>
      <x:c r="D198" s="24"/>
      <x:c r="E198" s="24"/>
      <x:c r="F198" s="28"/>
      <x:c r="G198" s="29"/>
      <x:c r="H198" s="24"/>
      <x:c r="I198" s="24"/>
      <x:c r="J198" s="24"/>
      <x:c r="K198" s="24"/>
      <x:c r="L198" s="20" t="str">
        <x:f>IF(Q198&lt;&gt;"OK","",IF(E198="Back",G198*(F198-1),-G198*(F198-1)))</x:f>
      </x:c>
      <x:c r="M198" s="20" t="str">
        <x:f>IF(Q198&lt;&gt;"OK","",IF(E198="Back",-G198,G198))</x:f>
      </x:c>
      <x:c r="N198" s="20" t="str">
        <x:f>IF(Q198&lt;&gt;"OK","",SUMIFS($L$8:$L$1007,$A$8:$A$1007,A198,$B$8:$B$1007,"&lt;="&amp;B198))</x:f>
      </x:c>
      <x:c r="O198" s="20" t="str">
        <x:f>IF(Q198&lt;&gt;"OK","",SUMIFS($M$8:$M$1007,$A$8:$A$1007,A198,$B$8:$B$1007,"&lt;="&amp;B198))</x:f>
      </x:c>
      <x:c r="P198" s="20" t="str">
        <x:f>IF(Q198&lt;&gt;"OK","",MAX(0,-MIN(N198,O198)))</x:f>
      </x:c>
      <x:c r="Q198" s="18" t="str">
        <x:f>IF(A198="",IF(COUNTA(B198:K198)=0,"","Inserisci ID"),IF(COUNTIFS('Diario'!$A$8:$A$507,A198)&lt;&gt;1,"ID assente / duplicato",IF(OR(NOT(ISNUMBER(B198)),B198&lt;1,B198&lt;&gt;INT(B198),COUNTIFS($A$8:$A$1007,A198,$B$8:$B$1007,B198)&lt;&gt;1),"N. esecuzione non valido",IF(OR(NOT(ISNUMBER(C198)),AND(D198&lt;&gt;"Ingresso",D198&lt;&gt;"Uscita"),AND(E198&lt;&gt;"Back",E198&lt;&gt;"Lay")),"Completa data / fase / lato",IF(OR(NOT(ISNUMBER(F198)),F198&lt;=1,NOT(ISNUMBER(G198)),G198&lt;=0),"Correggi quota / stake","OK")))))</x:f>
      </x:c>
    </x:row>
    <x:row r="199" ht="22" customHeight="1">
      <x:c r="A199" s="24"/>
      <x:c r="B199" s="24"/>
      <x:c r="C199" s="26"/>
      <x:c r="D199" s="24"/>
      <x:c r="E199" s="24"/>
      <x:c r="F199" s="28"/>
      <x:c r="G199" s="29"/>
      <x:c r="H199" s="24"/>
      <x:c r="I199" s="24"/>
      <x:c r="J199" s="24"/>
      <x:c r="K199" s="24"/>
      <x:c r="L199" s="20" t="str">
        <x:f>IF(Q199&lt;&gt;"OK","",IF(E199="Back",G199*(F199-1),-G199*(F199-1)))</x:f>
      </x:c>
      <x:c r="M199" s="20" t="str">
        <x:f>IF(Q199&lt;&gt;"OK","",IF(E199="Back",-G199,G199))</x:f>
      </x:c>
      <x:c r="N199" s="20" t="str">
        <x:f>IF(Q199&lt;&gt;"OK","",SUMIFS($L$8:$L$1007,$A$8:$A$1007,A199,$B$8:$B$1007,"&lt;="&amp;B199))</x:f>
      </x:c>
      <x:c r="O199" s="20" t="str">
        <x:f>IF(Q199&lt;&gt;"OK","",SUMIFS($M$8:$M$1007,$A$8:$A$1007,A199,$B$8:$B$1007,"&lt;="&amp;B199))</x:f>
      </x:c>
      <x:c r="P199" s="20" t="str">
        <x:f>IF(Q199&lt;&gt;"OK","",MAX(0,-MIN(N199,O199)))</x:f>
      </x:c>
      <x:c r="Q199" s="18" t="str">
        <x:f>IF(A199="",IF(COUNTA(B199:K199)=0,"","Inserisci ID"),IF(COUNTIFS('Diario'!$A$8:$A$507,A199)&lt;&gt;1,"ID assente / duplicato",IF(OR(NOT(ISNUMBER(B199)),B199&lt;1,B199&lt;&gt;INT(B199),COUNTIFS($A$8:$A$1007,A199,$B$8:$B$1007,B199)&lt;&gt;1),"N. esecuzione non valido",IF(OR(NOT(ISNUMBER(C199)),AND(D199&lt;&gt;"Ingresso",D199&lt;&gt;"Uscita"),AND(E199&lt;&gt;"Back",E199&lt;&gt;"Lay")),"Completa data / fase / lato",IF(OR(NOT(ISNUMBER(F199)),F199&lt;=1,NOT(ISNUMBER(G199)),G199&lt;=0),"Correggi quota / stake","OK")))))</x:f>
      </x:c>
    </x:row>
    <x:row r="200" ht="22" customHeight="1">
      <x:c r="A200" s="24"/>
      <x:c r="B200" s="24"/>
      <x:c r="C200" s="26"/>
      <x:c r="D200" s="24"/>
      <x:c r="E200" s="24"/>
      <x:c r="F200" s="28"/>
      <x:c r="G200" s="29"/>
      <x:c r="H200" s="24"/>
      <x:c r="I200" s="24"/>
      <x:c r="J200" s="24"/>
      <x:c r="K200" s="24"/>
      <x:c r="L200" s="20" t="str">
        <x:f>IF(Q200&lt;&gt;"OK","",IF(E200="Back",G200*(F200-1),-G200*(F200-1)))</x:f>
      </x:c>
      <x:c r="M200" s="20" t="str">
        <x:f>IF(Q200&lt;&gt;"OK","",IF(E200="Back",-G200,G200))</x:f>
      </x:c>
      <x:c r="N200" s="20" t="str">
        <x:f>IF(Q200&lt;&gt;"OK","",SUMIFS($L$8:$L$1007,$A$8:$A$1007,A200,$B$8:$B$1007,"&lt;="&amp;B200))</x:f>
      </x:c>
      <x:c r="O200" s="20" t="str">
        <x:f>IF(Q200&lt;&gt;"OK","",SUMIFS($M$8:$M$1007,$A$8:$A$1007,A200,$B$8:$B$1007,"&lt;="&amp;B200))</x:f>
      </x:c>
      <x:c r="P200" s="20" t="str">
        <x:f>IF(Q200&lt;&gt;"OK","",MAX(0,-MIN(N200,O200)))</x:f>
      </x:c>
      <x:c r="Q200" s="18" t="str">
        <x:f>IF(A200="",IF(COUNTA(B200:K200)=0,"","Inserisci ID"),IF(COUNTIFS('Diario'!$A$8:$A$507,A200)&lt;&gt;1,"ID assente / duplicato",IF(OR(NOT(ISNUMBER(B200)),B200&lt;1,B200&lt;&gt;INT(B200),COUNTIFS($A$8:$A$1007,A200,$B$8:$B$1007,B200)&lt;&gt;1),"N. esecuzione non valido",IF(OR(NOT(ISNUMBER(C200)),AND(D200&lt;&gt;"Ingresso",D200&lt;&gt;"Uscita"),AND(E200&lt;&gt;"Back",E200&lt;&gt;"Lay")),"Completa data / fase / lato",IF(OR(NOT(ISNUMBER(F200)),F200&lt;=1,NOT(ISNUMBER(G200)),G200&lt;=0),"Correggi quota / stake","OK")))))</x:f>
      </x:c>
    </x:row>
    <x:row r="201" ht="22" customHeight="1">
      <x:c r="A201" s="24"/>
      <x:c r="B201" s="24"/>
      <x:c r="C201" s="26"/>
      <x:c r="D201" s="24"/>
      <x:c r="E201" s="24"/>
      <x:c r="F201" s="28"/>
      <x:c r="G201" s="29"/>
      <x:c r="H201" s="24"/>
      <x:c r="I201" s="24"/>
      <x:c r="J201" s="24"/>
      <x:c r="K201" s="24"/>
      <x:c r="L201" s="20" t="str">
        <x:f>IF(Q201&lt;&gt;"OK","",IF(E201="Back",G201*(F201-1),-G201*(F201-1)))</x:f>
      </x:c>
      <x:c r="M201" s="20" t="str">
        <x:f>IF(Q201&lt;&gt;"OK","",IF(E201="Back",-G201,G201))</x:f>
      </x:c>
      <x:c r="N201" s="20" t="str">
        <x:f>IF(Q201&lt;&gt;"OK","",SUMIFS($L$8:$L$1007,$A$8:$A$1007,A201,$B$8:$B$1007,"&lt;="&amp;B201))</x:f>
      </x:c>
      <x:c r="O201" s="20" t="str">
        <x:f>IF(Q201&lt;&gt;"OK","",SUMIFS($M$8:$M$1007,$A$8:$A$1007,A201,$B$8:$B$1007,"&lt;="&amp;B201))</x:f>
      </x:c>
      <x:c r="P201" s="20" t="str">
        <x:f>IF(Q201&lt;&gt;"OK","",MAX(0,-MIN(N201,O201)))</x:f>
      </x:c>
      <x:c r="Q201" s="18" t="str">
        <x:f>IF(A201="",IF(COUNTA(B201:K201)=0,"","Inserisci ID"),IF(COUNTIFS('Diario'!$A$8:$A$507,A201)&lt;&gt;1,"ID assente / duplicato",IF(OR(NOT(ISNUMBER(B201)),B201&lt;1,B201&lt;&gt;INT(B201),COUNTIFS($A$8:$A$1007,A201,$B$8:$B$1007,B201)&lt;&gt;1),"N. esecuzione non valido",IF(OR(NOT(ISNUMBER(C201)),AND(D201&lt;&gt;"Ingresso",D201&lt;&gt;"Uscita"),AND(E201&lt;&gt;"Back",E201&lt;&gt;"Lay")),"Completa data / fase / lato",IF(OR(NOT(ISNUMBER(F201)),F201&lt;=1,NOT(ISNUMBER(G201)),G201&lt;=0),"Correggi quota / stake","OK")))))</x:f>
      </x:c>
    </x:row>
    <x:row r="202" ht="22" customHeight="1">
      <x:c r="A202" s="24"/>
      <x:c r="B202" s="24"/>
      <x:c r="C202" s="26"/>
      <x:c r="D202" s="24"/>
      <x:c r="E202" s="24"/>
      <x:c r="F202" s="28"/>
      <x:c r="G202" s="29"/>
      <x:c r="H202" s="24"/>
      <x:c r="I202" s="24"/>
      <x:c r="J202" s="24"/>
      <x:c r="K202" s="24"/>
      <x:c r="L202" s="20" t="str">
        <x:f>IF(Q202&lt;&gt;"OK","",IF(E202="Back",G202*(F202-1),-G202*(F202-1)))</x:f>
      </x:c>
      <x:c r="M202" s="20" t="str">
        <x:f>IF(Q202&lt;&gt;"OK","",IF(E202="Back",-G202,G202))</x:f>
      </x:c>
      <x:c r="N202" s="20" t="str">
        <x:f>IF(Q202&lt;&gt;"OK","",SUMIFS($L$8:$L$1007,$A$8:$A$1007,A202,$B$8:$B$1007,"&lt;="&amp;B202))</x:f>
      </x:c>
      <x:c r="O202" s="20" t="str">
        <x:f>IF(Q202&lt;&gt;"OK","",SUMIFS($M$8:$M$1007,$A$8:$A$1007,A202,$B$8:$B$1007,"&lt;="&amp;B202))</x:f>
      </x:c>
      <x:c r="P202" s="20" t="str">
        <x:f>IF(Q202&lt;&gt;"OK","",MAX(0,-MIN(N202,O202)))</x:f>
      </x:c>
      <x:c r="Q202" s="18" t="str">
        <x:f>IF(A202="",IF(COUNTA(B202:K202)=0,"","Inserisci ID"),IF(COUNTIFS('Diario'!$A$8:$A$507,A202)&lt;&gt;1,"ID assente / duplicato",IF(OR(NOT(ISNUMBER(B202)),B202&lt;1,B202&lt;&gt;INT(B202),COUNTIFS($A$8:$A$1007,A202,$B$8:$B$1007,B202)&lt;&gt;1),"N. esecuzione non valido",IF(OR(NOT(ISNUMBER(C202)),AND(D202&lt;&gt;"Ingresso",D202&lt;&gt;"Uscita"),AND(E202&lt;&gt;"Back",E202&lt;&gt;"Lay")),"Completa data / fase / lato",IF(OR(NOT(ISNUMBER(F202)),F202&lt;=1,NOT(ISNUMBER(G202)),G202&lt;=0),"Correggi quota / stake","OK")))))</x:f>
      </x:c>
    </x:row>
    <x:row r="203" ht="22" customHeight="1">
      <x:c r="A203" s="24"/>
      <x:c r="B203" s="24"/>
      <x:c r="C203" s="26"/>
      <x:c r="D203" s="24"/>
      <x:c r="E203" s="24"/>
      <x:c r="F203" s="28"/>
      <x:c r="G203" s="29"/>
      <x:c r="H203" s="24"/>
      <x:c r="I203" s="24"/>
      <x:c r="J203" s="24"/>
      <x:c r="K203" s="24"/>
      <x:c r="L203" s="20" t="str">
        <x:f>IF(Q203&lt;&gt;"OK","",IF(E203="Back",G203*(F203-1),-G203*(F203-1)))</x:f>
      </x:c>
      <x:c r="M203" s="20" t="str">
        <x:f>IF(Q203&lt;&gt;"OK","",IF(E203="Back",-G203,G203))</x:f>
      </x:c>
      <x:c r="N203" s="20" t="str">
        <x:f>IF(Q203&lt;&gt;"OK","",SUMIFS($L$8:$L$1007,$A$8:$A$1007,A203,$B$8:$B$1007,"&lt;="&amp;B203))</x:f>
      </x:c>
      <x:c r="O203" s="20" t="str">
        <x:f>IF(Q203&lt;&gt;"OK","",SUMIFS($M$8:$M$1007,$A$8:$A$1007,A203,$B$8:$B$1007,"&lt;="&amp;B203))</x:f>
      </x:c>
      <x:c r="P203" s="20" t="str">
        <x:f>IF(Q203&lt;&gt;"OK","",MAX(0,-MIN(N203,O203)))</x:f>
      </x:c>
      <x:c r="Q203" s="18" t="str">
        <x:f>IF(A203="",IF(COUNTA(B203:K203)=0,"","Inserisci ID"),IF(COUNTIFS('Diario'!$A$8:$A$507,A203)&lt;&gt;1,"ID assente / duplicato",IF(OR(NOT(ISNUMBER(B203)),B203&lt;1,B203&lt;&gt;INT(B203),COUNTIFS($A$8:$A$1007,A203,$B$8:$B$1007,B203)&lt;&gt;1),"N. esecuzione non valido",IF(OR(NOT(ISNUMBER(C203)),AND(D203&lt;&gt;"Ingresso",D203&lt;&gt;"Uscita"),AND(E203&lt;&gt;"Back",E203&lt;&gt;"Lay")),"Completa data / fase / lato",IF(OR(NOT(ISNUMBER(F203)),F203&lt;=1,NOT(ISNUMBER(G203)),G203&lt;=0),"Correggi quota / stake","OK")))))</x:f>
      </x:c>
    </x:row>
    <x:row r="204" ht="22" customHeight="1">
      <x:c r="A204" s="24"/>
      <x:c r="B204" s="24"/>
      <x:c r="C204" s="26"/>
      <x:c r="D204" s="24"/>
      <x:c r="E204" s="24"/>
      <x:c r="F204" s="28"/>
      <x:c r="G204" s="29"/>
      <x:c r="H204" s="24"/>
      <x:c r="I204" s="24"/>
      <x:c r="J204" s="24"/>
      <x:c r="K204" s="24"/>
      <x:c r="L204" s="20" t="str">
        <x:f>IF(Q204&lt;&gt;"OK","",IF(E204="Back",G204*(F204-1),-G204*(F204-1)))</x:f>
      </x:c>
      <x:c r="M204" s="20" t="str">
        <x:f>IF(Q204&lt;&gt;"OK","",IF(E204="Back",-G204,G204))</x:f>
      </x:c>
      <x:c r="N204" s="20" t="str">
        <x:f>IF(Q204&lt;&gt;"OK","",SUMIFS($L$8:$L$1007,$A$8:$A$1007,A204,$B$8:$B$1007,"&lt;="&amp;B204))</x:f>
      </x:c>
      <x:c r="O204" s="20" t="str">
        <x:f>IF(Q204&lt;&gt;"OK","",SUMIFS($M$8:$M$1007,$A$8:$A$1007,A204,$B$8:$B$1007,"&lt;="&amp;B204))</x:f>
      </x:c>
      <x:c r="P204" s="20" t="str">
        <x:f>IF(Q204&lt;&gt;"OK","",MAX(0,-MIN(N204,O204)))</x:f>
      </x:c>
      <x:c r="Q204" s="18" t="str">
        <x:f>IF(A204="",IF(COUNTA(B204:K204)=0,"","Inserisci ID"),IF(COUNTIFS('Diario'!$A$8:$A$507,A204)&lt;&gt;1,"ID assente / duplicato",IF(OR(NOT(ISNUMBER(B204)),B204&lt;1,B204&lt;&gt;INT(B204),COUNTIFS($A$8:$A$1007,A204,$B$8:$B$1007,B204)&lt;&gt;1),"N. esecuzione non valido",IF(OR(NOT(ISNUMBER(C204)),AND(D204&lt;&gt;"Ingresso",D204&lt;&gt;"Uscita"),AND(E204&lt;&gt;"Back",E204&lt;&gt;"Lay")),"Completa data / fase / lato",IF(OR(NOT(ISNUMBER(F204)),F204&lt;=1,NOT(ISNUMBER(G204)),G204&lt;=0),"Correggi quota / stake","OK")))))</x:f>
      </x:c>
    </x:row>
    <x:row r="205" ht="22" customHeight="1">
      <x:c r="A205" s="24"/>
      <x:c r="B205" s="24"/>
      <x:c r="C205" s="26"/>
      <x:c r="D205" s="24"/>
      <x:c r="E205" s="24"/>
      <x:c r="F205" s="28"/>
      <x:c r="G205" s="29"/>
      <x:c r="H205" s="24"/>
      <x:c r="I205" s="24"/>
      <x:c r="J205" s="24"/>
      <x:c r="K205" s="24"/>
      <x:c r="L205" s="20" t="str">
        <x:f>IF(Q205&lt;&gt;"OK","",IF(E205="Back",G205*(F205-1),-G205*(F205-1)))</x:f>
      </x:c>
      <x:c r="M205" s="20" t="str">
        <x:f>IF(Q205&lt;&gt;"OK","",IF(E205="Back",-G205,G205))</x:f>
      </x:c>
      <x:c r="N205" s="20" t="str">
        <x:f>IF(Q205&lt;&gt;"OK","",SUMIFS($L$8:$L$1007,$A$8:$A$1007,A205,$B$8:$B$1007,"&lt;="&amp;B205))</x:f>
      </x:c>
      <x:c r="O205" s="20" t="str">
        <x:f>IF(Q205&lt;&gt;"OK","",SUMIFS($M$8:$M$1007,$A$8:$A$1007,A205,$B$8:$B$1007,"&lt;="&amp;B205))</x:f>
      </x:c>
      <x:c r="P205" s="20" t="str">
        <x:f>IF(Q205&lt;&gt;"OK","",MAX(0,-MIN(N205,O205)))</x:f>
      </x:c>
      <x:c r="Q205" s="18" t="str">
        <x:f>IF(A205="",IF(COUNTA(B205:K205)=0,"","Inserisci ID"),IF(COUNTIFS('Diario'!$A$8:$A$507,A205)&lt;&gt;1,"ID assente / duplicato",IF(OR(NOT(ISNUMBER(B205)),B205&lt;1,B205&lt;&gt;INT(B205),COUNTIFS($A$8:$A$1007,A205,$B$8:$B$1007,B205)&lt;&gt;1),"N. esecuzione non valido",IF(OR(NOT(ISNUMBER(C205)),AND(D205&lt;&gt;"Ingresso",D205&lt;&gt;"Uscita"),AND(E205&lt;&gt;"Back",E205&lt;&gt;"Lay")),"Completa data / fase / lato",IF(OR(NOT(ISNUMBER(F205)),F205&lt;=1,NOT(ISNUMBER(G205)),G205&lt;=0),"Correggi quota / stake","OK")))))</x:f>
      </x:c>
    </x:row>
    <x:row r="206" ht="22" customHeight="1">
      <x:c r="A206" s="24"/>
      <x:c r="B206" s="24"/>
      <x:c r="C206" s="26"/>
      <x:c r="D206" s="24"/>
      <x:c r="E206" s="24"/>
      <x:c r="F206" s="28"/>
      <x:c r="G206" s="29"/>
      <x:c r="H206" s="24"/>
      <x:c r="I206" s="24"/>
      <x:c r="J206" s="24"/>
      <x:c r="K206" s="24"/>
      <x:c r="L206" s="20" t="str">
        <x:f>IF(Q206&lt;&gt;"OK","",IF(E206="Back",G206*(F206-1),-G206*(F206-1)))</x:f>
      </x:c>
      <x:c r="M206" s="20" t="str">
        <x:f>IF(Q206&lt;&gt;"OK","",IF(E206="Back",-G206,G206))</x:f>
      </x:c>
      <x:c r="N206" s="20" t="str">
        <x:f>IF(Q206&lt;&gt;"OK","",SUMIFS($L$8:$L$1007,$A$8:$A$1007,A206,$B$8:$B$1007,"&lt;="&amp;B206))</x:f>
      </x:c>
      <x:c r="O206" s="20" t="str">
        <x:f>IF(Q206&lt;&gt;"OK","",SUMIFS($M$8:$M$1007,$A$8:$A$1007,A206,$B$8:$B$1007,"&lt;="&amp;B206))</x:f>
      </x:c>
      <x:c r="P206" s="20" t="str">
        <x:f>IF(Q206&lt;&gt;"OK","",MAX(0,-MIN(N206,O206)))</x:f>
      </x:c>
      <x:c r="Q206" s="18" t="str">
        <x:f>IF(A206="",IF(COUNTA(B206:K206)=0,"","Inserisci ID"),IF(COUNTIFS('Diario'!$A$8:$A$507,A206)&lt;&gt;1,"ID assente / duplicato",IF(OR(NOT(ISNUMBER(B206)),B206&lt;1,B206&lt;&gt;INT(B206),COUNTIFS($A$8:$A$1007,A206,$B$8:$B$1007,B206)&lt;&gt;1),"N. esecuzione non valido",IF(OR(NOT(ISNUMBER(C206)),AND(D206&lt;&gt;"Ingresso",D206&lt;&gt;"Uscita"),AND(E206&lt;&gt;"Back",E206&lt;&gt;"Lay")),"Completa data / fase / lato",IF(OR(NOT(ISNUMBER(F206)),F206&lt;=1,NOT(ISNUMBER(G206)),G206&lt;=0),"Correggi quota / stake","OK")))))</x:f>
      </x:c>
    </x:row>
    <x:row r="207" ht="22" customHeight="1">
      <x:c r="A207" s="24"/>
      <x:c r="B207" s="24"/>
      <x:c r="C207" s="26"/>
      <x:c r="D207" s="24"/>
      <x:c r="E207" s="24"/>
      <x:c r="F207" s="28"/>
      <x:c r="G207" s="29"/>
      <x:c r="H207" s="24"/>
      <x:c r="I207" s="24"/>
      <x:c r="J207" s="24"/>
      <x:c r="K207" s="24"/>
      <x:c r="L207" s="20" t="str">
        <x:f>IF(Q207&lt;&gt;"OK","",IF(E207="Back",G207*(F207-1),-G207*(F207-1)))</x:f>
      </x:c>
      <x:c r="M207" s="20" t="str">
        <x:f>IF(Q207&lt;&gt;"OK","",IF(E207="Back",-G207,G207))</x:f>
      </x:c>
      <x:c r="N207" s="20" t="str">
        <x:f>IF(Q207&lt;&gt;"OK","",SUMIFS($L$8:$L$1007,$A$8:$A$1007,A207,$B$8:$B$1007,"&lt;="&amp;B207))</x:f>
      </x:c>
      <x:c r="O207" s="20" t="str">
        <x:f>IF(Q207&lt;&gt;"OK","",SUMIFS($M$8:$M$1007,$A$8:$A$1007,A207,$B$8:$B$1007,"&lt;="&amp;B207))</x:f>
      </x:c>
      <x:c r="P207" s="20" t="str">
        <x:f>IF(Q207&lt;&gt;"OK","",MAX(0,-MIN(N207,O207)))</x:f>
      </x:c>
      <x:c r="Q207" s="18" t="str">
        <x:f>IF(A207="",IF(COUNTA(B207:K207)=0,"","Inserisci ID"),IF(COUNTIFS('Diario'!$A$8:$A$507,A207)&lt;&gt;1,"ID assente / duplicato",IF(OR(NOT(ISNUMBER(B207)),B207&lt;1,B207&lt;&gt;INT(B207),COUNTIFS($A$8:$A$1007,A207,$B$8:$B$1007,B207)&lt;&gt;1),"N. esecuzione non valido",IF(OR(NOT(ISNUMBER(C207)),AND(D207&lt;&gt;"Ingresso",D207&lt;&gt;"Uscita"),AND(E207&lt;&gt;"Back",E207&lt;&gt;"Lay")),"Completa data / fase / lato",IF(OR(NOT(ISNUMBER(F207)),F207&lt;=1,NOT(ISNUMBER(G207)),G207&lt;=0),"Correggi quota / stake","OK")))))</x:f>
      </x:c>
    </x:row>
    <x:row r="208" ht="22" customHeight="1">
      <x:c r="A208" s="24"/>
      <x:c r="B208" s="24"/>
      <x:c r="C208" s="26"/>
      <x:c r="D208" s="24"/>
      <x:c r="E208" s="24"/>
      <x:c r="F208" s="28"/>
      <x:c r="G208" s="29"/>
      <x:c r="H208" s="24"/>
      <x:c r="I208" s="24"/>
      <x:c r="J208" s="24"/>
      <x:c r="K208" s="24"/>
      <x:c r="L208" s="20" t="str">
        <x:f>IF(Q208&lt;&gt;"OK","",IF(E208="Back",G208*(F208-1),-G208*(F208-1)))</x:f>
      </x:c>
      <x:c r="M208" s="20" t="str">
        <x:f>IF(Q208&lt;&gt;"OK","",IF(E208="Back",-G208,G208))</x:f>
      </x:c>
      <x:c r="N208" s="20" t="str">
        <x:f>IF(Q208&lt;&gt;"OK","",SUMIFS($L$8:$L$1007,$A$8:$A$1007,A208,$B$8:$B$1007,"&lt;="&amp;B208))</x:f>
      </x:c>
      <x:c r="O208" s="20" t="str">
        <x:f>IF(Q208&lt;&gt;"OK","",SUMIFS($M$8:$M$1007,$A$8:$A$1007,A208,$B$8:$B$1007,"&lt;="&amp;B208))</x:f>
      </x:c>
      <x:c r="P208" s="20" t="str">
        <x:f>IF(Q208&lt;&gt;"OK","",MAX(0,-MIN(N208,O208)))</x:f>
      </x:c>
      <x:c r="Q208" s="18" t="str">
        <x:f>IF(A208="",IF(COUNTA(B208:K208)=0,"","Inserisci ID"),IF(COUNTIFS('Diario'!$A$8:$A$507,A208)&lt;&gt;1,"ID assente / duplicato",IF(OR(NOT(ISNUMBER(B208)),B208&lt;1,B208&lt;&gt;INT(B208),COUNTIFS($A$8:$A$1007,A208,$B$8:$B$1007,B208)&lt;&gt;1),"N. esecuzione non valido",IF(OR(NOT(ISNUMBER(C208)),AND(D208&lt;&gt;"Ingresso",D208&lt;&gt;"Uscita"),AND(E208&lt;&gt;"Back",E208&lt;&gt;"Lay")),"Completa data / fase / lato",IF(OR(NOT(ISNUMBER(F208)),F208&lt;=1,NOT(ISNUMBER(G208)),G208&lt;=0),"Correggi quota / stake","OK")))))</x:f>
      </x:c>
    </x:row>
    <x:row r="209" ht="22" customHeight="1">
      <x:c r="A209" s="24"/>
      <x:c r="B209" s="24"/>
      <x:c r="C209" s="26"/>
      <x:c r="D209" s="24"/>
      <x:c r="E209" s="24"/>
      <x:c r="F209" s="28"/>
      <x:c r="G209" s="29"/>
      <x:c r="H209" s="24"/>
      <x:c r="I209" s="24"/>
      <x:c r="J209" s="24"/>
      <x:c r="K209" s="24"/>
      <x:c r="L209" s="20" t="str">
        <x:f>IF(Q209&lt;&gt;"OK","",IF(E209="Back",G209*(F209-1),-G209*(F209-1)))</x:f>
      </x:c>
      <x:c r="M209" s="20" t="str">
        <x:f>IF(Q209&lt;&gt;"OK","",IF(E209="Back",-G209,G209))</x:f>
      </x:c>
      <x:c r="N209" s="20" t="str">
        <x:f>IF(Q209&lt;&gt;"OK","",SUMIFS($L$8:$L$1007,$A$8:$A$1007,A209,$B$8:$B$1007,"&lt;="&amp;B209))</x:f>
      </x:c>
      <x:c r="O209" s="20" t="str">
        <x:f>IF(Q209&lt;&gt;"OK","",SUMIFS($M$8:$M$1007,$A$8:$A$1007,A209,$B$8:$B$1007,"&lt;="&amp;B209))</x:f>
      </x:c>
      <x:c r="P209" s="20" t="str">
        <x:f>IF(Q209&lt;&gt;"OK","",MAX(0,-MIN(N209,O209)))</x:f>
      </x:c>
      <x:c r="Q209" s="18" t="str">
        <x:f>IF(A209="",IF(COUNTA(B209:K209)=0,"","Inserisci ID"),IF(COUNTIFS('Diario'!$A$8:$A$507,A209)&lt;&gt;1,"ID assente / duplicato",IF(OR(NOT(ISNUMBER(B209)),B209&lt;1,B209&lt;&gt;INT(B209),COUNTIFS($A$8:$A$1007,A209,$B$8:$B$1007,B209)&lt;&gt;1),"N. esecuzione non valido",IF(OR(NOT(ISNUMBER(C209)),AND(D209&lt;&gt;"Ingresso",D209&lt;&gt;"Uscita"),AND(E209&lt;&gt;"Back",E209&lt;&gt;"Lay")),"Completa data / fase / lato",IF(OR(NOT(ISNUMBER(F209)),F209&lt;=1,NOT(ISNUMBER(G209)),G209&lt;=0),"Correggi quota / stake","OK")))))</x:f>
      </x:c>
    </x:row>
    <x:row r="210" ht="22" customHeight="1">
      <x:c r="A210" s="24"/>
      <x:c r="B210" s="24"/>
      <x:c r="C210" s="26"/>
      <x:c r="D210" s="24"/>
      <x:c r="E210" s="24"/>
      <x:c r="F210" s="28"/>
      <x:c r="G210" s="29"/>
      <x:c r="H210" s="24"/>
      <x:c r="I210" s="24"/>
      <x:c r="J210" s="24"/>
      <x:c r="K210" s="24"/>
      <x:c r="L210" s="20" t="str">
        <x:f>IF(Q210&lt;&gt;"OK","",IF(E210="Back",G210*(F210-1),-G210*(F210-1)))</x:f>
      </x:c>
      <x:c r="M210" s="20" t="str">
        <x:f>IF(Q210&lt;&gt;"OK","",IF(E210="Back",-G210,G210))</x:f>
      </x:c>
      <x:c r="N210" s="20" t="str">
        <x:f>IF(Q210&lt;&gt;"OK","",SUMIFS($L$8:$L$1007,$A$8:$A$1007,A210,$B$8:$B$1007,"&lt;="&amp;B210))</x:f>
      </x:c>
      <x:c r="O210" s="20" t="str">
        <x:f>IF(Q210&lt;&gt;"OK","",SUMIFS($M$8:$M$1007,$A$8:$A$1007,A210,$B$8:$B$1007,"&lt;="&amp;B210))</x:f>
      </x:c>
      <x:c r="P210" s="20" t="str">
        <x:f>IF(Q210&lt;&gt;"OK","",MAX(0,-MIN(N210,O210)))</x:f>
      </x:c>
      <x:c r="Q210" s="18" t="str">
        <x:f>IF(A210="",IF(COUNTA(B210:K210)=0,"","Inserisci ID"),IF(COUNTIFS('Diario'!$A$8:$A$507,A210)&lt;&gt;1,"ID assente / duplicato",IF(OR(NOT(ISNUMBER(B210)),B210&lt;1,B210&lt;&gt;INT(B210),COUNTIFS($A$8:$A$1007,A210,$B$8:$B$1007,B210)&lt;&gt;1),"N. esecuzione non valido",IF(OR(NOT(ISNUMBER(C210)),AND(D210&lt;&gt;"Ingresso",D210&lt;&gt;"Uscita"),AND(E210&lt;&gt;"Back",E210&lt;&gt;"Lay")),"Completa data / fase / lato",IF(OR(NOT(ISNUMBER(F210)),F210&lt;=1,NOT(ISNUMBER(G210)),G210&lt;=0),"Correggi quota / stake","OK")))))</x:f>
      </x:c>
    </x:row>
    <x:row r="211" ht="22" customHeight="1">
      <x:c r="A211" s="24"/>
      <x:c r="B211" s="24"/>
      <x:c r="C211" s="26"/>
      <x:c r="D211" s="24"/>
      <x:c r="E211" s="24"/>
      <x:c r="F211" s="28"/>
      <x:c r="G211" s="29"/>
      <x:c r="H211" s="24"/>
      <x:c r="I211" s="24"/>
      <x:c r="J211" s="24"/>
      <x:c r="K211" s="24"/>
      <x:c r="L211" s="20" t="str">
        <x:f>IF(Q211&lt;&gt;"OK","",IF(E211="Back",G211*(F211-1),-G211*(F211-1)))</x:f>
      </x:c>
      <x:c r="M211" s="20" t="str">
        <x:f>IF(Q211&lt;&gt;"OK","",IF(E211="Back",-G211,G211))</x:f>
      </x:c>
      <x:c r="N211" s="20" t="str">
        <x:f>IF(Q211&lt;&gt;"OK","",SUMIFS($L$8:$L$1007,$A$8:$A$1007,A211,$B$8:$B$1007,"&lt;="&amp;B211))</x:f>
      </x:c>
      <x:c r="O211" s="20" t="str">
        <x:f>IF(Q211&lt;&gt;"OK","",SUMIFS($M$8:$M$1007,$A$8:$A$1007,A211,$B$8:$B$1007,"&lt;="&amp;B211))</x:f>
      </x:c>
      <x:c r="P211" s="20" t="str">
        <x:f>IF(Q211&lt;&gt;"OK","",MAX(0,-MIN(N211,O211)))</x:f>
      </x:c>
      <x:c r="Q211" s="18" t="str">
        <x:f>IF(A211="",IF(COUNTA(B211:K211)=0,"","Inserisci ID"),IF(COUNTIFS('Diario'!$A$8:$A$507,A211)&lt;&gt;1,"ID assente / duplicato",IF(OR(NOT(ISNUMBER(B211)),B211&lt;1,B211&lt;&gt;INT(B211),COUNTIFS($A$8:$A$1007,A211,$B$8:$B$1007,B211)&lt;&gt;1),"N. esecuzione non valido",IF(OR(NOT(ISNUMBER(C211)),AND(D211&lt;&gt;"Ingresso",D211&lt;&gt;"Uscita"),AND(E211&lt;&gt;"Back",E211&lt;&gt;"Lay")),"Completa data / fase / lato",IF(OR(NOT(ISNUMBER(F211)),F211&lt;=1,NOT(ISNUMBER(G211)),G211&lt;=0),"Correggi quota / stake","OK")))))</x:f>
      </x:c>
    </x:row>
    <x:row r="212" ht="22" customHeight="1">
      <x:c r="A212" s="24"/>
      <x:c r="B212" s="24"/>
      <x:c r="C212" s="26"/>
      <x:c r="D212" s="24"/>
      <x:c r="E212" s="24"/>
      <x:c r="F212" s="28"/>
      <x:c r="G212" s="29"/>
      <x:c r="H212" s="24"/>
      <x:c r="I212" s="24"/>
      <x:c r="J212" s="24"/>
      <x:c r="K212" s="24"/>
      <x:c r="L212" s="20" t="str">
        <x:f>IF(Q212&lt;&gt;"OK","",IF(E212="Back",G212*(F212-1),-G212*(F212-1)))</x:f>
      </x:c>
      <x:c r="M212" s="20" t="str">
        <x:f>IF(Q212&lt;&gt;"OK","",IF(E212="Back",-G212,G212))</x:f>
      </x:c>
      <x:c r="N212" s="20" t="str">
        <x:f>IF(Q212&lt;&gt;"OK","",SUMIFS($L$8:$L$1007,$A$8:$A$1007,A212,$B$8:$B$1007,"&lt;="&amp;B212))</x:f>
      </x:c>
      <x:c r="O212" s="20" t="str">
        <x:f>IF(Q212&lt;&gt;"OK","",SUMIFS($M$8:$M$1007,$A$8:$A$1007,A212,$B$8:$B$1007,"&lt;="&amp;B212))</x:f>
      </x:c>
      <x:c r="P212" s="20" t="str">
        <x:f>IF(Q212&lt;&gt;"OK","",MAX(0,-MIN(N212,O212)))</x:f>
      </x:c>
      <x:c r="Q212" s="18" t="str">
        <x:f>IF(A212="",IF(COUNTA(B212:K212)=0,"","Inserisci ID"),IF(COUNTIFS('Diario'!$A$8:$A$507,A212)&lt;&gt;1,"ID assente / duplicato",IF(OR(NOT(ISNUMBER(B212)),B212&lt;1,B212&lt;&gt;INT(B212),COUNTIFS($A$8:$A$1007,A212,$B$8:$B$1007,B212)&lt;&gt;1),"N. esecuzione non valido",IF(OR(NOT(ISNUMBER(C212)),AND(D212&lt;&gt;"Ingresso",D212&lt;&gt;"Uscita"),AND(E212&lt;&gt;"Back",E212&lt;&gt;"Lay")),"Completa data / fase / lato",IF(OR(NOT(ISNUMBER(F212)),F212&lt;=1,NOT(ISNUMBER(G212)),G212&lt;=0),"Correggi quota / stake","OK")))))</x:f>
      </x:c>
    </x:row>
    <x:row r="213" ht="22" customHeight="1">
      <x:c r="A213" s="24"/>
      <x:c r="B213" s="24"/>
      <x:c r="C213" s="26"/>
      <x:c r="D213" s="24"/>
      <x:c r="E213" s="24"/>
      <x:c r="F213" s="28"/>
      <x:c r="G213" s="29"/>
      <x:c r="H213" s="24"/>
      <x:c r="I213" s="24"/>
      <x:c r="J213" s="24"/>
      <x:c r="K213" s="24"/>
      <x:c r="L213" s="20" t="str">
        <x:f>IF(Q213&lt;&gt;"OK","",IF(E213="Back",G213*(F213-1),-G213*(F213-1)))</x:f>
      </x:c>
      <x:c r="M213" s="20" t="str">
        <x:f>IF(Q213&lt;&gt;"OK","",IF(E213="Back",-G213,G213))</x:f>
      </x:c>
      <x:c r="N213" s="20" t="str">
        <x:f>IF(Q213&lt;&gt;"OK","",SUMIFS($L$8:$L$1007,$A$8:$A$1007,A213,$B$8:$B$1007,"&lt;="&amp;B213))</x:f>
      </x:c>
      <x:c r="O213" s="20" t="str">
        <x:f>IF(Q213&lt;&gt;"OK","",SUMIFS($M$8:$M$1007,$A$8:$A$1007,A213,$B$8:$B$1007,"&lt;="&amp;B213))</x:f>
      </x:c>
      <x:c r="P213" s="20" t="str">
        <x:f>IF(Q213&lt;&gt;"OK","",MAX(0,-MIN(N213,O213)))</x:f>
      </x:c>
      <x:c r="Q213" s="18" t="str">
        <x:f>IF(A213="",IF(COUNTA(B213:K213)=0,"","Inserisci ID"),IF(COUNTIFS('Diario'!$A$8:$A$507,A213)&lt;&gt;1,"ID assente / duplicato",IF(OR(NOT(ISNUMBER(B213)),B213&lt;1,B213&lt;&gt;INT(B213),COUNTIFS($A$8:$A$1007,A213,$B$8:$B$1007,B213)&lt;&gt;1),"N. esecuzione non valido",IF(OR(NOT(ISNUMBER(C213)),AND(D213&lt;&gt;"Ingresso",D213&lt;&gt;"Uscita"),AND(E213&lt;&gt;"Back",E213&lt;&gt;"Lay")),"Completa data / fase / lato",IF(OR(NOT(ISNUMBER(F213)),F213&lt;=1,NOT(ISNUMBER(G213)),G213&lt;=0),"Correggi quota / stake","OK")))))</x:f>
      </x:c>
    </x:row>
    <x:row r="214" ht="22" customHeight="1">
      <x:c r="A214" s="24"/>
      <x:c r="B214" s="24"/>
      <x:c r="C214" s="26"/>
      <x:c r="D214" s="24"/>
      <x:c r="E214" s="24"/>
      <x:c r="F214" s="28"/>
      <x:c r="G214" s="29"/>
      <x:c r="H214" s="24"/>
      <x:c r="I214" s="24"/>
      <x:c r="J214" s="24"/>
      <x:c r="K214" s="24"/>
      <x:c r="L214" s="20" t="str">
        <x:f>IF(Q214&lt;&gt;"OK","",IF(E214="Back",G214*(F214-1),-G214*(F214-1)))</x:f>
      </x:c>
      <x:c r="M214" s="20" t="str">
        <x:f>IF(Q214&lt;&gt;"OK","",IF(E214="Back",-G214,G214))</x:f>
      </x:c>
      <x:c r="N214" s="20" t="str">
        <x:f>IF(Q214&lt;&gt;"OK","",SUMIFS($L$8:$L$1007,$A$8:$A$1007,A214,$B$8:$B$1007,"&lt;="&amp;B214))</x:f>
      </x:c>
      <x:c r="O214" s="20" t="str">
        <x:f>IF(Q214&lt;&gt;"OK","",SUMIFS($M$8:$M$1007,$A$8:$A$1007,A214,$B$8:$B$1007,"&lt;="&amp;B214))</x:f>
      </x:c>
      <x:c r="P214" s="20" t="str">
        <x:f>IF(Q214&lt;&gt;"OK","",MAX(0,-MIN(N214,O214)))</x:f>
      </x:c>
      <x:c r="Q214" s="18" t="str">
        <x:f>IF(A214="",IF(COUNTA(B214:K214)=0,"","Inserisci ID"),IF(COUNTIFS('Diario'!$A$8:$A$507,A214)&lt;&gt;1,"ID assente / duplicato",IF(OR(NOT(ISNUMBER(B214)),B214&lt;1,B214&lt;&gt;INT(B214),COUNTIFS($A$8:$A$1007,A214,$B$8:$B$1007,B214)&lt;&gt;1),"N. esecuzione non valido",IF(OR(NOT(ISNUMBER(C214)),AND(D214&lt;&gt;"Ingresso",D214&lt;&gt;"Uscita"),AND(E214&lt;&gt;"Back",E214&lt;&gt;"Lay")),"Completa data / fase / lato",IF(OR(NOT(ISNUMBER(F214)),F214&lt;=1,NOT(ISNUMBER(G214)),G214&lt;=0),"Correggi quota / stake","OK")))))</x:f>
      </x:c>
    </x:row>
    <x:row r="215" ht="22" customHeight="1">
      <x:c r="A215" s="24"/>
      <x:c r="B215" s="24"/>
      <x:c r="C215" s="26"/>
      <x:c r="D215" s="24"/>
      <x:c r="E215" s="24"/>
      <x:c r="F215" s="28"/>
      <x:c r="G215" s="29"/>
      <x:c r="H215" s="24"/>
      <x:c r="I215" s="24"/>
      <x:c r="J215" s="24"/>
      <x:c r="K215" s="24"/>
      <x:c r="L215" s="20" t="str">
        <x:f>IF(Q215&lt;&gt;"OK","",IF(E215="Back",G215*(F215-1),-G215*(F215-1)))</x:f>
      </x:c>
      <x:c r="M215" s="20" t="str">
        <x:f>IF(Q215&lt;&gt;"OK","",IF(E215="Back",-G215,G215))</x:f>
      </x:c>
      <x:c r="N215" s="20" t="str">
        <x:f>IF(Q215&lt;&gt;"OK","",SUMIFS($L$8:$L$1007,$A$8:$A$1007,A215,$B$8:$B$1007,"&lt;="&amp;B215))</x:f>
      </x:c>
      <x:c r="O215" s="20" t="str">
        <x:f>IF(Q215&lt;&gt;"OK","",SUMIFS($M$8:$M$1007,$A$8:$A$1007,A215,$B$8:$B$1007,"&lt;="&amp;B215))</x:f>
      </x:c>
      <x:c r="P215" s="20" t="str">
        <x:f>IF(Q215&lt;&gt;"OK","",MAX(0,-MIN(N215,O215)))</x:f>
      </x:c>
      <x:c r="Q215" s="18" t="str">
        <x:f>IF(A215="",IF(COUNTA(B215:K215)=0,"","Inserisci ID"),IF(COUNTIFS('Diario'!$A$8:$A$507,A215)&lt;&gt;1,"ID assente / duplicato",IF(OR(NOT(ISNUMBER(B215)),B215&lt;1,B215&lt;&gt;INT(B215),COUNTIFS($A$8:$A$1007,A215,$B$8:$B$1007,B215)&lt;&gt;1),"N. esecuzione non valido",IF(OR(NOT(ISNUMBER(C215)),AND(D215&lt;&gt;"Ingresso",D215&lt;&gt;"Uscita"),AND(E215&lt;&gt;"Back",E215&lt;&gt;"Lay")),"Completa data / fase / lato",IF(OR(NOT(ISNUMBER(F215)),F215&lt;=1,NOT(ISNUMBER(G215)),G215&lt;=0),"Correggi quota / stake","OK")))))</x:f>
      </x:c>
    </x:row>
    <x:row r="216" ht="22" customHeight="1">
      <x:c r="A216" s="24"/>
      <x:c r="B216" s="24"/>
      <x:c r="C216" s="26"/>
      <x:c r="D216" s="24"/>
      <x:c r="E216" s="24"/>
      <x:c r="F216" s="28"/>
      <x:c r="G216" s="29"/>
      <x:c r="H216" s="24"/>
      <x:c r="I216" s="24"/>
      <x:c r="J216" s="24"/>
      <x:c r="K216" s="24"/>
      <x:c r="L216" s="20" t="str">
        <x:f>IF(Q216&lt;&gt;"OK","",IF(E216="Back",G216*(F216-1),-G216*(F216-1)))</x:f>
      </x:c>
      <x:c r="M216" s="20" t="str">
        <x:f>IF(Q216&lt;&gt;"OK","",IF(E216="Back",-G216,G216))</x:f>
      </x:c>
      <x:c r="N216" s="20" t="str">
        <x:f>IF(Q216&lt;&gt;"OK","",SUMIFS($L$8:$L$1007,$A$8:$A$1007,A216,$B$8:$B$1007,"&lt;="&amp;B216))</x:f>
      </x:c>
      <x:c r="O216" s="20" t="str">
        <x:f>IF(Q216&lt;&gt;"OK","",SUMIFS($M$8:$M$1007,$A$8:$A$1007,A216,$B$8:$B$1007,"&lt;="&amp;B216))</x:f>
      </x:c>
      <x:c r="P216" s="20" t="str">
        <x:f>IF(Q216&lt;&gt;"OK","",MAX(0,-MIN(N216,O216)))</x:f>
      </x:c>
      <x:c r="Q216" s="18" t="str">
        <x:f>IF(A216="",IF(COUNTA(B216:K216)=0,"","Inserisci ID"),IF(COUNTIFS('Diario'!$A$8:$A$507,A216)&lt;&gt;1,"ID assente / duplicato",IF(OR(NOT(ISNUMBER(B216)),B216&lt;1,B216&lt;&gt;INT(B216),COUNTIFS($A$8:$A$1007,A216,$B$8:$B$1007,B216)&lt;&gt;1),"N. esecuzione non valido",IF(OR(NOT(ISNUMBER(C216)),AND(D216&lt;&gt;"Ingresso",D216&lt;&gt;"Uscita"),AND(E216&lt;&gt;"Back",E216&lt;&gt;"Lay")),"Completa data / fase / lato",IF(OR(NOT(ISNUMBER(F216)),F216&lt;=1,NOT(ISNUMBER(G216)),G216&lt;=0),"Correggi quota / stake","OK")))))</x:f>
      </x:c>
    </x:row>
    <x:row r="217" ht="22" customHeight="1">
      <x:c r="A217" s="24"/>
      <x:c r="B217" s="24"/>
      <x:c r="C217" s="26"/>
      <x:c r="D217" s="24"/>
      <x:c r="E217" s="24"/>
      <x:c r="F217" s="28"/>
      <x:c r="G217" s="29"/>
      <x:c r="H217" s="24"/>
      <x:c r="I217" s="24"/>
      <x:c r="J217" s="24"/>
      <x:c r="K217" s="24"/>
      <x:c r="L217" s="20" t="str">
        <x:f>IF(Q217&lt;&gt;"OK","",IF(E217="Back",G217*(F217-1),-G217*(F217-1)))</x:f>
      </x:c>
      <x:c r="M217" s="20" t="str">
        <x:f>IF(Q217&lt;&gt;"OK","",IF(E217="Back",-G217,G217))</x:f>
      </x:c>
      <x:c r="N217" s="20" t="str">
        <x:f>IF(Q217&lt;&gt;"OK","",SUMIFS($L$8:$L$1007,$A$8:$A$1007,A217,$B$8:$B$1007,"&lt;="&amp;B217))</x:f>
      </x:c>
      <x:c r="O217" s="20" t="str">
        <x:f>IF(Q217&lt;&gt;"OK","",SUMIFS($M$8:$M$1007,$A$8:$A$1007,A217,$B$8:$B$1007,"&lt;="&amp;B217))</x:f>
      </x:c>
      <x:c r="P217" s="20" t="str">
        <x:f>IF(Q217&lt;&gt;"OK","",MAX(0,-MIN(N217,O217)))</x:f>
      </x:c>
      <x:c r="Q217" s="18" t="str">
        <x:f>IF(A217="",IF(COUNTA(B217:K217)=0,"","Inserisci ID"),IF(COUNTIFS('Diario'!$A$8:$A$507,A217)&lt;&gt;1,"ID assente / duplicato",IF(OR(NOT(ISNUMBER(B217)),B217&lt;1,B217&lt;&gt;INT(B217),COUNTIFS($A$8:$A$1007,A217,$B$8:$B$1007,B217)&lt;&gt;1),"N. esecuzione non valido",IF(OR(NOT(ISNUMBER(C217)),AND(D217&lt;&gt;"Ingresso",D217&lt;&gt;"Uscita"),AND(E217&lt;&gt;"Back",E217&lt;&gt;"Lay")),"Completa data / fase / lato",IF(OR(NOT(ISNUMBER(F217)),F217&lt;=1,NOT(ISNUMBER(G217)),G217&lt;=0),"Correggi quota / stake","OK")))))</x:f>
      </x:c>
    </x:row>
    <x:row r="218" ht="22" customHeight="1">
      <x:c r="A218" s="24"/>
      <x:c r="B218" s="24"/>
      <x:c r="C218" s="26"/>
      <x:c r="D218" s="24"/>
      <x:c r="E218" s="24"/>
      <x:c r="F218" s="28"/>
      <x:c r="G218" s="29"/>
      <x:c r="H218" s="24"/>
      <x:c r="I218" s="24"/>
      <x:c r="J218" s="24"/>
      <x:c r="K218" s="24"/>
      <x:c r="L218" s="20" t="str">
        <x:f>IF(Q218&lt;&gt;"OK","",IF(E218="Back",G218*(F218-1),-G218*(F218-1)))</x:f>
      </x:c>
      <x:c r="M218" s="20" t="str">
        <x:f>IF(Q218&lt;&gt;"OK","",IF(E218="Back",-G218,G218))</x:f>
      </x:c>
      <x:c r="N218" s="20" t="str">
        <x:f>IF(Q218&lt;&gt;"OK","",SUMIFS($L$8:$L$1007,$A$8:$A$1007,A218,$B$8:$B$1007,"&lt;="&amp;B218))</x:f>
      </x:c>
      <x:c r="O218" s="20" t="str">
        <x:f>IF(Q218&lt;&gt;"OK","",SUMIFS($M$8:$M$1007,$A$8:$A$1007,A218,$B$8:$B$1007,"&lt;="&amp;B218))</x:f>
      </x:c>
      <x:c r="P218" s="20" t="str">
        <x:f>IF(Q218&lt;&gt;"OK","",MAX(0,-MIN(N218,O218)))</x:f>
      </x:c>
      <x:c r="Q218" s="18" t="str">
        <x:f>IF(A218="",IF(COUNTA(B218:K218)=0,"","Inserisci ID"),IF(COUNTIFS('Diario'!$A$8:$A$507,A218)&lt;&gt;1,"ID assente / duplicato",IF(OR(NOT(ISNUMBER(B218)),B218&lt;1,B218&lt;&gt;INT(B218),COUNTIFS($A$8:$A$1007,A218,$B$8:$B$1007,B218)&lt;&gt;1),"N. esecuzione non valido",IF(OR(NOT(ISNUMBER(C218)),AND(D218&lt;&gt;"Ingresso",D218&lt;&gt;"Uscita"),AND(E218&lt;&gt;"Back",E218&lt;&gt;"Lay")),"Completa data / fase / lato",IF(OR(NOT(ISNUMBER(F218)),F218&lt;=1,NOT(ISNUMBER(G218)),G218&lt;=0),"Correggi quota / stake","OK")))))</x:f>
      </x:c>
    </x:row>
    <x:row r="219" ht="22" customHeight="1">
      <x:c r="A219" s="24"/>
      <x:c r="B219" s="24"/>
      <x:c r="C219" s="26"/>
      <x:c r="D219" s="24"/>
      <x:c r="E219" s="24"/>
      <x:c r="F219" s="28"/>
      <x:c r="G219" s="29"/>
      <x:c r="H219" s="24"/>
      <x:c r="I219" s="24"/>
      <x:c r="J219" s="24"/>
      <x:c r="K219" s="24"/>
      <x:c r="L219" s="20" t="str">
        <x:f>IF(Q219&lt;&gt;"OK","",IF(E219="Back",G219*(F219-1),-G219*(F219-1)))</x:f>
      </x:c>
      <x:c r="M219" s="20" t="str">
        <x:f>IF(Q219&lt;&gt;"OK","",IF(E219="Back",-G219,G219))</x:f>
      </x:c>
      <x:c r="N219" s="20" t="str">
        <x:f>IF(Q219&lt;&gt;"OK","",SUMIFS($L$8:$L$1007,$A$8:$A$1007,A219,$B$8:$B$1007,"&lt;="&amp;B219))</x:f>
      </x:c>
      <x:c r="O219" s="20" t="str">
        <x:f>IF(Q219&lt;&gt;"OK","",SUMIFS($M$8:$M$1007,$A$8:$A$1007,A219,$B$8:$B$1007,"&lt;="&amp;B219))</x:f>
      </x:c>
      <x:c r="P219" s="20" t="str">
        <x:f>IF(Q219&lt;&gt;"OK","",MAX(0,-MIN(N219,O219)))</x:f>
      </x:c>
      <x:c r="Q219" s="18" t="str">
        <x:f>IF(A219="",IF(COUNTA(B219:K219)=0,"","Inserisci ID"),IF(COUNTIFS('Diario'!$A$8:$A$507,A219)&lt;&gt;1,"ID assente / duplicato",IF(OR(NOT(ISNUMBER(B219)),B219&lt;1,B219&lt;&gt;INT(B219),COUNTIFS($A$8:$A$1007,A219,$B$8:$B$1007,B219)&lt;&gt;1),"N. esecuzione non valido",IF(OR(NOT(ISNUMBER(C219)),AND(D219&lt;&gt;"Ingresso",D219&lt;&gt;"Uscita"),AND(E219&lt;&gt;"Back",E219&lt;&gt;"Lay")),"Completa data / fase / lato",IF(OR(NOT(ISNUMBER(F219)),F219&lt;=1,NOT(ISNUMBER(G219)),G219&lt;=0),"Correggi quota / stake","OK")))))</x:f>
      </x:c>
    </x:row>
    <x:row r="220" ht="22" customHeight="1">
      <x:c r="A220" s="24"/>
      <x:c r="B220" s="24"/>
      <x:c r="C220" s="26"/>
      <x:c r="D220" s="24"/>
      <x:c r="E220" s="24"/>
      <x:c r="F220" s="28"/>
      <x:c r="G220" s="29"/>
      <x:c r="H220" s="24"/>
      <x:c r="I220" s="24"/>
      <x:c r="J220" s="24"/>
      <x:c r="K220" s="24"/>
      <x:c r="L220" s="20" t="str">
        <x:f>IF(Q220&lt;&gt;"OK","",IF(E220="Back",G220*(F220-1),-G220*(F220-1)))</x:f>
      </x:c>
      <x:c r="M220" s="20" t="str">
        <x:f>IF(Q220&lt;&gt;"OK","",IF(E220="Back",-G220,G220))</x:f>
      </x:c>
      <x:c r="N220" s="20" t="str">
        <x:f>IF(Q220&lt;&gt;"OK","",SUMIFS($L$8:$L$1007,$A$8:$A$1007,A220,$B$8:$B$1007,"&lt;="&amp;B220))</x:f>
      </x:c>
      <x:c r="O220" s="20" t="str">
        <x:f>IF(Q220&lt;&gt;"OK","",SUMIFS($M$8:$M$1007,$A$8:$A$1007,A220,$B$8:$B$1007,"&lt;="&amp;B220))</x:f>
      </x:c>
      <x:c r="P220" s="20" t="str">
        <x:f>IF(Q220&lt;&gt;"OK","",MAX(0,-MIN(N220,O220)))</x:f>
      </x:c>
      <x:c r="Q220" s="18" t="str">
        <x:f>IF(A220="",IF(COUNTA(B220:K220)=0,"","Inserisci ID"),IF(COUNTIFS('Diario'!$A$8:$A$507,A220)&lt;&gt;1,"ID assente / duplicato",IF(OR(NOT(ISNUMBER(B220)),B220&lt;1,B220&lt;&gt;INT(B220),COUNTIFS($A$8:$A$1007,A220,$B$8:$B$1007,B220)&lt;&gt;1),"N. esecuzione non valido",IF(OR(NOT(ISNUMBER(C220)),AND(D220&lt;&gt;"Ingresso",D220&lt;&gt;"Uscita"),AND(E220&lt;&gt;"Back",E220&lt;&gt;"Lay")),"Completa data / fase / lato",IF(OR(NOT(ISNUMBER(F220)),F220&lt;=1,NOT(ISNUMBER(G220)),G220&lt;=0),"Correggi quota / stake","OK")))))</x:f>
      </x:c>
    </x:row>
    <x:row r="221" ht="22" customHeight="1">
      <x:c r="A221" s="24"/>
      <x:c r="B221" s="24"/>
      <x:c r="C221" s="26"/>
      <x:c r="D221" s="24"/>
      <x:c r="E221" s="24"/>
      <x:c r="F221" s="28"/>
      <x:c r="G221" s="29"/>
      <x:c r="H221" s="24"/>
      <x:c r="I221" s="24"/>
      <x:c r="J221" s="24"/>
      <x:c r="K221" s="24"/>
      <x:c r="L221" s="20" t="str">
        <x:f>IF(Q221&lt;&gt;"OK","",IF(E221="Back",G221*(F221-1),-G221*(F221-1)))</x:f>
      </x:c>
      <x:c r="M221" s="20" t="str">
        <x:f>IF(Q221&lt;&gt;"OK","",IF(E221="Back",-G221,G221))</x:f>
      </x:c>
      <x:c r="N221" s="20" t="str">
        <x:f>IF(Q221&lt;&gt;"OK","",SUMIFS($L$8:$L$1007,$A$8:$A$1007,A221,$B$8:$B$1007,"&lt;="&amp;B221))</x:f>
      </x:c>
      <x:c r="O221" s="20" t="str">
        <x:f>IF(Q221&lt;&gt;"OK","",SUMIFS($M$8:$M$1007,$A$8:$A$1007,A221,$B$8:$B$1007,"&lt;="&amp;B221))</x:f>
      </x:c>
      <x:c r="P221" s="20" t="str">
        <x:f>IF(Q221&lt;&gt;"OK","",MAX(0,-MIN(N221,O221)))</x:f>
      </x:c>
      <x:c r="Q221" s="18" t="str">
        <x:f>IF(A221="",IF(COUNTA(B221:K221)=0,"","Inserisci ID"),IF(COUNTIFS('Diario'!$A$8:$A$507,A221)&lt;&gt;1,"ID assente / duplicato",IF(OR(NOT(ISNUMBER(B221)),B221&lt;1,B221&lt;&gt;INT(B221),COUNTIFS($A$8:$A$1007,A221,$B$8:$B$1007,B221)&lt;&gt;1),"N. esecuzione non valido",IF(OR(NOT(ISNUMBER(C221)),AND(D221&lt;&gt;"Ingresso",D221&lt;&gt;"Uscita"),AND(E221&lt;&gt;"Back",E221&lt;&gt;"Lay")),"Completa data / fase / lato",IF(OR(NOT(ISNUMBER(F221)),F221&lt;=1,NOT(ISNUMBER(G221)),G221&lt;=0),"Correggi quota / stake","OK")))))</x:f>
      </x:c>
    </x:row>
    <x:row r="222" ht="22" customHeight="1">
      <x:c r="A222" s="24"/>
      <x:c r="B222" s="24"/>
      <x:c r="C222" s="26"/>
      <x:c r="D222" s="24"/>
      <x:c r="E222" s="24"/>
      <x:c r="F222" s="28"/>
      <x:c r="G222" s="29"/>
      <x:c r="H222" s="24"/>
      <x:c r="I222" s="24"/>
      <x:c r="J222" s="24"/>
      <x:c r="K222" s="24"/>
      <x:c r="L222" s="20" t="str">
        <x:f>IF(Q222&lt;&gt;"OK","",IF(E222="Back",G222*(F222-1),-G222*(F222-1)))</x:f>
      </x:c>
      <x:c r="M222" s="20" t="str">
        <x:f>IF(Q222&lt;&gt;"OK","",IF(E222="Back",-G222,G222))</x:f>
      </x:c>
      <x:c r="N222" s="20" t="str">
        <x:f>IF(Q222&lt;&gt;"OK","",SUMIFS($L$8:$L$1007,$A$8:$A$1007,A222,$B$8:$B$1007,"&lt;="&amp;B222))</x:f>
      </x:c>
      <x:c r="O222" s="20" t="str">
        <x:f>IF(Q222&lt;&gt;"OK","",SUMIFS($M$8:$M$1007,$A$8:$A$1007,A222,$B$8:$B$1007,"&lt;="&amp;B222))</x:f>
      </x:c>
      <x:c r="P222" s="20" t="str">
        <x:f>IF(Q222&lt;&gt;"OK","",MAX(0,-MIN(N222,O222)))</x:f>
      </x:c>
      <x:c r="Q222" s="18" t="str">
        <x:f>IF(A222="",IF(COUNTA(B222:K222)=0,"","Inserisci ID"),IF(COUNTIFS('Diario'!$A$8:$A$507,A222)&lt;&gt;1,"ID assente / duplicato",IF(OR(NOT(ISNUMBER(B222)),B222&lt;1,B222&lt;&gt;INT(B222),COUNTIFS($A$8:$A$1007,A222,$B$8:$B$1007,B222)&lt;&gt;1),"N. esecuzione non valido",IF(OR(NOT(ISNUMBER(C222)),AND(D222&lt;&gt;"Ingresso",D222&lt;&gt;"Uscita"),AND(E222&lt;&gt;"Back",E222&lt;&gt;"Lay")),"Completa data / fase / lato",IF(OR(NOT(ISNUMBER(F222)),F222&lt;=1,NOT(ISNUMBER(G222)),G222&lt;=0),"Correggi quota / stake","OK")))))</x:f>
      </x:c>
    </x:row>
    <x:row r="223" ht="22" customHeight="1">
      <x:c r="A223" s="24"/>
      <x:c r="B223" s="24"/>
      <x:c r="C223" s="26"/>
      <x:c r="D223" s="24"/>
      <x:c r="E223" s="24"/>
      <x:c r="F223" s="28"/>
      <x:c r="G223" s="29"/>
      <x:c r="H223" s="24"/>
      <x:c r="I223" s="24"/>
      <x:c r="J223" s="24"/>
      <x:c r="K223" s="24"/>
      <x:c r="L223" s="20" t="str">
        <x:f>IF(Q223&lt;&gt;"OK","",IF(E223="Back",G223*(F223-1),-G223*(F223-1)))</x:f>
      </x:c>
      <x:c r="M223" s="20" t="str">
        <x:f>IF(Q223&lt;&gt;"OK","",IF(E223="Back",-G223,G223))</x:f>
      </x:c>
      <x:c r="N223" s="20" t="str">
        <x:f>IF(Q223&lt;&gt;"OK","",SUMIFS($L$8:$L$1007,$A$8:$A$1007,A223,$B$8:$B$1007,"&lt;="&amp;B223))</x:f>
      </x:c>
      <x:c r="O223" s="20" t="str">
        <x:f>IF(Q223&lt;&gt;"OK","",SUMIFS($M$8:$M$1007,$A$8:$A$1007,A223,$B$8:$B$1007,"&lt;="&amp;B223))</x:f>
      </x:c>
      <x:c r="P223" s="20" t="str">
        <x:f>IF(Q223&lt;&gt;"OK","",MAX(0,-MIN(N223,O223)))</x:f>
      </x:c>
      <x:c r="Q223" s="18" t="str">
        <x:f>IF(A223="",IF(COUNTA(B223:K223)=0,"","Inserisci ID"),IF(COUNTIFS('Diario'!$A$8:$A$507,A223)&lt;&gt;1,"ID assente / duplicato",IF(OR(NOT(ISNUMBER(B223)),B223&lt;1,B223&lt;&gt;INT(B223),COUNTIFS($A$8:$A$1007,A223,$B$8:$B$1007,B223)&lt;&gt;1),"N. esecuzione non valido",IF(OR(NOT(ISNUMBER(C223)),AND(D223&lt;&gt;"Ingresso",D223&lt;&gt;"Uscita"),AND(E223&lt;&gt;"Back",E223&lt;&gt;"Lay")),"Completa data / fase / lato",IF(OR(NOT(ISNUMBER(F223)),F223&lt;=1,NOT(ISNUMBER(G223)),G223&lt;=0),"Correggi quota / stake","OK")))))</x:f>
      </x:c>
    </x:row>
    <x:row r="224" ht="22" customHeight="1">
      <x:c r="A224" s="24"/>
      <x:c r="B224" s="24"/>
      <x:c r="C224" s="26"/>
      <x:c r="D224" s="24"/>
      <x:c r="E224" s="24"/>
      <x:c r="F224" s="28"/>
      <x:c r="G224" s="29"/>
      <x:c r="H224" s="24"/>
      <x:c r="I224" s="24"/>
      <x:c r="J224" s="24"/>
      <x:c r="K224" s="24"/>
      <x:c r="L224" s="20" t="str">
        <x:f>IF(Q224&lt;&gt;"OK","",IF(E224="Back",G224*(F224-1),-G224*(F224-1)))</x:f>
      </x:c>
      <x:c r="M224" s="20" t="str">
        <x:f>IF(Q224&lt;&gt;"OK","",IF(E224="Back",-G224,G224))</x:f>
      </x:c>
      <x:c r="N224" s="20" t="str">
        <x:f>IF(Q224&lt;&gt;"OK","",SUMIFS($L$8:$L$1007,$A$8:$A$1007,A224,$B$8:$B$1007,"&lt;="&amp;B224))</x:f>
      </x:c>
      <x:c r="O224" s="20" t="str">
        <x:f>IF(Q224&lt;&gt;"OK","",SUMIFS($M$8:$M$1007,$A$8:$A$1007,A224,$B$8:$B$1007,"&lt;="&amp;B224))</x:f>
      </x:c>
      <x:c r="P224" s="20" t="str">
        <x:f>IF(Q224&lt;&gt;"OK","",MAX(0,-MIN(N224,O224)))</x:f>
      </x:c>
      <x:c r="Q224" s="18" t="str">
        <x:f>IF(A224="",IF(COUNTA(B224:K224)=0,"","Inserisci ID"),IF(COUNTIFS('Diario'!$A$8:$A$507,A224)&lt;&gt;1,"ID assente / duplicato",IF(OR(NOT(ISNUMBER(B224)),B224&lt;1,B224&lt;&gt;INT(B224),COUNTIFS($A$8:$A$1007,A224,$B$8:$B$1007,B224)&lt;&gt;1),"N. esecuzione non valido",IF(OR(NOT(ISNUMBER(C224)),AND(D224&lt;&gt;"Ingresso",D224&lt;&gt;"Uscita"),AND(E224&lt;&gt;"Back",E224&lt;&gt;"Lay")),"Completa data / fase / lato",IF(OR(NOT(ISNUMBER(F224)),F224&lt;=1,NOT(ISNUMBER(G224)),G224&lt;=0),"Correggi quota / stake","OK")))))</x:f>
      </x:c>
    </x:row>
    <x:row r="225" ht="22" customHeight="1">
      <x:c r="A225" s="24"/>
      <x:c r="B225" s="24"/>
      <x:c r="C225" s="26"/>
      <x:c r="D225" s="24"/>
      <x:c r="E225" s="24"/>
      <x:c r="F225" s="28"/>
      <x:c r="G225" s="29"/>
      <x:c r="H225" s="24"/>
      <x:c r="I225" s="24"/>
      <x:c r="J225" s="24"/>
      <x:c r="K225" s="24"/>
      <x:c r="L225" s="20" t="str">
        <x:f>IF(Q225&lt;&gt;"OK","",IF(E225="Back",G225*(F225-1),-G225*(F225-1)))</x:f>
      </x:c>
      <x:c r="M225" s="20" t="str">
        <x:f>IF(Q225&lt;&gt;"OK","",IF(E225="Back",-G225,G225))</x:f>
      </x:c>
      <x:c r="N225" s="20" t="str">
        <x:f>IF(Q225&lt;&gt;"OK","",SUMIFS($L$8:$L$1007,$A$8:$A$1007,A225,$B$8:$B$1007,"&lt;="&amp;B225))</x:f>
      </x:c>
      <x:c r="O225" s="20" t="str">
        <x:f>IF(Q225&lt;&gt;"OK","",SUMIFS($M$8:$M$1007,$A$8:$A$1007,A225,$B$8:$B$1007,"&lt;="&amp;B225))</x:f>
      </x:c>
      <x:c r="P225" s="20" t="str">
        <x:f>IF(Q225&lt;&gt;"OK","",MAX(0,-MIN(N225,O225)))</x:f>
      </x:c>
      <x:c r="Q225" s="18" t="str">
        <x:f>IF(A225="",IF(COUNTA(B225:K225)=0,"","Inserisci ID"),IF(COUNTIFS('Diario'!$A$8:$A$507,A225)&lt;&gt;1,"ID assente / duplicato",IF(OR(NOT(ISNUMBER(B225)),B225&lt;1,B225&lt;&gt;INT(B225),COUNTIFS($A$8:$A$1007,A225,$B$8:$B$1007,B225)&lt;&gt;1),"N. esecuzione non valido",IF(OR(NOT(ISNUMBER(C225)),AND(D225&lt;&gt;"Ingresso",D225&lt;&gt;"Uscita"),AND(E225&lt;&gt;"Back",E225&lt;&gt;"Lay")),"Completa data / fase / lato",IF(OR(NOT(ISNUMBER(F225)),F225&lt;=1,NOT(ISNUMBER(G225)),G225&lt;=0),"Correggi quota / stake","OK")))))</x:f>
      </x:c>
    </x:row>
    <x:row r="226" ht="22" customHeight="1">
      <x:c r="A226" s="24"/>
      <x:c r="B226" s="24"/>
      <x:c r="C226" s="26"/>
      <x:c r="D226" s="24"/>
      <x:c r="E226" s="24"/>
      <x:c r="F226" s="28"/>
      <x:c r="G226" s="29"/>
      <x:c r="H226" s="24"/>
      <x:c r="I226" s="24"/>
      <x:c r="J226" s="24"/>
      <x:c r="K226" s="24"/>
      <x:c r="L226" s="20" t="str">
        <x:f>IF(Q226&lt;&gt;"OK","",IF(E226="Back",G226*(F226-1),-G226*(F226-1)))</x:f>
      </x:c>
      <x:c r="M226" s="20" t="str">
        <x:f>IF(Q226&lt;&gt;"OK","",IF(E226="Back",-G226,G226))</x:f>
      </x:c>
      <x:c r="N226" s="20" t="str">
        <x:f>IF(Q226&lt;&gt;"OK","",SUMIFS($L$8:$L$1007,$A$8:$A$1007,A226,$B$8:$B$1007,"&lt;="&amp;B226))</x:f>
      </x:c>
      <x:c r="O226" s="20" t="str">
        <x:f>IF(Q226&lt;&gt;"OK","",SUMIFS($M$8:$M$1007,$A$8:$A$1007,A226,$B$8:$B$1007,"&lt;="&amp;B226))</x:f>
      </x:c>
      <x:c r="P226" s="20" t="str">
        <x:f>IF(Q226&lt;&gt;"OK","",MAX(0,-MIN(N226,O226)))</x:f>
      </x:c>
      <x:c r="Q226" s="18" t="str">
        <x:f>IF(A226="",IF(COUNTA(B226:K226)=0,"","Inserisci ID"),IF(COUNTIFS('Diario'!$A$8:$A$507,A226)&lt;&gt;1,"ID assente / duplicato",IF(OR(NOT(ISNUMBER(B226)),B226&lt;1,B226&lt;&gt;INT(B226),COUNTIFS($A$8:$A$1007,A226,$B$8:$B$1007,B226)&lt;&gt;1),"N. esecuzione non valido",IF(OR(NOT(ISNUMBER(C226)),AND(D226&lt;&gt;"Ingresso",D226&lt;&gt;"Uscita"),AND(E226&lt;&gt;"Back",E226&lt;&gt;"Lay")),"Completa data / fase / lato",IF(OR(NOT(ISNUMBER(F226)),F226&lt;=1,NOT(ISNUMBER(G226)),G226&lt;=0),"Correggi quota / stake","OK")))))</x:f>
      </x:c>
    </x:row>
    <x:row r="227" ht="22" customHeight="1">
      <x:c r="A227" s="24"/>
      <x:c r="B227" s="24"/>
      <x:c r="C227" s="26"/>
      <x:c r="D227" s="24"/>
      <x:c r="E227" s="24"/>
      <x:c r="F227" s="28"/>
      <x:c r="G227" s="29"/>
      <x:c r="H227" s="24"/>
      <x:c r="I227" s="24"/>
      <x:c r="J227" s="24"/>
      <x:c r="K227" s="24"/>
      <x:c r="L227" s="20" t="str">
        <x:f>IF(Q227&lt;&gt;"OK","",IF(E227="Back",G227*(F227-1),-G227*(F227-1)))</x:f>
      </x:c>
      <x:c r="M227" s="20" t="str">
        <x:f>IF(Q227&lt;&gt;"OK","",IF(E227="Back",-G227,G227))</x:f>
      </x:c>
      <x:c r="N227" s="20" t="str">
        <x:f>IF(Q227&lt;&gt;"OK","",SUMIFS($L$8:$L$1007,$A$8:$A$1007,A227,$B$8:$B$1007,"&lt;="&amp;B227))</x:f>
      </x:c>
      <x:c r="O227" s="20" t="str">
        <x:f>IF(Q227&lt;&gt;"OK","",SUMIFS($M$8:$M$1007,$A$8:$A$1007,A227,$B$8:$B$1007,"&lt;="&amp;B227))</x:f>
      </x:c>
      <x:c r="P227" s="20" t="str">
        <x:f>IF(Q227&lt;&gt;"OK","",MAX(0,-MIN(N227,O227)))</x:f>
      </x:c>
      <x:c r="Q227" s="18" t="str">
        <x:f>IF(A227="",IF(COUNTA(B227:K227)=0,"","Inserisci ID"),IF(COUNTIFS('Diario'!$A$8:$A$507,A227)&lt;&gt;1,"ID assente / duplicato",IF(OR(NOT(ISNUMBER(B227)),B227&lt;1,B227&lt;&gt;INT(B227),COUNTIFS($A$8:$A$1007,A227,$B$8:$B$1007,B227)&lt;&gt;1),"N. esecuzione non valido",IF(OR(NOT(ISNUMBER(C227)),AND(D227&lt;&gt;"Ingresso",D227&lt;&gt;"Uscita"),AND(E227&lt;&gt;"Back",E227&lt;&gt;"Lay")),"Completa data / fase / lato",IF(OR(NOT(ISNUMBER(F227)),F227&lt;=1,NOT(ISNUMBER(G227)),G227&lt;=0),"Correggi quota / stake","OK")))))</x:f>
      </x:c>
    </x:row>
    <x:row r="228" ht="22" customHeight="1">
      <x:c r="A228" s="24"/>
      <x:c r="B228" s="24"/>
      <x:c r="C228" s="26"/>
      <x:c r="D228" s="24"/>
      <x:c r="E228" s="24"/>
      <x:c r="F228" s="28"/>
      <x:c r="G228" s="29"/>
      <x:c r="H228" s="24"/>
      <x:c r="I228" s="24"/>
      <x:c r="J228" s="24"/>
      <x:c r="K228" s="24"/>
      <x:c r="L228" s="20" t="str">
        <x:f>IF(Q228&lt;&gt;"OK","",IF(E228="Back",G228*(F228-1),-G228*(F228-1)))</x:f>
      </x:c>
      <x:c r="M228" s="20" t="str">
        <x:f>IF(Q228&lt;&gt;"OK","",IF(E228="Back",-G228,G228))</x:f>
      </x:c>
      <x:c r="N228" s="20" t="str">
        <x:f>IF(Q228&lt;&gt;"OK","",SUMIFS($L$8:$L$1007,$A$8:$A$1007,A228,$B$8:$B$1007,"&lt;="&amp;B228))</x:f>
      </x:c>
      <x:c r="O228" s="20" t="str">
        <x:f>IF(Q228&lt;&gt;"OK","",SUMIFS($M$8:$M$1007,$A$8:$A$1007,A228,$B$8:$B$1007,"&lt;="&amp;B228))</x:f>
      </x:c>
      <x:c r="P228" s="20" t="str">
        <x:f>IF(Q228&lt;&gt;"OK","",MAX(0,-MIN(N228,O228)))</x:f>
      </x:c>
      <x:c r="Q228" s="18" t="str">
        <x:f>IF(A228="",IF(COUNTA(B228:K228)=0,"","Inserisci ID"),IF(COUNTIFS('Diario'!$A$8:$A$507,A228)&lt;&gt;1,"ID assente / duplicato",IF(OR(NOT(ISNUMBER(B228)),B228&lt;1,B228&lt;&gt;INT(B228),COUNTIFS($A$8:$A$1007,A228,$B$8:$B$1007,B228)&lt;&gt;1),"N. esecuzione non valido",IF(OR(NOT(ISNUMBER(C228)),AND(D228&lt;&gt;"Ingresso",D228&lt;&gt;"Uscita"),AND(E228&lt;&gt;"Back",E228&lt;&gt;"Lay")),"Completa data / fase / lato",IF(OR(NOT(ISNUMBER(F228)),F228&lt;=1,NOT(ISNUMBER(G228)),G228&lt;=0),"Correggi quota / stake","OK")))))</x:f>
      </x:c>
    </x:row>
    <x:row r="229" ht="22" customHeight="1">
      <x:c r="A229" s="24"/>
      <x:c r="B229" s="24"/>
      <x:c r="C229" s="26"/>
      <x:c r="D229" s="24"/>
      <x:c r="E229" s="24"/>
      <x:c r="F229" s="28"/>
      <x:c r="G229" s="29"/>
      <x:c r="H229" s="24"/>
      <x:c r="I229" s="24"/>
      <x:c r="J229" s="24"/>
      <x:c r="K229" s="24"/>
      <x:c r="L229" s="20" t="str">
        <x:f>IF(Q229&lt;&gt;"OK","",IF(E229="Back",G229*(F229-1),-G229*(F229-1)))</x:f>
      </x:c>
      <x:c r="M229" s="20" t="str">
        <x:f>IF(Q229&lt;&gt;"OK","",IF(E229="Back",-G229,G229))</x:f>
      </x:c>
      <x:c r="N229" s="20" t="str">
        <x:f>IF(Q229&lt;&gt;"OK","",SUMIFS($L$8:$L$1007,$A$8:$A$1007,A229,$B$8:$B$1007,"&lt;="&amp;B229))</x:f>
      </x:c>
      <x:c r="O229" s="20" t="str">
        <x:f>IF(Q229&lt;&gt;"OK","",SUMIFS($M$8:$M$1007,$A$8:$A$1007,A229,$B$8:$B$1007,"&lt;="&amp;B229))</x:f>
      </x:c>
      <x:c r="P229" s="20" t="str">
        <x:f>IF(Q229&lt;&gt;"OK","",MAX(0,-MIN(N229,O229)))</x:f>
      </x:c>
      <x:c r="Q229" s="18" t="str">
        <x:f>IF(A229="",IF(COUNTA(B229:K229)=0,"","Inserisci ID"),IF(COUNTIFS('Diario'!$A$8:$A$507,A229)&lt;&gt;1,"ID assente / duplicato",IF(OR(NOT(ISNUMBER(B229)),B229&lt;1,B229&lt;&gt;INT(B229),COUNTIFS($A$8:$A$1007,A229,$B$8:$B$1007,B229)&lt;&gt;1),"N. esecuzione non valido",IF(OR(NOT(ISNUMBER(C229)),AND(D229&lt;&gt;"Ingresso",D229&lt;&gt;"Uscita"),AND(E229&lt;&gt;"Back",E229&lt;&gt;"Lay")),"Completa data / fase / lato",IF(OR(NOT(ISNUMBER(F229)),F229&lt;=1,NOT(ISNUMBER(G229)),G229&lt;=0),"Correggi quota / stake","OK")))))</x:f>
      </x:c>
    </x:row>
    <x:row r="230" ht="22" customHeight="1">
      <x:c r="A230" s="24"/>
      <x:c r="B230" s="24"/>
      <x:c r="C230" s="26"/>
      <x:c r="D230" s="24"/>
      <x:c r="E230" s="24"/>
      <x:c r="F230" s="28"/>
      <x:c r="G230" s="29"/>
      <x:c r="H230" s="24"/>
      <x:c r="I230" s="24"/>
      <x:c r="J230" s="24"/>
      <x:c r="K230" s="24"/>
      <x:c r="L230" s="20" t="str">
        <x:f>IF(Q230&lt;&gt;"OK","",IF(E230="Back",G230*(F230-1),-G230*(F230-1)))</x:f>
      </x:c>
      <x:c r="M230" s="20" t="str">
        <x:f>IF(Q230&lt;&gt;"OK","",IF(E230="Back",-G230,G230))</x:f>
      </x:c>
      <x:c r="N230" s="20" t="str">
        <x:f>IF(Q230&lt;&gt;"OK","",SUMIFS($L$8:$L$1007,$A$8:$A$1007,A230,$B$8:$B$1007,"&lt;="&amp;B230))</x:f>
      </x:c>
      <x:c r="O230" s="20" t="str">
        <x:f>IF(Q230&lt;&gt;"OK","",SUMIFS($M$8:$M$1007,$A$8:$A$1007,A230,$B$8:$B$1007,"&lt;="&amp;B230))</x:f>
      </x:c>
      <x:c r="P230" s="20" t="str">
        <x:f>IF(Q230&lt;&gt;"OK","",MAX(0,-MIN(N230,O230)))</x:f>
      </x:c>
      <x:c r="Q230" s="18" t="str">
        <x:f>IF(A230="",IF(COUNTA(B230:K230)=0,"","Inserisci ID"),IF(COUNTIFS('Diario'!$A$8:$A$507,A230)&lt;&gt;1,"ID assente / duplicato",IF(OR(NOT(ISNUMBER(B230)),B230&lt;1,B230&lt;&gt;INT(B230),COUNTIFS($A$8:$A$1007,A230,$B$8:$B$1007,B230)&lt;&gt;1),"N. esecuzione non valido",IF(OR(NOT(ISNUMBER(C230)),AND(D230&lt;&gt;"Ingresso",D230&lt;&gt;"Uscita"),AND(E230&lt;&gt;"Back",E230&lt;&gt;"Lay")),"Completa data / fase / lato",IF(OR(NOT(ISNUMBER(F230)),F230&lt;=1,NOT(ISNUMBER(G230)),G230&lt;=0),"Correggi quota / stake","OK")))))</x:f>
      </x:c>
    </x:row>
    <x:row r="231" ht="22" customHeight="1">
      <x:c r="A231" s="24"/>
      <x:c r="B231" s="24"/>
      <x:c r="C231" s="26"/>
      <x:c r="D231" s="24"/>
      <x:c r="E231" s="24"/>
      <x:c r="F231" s="28"/>
      <x:c r="G231" s="29"/>
      <x:c r="H231" s="24"/>
      <x:c r="I231" s="24"/>
      <x:c r="J231" s="24"/>
      <x:c r="K231" s="24"/>
      <x:c r="L231" s="20" t="str">
        <x:f>IF(Q231&lt;&gt;"OK","",IF(E231="Back",G231*(F231-1),-G231*(F231-1)))</x:f>
      </x:c>
      <x:c r="M231" s="20" t="str">
        <x:f>IF(Q231&lt;&gt;"OK","",IF(E231="Back",-G231,G231))</x:f>
      </x:c>
      <x:c r="N231" s="20" t="str">
        <x:f>IF(Q231&lt;&gt;"OK","",SUMIFS($L$8:$L$1007,$A$8:$A$1007,A231,$B$8:$B$1007,"&lt;="&amp;B231))</x:f>
      </x:c>
      <x:c r="O231" s="20" t="str">
        <x:f>IF(Q231&lt;&gt;"OK","",SUMIFS($M$8:$M$1007,$A$8:$A$1007,A231,$B$8:$B$1007,"&lt;="&amp;B231))</x:f>
      </x:c>
      <x:c r="P231" s="20" t="str">
        <x:f>IF(Q231&lt;&gt;"OK","",MAX(0,-MIN(N231,O231)))</x:f>
      </x:c>
      <x:c r="Q231" s="18" t="str">
        <x:f>IF(A231="",IF(COUNTA(B231:K231)=0,"","Inserisci ID"),IF(COUNTIFS('Diario'!$A$8:$A$507,A231)&lt;&gt;1,"ID assente / duplicato",IF(OR(NOT(ISNUMBER(B231)),B231&lt;1,B231&lt;&gt;INT(B231),COUNTIFS($A$8:$A$1007,A231,$B$8:$B$1007,B231)&lt;&gt;1),"N. esecuzione non valido",IF(OR(NOT(ISNUMBER(C231)),AND(D231&lt;&gt;"Ingresso",D231&lt;&gt;"Uscita"),AND(E231&lt;&gt;"Back",E231&lt;&gt;"Lay")),"Completa data / fase / lato",IF(OR(NOT(ISNUMBER(F231)),F231&lt;=1,NOT(ISNUMBER(G231)),G231&lt;=0),"Correggi quota / stake","OK")))))</x:f>
      </x:c>
    </x:row>
    <x:row r="232" ht="22" customHeight="1">
      <x:c r="A232" s="24"/>
      <x:c r="B232" s="24"/>
      <x:c r="C232" s="26"/>
      <x:c r="D232" s="24"/>
      <x:c r="E232" s="24"/>
      <x:c r="F232" s="28"/>
      <x:c r="G232" s="29"/>
      <x:c r="H232" s="24"/>
      <x:c r="I232" s="24"/>
      <x:c r="J232" s="24"/>
      <x:c r="K232" s="24"/>
      <x:c r="L232" s="20" t="str">
        <x:f>IF(Q232&lt;&gt;"OK","",IF(E232="Back",G232*(F232-1),-G232*(F232-1)))</x:f>
      </x:c>
      <x:c r="M232" s="20" t="str">
        <x:f>IF(Q232&lt;&gt;"OK","",IF(E232="Back",-G232,G232))</x:f>
      </x:c>
      <x:c r="N232" s="20" t="str">
        <x:f>IF(Q232&lt;&gt;"OK","",SUMIFS($L$8:$L$1007,$A$8:$A$1007,A232,$B$8:$B$1007,"&lt;="&amp;B232))</x:f>
      </x:c>
      <x:c r="O232" s="20" t="str">
        <x:f>IF(Q232&lt;&gt;"OK","",SUMIFS($M$8:$M$1007,$A$8:$A$1007,A232,$B$8:$B$1007,"&lt;="&amp;B232))</x:f>
      </x:c>
      <x:c r="P232" s="20" t="str">
        <x:f>IF(Q232&lt;&gt;"OK","",MAX(0,-MIN(N232,O232)))</x:f>
      </x:c>
      <x:c r="Q232" s="18" t="str">
        <x:f>IF(A232="",IF(COUNTA(B232:K232)=0,"","Inserisci ID"),IF(COUNTIFS('Diario'!$A$8:$A$507,A232)&lt;&gt;1,"ID assente / duplicato",IF(OR(NOT(ISNUMBER(B232)),B232&lt;1,B232&lt;&gt;INT(B232),COUNTIFS($A$8:$A$1007,A232,$B$8:$B$1007,B232)&lt;&gt;1),"N. esecuzione non valido",IF(OR(NOT(ISNUMBER(C232)),AND(D232&lt;&gt;"Ingresso",D232&lt;&gt;"Uscita"),AND(E232&lt;&gt;"Back",E232&lt;&gt;"Lay")),"Completa data / fase / lato",IF(OR(NOT(ISNUMBER(F232)),F232&lt;=1,NOT(ISNUMBER(G232)),G232&lt;=0),"Correggi quota / stake","OK")))))</x:f>
      </x:c>
    </x:row>
    <x:row r="233" ht="22" customHeight="1">
      <x:c r="A233" s="24"/>
      <x:c r="B233" s="24"/>
      <x:c r="C233" s="26"/>
      <x:c r="D233" s="24"/>
      <x:c r="E233" s="24"/>
      <x:c r="F233" s="28"/>
      <x:c r="G233" s="29"/>
      <x:c r="H233" s="24"/>
      <x:c r="I233" s="24"/>
      <x:c r="J233" s="24"/>
      <x:c r="K233" s="24"/>
      <x:c r="L233" s="20" t="str">
        <x:f>IF(Q233&lt;&gt;"OK","",IF(E233="Back",G233*(F233-1),-G233*(F233-1)))</x:f>
      </x:c>
      <x:c r="M233" s="20" t="str">
        <x:f>IF(Q233&lt;&gt;"OK","",IF(E233="Back",-G233,G233))</x:f>
      </x:c>
      <x:c r="N233" s="20" t="str">
        <x:f>IF(Q233&lt;&gt;"OK","",SUMIFS($L$8:$L$1007,$A$8:$A$1007,A233,$B$8:$B$1007,"&lt;="&amp;B233))</x:f>
      </x:c>
      <x:c r="O233" s="20" t="str">
        <x:f>IF(Q233&lt;&gt;"OK","",SUMIFS($M$8:$M$1007,$A$8:$A$1007,A233,$B$8:$B$1007,"&lt;="&amp;B233))</x:f>
      </x:c>
      <x:c r="P233" s="20" t="str">
        <x:f>IF(Q233&lt;&gt;"OK","",MAX(0,-MIN(N233,O233)))</x:f>
      </x:c>
      <x:c r="Q233" s="18" t="str">
        <x:f>IF(A233="",IF(COUNTA(B233:K233)=0,"","Inserisci ID"),IF(COUNTIFS('Diario'!$A$8:$A$507,A233)&lt;&gt;1,"ID assente / duplicato",IF(OR(NOT(ISNUMBER(B233)),B233&lt;1,B233&lt;&gt;INT(B233),COUNTIFS($A$8:$A$1007,A233,$B$8:$B$1007,B233)&lt;&gt;1),"N. esecuzione non valido",IF(OR(NOT(ISNUMBER(C233)),AND(D233&lt;&gt;"Ingresso",D233&lt;&gt;"Uscita"),AND(E233&lt;&gt;"Back",E233&lt;&gt;"Lay")),"Completa data / fase / lato",IF(OR(NOT(ISNUMBER(F233)),F233&lt;=1,NOT(ISNUMBER(G233)),G233&lt;=0),"Correggi quota / stake","OK")))))</x:f>
      </x:c>
    </x:row>
    <x:row r="234" ht="22" customHeight="1">
      <x:c r="A234" s="24"/>
      <x:c r="B234" s="24"/>
      <x:c r="C234" s="26"/>
      <x:c r="D234" s="24"/>
      <x:c r="E234" s="24"/>
      <x:c r="F234" s="28"/>
      <x:c r="G234" s="29"/>
      <x:c r="H234" s="24"/>
      <x:c r="I234" s="24"/>
      <x:c r="J234" s="24"/>
      <x:c r="K234" s="24"/>
      <x:c r="L234" s="20" t="str">
        <x:f>IF(Q234&lt;&gt;"OK","",IF(E234="Back",G234*(F234-1),-G234*(F234-1)))</x:f>
      </x:c>
      <x:c r="M234" s="20" t="str">
        <x:f>IF(Q234&lt;&gt;"OK","",IF(E234="Back",-G234,G234))</x:f>
      </x:c>
      <x:c r="N234" s="20" t="str">
        <x:f>IF(Q234&lt;&gt;"OK","",SUMIFS($L$8:$L$1007,$A$8:$A$1007,A234,$B$8:$B$1007,"&lt;="&amp;B234))</x:f>
      </x:c>
      <x:c r="O234" s="20" t="str">
        <x:f>IF(Q234&lt;&gt;"OK","",SUMIFS($M$8:$M$1007,$A$8:$A$1007,A234,$B$8:$B$1007,"&lt;="&amp;B234))</x:f>
      </x:c>
      <x:c r="P234" s="20" t="str">
        <x:f>IF(Q234&lt;&gt;"OK","",MAX(0,-MIN(N234,O234)))</x:f>
      </x:c>
      <x:c r="Q234" s="18" t="str">
        <x:f>IF(A234="",IF(COUNTA(B234:K234)=0,"","Inserisci ID"),IF(COUNTIFS('Diario'!$A$8:$A$507,A234)&lt;&gt;1,"ID assente / duplicato",IF(OR(NOT(ISNUMBER(B234)),B234&lt;1,B234&lt;&gt;INT(B234),COUNTIFS($A$8:$A$1007,A234,$B$8:$B$1007,B234)&lt;&gt;1),"N. esecuzione non valido",IF(OR(NOT(ISNUMBER(C234)),AND(D234&lt;&gt;"Ingresso",D234&lt;&gt;"Uscita"),AND(E234&lt;&gt;"Back",E234&lt;&gt;"Lay")),"Completa data / fase / lato",IF(OR(NOT(ISNUMBER(F234)),F234&lt;=1,NOT(ISNUMBER(G234)),G234&lt;=0),"Correggi quota / stake","OK")))))</x:f>
      </x:c>
    </x:row>
    <x:row r="235" ht="22" customHeight="1">
      <x:c r="A235" s="24"/>
      <x:c r="B235" s="24"/>
      <x:c r="C235" s="26"/>
      <x:c r="D235" s="24"/>
      <x:c r="E235" s="24"/>
      <x:c r="F235" s="28"/>
      <x:c r="G235" s="29"/>
      <x:c r="H235" s="24"/>
      <x:c r="I235" s="24"/>
      <x:c r="J235" s="24"/>
      <x:c r="K235" s="24"/>
      <x:c r="L235" s="20" t="str">
        <x:f>IF(Q235&lt;&gt;"OK","",IF(E235="Back",G235*(F235-1),-G235*(F235-1)))</x:f>
      </x:c>
      <x:c r="M235" s="20" t="str">
        <x:f>IF(Q235&lt;&gt;"OK","",IF(E235="Back",-G235,G235))</x:f>
      </x:c>
      <x:c r="N235" s="20" t="str">
        <x:f>IF(Q235&lt;&gt;"OK","",SUMIFS($L$8:$L$1007,$A$8:$A$1007,A235,$B$8:$B$1007,"&lt;="&amp;B235))</x:f>
      </x:c>
      <x:c r="O235" s="20" t="str">
        <x:f>IF(Q235&lt;&gt;"OK","",SUMIFS($M$8:$M$1007,$A$8:$A$1007,A235,$B$8:$B$1007,"&lt;="&amp;B235))</x:f>
      </x:c>
      <x:c r="P235" s="20" t="str">
        <x:f>IF(Q235&lt;&gt;"OK","",MAX(0,-MIN(N235,O235)))</x:f>
      </x:c>
      <x:c r="Q235" s="18" t="str">
        <x:f>IF(A235="",IF(COUNTA(B235:K235)=0,"","Inserisci ID"),IF(COUNTIFS('Diario'!$A$8:$A$507,A235)&lt;&gt;1,"ID assente / duplicato",IF(OR(NOT(ISNUMBER(B235)),B235&lt;1,B235&lt;&gt;INT(B235),COUNTIFS($A$8:$A$1007,A235,$B$8:$B$1007,B235)&lt;&gt;1),"N. esecuzione non valido",IF(OR(NOT(ISNUMBER(C235)),AND(D235&lt;&gt;"Ingresso",D235&lt;&gt;"Uscita"),AND(E235&lt;&gt;"Back",E235&lt;&gt;"Lay")),"Completa data / fase / lato",IF(OR(NOT(ISNUMBER(F235)),F235&lt;=1,NOT(ISNUMBER(G235)),G235&lt;=0),"Correggi quota / stake","OK")))))</x:f>
      </x:c>
    </x:row>
    <x:row r="236" ht="22" customHeight="1">
      <x:c r="A236" s="24"/>
      <x:c r="B236" s="24"/>
      <x:c r="C236" s="26"/>
      <x:c r="D236" s="24"/>
      <x:c r="E236" s="24"/>
      <x:c r="F236" s="28"/>
      <x:c r="G236" s="29"/>
      <x:c r="H236" s="24"/>
      <x:c r="I236" s="24"/>
      <x:c r="J236" s="24"/>
      <x:c r="K236" s="24"/>
      <x:c r="L236" s="20" t="str">
        <x:f>IF(Q236&lt;&gt;"OK","",IF(E236="Back",G236*(F236-1),-G236*(F236-1)))</x:f>
      </x:c>
      <x:c r="M236" s="20" t="str">
        <x:f>IF(Q236&lt;&gt;"OK","",IF(E236="Back",-G236,G236))</x:f>
      </x:c>
      <x:c r="N236" s="20" t="str">
        <x:f>IF(Q236&lt;&gt;"OK","",SUMIFS($L$8:$L$1007,$A$8:$A$1007,A236,$B$8:$B$1007,"&lt;="&amp;B236))</x:f>
      </x:c>
      <x:c r="O236" s="20" t="str">
        <x:f>IF(Q236&lt;&gt;"OK","",SUMIFS($M$8:$M$1007,$A$8:$A$1007,A236,$B$8:$B$1007,"&lt;="&amp;B236))</x:f>
      </x:c>
      <x:c r="P236" s="20" t="str">
        <x:f>IF(Q236&lt;&gt;"OK","",MAX(0,-MIN(N236,O236)))</x:f>
      </x:c>
      <x:c r="Q236" s="18" t="str">
        <x:f>IF(A236="",IF(COUNTA(B236:K236)=0,"","Inserisci ID"),IF(COUNTIFS('Diario'!$A$8:$A$507,A236)&lt;&gt;1,"ID assente / duplicato",IF(OR(NOT(ISNUMBER(B236)),B236&lt;1,B236&lt;&gt;INT(B236),COUNTIFS($A$8:$A$1007,A236,$B$8:$B$1007,B236)&lt;&gt;1),"N. esecuzione non valido",IF(OR(NOT(ISNUMBER(C236)),AND(D236&lt;&gt;"Ingresso",D236&lt;&gt;"Uscita"),AND(E236&lt;&gt;"Back",E236&lt;&gt;"Lay")),"Completa data / fase / lato",IF(OR(NOT(ISNUMBER(F236)),F236&lt;=1,NOT(ISNUMBER(G236)),G236&lt;=0),"Correggi quota / stake","OK")))))</x:f>
      </x:c>
    </x:row>
    <x:row r="237" ht="22" customHeight="1">
      <x:c r="A237" s="24"/>
      <x:c r="B237" s="24"/>
      <x:c r="C237" s="26"/>
      <x:c r="D237" s="24"/>
      <x:c r="E237" s="24"/>
      <x:c r="F237" s="28"/>
      <x:c r="G237" s="29"/>
      <x:c r="H237" s="24"/>
      <x:c r="I237" s="24"/>
      <x:c r="J237" s="24"/>
      <x:c r="K237" s="24"/>
      <x:c r="L237" s="20" t="str">
        <x:f>IF(Q237&lt;&gt;"OK","",IF(E237="Back",G237*(F237-1),-G237*(F237-1)))</x:f>
      </x:c>
      <x:c r="M237" s="20" t="str">
        <x:f>IF(Q237&lt;&gt;"OK","",IF(E237="Back",-G237,G237))</x:f>
      </x:c>
      <x:c r="N237" s="20" t="str">
        <x:f>IF(Q237&lt;&gt;"OK","",SUMIFS($L$8:$L$1007,$A$8:$A$1007,A237,$B$8:$B$1007,"&lt;="&amp;B237))</x:f>
      </x:c>
      <x:c r="O237" s="20" t="str">
        <x:f>IF(Q237&lt;&gt;"OK","",SUMIFS($M$8:$M$1007,$A$8:$A$1007,A237,$B$8:$B$1007,"&lt;="&amp;B237))</x:f>
      </x:c>
      <x:c r="P237" s="20" t="str">
        <x:f>IF(Q237&lt;&gt;"OK","",MAX(0,-MIN(N237,O237)))</x:f>
      </x:c>
      <x:c r="Q237" s="18" t="str">
        <x:f>IF(A237="",IF(COUNTA(B237:K237)=0,"","Inserisci ID"),IF(COUNTIFS('Diario'!$A$8:$A$507,A237)&lt;&gt;1,"ID assente / duplicato",IF(OR(NOT(ISNUMBER(B237)),B237&lt;1,B237&lt;&gt;INT(B237),COUNTIFS($A$8:$A$1007,A237,$B$8:$B$1007,B237)&lt;&gt;1),"N. esecuzione non valido",IF(OR(NOT(ISNUMBER(C237)),AND(D237&lt;&gt;"Ingresso",D237&lt;&gt;"Uscita"),AND(E237&lt;&gt;"Back",E237&lt;&gt;"Lay")),"Completa data / fase / lato",IF(OR(NOT(ISNUMBER(F237)),F237&lt;=1,NOT(ISNUMBER(G237)),G237&lt;=0),"Correggi quota / stake","OK")))))</x:f>
      </x:c>
    </x:row>
    <x:row r="238" ht="22" customHeight="1">
      <x:c r="A238" s="24"/>
      <x:c r="B238" s="24"/>
      <x:c r="C238" s="26"/>
      <x:c r="D238" s="24"/>
      <x:c r="E238" s="24"/>
      <x:c r="F238" s="28"/>
      <x:c r="G238" s="29"/>
      <x:c r="H238" s="24"/>
      <x:c r="I238" s="24"/>
      <x:c r="J238" s="24"/>
      <x:c r="K238" s="24"/>
      <x:c r="L238" s="20" t="str">
        <x:f>IF(Q238&lt;&gt;"OK","",IF(E238="Back",G238*(F238-1),-G238*(F238-1)))</x:f>
      </x:c>
      <x:c r="M238" s="20" t="str">
        <x:f>IF(Q238&lt;&gt;"OK","",IF(E238="Back",-G238,G238))</x:f>
      </x:c>
      <x:c r="N238" s="20" t="str">
        <x:f>IF(Q238&lt;&gt;"OK","",SUMIFS($L$8:$L$1007,$A$8:$A$1007,A238,$B$8:$B$1007,"&lt;="&amp;B238))</x:f>
      </x:c>
      <x:c r="O238" s="20" t="str">
        <x:f>IF(Q238&lt;&gt;"OK","",SUMIFS($M$8:$M$1007,$A$8:$A$1007,A238,$B$8:$B$1007,"&lt;="&amp;B238))</x:f>
      </x:c>
      <x:c r="P238" s="20" t="str">
        <x:f>IF(Q238&lt;&gt;"OK","",MAX(0,-MIN(N238,O238)))</x:f>
      </x:c>
      <x:c r="Q238" s="18" t="str">
        <x:f>IF(A238="",IF(COUNTA(B238:K238)=0,"","Inserisci ID"),IF(COUNTIFS('Diario'!$A$8:$A$507,A238)&lt;&gt;1,"ID assente / duplicato",IF(OR(NOT(ISNUMBER(B238)),B238&lt;1,B238&lt;&gt;INT(B238),COUNTIFS($A$8:$A$1007,A238,$B$8:$B$1007,B238)&lt;&gt;1),"N. esecuzione non valido",IF(OR(NOT(ISNUMBER(C238)),AND(D238&lt;&gt;"Ingresso",D238&lt;&gt;"Uscita"),AND(E238&lt;&gt;"Back",E238&lt;&gt;"Lay")),"Completa data / fase / lato",IF(OR(NOT(ISNUMBER(F238)),F238&lt;=1,NOT(ISNUMBER(G238)),G238&lt;=0),"Correggi quota / stake","OK")))))</x:f>
      </x:c>
    </x:row>
    <x:row r="239" ht="22" customHeight="1">
      <x:c r="A239" s="24"/>
      <x:c r="B239" s="24"/>
      <x:c r="C239" s="26"/>
      <x:c r="D239" s="24"/>
      <x:c r="E239" s="24"/>
      <x:c r="F239" s="28"/>
      <x:c r="G239" s="29"/>
      <x:c r="H239" s="24"/>
      <x:c r="I239" s="24"/>
      <x:c r="J239" s="24"/>
      <x:c r="K239" s="24"/>
      <x:c r="L239" s="20" t="str">
        <x:f>IF(Q239&lt;&gt;"OK","",IF(E239="Back",G239*(F239-1),-G239*(F239-1)))</x:f>
      </x:c>
      <x:c r="M239" s="20" t="str">
        <x:f>IF(Q239&lt;&gt;"OK","",IF(E239="Back",-G239,G239))</x:f>
      </x:c>
      <x:c r="N239" s="20" t="str">
        <x:f>IF(Q239&lt;&gt;"OK","",SUMIFS($L$8:$L$1007,$A$8:$A$1007,A239,$B$8:$B$1007,"&lt;="&amp;B239))</x:f>
      </x:c>
      <x:c r="O239" s="20" t="str">
        <x:f>IF(Q239&lt;&gt;"OK","",SUMIFS($M$8:$M$1007,$A$8:$A$1007,A239,$B$8:$B$1007,"&lt;="&amp;B239))</x:f>
      </x:c>
      <x:c r="P239" s="20" t="str">
        <x:f>IF(Q239&lt;&gt;"OK","",MAX(0,-MIN(N239,O239)))</x:f>
      </x:c>
      <x:c r="Q239" s="18" t="str">
        <x:f>IF(A239="",IF(COUNTA(B239:K239)=0,"","Inserisci ID"),IF(COUNTIFS('Diario'!$A$8:$A$507,A239)&lt;&gt;1,"ID assente / duplicato",IF(OR(NOT(ISNUMBER(B239)),B239&lt;1,B239&lt;&gt;INT(B239),COUNTIFS($A$8:$A$1007,A239,$B$8:$B$1007,B239)&lt;&gt;1),"N. esecuzione non valido",IF(OR(NOT(ISNUMBER(C239)),AND(D239&lt;&gt;"Ingresso",D239&lt;&gt;"Uscita"),AND(E239&lt;&gt;"Back",E239&lt;&gt;"Lay")),"Completa data / fase / lato",IF(OR(NOT(ISNUMBER(F239)),F239&lt;=1,NOT(ISNUMBER(G239)),G239&lt;=0),"Correggi quota / stake","OK")))))</x:f>
      </x:c>
    </x:row>
    <x:row r="240" ht="22" customHeight="1">
      <x:c r="A240" s="24"/>
      <x:c r="B240" s="24"/>
      <x:c r="C240" s="26"/>
      <x:c r="D240" s="24"/>
      <x:c r="E240" s="24"/>
      <x:c r="F240" s="28"/>
      <x:c r="G240" s="29"/>
      <x:c r="H240" s="24"/>
      <x:c r="I240" s="24"/>
      <x:c r="J240" s="24"/>
      <x:c r="K240" s="24"/>
      <x:c r="L240" s="20" t="str">
        <x:f>IF(Q240&lt;&gt;"OK","",IF(E240="Back",G240*(F240-1),-G240*(F240-1)))</x:f>
      </x:c>
      <x:c r="M240" s="20" t="str">
        <x:f>IF(Q240&lt;&gt;"OK","",IF(E240="Back",-G240,G240))</x:f>
      </x:c>
      <x:c r="N240" s="20" t="str">
        <x:f>IF(Q240&lt;&gt;"OK","",SUMIFS($L$8:$L$1007,$A$8:$A$1007,A240,$B$8:$B$1007,"&lt;="&amp;B240))</x:f>
      </x:c>
      <x:c r="O240" s="20" t="str">
        <x:f>IF(Q240&lt;&gt;"OK","",SUMIFS($M$8:$M$1007,$A$8:$A$1007,A240,$B$8:$B$1007,"&lt;="&amp;B240))</x:f>
      </x:c>
      <x:c r="P240" s="20" t="str">
        <x:f>IF(Q240&lt;&gt;"OK","",MAX(0,-MIN(N240,O240)))</x:f>
      </x:c>
      <x:c r="Q240" s="18" t="str">
        <x:f>IF(A240="",IF(COUNTA(B240:K240)=0,"","Inserisci ID"),IF(COUNTIFS('Diario'!$A$8:$A$507,A240)&lt;&gt;1,"ID assente / duplicato",IF(OR(NOT(ISNUMBER(B240)),B240&lt;1,B240&lt;&gt;INT(B240),COUNTIFS($A$8:$A$1007,A240,$B$8:$B$1007,B240)&lt;&gt;1),"N. esecuzione non valido",IF(OR(NOT(ISNUMBER(C240)),AND(D240&lt;&gt;"Ingresso",D240&lt;&gt;"Uscita"),AND(E240&lt;&gt;"Back",E240&lt;&gt;"Lay")),"Completa data / fase / lato",IF(OR(NOT(ISNUMBER(F240)),F240&lt;=1,NOT(ISNUMBER(G240)),G240&lt;=0),"Correggi quota / stake","OK")))))</x:f>
      </x:c>
    </x:row>
    <x:row r="241" ht="22" customHeight="1">
      <x:c r="A241" s="24"/>
      <x:c r="B241" s="24"/>
      <x:c r="C241" s="26"/>
      <x:c r="D241" s="24"/>
      <x:c r="E241" s="24"/>
      <x:c r="F241" s="28"/>
      <x:c r="G241" s="29"/>
      <x:c r="H241" s="24"/>
      <x:c r="I241" s="24"/>
      <x:c r="J241" s="24"/>
      <x:c r="K241" s="24"/>
      <x:c r="L241" s="20" t="str">
        <x:f>IF(Q241&lt;&gt;"OK","",IF(E241="Back",G241*(F241-1),-G241*(F241-1)))</x:f>
      </x:c>
      <x:c r="M241" s="20" t="str">
        <x:f>IF(Q241&lt;&gt;"OK","",IF(E241="Back",-G241,G241))</x:f>
      </x:c>
      <x:c r="N241" s="20" t="str">
        <x:f>IF(Q241&lt;&gt;"OK","",SUMIFS($L$8:$L$1007,$A$8:$A$1007,A241,$B$8:$B$1007,"&lt;="&amp;B241))</x:f>
      </x:c>
      <x:c r="O241" s="20" t="str">
        <x:f>IF(Q241&lt;&gt;"OK","",SUMIFS($M$8:$M$1007,$A$8:$A$1007,A241,$B$8:$B$1007,"&lt;="&amp;B241))</x:f>
      </x:c>
      <x:c r="P241" s="20" t="str">
        <x:f>IF(Q241&lt;&gt;"OK","",MAX(0,-MIN(N241,O241)))</x:f>
      </x:c>
      <x:c r="Q241" s="18" t="str">
        <x:f>IF(A241="",IF(COUNTA(B241:K241)=0,"","Inserisci ID"),IF(COUNTIFS('Diario'!$A$8:$A$507,A241)&lt;&gt;1,"ID assente / duplicato",IF(OR(NOT(ISNUMBER(B241)),B241&lt;1,B241&lt;&gt;INT(B241),COUNTIFS($A$8:$A$1007,A241,$B$8:$B$1007,B241)&lt;&gt;1),"N. esecuzione non valido",IF(OR(NOT(ISNUMBER(C241)),AND(D241&lt;&gt;"Ingresso",D241&lt;&gt;"Uscita"),AND(E241&lt;&gt;"Back",E241&lt;&gt;"Lay")),"Completa data / fase / lato",IF(OR(NOT(ISNUMBER(F241)),F241&lt;=1,NOT(ISNUMBER(G241)),G241&lt;=0),"Correggi quota / stake","OK")))))</x:f>
      </x:c>
    </x:row>
    <x:row r="242" ht="22" customHeight="1">
      <x:c r="A242" s="24"/>
      <x:c r="B242" s="24"/>
      <x:c r="C242" s="26"/>
      <x:c r="D242" s="24"/>
      <x:c r="E242" s="24"/>
      <x:c r="F242" s="28"/>
      <x:c r="G242" s="29"/>
      <x:c r="H242" s="24"/>
      <x:c r="I242" s="24"/>
      <x:c r="J242" s="24"/>
      <x:c r="K242" s="24"/>
      <x:c r="L242" s="20" t="str">
        <x:f>IF(Q242&lt;&gt;"OK","",IF(E242="Back",G242*(F242-1),-G242*(F242-1)))</x:f>
      </x:c>
      <x:c r="M242" s="20" t="str">
        <x:f>IF(Q242&lt;&gt;"OK","",IF(E242="Back",-G242,G242))</x:f>
      </x:c>
      <x:c r="N242" s="20" t="str">
        <x:f>IF(Q242&lt;&gt;"OK","",SUMIFS($L$8:$L$1007,$A$8:$A$1007,A242,$B$8:$B$1007,"&lt;="&amp;B242))</x:f>
      </x:c>
      <x:c r="O242" s="20" t="str">
        <x:f>IF(Q242&lt;&gt;"OK","",SUMIFS($M$8:$M$1007,$A$8:$A$1007,A242,$B$8:$B$1007,"&lt;="&amp;B242))</x:f>
      </x:c>
      <x:c r="P242" s="20" t="str">
        <x:f>IF(Q242&lt;&gt;"OK","",MAX(0,-MIN(N242,O242)))</x:f>
      </x:c>
      <x:c r="Q242" s="18" t="str">
        <x:f>IF(A242="",IF(COUNTA(B242:K242)=0,"","Inserisci ID"),IF(COUNTIFS('Diario'!$A$8:$A$507,A242)&lt;&gt;1,"ID assente / duplicato",IF(OR(NOT(ISNUMBER(B242)),B242&lt;1,B242&lt;&gt;INT(B242),COUNTIFS($A$8:$A$1007,A242,$B$8:$B$1007,B242)&lt;&gt;1),"N. esecuzione non valido",IF(OR(NOT(ISNUMBER(C242)),AND(D242&lt;&gt;"Ingresso",D242&lt;&gt;"Uscita"),AND(E242&lt;&gt;"Back",E242&lt;&gt;"Lay")),"Completa data / fase / lato",IF(OR(NOT(ISNUMBER(F242)),F242&lt;=1,NOT(ISNUMBER(G242)),G242&lt;=0),"Correggi quota / stake","OK")))))</x:f>
      </x:c>
    </x:row>
    <x:row r="243" ht="22" customHeight="1">
      <x:c r="A243" s="24"/>
      <x:c r="B243" s="24"/>
      <x:c r="C243" s="26"/>
      <x:c r="D243" s="24"/>
      <x:c r="E243" s="24"/>
      <x:c r="F243" s="28"/>
      <x:c r="G243" s="29"/>
      <x:c r="H243" s="24"/>
      <x:c r="I243" s="24"/>
      <x:c r="J243" s="24"/>
      <x:c r="K243" s="24"/>
      <x:c r="L243" s="20" t="str">
        <x:f>IF(Q243&lt;&gt;"OK","",IF(E243="Back",G243*(F243-1),-G243*(F243-1)))</x:f>
      </x:c>
      <x:c r="M243" s="20" t="str">
        <x:f>IF(Q243&lt;&gt;"OK","",IF(E243="Back",-G243,G243))</x:f>
      </x:c>
      <x:c r="N243" s="20" t="str">
        <x:f>IF(Q243&lt;&gt;"OK","",SUMIFS($L$8:$L$1007,$A$8:$A$1007,A243,$B$8:$B$1007,"&lt;="&amp;B243))</x:f>
      </x:c>
      <x:c r="O243" s="20" t="str">
        <x:f>IF(Q243&lt;&gt;"OK","",SUMIFS($M$8:$M$1007,$A$8:$A$1007,A243,$B$8:$B$1007,"&lt;="&amp;B243))</x:f>
      </x:c>
      <x:c r="P243" s="20" t="str">
        <x:f>IF(Q243&lt;&gt;"OK","",MAX(0,-MIN(N243,O243)))</x:f>
      </x:c>
      <x:c r="Q243" s="18" t="str">
        <x:f>IF(A243="",IF(COUNTA(B243:K243)=0,"","Inserisci ID"),IF(COUNTIFS('Diario'!$A$8:$A$507,A243)&lt;&gt;1,"ID assente / duplicato",IF(OR(NOT(ISNUMBER(B243)),B243&lt;1,B243&lt;&gt;INT(B243),COUNTIFS($A$8:$A$1007,A243,$B$8:$B$1007,B243)&lt;&gt;1),"N. esecuzione non valido",IF(OR(NOT(ISNUMBER(C243)),AND(D243&lt;&gt;"Ingresso",D243&lt;&gt;"Uscita"),AND(E243&lt;&gt;"Back",E243&lt;&gt;"Lay")),"Completa data / fase / lato",IF(OR(NOT(ISNUMBER(F243)),F243&lt;=1,NOT(ISNUMBER(G243)),G243&lt;=0),"Correggi quota / stake","OK")))))</x:f>
      </x:c>
    </x:row>
    <x:row r="244" ht="22" customHeight="1">
      <x:c r="A244" s="24"/>
      <x:c r="B244" s="24"/>
      <x:c r="C244" s="26"/>
      <x:c r="D244" s="24"/>
      <x:c r="E244" s="24"/>
      <x:c r="F244" s="28"/>
      <x:c r="G244" s="29"/>
      <x:c r="H244" s="24"/>
      <x:c r="I244" s="24"/>
      <x:c r="J244" s="24"/>
      <x:c r="K244" s="24"/>
      <x:c r="L244" s="20" t="str">
        <x:f>IF(Q244&lt;&gt;"OK","",IF(E244="Back",G244*(F244-1),-G244*(F244-1)))</x:f>
      </x:c>
      <x:c r="M244" s="20" t="str">
        <x:f>IF(Q244&lt;&gt;"OK","",IF(E244="Back",-G244,G244))</x:f>
      </x:c>
      <x:c r="N244" s="20" t="str">
        <x:f>IF(Q244&lt;&gt;"OK","",SUMIFS($L$8:$L$1007,$A$8:$A$1007,A244,$B$8:$B$1007,"&lt;="&amp;B244))</x:f>
      </x:c>
      <x:c r="O244" s="20" t="str">
        <x:f>IF(Q244&lt;&gt;"OK","",SUMIFS($M$8:$M$1007,$A$8:$A$1007,A244,$B$8:$B$1007,"&lt;="&amp;B244))</x:f>
      </x:c>
      <x:c r="P244" s="20" t="str">
        <x:f>IF(Q244&lt;&gt;"OK","",MAX(0,-MIN(N244,O244)))</x:f>
      </x:c>
      <x:c r="Q244" s="18" t="str">
        <x:f>IF(A244="",IF(COUNTA(B244:K244)=0,"","Inserisci ID"),IF(COUNTIFS('Diario'!$A$8:$A$507,A244)&lt;&gt;1,"ID assente / duplicato",IF(OR(NOT(ISNUMBER(B244)),B244&lt;1,B244&lt;&gt;INT(B244),COUNTIFS($A$8:$A$1007,A244,$B$8:$B$1007,B244)&lt;&gt;1),"N. esecuzione non valido",IF(OR(NOT(ISNUMBER(C244)),AND(D244&lt;&gt;"Ingresso",D244&lt;&gt;"Uscita"),AND(E244&lt;&gt;"Back",E244&lt;&gt;"Lay")),"Completa data / fase / lato",IF(OR(NOT(ISNUMBER(F244)),F244&lt;=1,NOT(ISNUMBER(G244)),G244&lt;=0),"Correggi quota / stake","OK")))))</x:f>
      </x:c>
    </x:row>
    <x:row r="245" ht="22" customHeight="1">
      <x:c r="A245" s="24"/>
      <x:c r="B245" s="24"/>
      <x:c r="C245" s="26"/>
      <x:c r="D245" s="24"/>
      <x:c r="E245" s="24"/>
      <x:c r="F245" s="28"/>
      <x:c r="G245" s="29"/>
      <x:c r="H245" s="24"/>
      <x:c r="I245" s="24"/>
      <x:c r="J245" s="24"/>
      <x:c r="K245" s="24"/>
      <x:c r="L245" s="20" t="str">
        <x:f>IF(Q245&lt;&gt;"OK","",IF(E245="Back",G245*(F245-1),-G245*(F245-1)))</x:f>
      </x:c>
      <x:c r="M245" s="20" t="str">
        <x:f>IF(Q245&lt;&gt;"OK","",IF(E245="Back",-G245,G245))</x:f>
      </x:c>
      <x:c r="N245" s="20" t="str">
        <x:f>IF(Q245&lt;&gt;"OK","",SUMIFS($L$8:$L$1007,$A$8:$A$1007,A245,$B$8:$B$1007,"&lt;="&amp;B245))</x:f>
      </x:c>
      <x:c r="O245" s="20" t="str">
        <x:f>IF(Q245&lt;&gt;"OK","",SUMIFS($M$8:$M$1007,$A$8:$A$1007,A245,$B$8:$B$1007,"&lt;="&amp;B245))</x:f>
      </x:c>
      <x:c r="P245" s="20" t="str">
        <x:f>IF(Q245&lt;&gt;"OK","",MAX(0,-MIN(N245,O245)))</x:f>
      </x:c>
      <x:c r="Q245" s="18" t="str">
        <x:f>IF(A245="",IF(COUNTA(B245:K245)=0,"","Inserisci ID"),IF(COUNTIFS('Diario'!$A$8:$A$507,A245)&lt;&gt;1,"ID assente / duplicato",IF(OR(NOT(ISNUMBER(B245)),B245&lt;1,B245&lt;&gt;INT(B245),COUNTIFS($A$8:$A$1007,A245,$B$8:$B$1007,B245)&lt;&gt;1),"N. esecuzione non valido",IF(OR(NOT(ISNUMBER(C245)),AND(D245&lt;&gt;"Ingresso",D245&lt;&gt;"Uscita"),AND(E245&lt;&gt;"Back",E245&lt;&gt;"Lay")),"Completa data / fase / lato",IF(OR(NOT(ISNUMBER(F245)),F245&lt;=1,NOT(ISNUMBER(G245)),G245&lt;=0),"Correggi quota / stake","OK")))))</x:f>
      </x:c>
    </x:row>
    <x:row r="246" ht="22" customHeight="1">
      <x:c r="A246" s="24"/>
      <x:c r="B246" s="24"/>
      <x:c r="C246" s="26"/>
      <x:c r="D246" s="24"/>
      <x:c r="E246" s="24"/>
      <x:c r="F246" s="28"/>
      <x:c r="G246" s="29"/>
      <x:c r="H246" s="24"/>
      <x:c r="I246" s="24"/>
      <x:c r="J246" s="24"/>
      <x:c r="K246" s="24"/>
      <x:c r="L246" s="20" t="str">
        <x:f>IF(Q246&lt;&gt;"OK","",IF(E246="Back",G246*(F246-1),-G246*(F246-1)))</x:f>
      </x:c>
      <x:c r="M246" s="20" t="str">
        <x:f>IF(Q246&lt;&gt;"OK","",IF(E246="Back",-G246,G246))</x:f>
      </x:c>
      <x:c r="N246" s="20" t="str">
        <x:f>IF(Q246&lt;&gt;"OK","",SUMIFS($L$8:$L$1007,$A$8:$A$1007,A246,$B$8:$B$1007,"&lt;="&amp;B246))</x:f>
      </x:c>
      <x:c r="O246" s="20" t="str">
        <x:f>IF(Q246&lt;&gt;"OK","",SUMIFS($M$8:$M$1007,$A$8:$A$1007,A246,$B$8:$B$1007,"&lt;="&amp;B246))</x:f>
      </x:c>
      <x:c r="P246" s="20" t="str">
        <x:f>IF(Q246&lt;&gt;"OK","",MAX(0,-MIN(N246,O246)))</x:f>
      </x:c>
      <x:c r="Q246" s="18" t="str">
        <x:f>IF(A246="",IF(COUNTA(B246:K246)=0,"","Inserisci ID"),IF(COUNTIFS('Diario'!$A$8:$A$507,A246)&lt;&gt;1,"ID assente / duplicato",IF(OR(NOT(ISNUMBER(B246)),B246&lt;1,B246&lt;&gt;INT(B246),COUNTIFS($A$8:$A$1007,A246,$B$8:$B$1007,B246)&lt;&gt;1),"N. esecuzione non valido",IF(OR(NOT(ISNUMBER(C246)),AND(D246&lt;&gt;"Ingresso",D246&lt;&gt;"Uscita"),AND(E246&lt;&gt;"Back",E246&lt;&gt;"Lay")),"Completa data / fase / lato",IF(OR(NOT(ISNUMBER(F246)),F246&lt;=1,NOT(ISNUMBER(G246)),G246&lt;=0),"Correggi quota / stake","OK")))))</x:f>
      </x:c>
    </x:row>
    <x:row r="247" ht="22" customHeight="1">
      <x:c r="A247" s="24"/>
      <x:c r="B247" s="24"/>
      <x:c r="C247" s="26"/>
      <x:c r="D247" s="24"/>
      <x:c r="E247" s="24"/>
      <x:c r="F247" s="28"/>
      <x:c r="G247" s="29"/>
      <x:c r="H247" s="24"/>
      <x:c r="I247" s="24"/>
      <x:c r="J247" s="24"/>
      <x:c r="K247" s="24"/>
      <x:c r="L247" s="20" t="str">
        <x:f>IF(Q247&lt;&gt;"OK","",IF(E247="Back",G247*(F247-1),-G247*(F247-1)))</x:f>
      </x:c>
      <x:c r="M247" s="20" t="str">
        <x:f>IF(Q247&lt;&gt;"OK","",IF(E247="Back",-G247,G247))</x:f>
      </x:c>
      <x:c r="N247" s="20" t="str">
        <x:f>IF(Q247&lt;&gt;"OK","",SUMIFS($L$8:$L$1007,$A$8:$A$1007,A247,$B$8:$B$1007,"&lt;="&amp;B247))</x:f>
      </x:c>
      <x:c r="O247" s="20" t="str">
        <x:f>IF(Q247&lt;&gt;"OK","",SUMIFS($M$8:$M$1007,$A$8:$A$1007,A247,$B$8:$B$1007,"&lt;="&amp;B247))</x:f>
      </x:c>
      <x:c r="P247" s="20" t="str">
        <x:f>IF(Q247&lt;&gt;"OK","",MAX(0,-MIN(N247,O247)))</x:f>
      </x:c>
      <x:c r="Q247" s="18" t="str">
        <x:f>IF(A247="",IF(COUNTA(B247:K247)=0,"","Inserisci ID"),IF(COUNTIFS('Diario'!$A$8:$A$507,A247)&lt;&gt;1,"ID assente / duplicato",IF(OR(NOT(ISNUMBER(B247)),B247&lt;1,B247&lt;&gt;INT(B247),COUNTIFS($A$8:$A$1007,A247,$B$8:$B$1007,B247)&lt;&gt;1),"N. esecuzione non valido",IF(OR(NOT(ISNUMBER(C247)),AND(D247&lt;&gt;"Ingresso",D247&lt;&gt;"Uscita"),AND(E247&lt;&gt;"Back",E247&lt;&gt;"Lay")),"Completa data / fase / lato",IF(OR(NOT(ISNUMBER(F247)),F247&lt;=1,NOT(ISNUMBER(G247)),G247&lt;=0),"Correggi quota / stake","OK")))))</x:f>
      </x:c>
    </x:row>
    <x:row r="248" ht="22" customHeight="1">
      <x:c r="A248" s="24"/>
      <x:c r="B248" s="24"/>
      <x:c r="C248" s="26"/>
      <x:c r="D248" s="24"/>
      <x:c r="E248" s="24"/>
      <x:c r="F248" s="28"/>
      <x:c r="G248" s="29"/>
      <x:c r="H248" s="24"/>
      <x:c r="I248" s="24"/>
      <x:c r="J248" s="24"/>
      <x:c r="K248" s="24"/>
      <x:c r="L248" s="20" t="str">
        <x:f>IF(Q248&lt;&gt;"OK","",IF(E248="Back",G248*(F248-1),-G248*(F248-1)))</x:f>
      </x:c>
      <x:c r="M248" s="20" t="str">
        <x:f>IF(Q248&lt;&gt;"OK","",IF(E248="Back",-G248,G248))</x:f>
      </x:c>
      <x:c r="N248" s="20" t="str">
        <x:f>IF(Q248&lt;&gt;"OK","",SUMIFS($L$8:$L$1007,$A$8:$A$1007,A248,$B$8:$B$1007,"&lt;="&amp;B248))</x:f>
      </x:c>
      <x:c r="O248" s="20" t="str">
        <x:f>IF(Q248&lt;&gt;"OK","",SUMIFS($M$8:$M$1007,$A$8:$A$1007,A248,$B$8:$B$1007,"&lt;="&amp;B248))</x:f>
      </x:c>
      <x:c r="P248" s="20" t="str">
        <x:f>IF(Q248&lt;&gt;"OK","",MAX(0,-MIN(N248,O248)))</x:f>
      </x:c>
      <x:c r="Q248" s="18" t="str">
        <x:f>IF(A248="",IF(COUNTA(B248:K248)=0,"","Inserisci ID"),IF(COUNTIFS('Diario'!$A$8:$A$507,A248)&lt;&gt;1,"ID assente / duplicato",IF(OR(NOT(ISNUMBER(B248)),B248&lt;1,B248&lt;&gt;INT(B248),COUNTIFS($A$8:$A$1007,A248,$B$8:$B$1007,B248)&lt;&gt;1),"N. esecuzione non valido",IF(OR(NOT(ISNUMBER(C248)),AND(D248&lt;&gt;"Ingresso",D248&lt;&gt;"Uscita"),AND(E248&lt;&gt;"Back",E248&lt;&gt;"Lay")),"Completa data / fase / lato",IF(OR(NOT(ISNUMBER(F248)),F248&lt;=1,NOT(ISNUMBER(G248)),G248&lt;=0),"Correggi quota / stake","OK")))))</x:f>
      </x:c>
    </x:row>
    <x:row r="249" ht="22" customHeight="1">
      <x:c r="A249" s="24"/>
      <x:c r="B249" s="24"/>
      <x:c r="C249" s="26"/>
      <x:c r="D249" s="24"/>
      <x:c r="E249" s="24"/>
      <x:c r="F249" s="28"/>
      <x:c r="G249" s="29"/>
      <x:c r="H249" s="24"/>
      <x:c r="I249" s="24"/>
      <x:c r="J249" s="24"/>
      <x:c r="K249" s="24"/>
      <x:c r="L249" s="20" t="str">
        <x:f>IF(Q249&lt;&gt;"OK","",IF(E249="Back",G249*(F249-1),-G249*(F249-1)))</x:f>
      </x:c>
      <x:c r="M249" s="20" t="str">
        <x:f>IF(Q249&lt;&gt;"OK","",IF(E249="Back",-G249,G249))</x:f>
      </x:c>
      <x:c r="N249" s="20" t="str">
        <x:f>IF(Q249&lt;&gt;"OK","",SUMIFS($L$8:$L$1007,$A$8:$A$1007,A249,$B$8:$B$1007,"&lt;="&amp;B249))</x:f>
      </x:c>
      <x:c r="O249" s="20" t="str">
        <x:f>IF(Q249&lt;&gt;"OK","",SUMIFS($M$8:$M$1007,$A$8:$A$1007,A249,$B$8:$B$1007,"&lt;="&amp;B249))</x:f>
      </x:c>
      <x:c r="P249" s="20" t="str">
        <x:f>IF(Q249&lt;&gt;"OK","",MAX(0,-MIN(N249,O249)))</x:f>
      </x:c>
      <x:c r="Q249" s="18" t="str">
        <x:f>IF(A249="",IF(COUNTA(B249:K249)=0,"","Inserisci ID"),IF(COUNTIFS('Diario'!$A$8:$A$507,A249)&lt;&gt;1,"ID assente / duplicato",IF(OR(NOT(ISNUMBER(B249)),B249&lt;1,B249&lt;&gt;INT(B249),COUNTIFS($A$8:$A$1007,A249,$B$8:$B$1007,B249)&lt;&gt;1),"N. esecuzione non valido",IF(OR(NOT(ISNUMBER(C249)),AND(D249&lt;&gt;"Ingresso",D249&lt;&gt;"Uscita"),AND(E249&lt;&gt;"Back",E249&lt;&gt;"Lay")),"Completa data / fase / lato",IF(OR(NOT(ISNUMBER(F249)),F249&lt;=1,NOT(ISNUMBER(G249)),G249&lt;=0),"Correggi quota / stake","OK")))))</x:f>
      </x:c>
    </x:row>
    <x:row r="250" ht="22" customHeight="1">
      <x:c r="A250" s="24"/>
      <x:c r="B250" s="24"/>
      <x:c r="C250" s="26"/>
      <x:c r="D250" s="24"/>
      <x:c r="E250" s="24"/>
      <x:c r="F250" s="28"/>
      <x:c r="G250" s="29"/>
      <x:c r="H250" s="24"/>
      <x:c r="I250" s="24"/>
      <x:c r="J250" s="24"/>
      <x:c r="K250" s="24"/>
      <x:c r="L250" s="20" t="str">
        <x:f>IF(Q250&lt;&gt;"OK","",IF(E250="Back",G250*(F250-1),-G250*(F250-1)))</x:f>
      </x:c>
      <x:c r="M250" s="20" t="str">
        <x:f>IF(Q250&lt;&gt;"OK","",IF(E250="Back",-G250,G250))</x:f>
      </x:c>
      <x:c r="N250" s="20" t="str">
        <x:f>IF(Q250&lt;&gt;"OK","",SUMIFS($L$8:$L$1007,$A$8:$A$1007,A250,$B$8:$B$1007,"&lt;="&amp;B250))</x:f>
      </x:c>
      <x:c r="O250" s="20" t="str">
        <x:f>IF(Q250&lt;&gt;"OK","",SUMIFS($M$8:$M$1007,$A$8:$A$1007,A250,$B$8:$B$1007,"&lt;="&amp;B250))</x:f>
      </x:c>
      <x:c r="P250" s="20" t="str">
        <x:f>IF(Q250&lt;&gt;"OK","",MAX(0,-MIN(N250,O250)))</x:f>
      </x:c>
      <x:c r="Q250" s="18" t="str">
        <x:f>IF(A250="",IF(COUNTA(B250:K250)=0,"","Inserisci ID"),IF(COUNTIFS('Diario'!$A$8:$A$507,A250)&lt;&gt;1,"ID assente / duplicato",IF(OR(NOT(ISNUMBER(B250)),B250&lt;1,B250&lt;&gt;INT(B250),COUNTIFS($A$8:$A$1007,A250,$B$8:$B$1007,B250)&lt;&gt;1),"N. esecuzione non valido",IF(OR(NOT(ISNUMBER(C250)),AND(D250&lt;&gt;"Ingresso",D250&lt;&gt;"Uscita"),AND(E250&lt;&gt;"Back",E250&lt;&gt;"Lay")),"Completa data / fase / lato",IF(OR(NOT(ISNUMBER(F250)),F250&lt;=1,NOT(ISNUMBER(G250)),G250&lt;=0),"Correggi quota / stake","OK")))))</x:f>
      </x:c>
    </x:row>
    <x:row r="251" ht="22" customHeight="1">
      <x:c r="A251" s="24"/>
      <x:c r="B251" s="24"/>
      <x:c r="C251" s="26"/>
      <x:c r="D251" s="24"/>
      <x:c r="E251" s="24"/>
      <x:c r="F251" s="28"/>
      <x:c r="G251" s="29"/>
      <x:c r="H251" s="24"/>
      <x:c r="I251" s="24"/>
      <x:c r="J251" s="24"/>
      <x:c r="K251" s="24"/>
      <x:c r="L251" s="20" t="str">
        <x:f>IF(Q251&lt;&gt;"OK","",IF(E251="Back",G251*(F251-1),-G251*(F251-1)))</x:f>
      </x:c>
      <x:c r="M251" s="20" t="str">
        <x:f>IF(Q251&lt;&gt;"OK","",IF(E251="Back",-G251,G251))</x:f>
      </x:c>
      <x:c r="N251" s="20" t="str">
        <x:f>IF(Q251&lt;&gt;"OK","",SUMIFS($L$8:$L$1007,$A$8:$A$1007,A251,$B$8:$B$1007,"&lt;="&amp;B251))</x:f>
      </x:c>
      <x:c r="O251" s="20" t="str">
        <x:f>IF(Q251&lt;&gt;"OK","",SUMIFS($M$8:$M$1007,$A$8:$A$1007,A251,$B$8:$B$1007,"&lt;="&amp;B251))</x:f>
      </x:c>
      <x:c r="P251" s="20" t="str">
        <x:f>IF(Q251&lt;&gt;"OK","",MAX(0,-MIN(N251,O251)))</x:f>
      </x:c>
      <x:c r="Q251" s="18" t="str">
        <x:f>IF(A251="",IF(COUNTA(B251:K251)=0,"","Inserisci ID"),IF(COUNTIFS('Diario'!$A$8:$A$507,A251)&lt;&gt;1,"ID assente / duplicato",IF(OR(NOT(ISNUMBER(B251)),B251&lt;1,B251&lt;&gt;INT(B251),COUNTIFS($A$8:$A$1007,A251,$B$8:$B$1007,B251)&lt;&gt;1),"N. esecuzione non valido",IF(OR(NOT(ISNUMBER(C251)),AND(D251&lt;&gt;"Ingresso",D251&lt;&gt;"Uscita"),AND(E251&lt;&gt;"Back",E251&lt;&gt;"Lay")),"Completa data / fase / lato",IF(OR(NOT(ISNUMBER(F251)),F251&lt;=1,NOT(ISNUMBER(G251)),G251&lt;=0),"Correggi quota / stake","OK")))))</x:f>
      </x:c>
    </x:row>
    <x:row r="252" ht="22" customHeight="1">
      <x:c r="A252" s="24"/>
      <x:c r="B252" s="24"/>
      <x:c r="C252" s="26"/>
      <x:c r="D252" s="24"/>
      <x:c r="E252" s="24"/>
      <x:c r="F252" s="28"/>
      <x:c r="G252" s="29"/>
      <x:c r="H252" s="24"/>
      <x:c r="I252" s="24"/>
      <x:c r="J252" s="24"/>
      <x:c r="K252" s="24"/>
      <x:c r="L252" s="20" t="str">
        <x:f>IF(Q252&lt;&gt;"OK","",IF(E252="Back",G252*(F252-1),-G252*(F252-1)))</x:f>
      </x:c>
      <x:c r="M252" s="20" t="str">
        <x:f>IF(Q252&lt;&gt;"OK","",IF(E252="Back",-G252,G252))</x:f>
      </x:c>
      <x:c r="N252" s="20" t="str">
        <x:f>IF(Q252&lt;&gt;"OK","",SUMIFS($L$8:$L$1007,$A$8:$A$1007,A252,$B$8:$B$1007,"&lt;="&amp;B252))</x:f>
      </x:c>
      <x:c r="O252" s="20" t="str">
        <x:f>IF(Q252&lt;&gt;"OK","",SUMIFS($M$8:$M$1007,$A$8:$A$1007,A252,$B$8:$B$1007,"&lt;="&amp;B252))</x:f>
      </x:c>
      <x:c r="P252" s="20" t="str">
        <x:f>IF(Q252&lt;&gt;"OK","",MAX(0,-MIN(N252,O252)))</x:f>
      </x:c>
      <x:c r="Q252" s="18" t="str">
        <x:f>IF(A252="",IF(COUNTA(B252:K252)=0,"","Inserisci ID"),IF(COUNTIFS('Diario'!$A$8:$A$507,A252)&lt;&gt;1,"ID assente / duplicato",IF(OR(NOT(ISNUMBER(B252)),B252&lt;1,B252&lt;&gt;INT(B252),COUNTIFS($A$8:$A$1007,A252,$B$8:$B$1007,B252)&lt;&gt;1),"N. esecuzione non valido",IF(OR(NOT(ISNUMBER(C252)),AND(D252&lt;&gt;"Ingresso",D252&lt;&gt;"Uscita"),AND(E252&lt;&gt;"Back",E252&lt;&gt;"Lay")),"Completa data / fase / lato",IF(OR(NOT(ISNUMBER(F252)),F252&lt;=1,NOT(ISNUMBER(G252)),G252&lt;=0),"Correggi quota / stake","OK")))))</x:f>
      </x:c>
    </x:row>
    <x:row r="253" ht="22" customHeight="1">
      <x:c r="A253" s="24"/>
      <x:c r="B253" s="24"/>
      <x:c r="C253" s="26"/>
      <x:c r="D253" s="24"/>
      <x:c r="E253" s="24"/>
      <x:c r="F253" s="28"/>
      <x:c r="G253" s="29"/>
      <x:c r="H253" s="24"/>
      <x:c r="I253" s="24"/>
      <x:c r="J253" s="24"/>
      <x:c r="K253" s="24"/>
      <x:c r="L253" s="20" t="str">
        <x:f>IF(Q253&lt;&gt;"OK","",IF(E253="Back",G253*(F253-1),-G253*(F253-1)))</x:f>
      </x:c>
      <x:c r="M253" s="20" t="str">
        <x:f>IF(Q253&lt;&gt;"OK","",IF(E253="Back",-G253,G253))</x:f>
      </x:c>
      <x:c r="N253" s="20" t="str">
        <x:f>IF(Q253&lt;&gt;"OK","",SUMIFS($L$8:$L$1007,$A$8:$A$1007,A253,$B$8:$B$1007,"&lt;="&amp;B253))</x:f>
      </x:c>
      <x:c r="O253" s="20" t="str">
        <x:f>IF(Q253&lt;&gt;"OK","",SUMIFS($M$8:$M$1007,$A$8:$A$1007,A253,$B$8:$B$1007,"&lt;="&amp;B253))</x:f>
      </x:c>
      <x:c r="P253" s="20" t="str">
        <x:f>IF(Q253&lt;&gt;"OK","",MAX(0,-MIN(N253,O253)))</x:f>
      </x:c>
      <x:c r="Q253" s="18" t="str">
        <x:f>IF(A253="",IF(COUNTA(B253:K253)=0,"","Inserisci ID"),IF(COUNTIFS('Diario'!$A$8:$A$507,A253)&lt;&gt;1,"ID assente / duplicato",IF(OR(NOT(ISNUMBER(B253)),B253&lt;1,B253&lt;&gt;INT(B253),COUNTIFS($A$8:$A$1007,A253,$B$8:$B$1007,B253)&lt;&gt;1),"N. esecuzione non valido",IF(OR(NOT(ISNUMBER(C253)),AND(D253&lt;&gt;"Ingresso",D253&lt;&gt;"Uscita"),AND(E253&lt;&gt;"Back",E253&lt;&gt;"Lay")),"Completa data / fase / lato",IF(OR(NOT(ISNUMBER(F253)),F253&lt;=1,NOT(ISNUMBER(G253)),G253&lt;=0),"Correggi quota / stake","OK")))))</x:f>
      </x:c>
    </x:row>
    <x:row r="254" ht="22" customHeight="1">
      <x:c r="A254" s="24"/>
      <x:c r="B254" s="24"/>
      <x:c r="C254" s="26"/>
      <x:c r="D254" s="24"/>
      <x:c r="E254" s="24"/>
      <x:c r="F254" s="28"/>
      <x:c r="G254" s="29"/>
      <x:c r="H254" s="24"/>
      <x:c r="I254" s="24"/>
      <x:c r="J254" s="24"/>
      <x:c r="K254" s="24"/>
      <x:c r="L254" s="20" t="str">
        <x:f>IF(Q254&lt;&gt;"OK","",IF(E254="Back",G254*(F254-1),-G254*(F254-1)))</x:f>
      </x:c>
      <x:c r="M254" s="20" t="str">
        <x:f>IF(Q254&lt;&gt;"OK","",IF(E254="Back",-G254,G254))</x:f>
      </x:c>
      <x:c r="N254" s="20" t="str">
        <x:f>IF(Q254&lt;&gt;"OK","",SUMIFS($L$8:$L$1007,$A$8:$A$1007,A254,$B$8:$B$1007,"&lt;="&amp;B254))</x:f>
      </x:c>
      <x:c r="O254" s="20" t="str">
        <x:f>IF(Q254&lt;&gt;"OK","",SUMIFS($M$8:$M$1007,$A$8:$A$1007,A254,$B$8:$B$1007,"&lt;="&amp;B254))</x:f>
      </x:c>
      <x:c r="P254" s="20" t="str">
        <x:f>IF(Q254&lt;&gt;"OK","",MAX(0,-MIN(N254,O254)))</x:f>
      </x:c>
      <x:c r="Q254" s="18" t="str">
        <x:f>IF(A254="",IF(COUNTA(B254:K254)=0,"","Inserisci ID"),IF(COUNTIFS('Diario'!$A$8:$A$507,A254)&lt;&gt;1,"ID assente / duplicato",IF(OR(NOT(ISNUMBER(B254)),B254&lt;1,B254&lt;&gt;INT(B254),COUNTIFS($A$8:$A$1007,A254,$B$8:$B$1007,B254)&lt;&gt;1),"N. esecuzione non valido",IF(OR(NOT(ISNUMBER(C254)),AND(D254&lt;&gt;"Ingresso",D254&lt;&gt;"Uscita"),AND(E254&lt;&gt;"Back",E254&lt;&gt;"Lay")),"Completa data / fase / lato",IF(OR(NOT(ISNUMBER(F254)),F254&lt;=1,NOT(ISNUMBER(G254)),G254&lt;=0),"Correggi quota / stake","OK")))))</x:f>
      </x:c>
    </x:row>
    <x:row r="255" ht="22" customHeight="1">
      <x:c r="A255" s="24"/>
      <x:c r="B255" s="24"/>
      <x:c r="C255" s="26"/>
      <x:c r="D255" s="24"/>
      <x:c r="E255" s="24"/>
      <x:c r="F255" s="28"/>
      <x:c r="G255" s="29"/>
      <x:c r="H255" s="24"/>
      <x:c r="I255" s="24"/>
      <x:c r="J255" s="24"/>
      <x:c r="K255" s="24"/>
      <x:c r="L255" s="20" t="str">
        <x:f>IF(Q255&lt;&gt;"OK","",IF(E255="Back",G255*(F255-1),-G255*(F255-1)))</x:f>
      </x:c>
      <x:c r="M255" s="20" t="str">
        <x:f>IF(Q255&lt;&gt;"OK","",IF(E255="Back",-G255,G255))</x:f>
      </x:c>
      <x:c r="N255" s="20" t="str">
        <x:f>IF(Q255&lt;&gt;"OK","",SUMIFS($L$8:$L$1007,$A$8:$A$1007,A255,$B$8:$B$1007,"&lt;="&amp;B255))</x:f>
      </x:c>
      <x:c r="O255" s="20" t="str">
        <x:f>IF(Q255&lt;&gt;"OK","",SUMIFS($M$8:$M$1007,$A$8:$A$1007,A255,$B$8:$B$1007,"&lt;="&amp;B255))</x:f>
      </x:c>
      <x:c r="P255" s="20" t="str">
        <x:f>IF(Q255&lt;&gt;"OK","",MAX(0,-MIN(N255,O255)))</x:f>
      </x:c>
      <x:c r="Q255" s="18" t="str">
        <x:f>IF(A255="",IF(COUNTA(B255:K255)=0,"","Inserisci ID"),IF(COUNTIFS('Diario'!$A$8:$A$507,A255)&lt;&gt;1,"ID assente / duplicato",IF(OR(NOT(ISNUMBER(B255)),B255&lt;1,B255&lt;&gt;INT(B255),COUNTIFS($A$8:$A$1007,A255,$B$8:$B$1007,B255)&lt;&gt;1),"N. esecuzione non valido",IF(OR(NOT(ISNUMBER(C255)),AND(D255&lt;&gt;"Ingresso",D255&lt;&gt;"Uscita"),AND(E255&lt;&gt;"Back",E255&lt;&gt;"Lay")),"Completa data / fase / lato",IF(OR(NOT(ISNUMBER(F255)),F255&lt;=1,NOT(ISNUMBER(G255)),G255&lt;=0),"Correggi quota / stake","OK")))))</x:f>
      </x:c>
    </x:row>
    <x:row r="256" ht="22" customHeight="1">
      <x:c r="A256" s="24"/>
      <x:c r="B256" s="24"/>
      <x:c r="C256" s="26"/>
      <x:c r="D256" s="24"/>
      <x:c r="E256" s="24"/>
      <x:c r="F256" s="28"/>
      <x:c r="G256" s="29"/>
      <x:c r="H256" s="24"/>
      <x:c r="I256" s="24"/>
      <x:c r="J256" s="24"/>
      <x:c r="K256" s="24"/>
      <x:c r="L256" s="20" t="str">
        <x:f>IF(Q256&lt;&gt;"OK","",IF(E256="Back",G256*(F256-1),-G256*(F256-1)))</x:f>
      </x:c>
      <x:c r="M256" s="20" t="str">
        <x:f>IF(Q256&lt;&gt;"OK","",IF(E256="Back",-G256,G256))</x:f>
      </x:c>
      <x:c r="N256" s="20" t="str">
        <x:f>IF(Q256&lt;&gt;"OK","",SUMIFS($L$8:$L$1007,$A$8:$A$1007,A256,$B$8:$B$1007,"&lt;="&amp;B256))</x:f>
      </x:c>
      <x:c r="O256" s="20" t="str">
        <x:f>IF(Q256&lt;&gt;"OK","",SUMIFS($M$8:$M$1007,$A$8:$A$1007,A256,$B$8:$B$1007,"&lt;="&amp;B256))</x:f>
      </x:c>
      <x:c r="P256" s="20" t="str">
        <x:f>IF(Q256&lt;&gt;"OK","",MAX(0,-MIN(N256,O256)))</x:f>
      </x:c>
      <x:c r="Q256" s="18" t="str">
        <x:f>IF(A256="",IF(COUNTA(B256:K256)=0,"","Inserisci ID"),IF(COUNTIFS('Diario'!$A$8:$A$507,A256)&lt;&gt;1,"ID assente / duplicato",IF(OR(NOT(ISNUMBER(B256)),B256&lt;1,B256&lt;&gt;INT(B256),COUNTIFS($A$8:$A$1007,A256,$B$8:$B$1007,B256)&lt;&gt;1),"N. esecuzione non valido",IF(OR(NOT(ISNUMBER(C256)),AND(D256&lt;&gt;"Ingresso",D256&lt;&gt;"Uscita"),AND(E256&lt;&gt;"Back",E256&lt;&gt;"Lay")),"Completa data / fase / lato",IF(OR(NOT(ISNUMBER(F256)),F256&lt;=1,NOT(ISNUMBER(G256)),G256&lt;=0),"Correggi quota / stake","OK")))))</x:f>
      </x:c>
    </x:row>
    <x:row r="257" ht="22" customHeight="1">
      <x:c r="A257" s="24"/>
      <x:c r="B257" s="24"/>
      <x:c r="C257" s="26"/>
      <x:c r="D257" s="24"/>
      <x:c r="E257" s="24"/>
      <x:c r="F257" s="28"/>
      <x:c r="G257" s="29"/>
      <x:c r="H257" s="24"/>
      <x:c r="I257" s="24"/>
      <x:c r="J257" s="24"/>
      <x:c r="K257" s="24"/>
      <x:c r="L257" s="20" t="str">
        <x:f>IF(Q257&lt;&gt;"OK","",IF(E257="Back",G257*(F257-1),-G257*(F257-1)))</x:f>
      </x:c>
      <x:c r="M257" s="20" t="str">
        <x:f>IF(Q257&lt;&gt;"OK","",IF(E257="Back",-G257,G257))</x:f>
      </x:c>
      <x:c r="N257" s="20" t="str">
        <x:f>IF(Q257&lt;&gt;"OK","",SUMIFS($L$8:$L$1007,$A$8:$A$1007,A257,$B$8:$B$1007,"&lt;="&amp;B257))</x:f>
      </x:c>
      <x:c r="O257" s="20" t="str">
        <x:f>IF(Q257&lt;&gt;"OK","",SUMIFS($M$8:$M$1007,$A$8:$A$1007,A257,$B$8:$B$1007,"&lt;="&amp;B257))</x:f>
      </x:c>
      <x:c r="P257" s="20" t="str">
        <x:f>IF(Q257&lt;&gt;"OK","",MAX(0,-MIN(N257,O257)))</x:f>
      </x:c>
      <x:c r="Q257" s="18" t="str">
        <x:f>IF(A257="",IF(COUNTA(B257:K257)=0,"","Inserisci ID"),IF(COUNTIFS('Diario'!$A$8:$A$507,A257)&lt;&gt;1,"ID assente / duplicato",IF(OR(NOT(ISNUMBER(B257)),B257&lt;1,B257&lt;&gt;INT(B257),COUNTIFS($A$8:$A$1007,A257,$B$8:$B$1007,B257)&lt;&gt;1),"N. esecuzione non valido",IF(OR(NOT(ISNUMBER(C257)),AND(D257&lt;&gt;"Ingresso",D257&lt;&gt;"Uscita"),AND(E257&lt;&gt;"Back",E257&lt;&gt;"Lay")),"Completa data / fase / lato",IF(OR(NOT(ISNUMBER(F257)),F257&lt;=1,NOT(ISNUMBER(G257)),G257&lt;=0),"Correggi quota / stake","OK")))))</x:f>
      </x:c>
    </x:row>
    <x:row r="258" ht="22" customHeight="1">
      <x:c r="A258" s="24"/>
      <x:c r="B258" s="24"/>
      <x:c r="C258" s="26"/>
      <x:c r="D258" s="24"/>
      <x:c r="E258" s="24"/>
      <x:c r="F258" s="28"/>
      <x:c r="G258" s="29"/>
      <x:c r="H258" s="24"/>
      <x:c r="I258" s="24"/>
      <x:c r="J258" s="24"/>
      <x:c r="K258" s="24"/>
      <x:c r="L258" s="20" t="str">
        <x:f>IF(Q258&lt;&gt;"OK","",IF(E258="Back",G258*(F258-1),-G258*(F258-1)))</x:f>
      </x:c>
      <x:c r="M258" s="20" t="str">
        <x:f>IF(Q258&lt;&gt;"OK","",IF(E258="Back",-G258,G258))</x:f>
      </x:c>
      <x:c r="N258" s="20" t="str">
        <x:f>IF(Q258&lt;&gt;"OK","",SUMIFS($L$8:$L$1007,$A$8:$A$1007,A258,$B$8:$B$1007,"&lt;="&amp;B258))</x:f>
      </x:c>
      <x:c r="O258" s="20" t="str">
        <x:f>IF(Q258&lt;&gt;"OK","",SUMIFS($M$8:$M$1007,$A$8:$A$1007,A258,$B$8:$B$1007,"&lt;="&amp;B258))</x:f>
      </x:c>
      <x:c r="P258" s="20" t="str">
        <x:f>IF(Q258&lt;&gt;"OK","",MAX(0,-MIN(N258,O258)))</x:f>
      </x:c>
      <x:c r="Q258" s="18" t="str">
        <x:f>IF(A258="",IF(COUNTA(B258:K258)=0,"","Inserisci ID"),IF(COUNTIFS('Diario'!$A$8:$A$507,A258)&lt;&gt;1,"ID assente / duplicato",IF(OR(NOT(ISNUMBER(B258)),B258&lt;1,B258&lt;&gt;INT(B258),COUNTIFS($A$8:$A$1007,A258,$B$8:$B$1007,B258)&lt;&gt;1),"N. esecuzione non valido",IF(OR(NOT(ISNUMBER(C258)),AND(D258&lt;&gt;"Ingresso",D258&lt;&gt;"Uscita"),AND(E258&lt;&gt;"Back",E258&lt;&gt;"Lay")),"Completa data / fase / lato",IF(OR(NOT(ISNUMBER(F258)),F258&lt;=1,NOT(ISNUMBER(G258)),G258&lt;=0),"Correggi quota / stake","OK")))))</x:f>
      </x:c>
    </x:row>
    <x:row r="259" ht="22" customHeight="1">
      <x:c r="A259" s="24"/>
      <x:c r="B259" s="24"/>
      <x:c r="C259" s="26"/>
      <x:c r="D259" s="24"/>
      <x:c r="E259" s="24"/>
      <x:c r="F259" s="28"/>
      <x:c r="G259" s="29"/>
      <x:c r="H259" s="24"/>
      <x:c r="I259" s="24"/>
      <x:c r="J259" s="24"/>
      <x:c r="K259" s="24"/>
      <x:c r="L259" s="20" t="str">
        <x:f>IF(Q259&lt;&gt;"OK","",IF(E259="Back",G259*(F259-1),-G259*(F259-1)))</x:f>
      </x:c>
      <x:c r="M259" s="20" t="str">
        <x:f>IF(Q259&lt;&gt;"OK","",IF(E259="Back",-G259,G259))</x:f>
      </x:c>
      <x:c r="N259" s="20" t="str">
        <x:f>IF(Q259&lt;&gt;"OK","",SUMIFS($L$8:$L$1007,$A$8:$A$1007,A259,$B$8:$B$1007,"&lt;="&amp;B259))</x:f>
      </x:c>
      <x:c r="O259" s="20" t="str">
        <x:f>IF(Q259&lt;&gt;"OK","",SUMIFS($M$8:$M$1007,$A$8:$A$1007,A259,$B$8:$B$1007,"&lt;="&amp;B259))</x:f>
      </x:c>
      <x:c r="P259" s="20" t="str">
        <x:f>IF(Q259&lt;&gt;"OK","",MAX(0,-MIN(N259,O259)))</x:f>
      </x:c>
      <x:c r="Q259" s="18" t="str">
        <x:f>IF(A259="",IF(COUNTA(B259:K259)=0,"","Inserisci ID"),IF(COUNTIFS('Diario'!$A$8:$A$507,A259)&lt;&gt;1,"ID assente / duplicato",IF(OR(NOT(ISNUMBER(B259)),B259&lt;1,B259&lt;&gt;INT(B259),COUNTIFS($A$8:$A$1007,A259,$B$8:$B$1007,B259)&lt;&gt;1),"N. esecuzione non valido",IF(OR(NOT(ISNUMBER(C259)),AND(D259&lt;&gt;"Ingresso",D259&lt;&gt;"Uscita"),AND(E259&lt;&gt;"Back",E259&lt;&gt;"Lay")),"Completa data / fase / lato",IF(OR(NOT(ISNUMBER(F259)),F259&lt;=1,NOT(ISNUMBER(G259)),G259&lt;=0),"Correggi quota / stake","OK")))))</x:f>
      </x:c>
    </x:row>
    <x:row r="260" ht="22" customHeight="1">
      <x:c r="A260" s="24"/>
      <x:c r="B260" s="24"/>
      <x:c r="C260" s="26"/>
      <x:c r="D260" s="24"/>
      <x:c r="E260" s="24"/>
      <x:c r="F260" s="28"/>
      <x:c r="G260" s="29"/>
      <x:c r="H260" s="24"/>
      <x:c r="I260" s="24"/>
      <x:c r="J260" s="24"/>
      <x:c r="K260" s="24"/>
      <x:c r="L260" s="20" t="str">
        <x:f>IF(Q260&lt;&gt;"OK","",IF(E260="Back",G260*(F260-1),-G260*(F260-1)))</x:f>
      </x:c>
      <x:c r="M260" s="20" t="str">
        <x:f>IF(Q260&lt;&gt;"OK","",IF(E260="Back",-G260,G260))</x:f>
      </x:c>
      <x:c r="N260" s="20" t="str">
        <x:f>IF(Q260&lt;&gt;"OK","",SUMIFS($L$8:$L$1007,$A$8:$A$1007,A260,$B$8:$B$1007,"&lt;="&amp;B260))</x:f>
      </x:c>
      <x:c r="O260" s="20" t="str">
        <x:f>IF(Q260&lt;&gt;"OK","",SUMIFS($M$8:$M$1007,$A$8:$A$1007,A260,$B$8:$B$1007,"&lt;="&amp;B260))</x:f>
      </x:c>
      <x:c r="P260" s="20" t="str">
        <x:f>IF(Q260&lt;&gt;"OK","",MAX(0,-MIN(N260,O260)))</x:f>
      </x:c>
      <x:c r="Q260" s="18" t="str">
        <x:f>IF(A260="",IF(COUNTA(B260:K260)=0,"","Inserisci ID"),IF(COUNTIFS('Diario'!$A$8:$A$507,A260)&lt;&gt;1,"ID assente / duplicato",IF(OR(NOT(ISNUMBER(B260)),B260&lt;1,B260&lt;&gt;INT(B260),COUNTIFS($A$8:$A$1007,A260,$B$8:$B$1007,B260)&lt;&gt;1),"N. esecuzione non valido",IF(OR(NOT(ISNUMBER(C260)),AND(D260&lt;&gt;"Ingresso",D260&lt;&gt;"Uscita"),AND(E260&lt;&gt;"Back",E260&lt;&gt;"Lay")),"Completa data / fase / lato",IF(OR(NOT(ISNUMBER(F260)),F260&lt;=1,NOT(ISNUMBER(G260)),G260&lt;=0),"Correggi quota / stake","OK")))))</x:f>
      </x:c>
    </x:row>
    <x:row r="261" ht="22" customHeight="1">
      <x:c r="A261" s="24"/>
      <x:c r="B261" s="24"/>
      <x:c r="C261" s="26"/>
      <x:c r="D261" s="24"/>
      <x:c r="E261" s="24"/>
      <x:c r="F261" s="28"/>
      <x:c r="G261" s="29"/>
      <x:c r="H261" s="24"/>
      <x:c r="I261" s="24"/>
      <x:c r="J261" s="24"/>
      <x:c r="K261" s="24"/>
      <x:c r="L261" s="20" t="str">
        <x:f>IF(Q261&lt;&gt;"OK","",IF(E261="Back",G261*(F261-1),-G261*(F261-1)))</x:f>
      </x:c>
      <x:c r="M261" s="20" t="str">
        <x:f>IF(Q261&lt;&gt;"OK","",IF(E261="Back",-G261,G261))</x:f>
      </x:c>
      <x:c r="N261" s="20" t="str">
        <x:f>IF(Q261&lt;&gt;"OK","",SUMIFS($L$8:$L$1007,$A$8:$A$1007,A261,$B$8:$B$1007,"&lt;="&amp;B261))</x:f>
      </x:c>
      <x:c r="O261" s="20" t="str">
        <x:f>IF(Q261&lt;&gt;"OK","",SUMIFS($M$8:$M$1007,$A$8:$A$1007,A261,$B$8:$B$1007,"&lt;="&amp;B261))</x:f>
      </x:c>
      <x:c r="P261" s="20" t="str">
        <x:f>IF(Q261&lt;&gt;"OK","",MAX(0,-MIN(N261,O261)))</x:f>
      </x:c>
      <x:c r="Q261" s="18" t="str">
        <x:f>IF(A261="",IF(COUNTA(B261:K261)=0,"","Inserisci ID"),IF(COUNTIFS('Diario'!$A$8:$A$507,A261)&lt;&gt;1,"ID assente / duplicato",IF(OR(NOT(ISNUMBER(B261)),B261&lt;1,B261&lt;&gt;INT(B261),COUNTIFS($A$8:$A$1007,A261,$B$8:$B$1007,B261)&lt;&gt;1),"N. esecuzione non valido",IF(OR(NOT(ISNUMBER(C261)),AND(D261&lt;&gt;"Ingresso",D261&lt;&gt;"Uscita"),AND(E261&lt;&gt;"Back",E261&lt;&gt;"Lay")),"Completa data / fase / lato",IF(OR(NOT(ISNUMBER(F261)),F261&lt;=1,NOT(ISNUMBER(G261)),G261&lt;=0),"Correggi quota / stake","OK")))))</x:f>
      </x:c>
    </x:row>
    <x:row r="262" ht="22" customHeight="1">
      <x:c r="A262" s="24"/>
      <x:c r="B262" s="24"/>
      <x:c r="C262" s="26"/>
      <x:c r="D262" s="24"/>
      <x:c r="E262" s="24"/>
      <x:c r="F262" s="28"/>
      <x:c r="G262" s="29"/>
      <x:c r="H262" s="24"/>
      <x:c r="I262" s="24"/>
      <x:c r="J262" s="24"/>
      <x:c r="K262" s="24"/>
      <x:c r="L262" s="20" t="str">
        <x:f>IF(Q262&lt;&gt;"OK","",IF(E262="Back",G262*(F262-1),-G262*(F262-1)))</x:f>
      </x:c>
      <x:c r="M262" s="20" t="str">
        <x:f>IF(Q262&lt;&gt;"OK","",IF(E262="Back",-G262,G262))</x:f>
      </x:c>
      <x:c r="N262" s="20" t="str">
        <x:f>IF(Q262&lt;&gt;"OK","",SUMIFS($L$8:$L$1007,$A$8:$A$1007,A262,$B$8:$B$1007,"&lt;="&amp;B262))</x:f>
      </x:c>
      <x:c r="O262" s="20" t="str">
        <x:f>IF(Q262&lt;&gt;"OK","",SUMIFS($M$8:$M$1007,$A$8:$A$1007,A262,$B$8:$B$1007,"&lt;="&amp;B262))</x:f>
      </x:c>
      <x:c r="P262" s="20" t="str">
        <x:f>IF(Q262&lt;&gt;"OK","",MAX(0,-MIN(N262,O262)))</x:f>
      </x:c>
      <x:c r="Q262" s="18" t="str">
        <x:f>IF(A262="",IF(COUNTA(B262:K262)=0,"","Inserisci ID"),IF(COUNTIFS('Diario'!$A$8:$A$507,A262)&lt;&gt;1,"ID assente / duplicato",IF(OR(NOT(ISNUMBER(B262)),B262&lt;1,B262&lt;&gt;INT(B262),COUNTIFS($A$8:$A$1007,A262,$B$8:$B$1007,B262)&lt;&gt;1),"N. esecuzione non valido",IF(OR(NOT(ISNUMBER(C262)),AND(D262&lt;&gt;"Ingresso",D262&lt;&gt;"Uscita"),AND(E262&lt;&gt;"Back",E262&lt;&gt;"Lay")),"Completa data / fase / lato",IF(OR(NOT(ISNUMBER(F262)),F262&lt;=1,NOT(ISNUMBER(G262)),G262&lt;=0),"Correggi quota / stake","OK")))))</x:f>
      </x:c>
    </x:row>
    <x:row r="263" ht="22" customHeight="1">
      <x:c r="A263" s="24"/>
      <x:c r="B263" s="24"/>
      <x:c r="C263" s="26"/>
      <x:c r="D263" s="24"/>
      <x:c r="E263" s="24"/>
      <x:c r="F263" s="28"/>
      <x:c r="G263" s="29"/>
      <x:c r="H263" s="24"/>
      <x:c r="I263" s="24"/>
      <x:c r="J263" s="24"/>
      <x:c r="K263" s="24"/>
      <x:c r="L263" s="20" t="str">
        <x:f>IF(Q263&lt;&gt;"OK","",IF(E263="Back",G263*(F263-1),-G263*(F263-1)))</x:f>
      </x:c>
      <x:c r="M263" s="20" t="str">
        <x:f>IF(Q263&lt;&gt;"OK","",IF(E263="Back",-G263,G263))</x:f>
      </x:c>
      <x:c r="N263" s="20" t="str">
        <x:f>IF(Q263&lt;&gt;"OK","",SUMIFS($L$8:$L$1007,$A$8:$A$1007,A263,$B$8:$B$1007,"&lt;="&amp;B263))</x:f>
      </x:c>
      <x:c r="O263" s="20" t="str">
        <x:f>IF(Q263&lt;&gt;"OK","",SUMIFS($M$8:$M$1007,$A$8:$A$1007,A263,$B$8:$B$1007,"&lt;="&amp;B263))</x:f>
      </x:c>
      <x:c r="P263" s="20" t="str">
        <x:f>IF(Q263&lt;&gt;"OK","",MAX(0,-MIN(N263,O263)))</x:f>
      </x:c>
      <x:c r="Q263" s="18" t="str">
        <x:f>IF(A263="",IF(COUNTA(B263:K263)=0,"","Inserisci ID"),IF(COUNTIFS('Diario'!$A$8:$A$507,A263)&lt;&gt;1,"ID assente / duplicato",IF(OR(NOT(ISNUMBER(B263)),B263&lt;1,B263&lt;&gt;INT(B263),COUNTIFS($A$8:$A$1007,A263,$B$8:$B$1007,B263)&lt;&gt;1),"N. esecuzione non valido",IF(OR(NOT(ISNUMBER(C263)),AND(D263&lt;&gt;"Ingresso",D263&lt;&gt;"Uscita"),AND(E263&lt;&gt;"Back",E263&lt;&gt;"Lay")),"Completa data / fase / lato",IF(OR(NOT(ISNUMBER(F263)),F263&lt;=1,NOT(ISNUMBER(G263)),G263&lt;=0),"Correggi quota / stake","OK")))))</x:f>
      </x:c>
    </x:row>
    <x:row r="264" ht="22" customHeight="1">
      <x:c r="A264" s="24"/>
      <x:c r="B264" s="24"/>
      <x:c r="C264" s="26"/>
      <x:c r="D264" s="24"/>
      <x:c r="E264" s="24"/>
      <x:c r="F264" s="28"/>
      <x:c r="G264" s="29"/>
      <x:c r="H264" s="24"/>
      <x:c r="I264" s="24"/>
      <x:c r="J264" s="24"/>
      <x:c r="K264" s="24"/>
      <x:c r="L264" s="20" t="str">
        <x:f>IF(Q264&lt;&gt;"OK","",IF(E264="Back",G264*(F264-1),-G264*(F264-1)))</x:f>
      </x:c>
      <x:c r="M264" s="20" t="str">
        <x:f>IF(Q264&lt;&gt;"OK","",IF(E264="Back",-G264,G264))</x:f>
      </x:c>
      <x:c r="N264" s="20" t="str">
        <x:f>IF(Q264&lt;&gt;"OK","",SUMIFS($L$8:$L$1007,$A$8:$A$1007,A264,$B$8:$B$1007,"&lt;="&amp;B264))</x:f>
      </x:c>
      <x:c r="O264" s="20" t="str">
        <x:f>IF(Q264&lt;&gt;"OK","",SUMIFS($M$8:$M$1007,$A$8:$A$1007,A264,$B$8:$B$1007,"&lt;="&amp;B264))</x:f>
      </x:c>
      <x:c r="P264" s="20" t="str">
        <x:f>IF(Q264&lt;&gt;"OK","",MAX(0,-MIN(N264,O264)))</x:f>
      </x:c>
      <x:c r="Q264" s="18" t="str">
        <x:f>IF(A264="",IF(COUNTA(B264:K264)=0,"","Inserisci ID"),IF(COUNTIFS('Diario'!$A$8:$A$507,A264)&lt;&gt;1,"ID assente / duplicato",IF(OR(NOT(ISNUMBER(B264)),B264&lt;1,B264&lt;&gt;INT(B264),COUNTIFS($A$8:$A$1007,A264,$B$8:$B$1007,B264)&lt;&gt;1),"N. esecuzione non valido",IF(OR(NOT(ISNUMBER(C264)),AND(D264&lt;&gt;"Ingresso",D264&lt;&gt;"Uscita"),AND(E264&lt;&gt;"Back",E264&lt;&gt;"Lay")),"Completa data / fase / lato",IF(OR(NOT(ISNUMBER(F264)),F264&lt;=1,NOT(ISNUMBER(G264)),G264&lt;=0),"Correggi quota / stake","OK")))))</x:f>
      </x:c>
    </x:row>
    <x:row r="265" ht="22" customHeight="1">
      <x:c r="A265" s="24"/>
      <x:c r="B265" s="24"/>
      <x:c r="C265" s="26"/>
      <x:c r="D265" s="24"/>
      <x:c r="E265" s="24"/>
      <x:c r="F265" s="28"/>
      <x:c r="G265" s="29"/>
      <x:c r="H265" s="24"/>
      <x:c r="I265" s="24"/>
      <x:c r="J265" s="24"/>
      <x:c r="K265" s="24"/>
      <x:c r="L265" s="20" t="str">
        <x:f>IF(Q265&lt;&gt;"OK","",IF(E265="Back",G265*(F265-1),-G265*(F265-1)))</x:f>
      </x:c>
      <x:c r="M265" s="20" t="str">
        <x:f>IF(Q265&lt;&gt;"OK","",IF(E265="Back",-G265,G265))</x:f>
      </x:c>
      <x:c r="N265" s="20" t="str">
        <x:f>IF(Q265&lt;&gt;"OK","",SUMIFS($L$8:$L$1007,$A$8:$A$1007,A265,$B$8:$B$1007,"&lt;="&amp;B265))</x:f>
      </x:c>
      <x:c r="O265" s="20" t="str">
        <x:f>IF(Q265&lt;&gt;"OK","",SUMIFS($M$8:$M$1007,$A$8:$A$1007,A265,$B$8:$B$1007,"&lt;="&amp;B265))</x:f>
      </x:c>
      <x:c r="P265" s="20" t="str">
        <x:f>IF(Q265&lt;&gt;"OK","",MAX(0,-MIN(N265,O265)))</x:f>
      </x:c>
      <x:c r="Q265" s="18" t="str">
        <x:f>IF(A265="",IF(COUNTA(B265:K265)=0,"","Inserisci ID"),IF(COUNTIFS('Diario'!$A$8:$A$507,A265)&lt;&gt;1,"ID assente / duplicato",IF(OR(NOT(ISNUMBER(B265)),B265&lt;1,B265&lt;&gt;INT(B265),COUNTIFS($A$8:$A$1007,A265,$B$8:$B$1007,B265)&lt;&gt;1),"N. esecuzione non valido",IF(OR(NOT(ISNUMBER(C265)),AND(D265&lt;&gt;"Ingresso",D265&lt;&gt;"Uscita"),AND(E265&lt;&gt;"Back",E265&lt;&gt;"Lay")),"Completa data / fase / lato",IF(OR(NOT(ISNUMBER(F265)),F265&lt;=1,NOT(ISNUMBER(G265)),G265&lt;=0),"Correggi quota / stake","OK")))))</x:f>
      </x:c>
    </x:row>
    <x:row r="266" ht="22" customHeight="1">
      <x:c r="A266" s="24"/>
      <x:c r="B266" s="24"/>
      <x:c r="C266" s="26"/>
      <x:c r="D266" s="24"/>
      <x:c r="E266" s="24"/>
      <x:c r="F266" s="28"/>
      <x:c r="G266" s="29"/>
      <x:c r="H266" s="24"/>
      <x:c r="I266" s="24"/>
      <x:c r="J266" s="24"/>
      <x:c r="K266" s="24"/>
      <x:c r="L266" s="20" t="str">
        <x:f>IF(Q266&lt;&gt;"OK","",IF(E266="Back",G266*(F266-1),-G266*(F266-1)))</x:f>
      </x:c>
      <x:c r="M266" s="20" t="str">
        <x:f>IF(Q266&lt;&gt;"OK","",IF(E266="Back",-G266,G266))</x:f>
      </x:c>
      <x:c r="N266" s="20" t="str">
        <x:f>IF(Q266&lt;&gt;"OK","",SUMIFS($L$8:$L$1007,$A$8:$A$1007,A266,$B$8:$B$1007,"&lt;="&amp;B266))</x:f>
      </x:c>
      <x:c r="O266" s="20" t="str">
        <x:f>IF(Q266&lt;&gt;"OK","",SUMIFS($M$8:$M$1007,$A$8:$A$1007,A266,$B$8:$B$1007,"&lt;="&amp;B266))</x:f>
      </x:c>
      <x:c r="P266" s="20" t="str">
        <x:f>IF(Q266&lt;&gt;"OK","",MAX(0,-MIN(N266,O266)))</x:f>
      </x:c>
      <x:c r="Q266" s="18" t="str">
        <x:f>IF(A266="",IF(COUNTA(B266:K266)=0,"","Inserisci ID"),IF(COUNTIFS('Diario'!$A$8:$A$507,A266)&lt;&gt;1,"ID assente / duplicato",IF(OR(NOT(ISNUMBER(B266)),B266&lt;1,B266&lt;&gt;INT(B266),COUNTIFS($A$8:$A$1007,A266,$B$8:$B$1007,B266)&lt;&gt;1),"N. esecuzione non valido",IF(OR(NOT(ISNUMBER(C266)),AND(D266&lt;&gt;"Ingresso",D266&lt;&gt;"Uscita"),AND(E266&lt;&gt;"Back",E266&lt;&gt;"Lay")),"Completa data / fase / lato",IF(OR(NOT(ISNUMBER(F266)),F266&lt;=1,NOT(ISNUMBER(G266)),G266&lt;=0),"Correggi quota / stake","OK")))))</x:f>
      </x:c>
    </x:row>
    <x:row r="267" ht="22" customHeight="1">
      <x:c r="A267" s="24"/>
      <x:c r="B267" s="24"/>
      <x:c r="C267" s="26"/>
      <x:c r="D267" s="24"/>
      <x:c r="E267" s="24"/>
      <x:c r="F267" s="28"/>
      <x:c r="G267" s="29"/>
      <x:c r="H267" s="24"/>
      <x:c r="I267" s="24"/>
      <x:c r="J267" s="24"/>
      <x:c r="K267" s="24"/>
      <x:c r="L267" s="20" t="str">
        <x:f>IF(Q267&lt;&gt;"OK","",IF(E267="Back",G267*(F267-1),-G267*(F267-1)))</x:f>
      </x:c>
      <x:c r="M267" s="20" t="str">
        <x:f>IF(Q267&lt;&gt;"OK","",IF(E267="Back",-G267,G267))</x:f>
      </x:c>
      <x:c r="N267" s="20" t="str">
        <x:f>IF(Q267&lt;&gt;"OK","",SUMIFS($L$8:$L$1007,$A$8:$A$1007,A267,$B$8:$B$1007,"&lt;="&amp;B267))</x:f>
      </x:c>
      <x:c r="O267" s="20" t="str">
        <x:f>IF(Q267&lt;&gt;"OK","",SUMIFS($M$8:$M$1007,$A$8:$A$1007,A267,$B$8:$B$1007,"&lt;="&amp;B267))</x:f>
      </x:c>
      <x:c r="P267" s="20" t="str">
        <x:f>IF(Q267&lt;&gt;"OK","",MAX(0,-MIN(N267,O267)))</x:f>
      </x:c>
      <x:c r="Q267" s="18" t="str">
        <x:f>IF(A267="",IF(COUNTA(B267:K267)=0,"","Inserisci ID"),IF(COUNTIFS('Diario'!$A$8:$A$507,A267)&lt;&gt;1,"ID assente / duplicato",IF(OR(NOT(ISNUMBER(B267)),B267&lt;1,B267&lt;&gt;INT(B267),COUNTIFS($A$8:$A$1007,A267,$B$8:$B$1007,B267)&lt;&gt;1),"N. esecuzione non valido",IF(OR(NOT(ISNUMBER(C267)),AND(D267&lt;&gt;"Ingresso",D267&lt;&gt;"Uscita"),AND(E267&lt;&gt;"Back",E267&lt;&gt;"Lay")),"Completa data / fase / lato",IF(OR(NOT(ISNUMBER(F267)),F267&lt;=1,NOT(ISNUMBER(G267)),G267&lt;=0),"Correggi quota / stake","OK")))))</x:f>
      </x:c>
    </x:row>
    <x:row r="268" ht="22" customHeight="1">
      <x:c r="A268" s="24"/>
      <x:c r="B268" s="24"/>
      <x:c r="C268" s="26"/>
      <x:c r="D268" s="24"/>
      <x:c r="E268" s="24"/>
      <x:c r="F268" s="28"/>
      <x:c r="G268" s="29"/>
      <x:c r="H268" s="24"/>
      <x:c r="I268" s="24"/>
      <x:c r="J268" s="24"/>
      <x:c r="K268" s="24"/>
      <x:c r="L268" s="20" t="str">
        <x:f>IF(Q268&lt;&gt;"OK","",IF(E268="Back",G268*(F268-1),-G268*(F268-1)))</x:f>
      </x:c>
      <x:c r="M268" s="20" t="str">
        <x:f>IF(Q268&lt;&gt;"OK","",IF(E268="Back",-G268,G268))</x:f>
      </x:c>
      <x:c r="N268" s="20" t="str">
        <x:f>IF(Q268&lt;&gt;"OK","",SUMIFS($L$8:$L$1007,$A$8:$A$1007,A268,$B$8:$B$1007,"&lt;="&amp;B268))</x:f>
      </x:c>
      <x:c r="O268" s="20" t="str">
        <x:f>IF(Q268&lt;&gt;"OK","",SUMIFS($M$8:$M$1007,$A$8:$A$1007,A268,$B$8:$B$1007,"&lt;="&amp;B268))</x:f>
      </x:c>
      <x:c r="P268" s="20" t="str">
        <x:f>IF(Q268&lt;&gt;"OK","",MAX(0,-MIN(N268,O268)))</x:f>
      </x:c>
      <x:c r="Q268" s="18" t="str">
        <x:f>IF(A268="",IF(COUNTA(B268:K268)=0,"","Inserisci ID"),IF(COUNTIFS('Diario'!$A$8:$A$507,A268)&lt;&gt;1,"ID assente / duplicato",IF(OR(NOT(ISNUMBER(B268)),B268&lt;1,B268&lt;&gt;INT(B268),COUNTIFS($A$8:$A$1007,A268,$B$8:$B$1007,B268)&lt;&gt;1),"N. esecuzione non valido",IF(OR(NOT(ISNUMBER(C268)),AND(D268&lt;&gt;"Ingresso",D268&lt;&gt;"Uscita"),AND(E268&lt;&gt;"Back",E268&lt;&gt;"Lay")),"Completa data / fase / lato",IF(OR(NOT(ISNUMBER(F268)),F268&lt;=1,NOT(ISNUMBER(G268)),G268&lt;=0),"Correggi quota / stake","OK")))))</x:f>
      </x:c>
    </x:row>
    <x:row r="269" ht="22" customHeight="1">
      <x:c r="A269" s="24"/>
      <x:c r="B269" s="24"/>
      <x:c r="C269" s="26"/>
      <x:c r="D269" s="24"/>
      <x:c r="E269" s="24"/>
      <x:c r="F269" s="28"/>
      <x:c r="G269" s="29"/>
      <x:c r="H269" s="24"/>
      <x:c r="I269" s="24"/>
      <x:c r="J269" s="24"/>
      <x:c r="K269" s="24"/>
      <x:c r="L269" s="20" t="str">
        <x:f>IF(Q269&lt;&gt;"OK","",IF(E269="Back",G269*(F269-1),-G269*(F269-1)))</x:f>
      </x:c>
      <x:c r="M269" s="20" t="str">
        <x:f>IF(Q269&lt;&gt;"OK","",IF(E269="Back",-G269,G269))</x:f>
      </x:c>
      <x:c r="N269" s="20" t="str">
        <x:f>IF(Q269&lt;&gt;"OK","",SUMIFS($L$8:$L$1007,$A$8:$A$1007,A269,$B$8:$B$1007,"&lt;="&amp;B269))</x:f>
      </x:c>
      <x:c r="O269" s="20" t="str">
        <x:f>IF(Q269&lt;&gt;"OK","",SUMIFS($M$8:$M$1007,$A$8:$A$1007,A269,$B$8:$B$1007,"&lt;="&amp;B269))</x:f>
      </x:c>
      <x:c r="P269" s="20" t="str">
        <x:f>IF(Q269&lt;&gt;"OK","",MAX(0,-MIN(N269,O269)))</x:f>
      </x:c>
      <x:c r="Q269" s="18" t="str">
        <x:f>IF(A269="",IF(COUNTA(B269:K269)=0,"","Inserisci ID"),IF(COUNTIFS('Diario'!$A$8:$A$507,A269)&lt;&gt;1,"ID assente / duplicato",IF(OR(NOT(ISNUMBER(B269)),B269&lt;1,B269&lt;&gt;INT(B269),COUNTIFS($A$8:$A$1007,A269,$B$8:$B$1007,B269)&lt;&gt;1),"N. esecuzione non valido",IF(OR(NOT(ISNUMBER(C269)),AND(D269&lt;&gt;"Ingresso",D269&lt;&gt;"Uscita"),AND(E269&lt;&gt;"Back",E269&lt;&gt;"Lay")),"Completa data / fase / lato",IF(OR(NOT(ISNUMBER(F269)),F269&lt;=1,NOT(ISNUMBER(G269)),G269&lt;=0),"Correggi quota / stake","OK")))))</x:f>
      </x:c>
    </x:row>
    <x:row r="270" ht="22" customHeight="1">
      <x:c r="A270" s="24"/>
      <x:c r="B270" s="24"/>
      <x:c r="C270" s="26"/>
      <x:c r="D270" s="24"/>
      <x:c r="E270" s="24"/>
      <x:c r="F270" s="28"/>
      <x:c r="G270" s="29"/>
      <x:c r="H270" s="24"/>
      <x:c r="I270" s="24"/>
      <x:c r="J270" s="24"/>
      <x:c r="K270" s="24"/>
      <x:c r="L270" s="20" t="str">
        <x:f>IF(Q270&lt;&gt;"OK","",IF(E270="Back",G270*(F270-1),-G270*(F270-1)))</x:f>
      </x:c>
      <x:c r="M270" s="20" t="str">
        <x:f>IF(Q270&lt;&gt;"OK","",IF(E270="Back",-G270,G270))</x:f>
      </x:c>
      <x:c r="N270" s="20" t="str">
        <x:f>IF(Q270&lt;&gt;"OK","",SUMIFS($L$8:$L$1007,$A$8:$A$1007,A270,$B$8:$B$1007,"&lt;="&amp;B270))</x:f>
      </x:c>
      <x:c r="O270" s="20" t="str">
        <x:f>IF(Q270&lt;&gt;"OK","",SUMIFS($M$8:$M$1007,$A$8:$A$1007,A270,$B$8:$B$1007,"&lt;="&amp;B270))</x:f>
      </x:c>
      <x:c r="P270" s="20" t="str">
        <x:f>IF(Q270&lt;&gt;"OK","",MAX(0,-MIN(N270,O270)))</x:f>
      </x:c>
      <x:c r="Q270" s="18" t="str">
        <x:f>IF(A270="",IF(COUNTA(B270:K270)=0,"","Inserisci ID"),IF(COUNTIFS('Diario'!$A$8:$A$507,A270)&lt;&gt;1,"ID assente / duplicato",IF(OR(NOT(ISNUMBER(B270)),B270&lt;1,B270&lt;&gt;INT(B270),COUNTIFS($A$8:$A$1007,A270,$B$8:$B$1007,B270)&lt;&gt;1),"N. esecuzione non valido",IF(OR(NOT(ISNUMBER(C270)),AND(D270&lt;&gt;"Ingresso",D270&lt;&gt;"Uscita"),AND(E270&lt;&gt;"Back",E270&lt;&gt;"Lay")),"Completa data / fase / lato",IF(OR(NOT(ISNUMBER(F270)),F270&lt;=1,NOT(ISNUMBER(G270)),G270&lt;=0),"Correggi quota / stake","OK")))))</x:f>
      </x:c>
    </x:row>
    <x:row r="271" ht="22" customHeight="1">
      <x:c r="A271" s="24"/>
      <x:c r="B271" s="24"/>
      <x:c r="C271" s="26"/>
      <x:c r="D271" s="24"/>
      <x:c r="E271" s="24"/>
      <x:c r="F271" s="28"/>
      <x:c r="G271" s="29"/>
      <x:c r="H271" s="24"/>
      <x:c r="I271" s="24"/>
      <x:c r="J271" s="24"/>
      <x:c r="K271" s="24"/>
      <x:c r="L271" s="20" t="str">
        <x:f>IF(Q271&lt;&gt;"OK","",IF(E271="Back",G271*(F271-1),-G271*(F271-1)))</x:f>
      </x:c>
      <x:c r="M271" s="20" t="str">
        <x:f>IF(Q271&lt;&gt;"OK","",IF(E271="Back",-G271,G271))</x:f>
      </x:c>
      <x:c r="N271" s="20" t="str">
        <x:f>IF(Q271&lt;&gt;"OK","",SUMIFS($L$8:$L$1007,$A$8:$A$1007,A271,$B$8:$B$1007,"&lt;="&amp;B271))</x:f>
      </x:c>
      <x:c r="O271" s="20" t="str">
        <x:f>IF(Q271&lt;&gt;"OK","",SUMIFS($M$8:$M$1007,$A$8:$A$1007,A271,$B$8:$B$1007,"&lt;="&amp;B271))</x:f>
      </x:c>
      <x:c r="P271" s="20" t="str">
        <x:f>IF(Q271&lt;&gt;"OK","",MAX(0,-MIN(N271,O271)))</x:f>
      </x:c>
      <x:c r="Q271" s="18" t="str">
        <x:f>IF(A271="",IF(COUNTA(B271:K271)=0,"","Inserisci ID"),IF(COUNTIFS('Diario'!$A$8:$A$507,A271)&lt;&gt;1,"ID assente / duplicato",IF(OR(NOT(ISNUMBER(B271)),B271&lt;1,B271&lt;&gt;INT(B271),COUNTIFS($A$8:$A$1007,A271,$B$8:$B$1007,B271)&lt;&gt;1),"N. esecuzione non valido",IF(OR(NOT(ISNUMBER(C271)),AND(D271&lt;&gt;"Ingresso",D271&lt;&gt;"Uscita"),AND(E271&lt;&gt;"Back",E271&lt;&gt;"Lay")),"Completa data / fase / lato",IF(OR(NOT(ISNUMBER(F271)),F271&lt;=1,NOT(ISNUMBER(G271)),G271&lt;=0),"Correggi quota / stake","OK")))))</x:f>
      </x:c>
    </x:row>
    <x:row r="272" ht="22" customHeight="1">
      <x:c r="A272" s="24"/>
      <x:c r="B272" s="24"/>
      <x:c r="C272" s="26"/>
      <x:c r="D272" s="24"/>
      <x:c r="E272" s="24"/>
      <x:c r="F272" s="28"/>
      <x:c r="G272" s="29"/>
      <x:c r="H272" s="24"/>
      <x:c r="I272" s="24"/>
      <x:c r="J272" s="24"/>
      <x:c r="K272" s="24"/>
      <x:c r="L272" s="20" t="str">
        <x:f>IF(Q272&lt;&gt;"OK","",IF(E272="Back",G272*(F272-1),-G272*(F272-1)))</x:f>
      </x:c>
      <x:c r="M272" s="20" t="str">
        <x:f>IF(Q272&lt;&gt;"OK","",IF(E272="Back",-G272,G272))</x:f>
      </x:c>
      <x:c r="N272" s="20" t="str">
        <x:f>IF(Q272&lt;&gt;"OK","",SUMIFS($L$8:$L$1007,$A$8:$A$1007,A272,$B$8:$B$1007,"&lt;="&amp;B272))</x:f>
      </x:c>
      <x:c r="O272" s="20" t="str">
        <x:f>IF(Q272&lt;&gt;"OK","",SUMIFS($M$8:$M$1007,$A$8:$A$1007,A272,$B$8:$B$1007,"&lt;="&amp;B272))</x:f>
      </x:c>
      <x:c r="P272" s="20" t="str">
        <x:f>IF(Q272&lt;&gt;"OK","",MAX(0,-MIN(N272,O272)))</x:f>
      </x:c>
      <x:c r="Q272" s="18" t="str">
        <x:f>IF(A272="",IF(COUNTA(B272:K272)=0,"","Inserisci ID"),IF(COUNTIFS('Diario'!$A$8:$A$507,A272)&lt;&gt;1,"ID assente / duplicato",IF(OR(NOT(ISNUMBER(B272)),B272&lt;1,B272&lt;&gt;INT(B272),COUNTIFS($A$8:$A$1007,A272,$B$8:$B$1007,B272)&lt;&gt;1),"N. esecuzione non valido",IF(OR(NOT(ISNUMBER(C272)),AND(D272&lt;&gt;"Ingresso",D272&lt;&gt;"Uscita"),AND(E272&lt;&gt;"Back",E272&lt;&gt;"Lay")),"Completa data / fase / lato",IF(OR(NOT(ISNUMBER(F272)),F272&lt;=1,NOT(ISNUMBER(G272)),G272&lt;=0),"Correggi quota / stake","OK")))))</x:f>
      </x:c>
    </x:row>
    <x:row r="273" ht="22" customHeight="1">
      <x:c r="A273" s="24"/>
      <x:c r="B273" s="24"/>
      <x:c r="C273" s="26"/>
      <x:c r="D273" s="24"/>
      <x:c r="E273" s="24"/>
      <x:c r="F273" s="28"/>
      <x:c r="G273" s="29"/>
      <x:c r="H273" s="24"/>
      <x:c r="I273" s="24"/>
      <x:c r="J273" s="24"/>
      <x:c r="K273" s="24"/>
      <x:c r="L273" s="20" t="str">
        <x:f>IF(Q273&lt;&gt;"OK","",IF(E273="Back",G273*(F273-1),-G273*(F273-1)))</x:f>
      </x:c>
      <x:c r="M273" s="20" t="str">
        <x:f>IF(Q273&lt;&gt;"OK","",IF(E273="Back",-G273,G273))</x:f>
      </x:c>
      <x:c r="N273" s="20" t="str">
        <x:f>IF(Q273&lt;&gt;"OK","",SUMIFS($L$8:$L$1007,$A$8:$A$1007,A273,$B$8:$B$1007,"&lt;="&amp;B273))</x:f>
      </x:c>
      <x:c r="O273" s="20" t="str">
        <x:f>IF(Q273&lt;&gt;"OK","",SUMIFS($M$8:$M$1007,$A$8:$A$1007,A273,$B$8:$B$1007,"&lt;="&amp;B273))</x:f>
      </x:c>
      <x:c r="P273" s="20" t="str">
        <x:f>IF(Q273&lt;&gt;"OK","",MAX(0,-MIN(N273,O273)))</x:f>
      </x:c>
      <x:c r="Q273" s="18" t="str">
        <x:f>IF(A273="",IF(COUNTA(B273:K273)=0,"","Inserisci ID"),IF(COUNTIFS('Diario'!$A$8:$A$507,A273)&lt;&gt;1,"ID assente / duplicato",IF(OR(NOT(ISNUMBER(B273)),B273&lt;1,B273&lt;&gt;INT(B273),COUNTIFS($A$8:$A$1007,A273,$B$8:$B$1007,B273)&lt;&gt;1),"N. esecuzione non valido",IF(OR(NOT(ISNUMBER(C273)),AND(D273&lt;&gt;"Ingresso",D273&lt;&gt;"Uscita"),AND(E273&lt;&gt;"Back",E273&lt;&gt;"Lay")),"Completa data / fase / lato",IF(OR(NOT(ISNUMBER(F273)),F273&lt;=1,NOT(ISNUMBER(G273)),G273&lt;=0),"Correggi quota / stake","OK")))))</x:f>
      </x:c>
    </x:row>
    <x:row r="274" ht="22" customHeight="1">
      <x:c r="A274" s="24"/>
      <x:c r="B274" s="24"/>
      <x:c r="C274" s="26"/>
      <x:c r="D274" s="24"/>
      <x:c r="E274" s="24"/>
      <x:c r="F274" s="28"/>
      <x:c r="G274" s="29"/>
      <x:c r="H274" s="24"/>
      <x:c r="I274" s="24"/>
      <x:c r="J274" s="24"/>
      <x:c r="K274" s="24"/>
      <x:c r="L274" s="20" t="str">
        <x:f>IF(Q274&lt;&gt;"OK","",IF(E274="Back",G274*(F274-1),-G274*(F274-1)))</x:f>
      </x:c>
      <x:c r="M274" s="20" t="str">
        <x:f>IF(Q274&lt;&gt;"OK","",IF(E274="Back",-G274,G274))</x:f>
      </x:c>
      <x:c r="N274" s="20" t="str">
        <x:f>IF(Q274&lt;&gt;"OK","",SUMIFS($L$8:$L$1007,$A$8:$A$1007,A274,$B$8:$B$1007,"&lt;="&amp;B274))</x:f>
      </x:c>
      <x:c r="O274" s="20" t="str">
        <x:f>IF(Q274&lt;&gt;"OK","",SUMIFS($M$8:$M$1007,$A$8:$A$1007,A274,$B$8:$B$1007,"&lt;="&amp;B274))</x:f>
      </x:c>
      <x:c r="P274" s="20" t="str">
        <x:f>IF(Q274&lt;&gt;"OK","",MAX(0,-MIN(N274,O274)))</x:f>
      </x:c>
      <x:c r="Q274" s="18" t="str">
        <x:f>IF(A274="",IF(COUNTA(B274:K274)=0,"","Inserisci ID"),IF(COUNTIFS('Diario'!$A$8:$A$507,A274)&lt;&gt;1,"ID assente / duplicato",IF(OR(NOT(ISNUMBER(B274)),B274&lt;1,B274&lt;&gt;INT(B274),COUNTIFS($A$8:$A$1007,A274,$B$8:$B$1007,B274)&lt;&gt;1),"N. esecuzione non valido",IF(OR(NOT(ISNUMBER(C274)),AND(D274&lt;&gt;"Ingresso",D274&lt;&gt;"Uscita"),AND(E274&lt;&gt;"Back",E274&lt;&gt;"Lay")),"Completa data / fase / lato",IF(OR(NOT(ISNUMBER(F274)),F274&lt;=1,NOT(ISNUMBER(G274)),G274&lt;=0),"Correggi quota / stake","OK")))))</x:f>
      </x:c>
    </x:row>
    <x:row r="275" ht="22" customHeight="1">
      <x:c r="A275" s="24"/>
      <x:c r="B275" s="24"/>
      <x:c r="C275" s="26"/>
      <x:c r="D275" s="24"/>
      <x:c r="E275" s="24"/>
      <x:c r="F275" s="28"/>
      <x:c r="G275" s="29"/>
      <x:c r="H275" s="24"/>
      <x:c r="I275" s="24"/>
      <x:c r="J275" s="24"/>
      <x:c r="K275" s="24"/>
      <x:c r="L275" s="20" t="str">
        <x:f>IF(Q275&lt;&gt;"OK","",IF(E275="Back",G275*(F275-1),-G275*(F275-1)))</x:f>
      </x:c>
      <x:c r="M275" s="20" t="str">
        <x:f>IF(Q275&lt;&gt;"OK","",IF(E275="Back",-G275,G275))</x:f>
      </x:c>
      <x:c r="N275" s="20" t="str">
        <x:f>IF(Q275&lt;&gt;"OK","",SUMIFS($L$8:$L$1007,$A$8:$A$1007,A275,$B$8:$B$1007,"&lt;="&amp;B275))</x:f>
      </x:c>
      <x:c r="O275" s="20" t="str">
        <x:f>IF(Q275&lt;&gt;"OK","",SUMIFS($M$8:$M$1007,$A$8:$A$1007,A275,$B$8:$B$1007,"&lt;="&amp;B275))</x:f>
      </x:c>
      <x:c r="P275" s="20" t="str">
        <x:f>IF(Q275&lt;&gt;"OK","",MAX(0,-MIN(N275,O275)))</x:f>
      </x:c>
      <x:c r="Q275" s="18" t="str">
        <x:f>IF(A275="",IF(COUNTA(B275:K275)=0,"","Inserisci ID"),IF(COUNTIFS('Diario'!$A$8:$A$507,A275)&lt;&gt;1,"ID assente / duplicato",IF(OR(NOT(ISNUMBER(B275)),B275&lt;1,B275&lt;&gt;INT(B275),COUNTIFS($A$8:$A$1007,A275,$B$8:$B$1007,B275)&lt;&gt;1),"N. esecuzione non valido",IF(OR(NOT(ISNUMBER(C275)),AND(D275&lt;&gt;"Ingresso",D275&lt;&gt;"Uscita"),AND(E275&lt;&gt;"Back",E275&lt;&gt;"Lay")),"Completa data / fase / lato",IF(OR(NOT(ISNUMBER(F275)),F275&lt;=1,NOT(ISNUMBER(G275)),G275&lt;=0),"Correggi quota / stake","OK")))))</x:f>
      </x:c>
    </x:row>
    <x:row r="276" ht="22" customHeight="1">
      <x:c r="A276" s="24"/>
      <x:c r="B276" s="24"/>
      <x:c r="C276" s="26"/>
      <x:c r="D276" s="24"/>
      <x:c r="E276" s="24"/>
      <x:c r="F276" s="28"/>
      <x:c r="G276" s="29"/>
      <x:c r="H276" s="24"/>
      <x:c r="I276" s="24"/>
      <x:c r="J276" s="24"/>
      <x:c r="K276" s="24"/>
      <x:c r="L276" s="20" t="str">
        <x:f>IF(Q276&lt;&gt;"OK","",IF(E276="Back",G276*(F276-1),-G276*(F276-1)))</x:f>
      </x:c>
      <x:c r="M276" s="20" t="str">
        <x:f>IF(Q276&lt;&gt;"OK","",IF(E276="Back",-G276,G276))</x:f>
      </x:c>
      <x:c r="N276" s="20" t="str">
        <x:f>IF(Q276&lt;&gt;"OK","",SUMIFS($L$8:$L$1007,$A$8:$A$1007,A276,$B$8:$B$1007,"&lt;="&amp;B276))</x:f>
      </x:c>
      <x:c r="O276" s="20" t="str">
        <x:f>IF(Q276&lt;&gt;"OK","",SUMIFS($M$8:$M$1007,$A$8:$A$1007,A276,$B$8:$B$1007,"&lt;="&amp;B276))</x:f>
      </x:c>
      <x:c r="P276" s="20" t="str">
        <x:f>IF(Q276&lt;&gt;"OK","",MAX(0,-MIN(N276,O276)))</x:f>
      </x:c>
      <x:c r="Q276" s="18" t="str">
        <x:f>IF(A276="",IF(COUNTA(B276:K276)=0,"","Inserisci ID"),IF(COUNTIFS('Diario'!$A$8:$A$507,A276)&lt;&gt;1,"ID assente / duplicato",IF(OR(NOT(ISNUMBER(B276)),B276&lt;1,B276&lt;&gt;INT(B276),COUNTIFS($A$8:$A$1007,A276,$B$8:$B$1007,B276)&lt;&gt;1),"N. esecuzione non valido",IF(OR(NOT(ISNUMBER(C276)),AND(D276&lt;&gt;"Ingresso",D276&lt;&gt;"Uscita"),AND(E276&lt;&gt;"Back",E276&lt;&gt;"Lay")),"Completa data / fase / lato",IF(OR(NOT(ISNUMBER(F276)),F276&lt;=1,NOT(ISNUMBER(G276)),G276&lt;=0),"Correggi quota / stake","OK")))))</x:f>
      </x:c>
    </x:row>
    <x:row r="277" ht="22" customHeight="1">
      <x:c r="A277" s="24"/>
      <x:c r="B277" s="24"/>
      <x:c r="C277" s="26"/>
      <x:c r="D277" s="24"/>
      <x:c r="E277" s="24"/>
      <x:c r="F277" s="28"/>
      <x:c r="G277" s="29"/>
      <x:c r="H277" s="24"/>
      <x:c r="I277" s="24"/>
      <x:c r="J277" s="24"/>
      <x:c r="K277" s="24"/>
      <x:c r="L277" s="20" t="str">
        <x:f>IF(Q277&lt;&gt;"OK","",IF(E277="Back",G277*(F277-1),-G277*(F277-1)))</x:f>
      </x:c>
      <x:c r="M277" s="20" t="str">
        <x:f>IF(Q277&lt;&gt;"OK","",IF(E277="Back",-G277,G277))</x:f>
      </x:c>
      <x:c r="N277" s="20" t="str">
        <x:f>IF(Q277&lt;&gt;"OK","",SUMIFS($L$8:$L$1007,$A$8:$A$1007,A277,$B$8:$B$1007,"&lt;="&amp;B277))</x:f>
      </x:c>
      <x:c r="O277" s="20" t="str">
        <x:f>IF(Q277&lt;&gt;"OK","",SUMIFS($M$8:$M$1007,$A$8:$A$1007,A277,$B$8:$B$1007,"&lt;="&amp;B277))</x:f>
      </x:c>
      <x:c r="P277" s="20" t="str">
        <x:f>IF(Q277&lt;&gt;"OK","",MAX(0,-MIN(N277,O277)))</x:f>
      </x:c>
      <x:c r="Q277" s="18" t="str">
        <x:f>IF(A277="",IF(COUNTA(B277:K277)=0,"","Inserisci ID"),IF(COUNTIFS('Diario'!$A$8:$A$507,A277)&lt;&gt;1,"ID assente / duplicato",IF(OR(NOT(ISNUMBER(B277)),B277&lt;1,B277&lt;&gt;INT(B277),COUNTIFS($A$8:$A$1007,A277,$B$8:$B$1007,B277)&lt;&gt;1),"N. esecuzione non valido",IF(OR(NOT(ISNUMBER(C277)),AND(D277&lt;&gt;"Ingresso",D277&lt;&gt;"Uscita"),AND(E277&lt;&gt;"Back",E277&lt;&gt;"Lay")),"Completa data / fase / lato",IF(OR(NOT(ISNUMBER(F277)),F277&lt;=1,NOT(ISNUMBER(G277)),G277&lt;=0),"Correggi quota / stake","OK")))))</x:f>
      </x:c>
    </x:row>
    <x:row r="278" ht="22" customHeight="1">
      <x:c r="A278" s="24"/>
      <x:c r="B278" s="24"/>
      <x:c r="C278" s="26"/>
      <x:c r="D278" s="24"/>
      <x:c r="E278" s="24"/>
      <x:c r="F278" s="28"/>
      <x:c r="G278" s="29"/>
      <x:c r="H278" s="24"/>
      <x:c r="I278" s="24"/>
      <x:c r="J278" s="24"/>
      <x:c r="K278" s="24"/>
      <x:c r="L278" s="20" t="str">
        <x:f>IF(Q278&lt;&gt;"OK","",IF(E278="Back",G278*(F278-1),-G278*(F278-1)))</x:f>
      </x:c>
      <x:c r="M278" s="20" t="str">
        <x:f>IF(Q278&lt;&gt;"OK","",IF(E278="Back",-G278,G278))</x:f>
      </x:c>
      <x:c r="N278" s="20" t="str">
        <x:f>IF(Q278&lt;&gt;"OK","",SUMIFS($L$8:$L$1007,$A$8:$A$1007,A278,$B$8:$B$1007,"&lt;="&amp;B278))</x:f>
      </x:c>
      <x:c r="O278" s="20" t="str">
        <x:f>IF(Q278&lt;&gt;"OK","",SUMIFS($M$8:$M$1007,$A$8:$A$1007,A278,$B$8:$B$1007,"&lt;="&amp;B278))</x:f>
      </x:c>
      <x:c r="P278" s="20" t="str">
        <x:f>IF(Q278&lt;&gt;"OK","",MAX(0,-MIN(N278,O278)))</x:f>
      </x:c>
      <x:c r="Q278" s="18" t="str">
        <x:f>IF(A278="",IF(COUNTA(B278:K278)=0,"","Inserisci ID"),IF(COUNTIFS('Diario'!$A$8:$A$507,A278)&lt;&gt;1,"ID assente / duplicato",IF(OR(NOT(ISNUMBER(B278)),B278&lt;1,B278&lt;&gt;INT(B278),COUNTIFS($A$8:$A$1007,A278,$B$8:$B$1007,B278)&lt;&gt;1),"N. esecuzione non valido",IF(OR(NOT(ISNUMBER(C278)),AND(D278&lt;&gt;"Ingresso",D278&lt;&gt;"Uscita"),AND(E278&lt;&gt;"Back",E278&lt;&gt;"Lay")),"Completa data / fase / lato",IF(OR(NOT(ISNUMBER(F278)),F278&lt;=1,NOT(ISNUMBER(G278)),G278&lt;=0),"Correggi quota / stake","OK")))))</x:f>
      </x:c>
    </x:row>
    <x:row r="279" ht="22" customHeight="1">
      <x:c r="A279" s="24"/>
      <x:c r="B279" s="24"/>
      <x:c r="C279" s="26"/>
      <x:c r="D279" s="24"/>
      <x:c r="E279" s="24"/>
      <x:c r="F279" s="28"/>
      <x:c r="G279" s="29"/>
      <x:c r="H279" s="24"/>
      <x:c r="I279" s="24"/>
      <x:c r="J279" s="24"/>
      <x:c r="K279" s="24"/>
      <x:c r="L279" s="20" t="str">
        <x:f>IF(Q279&lt;&gt;"OK","",IF(E279="Back",G279*(F279-1),-G279*(F279-1)))</x:f>
      </x:c>
      <x:c r="M279" s="20" t="str">
        <x:f>IF(Q279&lt;&gt;"OK","",IF(E279="Back",-G279,G279))</x:f>
      </x:c>
      <x:c r="N279" s="20" t="str">
        <x:f>IF(Q279&lt;&gt;"OK","",SUMIFS($L$8:$L$1007,$A$8:$A$1007,A279,$B$8:$B$1007,"&lt;="&amp;B279))</x:f>
      </x:c>
      <x:c r="O279" s="20" t="str">
        <x:f>IF(Q279&lt;&gt;"OK","",SUMIFS($M$8:$M$1007,$A$8:$A$1007,A279,$B$8:$B$1007,"&lt;="&amp;B279))</x:f>
      </x:c>
      <x:c r="P279" s="20" t="str">
        <x:f>IF(Q279&lt;&gt;"OK","",MAX(0,-MIN(N279,O279)))</x:f>
      </x:c>
      <x:c r="Q279" s="18" t="str">
        <x:f>IF(A279="",IF(COUNTA(B279:K279)=0,"","Inserisci ID"),IF(COUNTIFS('Diario'!$A$8:$A$507,A279)&lt;&gt;1,"ID assente / duplicato",IF(OR(NOT(ISNUMBER(B279)),B279&lt;1,B279&lt;&gt;INT(B279),COUNTIFS($A$8:$A$1007,A279,$B$8:$B$1007,B279)&lt;&gt;1),"N. esecuzione non valido",IF(OR(NOT(ISNUMBER(C279)),AND(D279&lt;&gt;"Ingresso",D279&lt;&gt;"Uscita"),AND(E279&lt;&gt;"Back",E279&lt;&gt;"Lay")),"Completa data / fase / lato",IF(OR(NOT(ISNUMBER(F279)),F279&lt;=1,NOT(ISNUMBER(G279)),G279&lt;=0),"Correggi quota / stake","OK")))))</x:f>
      </x:c>
    </x:row>
    <x:row r="280" ht="22" customHeight="1">
      <x:c r="A280" s="24"/>
      <x:c r="B280" s="24"/>
      <x:c r="C280" s="26"/>
      <x:c r="D280" s="24"/>
      <x:c r="E280" s="24"/>
      <x:c r="F280" s="28"/>
      <x:c r="G280" s="29"/>
      <x:c r="H280" s="24"/>
      <x:c r="I280" s="24"/>
      <x:c r="J280" s="24"/>
      <x:c r="K280" s="24"/>
      <x:c r="L280" s="20" t="str">
        <x:f>IF(Q280&lt;&gt;"OK","",IF(E280="Back",G280*(F280-1),-G280*(F280-1)))</x:f>
      </x:c>
      <x:c r="M280" s="20" t="str">
        <x:f>IF(Q280&lt;&gt;"OK","",IF(E280="Back",-G280,G280))</x:f>
      </x:c>
      <x:c r="N280" s="20" t="str">
        <x:f>IF(Q280&lt;&gt;"OK","",SUMIFS($L$8:$L$1007,$A$8:$A$1007,A280,$B$8:$B$1007,"&lt;="&amp;B280))</x:f>
      </x:c>
      <x:c r="O280" s="20" t="str">
        <x:f>IF(Q280&lt;&gt;"OK","",SUMIFS($M$8:$M$1007,$A$8:$A$1007,A280,$B$8:$B$1007,"&lt;="&amp;B280))</x:f>
      </x:c>
      <x:c r="P280" s="20" t="str">
        <x:f>IF(Q280&lt;&gt;"OK","",MAX(0,-MIN(N280,O280)))</x:f>
      </x:c>
      <x:c r="Q280" s="18" t="str">
        <x:f>IF(A280="",IF(COUNTA(B280:K280)=0,"","Inserisci ID"),IF(COUNTIFS('Diario'!$A$8:$A$507,A280)&lt;&gt;1,"ID assente / duplicato",IF(OR(NOT(ISNUMBER(B280)),B280&lt;1,B280&lt;&gt;INT(B280),COUNTIFS($A$8:$A$1007,A280,$B$8:$B$1007,B280)&lt;&gt;1),"N. esecuzione non valido",IF(OR(NOT(ISNUMBER(C280)),AND(D280&lt;&gt;"Ingresso",D280&lt;&gt;"Uscita"),AND(E280&lt;&gt;"Back",E280&lt;&gt;"Lay")),"Completa data / fase / lato",IF(OR(NOT(ISNUMBER(F280)),F280&lt;=1,NOT(ISNUMBER(G280)),G280&lt;=0),"Correggi quota / stake","OK")))))</x:f>
      </x:c>
    </x:row>
    <x:row r="281" ht="22" customHeight="1">
      <x:c r="A281" s="24"/>
      <x:c r="B281" s="24"/>
      <x:c r="C281" s="26"/>
      <x:c r="D281" s="24"/>
      <x:c r="E281" s="24"/>
      <x:c r="F281" s="28"/>
      <x:c r="G281" s="29"/>
      <x:c r="H281" s="24"/>
      <x:c r="I281" s="24"/>
      <x:c r="J281" s="24"/>
      <x:c r="K281" s="24"/>
      <x:c r="L281" s="20" t="str">
        <x:f>IF(Q281&lt;&gt;"OK","",IF(E281="Back",G281*(F281-1),-G281*(F281-1)))</x:f>
      </x:c>
      <x:c r="M281" s="20" t="str">
        <x:f>IF(Q281&lt;&gt;"OK","",IF(E281="Back",-G281,G281))</x:f>
      </x:c>
      <x:c r="N281" s="20" t="str">
        <x:f>IF(Q281&lt;&gt;"OK","",SUMIFS($L$8:$L$1007,$A$8:$A$1007,A281,$B$8:$B$1007,"&lt;="&amp;B281))</x:f>
      </x:c>
      <x:c r="O281" s="20" t="str">
        <x:f>IF(Q281&lt;&gt;"OK","",SUMIFS($M$8:$M$1007,$A$8:$A$1007,A281,$B$8:$B$1007,"&lt;="&amp;B281))</x:f>
      </x:c>
      <x:c r="P281" s="20" t="str">
        <x:f>IF(Q281&lt;&gt;"OK","",MAX(0,-MIN(N281,O281)))</x:f>
      </x:c>
      <x:c r="Q281" s="18" t="str">
        <x:f>IF(A281="",IF(COUNTA(B281:K281)=0,"","Inserisci ID"),IF(COUNTIFS('Diario'!$A$8:$A$507,A281)&lt;&gt;1,"ID assente / duplicato",IF(OR(NOT(ISNUMBER(B281)),B281&lt;1,B281&lt;&gt;INT(B281),COUNTIFS($A$8:$A$1007,A281,$B$8:$B$1007,B281)&lt;&gt;1),"N. esecuzione non valido",IF(OR(NOT(ISNUMBER(C281)),AND(D281&lt;&gt;"Ingresso",D281&lt;&gt;"Uscita"),AND(E281&lt;&gt;"Back",E281&lt;&gt;"Lay")),"Completa data / fase / lato",IF(OR(NOT(ISNUMBER(F281)),F281&lt;=1,NOT(ISNUMBER(G281)),G281&lt;=0),"Correggi quota / stake","OK")))))</x:f>
      </x:c>
    </x:row>
    <x:row r="282" ht="22" customHeight="1">
      <x:c r="A282" s="24"/>
      <x:c r="B282" s="24"/>
      <x:c r="C282" s="26"/>
      <x:c r="D282" s="24"/>
      <x:c r="E282" s="24"/>
      <x:c r="F282" s="28"/>
      <x:c r="G282" s="29"/>
      <x:c r="H282" s="24"/>
      <x:c r="I282" s="24"/>
      <x:c r="J282" s="24"/>
      <x:c r="K282" s="24"/>
      <x:c r="L282" s="20" t="str">
        <x:f>IF(Q282&lt;&gt;"OK","",IF(E282="Back",G282*(F282-1),-G282*(F282-1)))</x:f>
      </x:c>
      <x:c r="M282" s="20" t="str">
        <x:f>IF(Q282&lt;&gt;"OK","",IF(E282="Back",-G282,G282))</x:f>
      </x:c>
      <x:c r="N282" s="20" t="str">
        <x:f>IF(Q282&lt;&gt;"OK","",SUMIFS($L$8:$L$1007,$A$8:$A$1007,A282,$B$8:$B$1007,"&lt;="&amp;B282))</x:f>
      </x:c>
      <x:c r="O282" s="20" t="str">
        <x:f>IF(Q282&lt;&gt;"OK","",SUMIFS($M$8:$M$1007,$A$8:$A$1007,A282,$B$8:$B$1007,"&lt;="&amp;B282))</x:f>
      </x:c>
      <x:c r="P282" s="20" t="str">
        <x:f>IF(Q282&lt;&gt;"OK","",MAX(0,-MIN(N282,O282)))</x:f>
      </x:c>
      <x:c r="Q282" s="18" t="str">
        <x:f>IF(A282="",IF(COUNTA(B282:K282)=0,"","Inserisci ID"),IF(COUNTIFS('Diario'!$A$8:$A$507,A282)&lt;&gt;1,"ID assente / duplicato",IF(OR(NOT(ISNUMBER(B282)),B282&lt;1,B282&lt;&gt;INT(B282),COUNTIFS($A$8:$A$1007,A282,$B$8:$B$1007,B282)&lt;&gt;1),"N. esecuzione non valido",IF(OR(NOT(ISNUMBER(C282)),AND(D282&lt;&gt;"Ingresso",D282&lt;&gt;"Uscita"),AND(E282&lt;&gt;"Back",E282&lt;&gt;"Lay")),"Completa data / fase / lato",IF(OR(NOT(ISNUMBER(F282)),F282&lt;=1,NOT(ISNUMBER(G282)),G282&lt;=0),"Correggi quota / stake","OK")))))</x:f>
      </x:c>
    </x:row>
    <x:row r="283" ht="22" customHeight="1">
      <x:c r="A283" s="24"/>
      <x:c r="B283" s="24"/>
      <x:c r="C283" s="26"/>
      <x:c r="D283" s="24"/>
      <x:c r="E283" s="24"/>
      <x:c r="F283" s="28"/>
      <x:c r="G283" s="29"/>
      <x:c r="H283" s="24"/>
      <x:c r="I283" s="24"/>
      <x:c r="J283" s="24"/>
      <x:c r="K283" s="24"/>
      <x:c r="L283" s="20" t="str">
        <x:f>IF(Q283&lt;&gt;"OK","",IF(E283="Back",G283*(F283-1),-G283*(F283-1)))</x:f>
      </x:c>
      <x:c r="M283" s="20" t="str">
        <x:f>IF(Q283&lt;&gt;"OK","",IF(E283="Back",-G283,G283))</x:f>
      </x:c>
      <x:c r="N283" s="20" t="str">
        <x:f>IF(Q283&lt;&gt;"OK","",SUMIFS($L$8:$L$1007,$A$8:$A$1007,A283,$B$8:$B$1007,"&lt;="&amp;B283))</x:f>
      </x:c>
      <x:c r="O283" s="20" t="str">
        <x:f>IF(Q283&lt;&gt;"OK","",SUMIFS($M$8:$M$1007,$A$8:$A$1007,A283,$B$8:$B$1007,"&lt;="&amp;B283))</x:f>
      </x:c>
      <x:c r="P283" s="20" t="str">
        <x:f>IF(Q283&lt;&gt;"OK","",MAX(0,-MIN(N283,O283)))</x:f>
      </x:c>
      <x:c r="Q283" s="18" t="str">
        <x:f>IF(A283="",IF(COUNTA(B283:K283)=0,"","Inserisci ID"),IF(COUNTIFS('Diario'!$A$8:$A$507,A283)&lt;&gt;1,"ID assente / duplicato",IF(OR(NOT(ISNUMBER(B283)),B283&lt;1,B283&lt;&gt;INT(B283),COUNTIFS($A$8:$A$1007,A283,$B$8:$B$1007,B283)&lt;&gt;1),"N. esecuzione non valido",IF(OR(NOT(ISNUMBER(C283)),AND(D283&lt;&gt;"Ingresso",D283&lt;&gt;"Uscita"),AND(E283&lt;&gt;"Back",E283&lt;&gt;"Lay")),"Completa data / fase / lato",IF(OR(NOT(ISNUMBER(F283)),F283&lt;=1,NOT(ISNUMBER(G283)),G283&lt;=0),"Correggi quota / stake","OK")))))</x:f>
      </x:c>
    </x:row>
    <x:row r="284" ht="22" customHeight="1">
      <x:c r="A284" s="24"/>
      <x:c r="B284" s="24"/>
      <x:c r="C284" s="26"/>
      <x:c r="D284" s="24"/>
      <x:c r="E284" s="24"/>
      <x:c r="F284" s="28"/>
      <x:c r="G284" s="29"/>
      <x:c r="H284" s="24"/>
      <x:c r="I284" s="24"/>
      <x:c r="J284" s="24"/>
      <x:c r="K284" s="24"/>
      <x:c r="L284" s="20" t="str">
        <x:f>IF(Q284&lt;&gt;"OK","",IF(E284="Back",G284*(F284-1),-G284*(F284-1)))</x:f>
      </x:c>
      <x:c r="M284" s="20" t="str">
        <x:f>IF(Q284&lt;&gt;"OK","",IF(E284="Back",-G284,G284))</x:f>
      </x:c>
      <x:c r="N284" s="20" t="str">
        <x:f>IF(Q284&lt;&gt;"OK","",SUMIFS($L$8:$L$1007,$A$8:$A$1007,A284,$B$8:$B$1007,"&lt;="&amp;B284))</x:f>
      </x:c>
      <x:c r="O284" s="20" t="str">
        <x:f>IF(Q284&lt;&gt;"OK","",SUMIFS($M$8:$M$1007,$A$8:$A$1007,A284,$B$8:$B$1007,"&lt;="&amp;B284))</x:f>
      </x:c>
      <x:c r="P284" s="20" t="str">
        <x:f>IF(Q284&lt;&gt;"OK","",MAX(0,-MIN(N284,O284)))</x:f>
      </x:c>
      <x:c r="Q284" s="18" t="str">
        <x:f>IF(A284="",IF(COUNTA(B284:K284)=0,"","Inserisci ID"),IF(COUNTIFS('Diario'!$A$8:$A$507,A284)&lt;&gt;1,"ID assente / duplicato",IF(OR(NOT(ISNUMBER(B284)),B284&lt;1,B284&lt;&gt;INT(B284),COUNTIFS($A$8:$A$1007,A284,$B$8:$B$1007,B284)&lt;&gt;1),"N. esecuzione non valido",IF(OR(NOT(ISNUMBER(C284)),AND(D284&lt;&gt;"Ingresso",D284&lt;&gt;"Uscita"),AND(E284&lt;&gt;"Back",E284&lt;&gt;"Lay")),"Completa data / fase / lato",IF(OR(NOT(ISNUMBER(F284)),F284&lt;=1,NOT(ISNUMBER(G284)),G284&lt;=0),"Correggi quota / stake","OK")))))</x:f>
      </x:c>
    </x:row>
    <x:row r="285" ht="22" customHeight="1">
      <x:c r="A285" s="24"/>
      <x:c r="B285" s="24"/>
      <x:c r="C285" s="26"/>
      <x:c r="D285" s="24"/>
      <x:c r="E285" s="24"/>
      <x:c r="F285" s="28"/>
      <x:c r="G285" s="29"/>
      <x:c r="H285" s="24"/>
      <x:c r="I285" s="24"/>
      <x:c r="J285" s="24"/>
      <x:c r="K285" s="24"/>
      <x:c r="L285" s="20" t="str">
        <x:f>IF(Q285&lt;&gt;"OK","",IF(E285="Back",G285*(F285-1),-G285*(F285-1)))</x:f>
      </x:c>
      <x:c r="M285" s="20" t="str">
        <x:f>IF(Q285&lt;&gt;"OK","",IF(E285="Back",-G285,G285))</x:f>
      </x:c>
      <x:c r="N285" s="20" t="str">
        <x:f>IF(Q285&lt;&gt;"OK","",SUMIFS($L$8:$L$1007,$A$8:$A$1007,A285,$B$8:$B$1007,"&lt;="&amp;B285))</x:f>
      </x:c>
      <x:c r="O285" s="20" t="str">
        <x:f>IF(Q285&lt;&gt;"OK","",SUMIFS($M$8:$M$1007,$A$8:$A$1007,A285,$B$8:$B$1007,"&lt;="&amp;B285))</x:f>
      </x:c>
      <x:c r="P285" s="20" t="str">
        <x:f>IF(Q285&lt;&gt;"OK","",MAX(0,-MIN(N285,O285)))</x:f>
      </x:c>
      <x:c r="Q285" s="18" t="str">
        <x:f>IF(A285="",IF(COUNTA(B285:K285)=0,"","Inserisci ID"),IF(COUNTIFS('Diario'!$A$8:$A$507,A285)&lt;&gt;1,"ID assente / duplicato",IF(OR(NOT(ISNUMBER(B285)),B285&lt;1,B285&lt;&gt;INT(B285),COUNTIFS($A$8:$A$1007,A285,$B$8:$B$1007,B285)&lt;&gt;1),"N. esecuzione non valido",IF(OR(NOT(ISNUMBER(C285)),AND(D285&lt;&gt;"Ingresso",D285&lt;&gt;"Uscita"),AND(E285&lt;&gt;"Back",E285&lt;&gt;"Lay")),"Completa data / fase / lato",IF(OR(NOT(ISNUMBER(F285)),F285&lt;=1,NOT(ISNUMBER(G285)),G285&lt;=0),"Correggi quota / stake","OK")))))</x:f>
      </x:c>
    </x:row>
    <x:row r="286" ht="22" customHeight="1">
      <x:c r="A286" s="24"/>
      <x:c r="B286" s="24"/>
      <x:c r="C286" s="26"/>
      <x:c r="D286" s="24"/>
      <x:c r="E286" s="24"/>
      <x:c r="F286" s="28"/>
      <x:c r="G286" s="29"/>
      <x:c r="H286" s="24"/>
      <x:c r="I286" s="24"/>
      <x:c r="J286" s="24"/>
      <x:c r="K286" s="24"/>
      <x:c r="L286" s="20" t="str">
        <x:f>IF(Q286&lt;&gt;"OK","",IF(E286="Back",G286*(F286-1),-G286*(F286-1)))</x:f>
      </x:c>
      <x:c r="M286" s="20" t="str">
        <x:f>IF(Q286&lt;&gt;"OK","",IF(E286="Back",-G286,G286))</x:f>
      </x:c>
      <x:c r="N286" s="20" t="str">
        <x:f>IF(Q286&lt;&gt;"OK","",SUMIFS($L$8:$L$1007,$A$8:$A$1007,A286,$B$8:$B$1007,"&lt;="&amp;B286))</x:f>
      </x:c>
      <x:c r="O286" s="20" t="str">
        <x:f>IF(Q286&lt;&gt;"OK","",SUMIFS($M$8:$M$1007,$A$8:$A$1007,A286,$B$8:$B$1007,"&lt;="&amp;B286))</x:f>
      </x:c>
      <x:c r="P286" s="20" t="str">
        <x:f>IF(Q286&lt;&gt;"OK","",MAX(0,-MIN(N286,O286)))</x:f>
      </x:c>
      <x:c r="Q286" s="18" t="str">
        <x:f>IF(A286="",IF(COUNTA(B286:K286)=0,"","Inserisci ID"),IF(COUNTIFS('Diario'!$A$8:$A$507,A286)&lt;&gt;1,"ID assente / duplicato",IF(OR(NOT(ISNUMBER(B286)),B286&lt;1,B286&lt;&gt;INT(B286),COUNTIFS($A$8:$A$1007,A286,$B$8:$B$1007,B286)&lt;&gt;1),"N. esecuzione non valido",IF(OR(NOT(ISNUMBER(C286)),AND(D286&lt;&gt;"Ingresso",D286&lt;&gt;"Uscita"),AND(E286&lt;&gt;"Back",E286&lt;&gt;"Lay")),"Completa data / fase / lato",IF(OR(NOT(ISNUMBER(F286)),F286&lt;=1,NOT(ISNUMBER(G286)),G286&lt;=0),"Correggi quota / stake","OK")))))</x:f>
      </x:c>
    </x:row>
    <x:row r="287" ht="22" customHeight="1">
      <x:c r="A287" s="24"/>
      <x:c r="B287" s="24"/>
      <x:c r="C287" s="26"/>
      <x:c r="D287" s="24"/>
      <x:c r="E287" s="24"/>
      <x:c r="F287" s="28"/>
      <x:c r="G287" s="29"/>
      <x:c r="H287" s="24"/>
      <x:c r="I287" s="24"/>
      <x:c r="J287" s="24"/>
      <x:c r="K287" s="24"/>
      <x:c r="L287" s="20" t="str">
        <x:f>IF(Q287&lt;&gt;"OK","",IF(E287="Back",G287*(F287-1),-G287*(F287-1)))</x:f>
      </x:c>
      <x:c r="M287" s="20" t="str">
        <x:f>IF(Q287&lt;&gt;"OK","",IF(E287="Back",-G287,G287))</x:f>
      </x:c>
      <x:c r="N287" s="20" t="str">
        <x:f>IF(Q287&lt;&gt;"OK","",SUMIFS($L$8:$L$1007,$A$8:$A$1007,A287,$B$8:$B$1007,"&lt;="&amp;B287))</x:f>
      </x:c>
      <x:c r="O287" s="20" t="str">
        <x:f>IF(Q287&lt;&gt;"OK","",SUMIFS($M$8:$M$1007,$A$8:$A$1007,A287,$B$8:$B$1007,"&lt;="&amp;B287))</x:f>
      </x:c>
      <x:c r="P287" s="20" t="str">
        <x:f>IF(Q287&lt;&gt;"OK","",MAX(0,-MIN(N287,O287)))</x:f>
      </x:c>
      <x:c r="Q287" s="18" t="str">
        <x:f>IF(A287="",IF(COUNTA(B287:K287)=0,"","Inserisci ID"),IF(COUNTIFS('Diario'!$A$8:$A$507,A287)&lt;&gt;1,"ID assente / duplicato",IF(OR(NOT(ISNUMBER(B287)),B287&lt;1,B287&lt;&gt;INT(B287),COUNTIFS($A$8:$A$1007,A287,$B$8:$B$1007,B287)&lt;&gt;1),"N. esecuzione non valido",IF(OR(NOT(ISNUMBER(C287)),AND(D287&lt;&gt;"Ingresso",D287&lt;&gt;"Uscita"),AND(E287&lt;&gt;"Back",E287&lt;&gt;"Lay")),"Completa data / fase / lato",IF(OR(NOT(ISNUMBER(F287)),F287&lt;=1,NOT(ISNUMBER(G287)),G287&lt;=0),"Correggi quota / stake","OK")))))</x:f>
      </x:c>
    </x:row>
    <x:row r="288" ht="22" customHeight="1">
      <x:c r="A288" s="24"/>
      <x:c r="B288" s="24"/>
      <x:c r="C288" s="26"/>
      <x:c r="D288" s="24"/>
      <x:c r="E288" s="24"/>
      <x:c r="F288" s="28"/>
      <x:c r="G288" s="29"/>
      <x:c r="H288" s="24"/>
      <x:c r="I288" s="24"/>
      <x:c r="J288" s="24"/>
      <x:c r="K288" s="24"/>
      <x:c r="L288" s="20" t="str">
        <x:f>IF(Q288&lt;&gt;"OK","",IF(E288="Back",G288*(F288-1),-G288*(F288-1)))</x:f>
      </x:c>
      <x:c r="M288" s="20" t="str">
        <x:f>IF(Q288&lt;&gt;"OK","",IF(E288="Back",-G288,G288))</x:f>
      </x:c>
      <x:c r="N288" s="20" t="str">
        <x:f>IF(Q288&lt;&gt;"OK","",SUMIFS($L$8:$L$1007,$A$8:$A$1007,A288,$B$8:$B$1007,"&lt;="&amp;B288))</x:f>
      </x:c>
      <x:c r="O288" s="20" t="str">
        <x:f>IF(Q288&lt;&gt;"OK","",SUMIFS($M$8:$M$1007,$A$8:$A$1007,A288,$B$8:$B$1007,"&lt;="&amp;B288))</x:f>
      </x:c>
      <x:c r="P288" s="20" t="str">
        <x:f>IF(Q288&lt;&gt;"OK","",MAX(0,-MIN(N288,O288)))</x:f>
      </x:c>
      <x:c r="Q288" s="18" t="str">
        <x:f>IF(A288="",IF(COUNTA(B288:K288)=0,"","Inserisci ID"),IF(COUNTIFS('Diario'!$A$8:$A$507,A288)&lt;&gt;1,"ID assente / duplicato",IF(OR(NOT(ISNUMBER(B288)),B288&lt;1,B288&lt;&gt;INT(B288),COUNTIFS($A$8:$A$1007,A288,$B$8:$B$1007,B288)&lt;&gt;1),"N. esecuzione non valido",IF(OR(NOT(ISNUMBER(C288)),AND(D288&lt;&gt;"Ingresso",D288&lt;&gt;"Uscita"),AND(E288&lt;&gt;"Back",E288&lt;&gt;"Lay")),"Completa data / fase / lato",IF(OR(NOT(ISNUMBER(F288)),F288&lt;=1,NOT(ISNUMBER(G288)),G288&lt;=0),"Correggi quota / stake","OK")))))</x:f>
      </x:c>
    </x:row>
    <x:row r="289" ht="22" customHeight="1">
      <x:c r="A289" s="24"/>
      <x:c r="B289" s="24"/>
      <x:c r="C289" s="26"/>
      <x:c r="D289" s="24"/>
      <x:c r="E289" s="24"/>
      <x:c r="F289" s="28"/>
      <x:c r="G289" s="29"/>
      <x:c r="H289" s="24"/>
      <x:c r="I289" s="24"/>
      <x:c r="J289" s="24"/>
      <x:c r="K289" s="24"/>
      <x:c r="L289" s="20" t="str">
        <x:f>IF(Q289&lt;&gt;"OK","",IF(E289="Back",G289*(F289-1),-G289*(F289-1)))</x:f>
      </x:c>
      <x:c r="M289" s="20" t="str">
        <x:f>IF(Q289&lt;&gt;"OK","",IF(E289="Back",-G289,G289))</x:f>
      </x:c>
      <x:c r="N289" s="20" t="str">
        <x:f>IF(Q289&lt;&gt;"OK","",SUMIFS($L$8:$L$1007,$A$8:$A$1007,A289,$B$8:$B$1007,"&lt;="&amp;B289))</x:f>
      </x:c>
      <x:c r="O289" s="20" t="str">
        <x:f>IF(Q289&lt;&gt;"OK","",SUMIFS($M$8:$M$1007,$A$8:$A$1007,A289,$B$8:$B$1007,"&lt;="&amp;B289))</x:f>
      </x:c>
      <x:c r="P289" s="20" t="str">
        <x:f>IF(Q289&lt;&gt;"OK","",MAX(0,-MIN(N289,O289)))</x:f>
      </x:c>
      <x:c r="Q289" s="18" t="str">
        <x:f>IF(A289="",IF(COUNTA(B289:K289)=0,"","Inserisci ID"),IF(COUNTIFS('Diario'!$A$8:$A$507,A289)&lt;&gt;1,"ID assente / duplicato",IF(OR(NOT(ISNUMBER(B289)),B289&lt;1,B289&lt;&gt;INT(B289),COUNTIFS($A$8:$A$1007,A289,$B$8:$B$1007,B289)&lt;&gt;1),"N. esecuzione non valido",IF(OR(NOT(ISNUMBER(C289)),AND(D289&lt;&gt;"Ingresso",D289&lt;&gt;"Uscita"),AND(E289&lt;&gt;"Back",E289&lt;&gt;"Lay")),"Completa data / fase / lato",IF(OR(NOT(ISNUMBER(F289)),F289&lt;=1,NOT(ISNUMBER(G289)),G289&lt;=0),"Correggi quota / stake","OK")))))</x:f>
      </x:c>
    </x:row>
    <x:row r="290" ht="22" customHeight="1">
      <x:c r="A290" s="24"/>
      <x:c r="B290" s="24"/>
      <x:c r="C290" s="26"/>
      <x:c r="D290" s="24"/>
      <x:c r="E290" s="24"/>
      <x:c r="F290" s="28"/>
      <x:c r="G290" s="29"/>
      <x:c r="H290" s="24"/>
      <x:c r="I290" s="24"/>
      <x:c r="J290" s="24"/>
      <x:c r="K290" s="24"/>
      <x:c r="L290" s="20" t="str">
        <x:f>IF(Q290&lt;&gt;"OK","",IF(E290="Back",G290*(F290-1),-G290*(F290-1)))</x:f>
      </x:c>
      <x:c r="M290" s="20" t="str">
        <x:f>IF(Q290&lt;&gt;"OK","",IF(E290="Back",-G290,G290))</x:f>
      </x:c>
      <x:c r="N290" s="20" t="str">
        <x:f>IF(Q290&lt;&gt;"OK","",SUMIFS($L$8:$L$1007,$A$8:$A$1007,A290,$B$8:$B$1007,"&lt;="&amp;B290))</x:f>
      </x:c>
      <x:c r="O290" s="20" t="str">
        <x:f>IF(Q290&lt;&gt;"OK","",SUMIFS($M$8:$M$1007,$A$8:$A$1007,A290,$B$8:$B$1007,"&lt;="&amp;B290))</x:f>
      </x:c>
      <x:c r="P290" s="20" t="str">
        <x:f>IF(Q290&lt;&gt;"OK","",MAX(0,-MIN(N290,O290)))</x:f>
      </x:c>
      <x:c r="Q290" s="18" t="str">
        <x:f>IF(A290="",IF(COUNTA(B290:K290)=0,"","Inserisci ID"),IF(COUNTIFS('Diario'!$A$8:$A$507,A290)&lt;&gt;1,"ID assente / duplicato",IF(OR(NOT(ISNUMBER(B290)),B290&lt;1,B290&lt;&gt;INT(B290),COUNTIFS($A$8:$A$1007,A290,$B$8:$B$1007,B290)&lt;&gt;1),"N. esecuzione non valido",IF(OR(NOT(ISNUMBER(C290)),AND(D290&lt;&gt;"Ingresso",D290&lt;&gt;"Uscita"),AND(E290&lt;&gt;"Back",E290&lt;&gt;"Lay")),"Completa data / fase / lato",IF(OR(NOT(ISNUMBER(F290)),F290&lt;=1,NOT(ISNUMBER(G290)),G290&lt;=0),"Correggi quota / stake","OK")))))</x:f>
      </x:c>
    </x:row>
    <x:row r="291" ht="22" customHeight="1">
      <x:c r="A291" s="24"/>
      <x:c r="B291" s="24"/>
      <x:c r="C291" s="26"/>
      <x:c r="D291" s="24"/>
      <x:c r="E291" s="24"/>
      <x:c r="F291" s="28"/>
      <x:c r="G291" s="29"/>
      <x:c r="H291" s="24"/>
      <x:c r="I291" s="24"/>
      <x:c r="J291" s="24"/>
      <x:c r="K291" s="24"/>
      <x:c r="L291" s="20" t="str">
        <x:f>IF(Q291&lt;&gt;"OK","",IF(E291="Back",G291*(F291-1),-G291*(F291-1)))</x:f>
      </x:c>
      <x:c r="M291" s="20" t="str">
        <x:f>IF(Q291&lt;&gt;"OK","",IF(E291="Back",-G291,G291))</x:f>
      </x:c>
      <x:c r="N291" s="20" t="str">
        <x:f>IF(Q291&lt;&gt;"OK","",SUMIFS($L$8:$L$1007,$A$8:$A$1007,A291,$B$8:$B$1007,"&lt;="&amp;B291))</x:f>
      </x:c>
      <x:c r="O291" s="20" t="str">
        <x:f>IF(Q291&lt;&gt;"OK","",SUMIFS($M$8:$M$1007,$A$8:$A$1007,A291,$B$8:$B$1007,"&lt;="&amp;B291))</x:f>
      </x:c>
      <x:c r="P291" s="20" t="str">
        <x:f>IF(Q291&lt;&gt;"OK","",MAX(0,-MIN(N291,O291)))</x:f>
      </x:c>
      <x:c r="Q291" s="18" t="str">
        <x:f>IF(A291="",IF(COUNTA(B291:K291)=0,"","Inserisci ID"),IF(COUNTIFS('Diario'!$A$8:$A$507,A291)&lt;&gt;1,"ID assente / duplicato",IF(OR(NOT(ISNUMBER(B291)),B291&lt;1,B291&lt;&gt;INT(B291),COUNTIFS($A$8:$A$1007,A291,$B$8:$B$1007,B291)&lt;&gt;1),"N. esecuzione non valido",IF(OR(NOT(ISNUMBER(C291)),AND(D291&lt;&gt;"Ingresso",D291&lt;&gt;"Uscita"),AND(E291&lt;&gt;"Back",E291&lt;&gt;"Lay")),"Completa data / fase / lato",IF(OR(NOT(ISNUMBER(F291)),F291&lt;=1,NOT(ISNUMBER(G291)),G291&lt;=0),"Correggi quota / stake","OK")))))</x:f>
      </x:c>
    </x:row>
    <x:row r="292" ht="22" customHeight="1">
      <x:c r="A292" s="24"/>
      <x:c r="B292" s="24"/>
      <x:c r="C292" s="26"/>
      <x:c r="D292" s="24"/>
      <x:c r="E292" s="24"/>
      <x:c r="F292" s="28"/>
      <x:c r="G292" s="29"/>
      <x:c r="H292" s="24"/>
      <x:c r="I292" s="24"/>
      <x:c r="J292" s="24"/>
      <x:c r="K292" s="24"/>
      <x:c r="L292" s="20" t="str">
        <x:f>IF(Q292&lt;&gt;"OK","",IF(E292="Back",G292*(F292-1),-G292*(F292-1)))</x:f>
      </x:c>
      <x:c r="M292" s="20" t="str">
        <x:f>IF(Q292&lt;&gt;"OK","",IF(E292="Back",-G292,G292))</x:f>
      </x:c>
      <x:c r="N292" s="20" t="str">
        <x:f>IF(Q292&lt;&gt;"OK","",SUMIFS($L$8:$L$1007,$A$8:$A$1007,A292,$B$8:$B$1007,"&lt;="&amp;B292))</x:f>
      </x:c>
      <x:c r="O292" s="20" t="str">
        <x:f>IF(Q292&lt;&gt;"OK","",SUMIFS($M$8:$M$1007,$A$8:$A$1007,A292,$B$8:$B$1007,"&lt;="&amp;B292))</x:f>
      </x:c>
      <x:c r="P292" s="20" t="str">
        <x:f>IF(Q292&lt;&gt;"OK","",MAX(0,-MIN(N292,O292)))</x:f>
      </x:c>
      <x:c r="Q292" s="18" t="str">
        <x:f>IF(A292="",IF(COUNTA(B292:K292)=0,"","Inserisci ID"),IF(COUNTIFS('Diario'!$A$8:$A$507,A292)&lt;&gt;1,"ID assente / duplicato",IF(OR(NOT(ISNUMBER(B292)),B292&lt;1,B292&lt;&gt;INT(B292),COUNTIFS($A$8:$A$1007,A292,$B$8:$B$1007,B292)&lt;&gt;1),"N. esecuzione non valido",IF(OR(NOT(ISNUMBER(C292)),AND(D292&lt;&gt;"Ingresso",D292&lt;&gt;"Uscita"),AND(E292&lt;&gt;"Back",E292&lt;&gt;"Lay")),"Completa data / fase / lato",IF(OR(NOT(ISNUMBER(F292)),F292&lt;=1,NOT(ISNUMBER(G292)),G292&lt;=0),"Correggi quota / stake","OK")))))</x:f>
      </x:c>
    </x:row>
    <x:row r="293" ht="22" customHeight="1">
      <x:c r="A293" s="24"/>
      <x:c r="B293" s="24"/>
      <x:c r="C293" s="26"/>
      <x:c r="D293" s="24"/>
      <x:c r="E293" s="24"/>
      <x:c r="F293" s="28"/>
      <x:c r="G293" s="29"/>
      <x:c r="H293" s="24"/>
      <x:c r="I293" s="24"/>
      <x:c r="J293" s="24"/>
      <x:c r="K293" s="24"/>
      <x:c r="L293" s="20" t="str">
        <x:f>IF(Q293&lt;&gt;"OK","",IF(E293="Back",G293*(F293-1),-G293*(F293-1)))</x:f>
      </x:c>
      <x:c r="M293" s="20" t="str">
        <x:f>IF(Q293&lt;&gt;"OK","",IF(E293="Back",-G293,G293))</x:f>
      </x:c>
      <x:c r="N293" s="20" t="str">
        <x:f>IF(Q293&lt;&gt;"OK","",SUMIFS($L$8:$L$1007,$A$8:$A$1007,A293,$B$8:$B$1007,"&lt;="&amp;B293))</x:f>
      </x:c>
      <x:c r="O293" s="20" t="str">
        <x:f>IF(Q293&lt;&gt;"OK","",SUMIFS($M$8:$M$1007,$A$8:$A$1007,A293,$B$8:$B$1007,"&lt;="&amp;B293))</x:f>
      </x:c>
      <x:c r="P293" s="20" t="str">
        <x:f>IF(Q293&lt;&gt;"OK","",MAX(0,-MIN(N293,O293)))</x:f>
      </x:c>
      <x:c r="Q293" s="18" t="str">
        <x:f>IF(A293="",IF(COUNTA(B293:K293)=0,"","Inserisci ID"),IF(COUNTIFS('Diario'!$A$8:$A$507,A293)&lt;&gt;1,"ID assente / duplicato",IF(OR(NOT(ISNUMBER(B293)),B293&lt;1,B293&lt;&gt;INT(B293),COUNTIFS($A$8:$A$1007,A293,$B$8:$B$1007,B293)&lt;&gt;1),"N. esecuzione non valido",IF(OR(NOT(ISNUMBER(C293)),AND(D293&lt;&gt;"Ingresso",D293&lt;&gt;"Uscita"),AND(E293&lt;&gt;"Back",E293&lt;&gt;"Lay")),"Completa data / fase / lato",IF(OR(NOT(ISNUMBER(F293)),F293&lt;=1,NOT(ISNUMBER(G293)),G293&lt;=0),"Correggi quota / stake","OK")))))</x:f>
      </x:c>
    </x:row>
    <x:row r="294" ht="22" customHeight="1">
      <x:c r="A294" s="24"/>
      <x:c r="B294" s="24"/>
      <x:c r="C294" s="26"/>
      <x:c r="D294" s="24"/>
      <x:c r="E294" s="24"/>
      <x:c r="F294" s="28"/>
      <x:c r="G294" s="29"/>
      <x:c r="H294" s="24"/>
      <x:c r="I294" s="24"/>
      <x:c r="J294" s="24"/>
      <x:c r="K294" s="24"/>
      <x:c r="L294" s="20" t="str">
        <x:f>IF(Q294&lt;&gt;"OK","",IF(E294="Back",G294*(F294-1),-G294*(F294-1)))</x:f>
      </x:c>
      <x:c r="M294" s="20" t="str">
        <x:f>IF(Q294&lt;&gt;"OK","",IF(E294="Back",-G294,G294))</x:f>
      </x:c>
      <x:c r="N294" s="20" t="str">
        <x:f>IF(Q294&lt;&gt;"OK","",SUMIFS($L$8:$L$1007,$A$8:$A$1007,A294,$B$8:$B$1007,"&lt;="&amp;B294))</x:f>
      </x:c>
      <x:c r="O294" s="20" t="str">
        <x:f>IF(Q294&lt;&gt;"OK","",SUMIFS($M$8:$M$1007,$A$8:$A$1007,A294,$B$8:$B$1007,"&lt;="&amp;B294))</x:f>
      </x:c>
      <x:c r="P294" s="20" t="str">
        <x:f>IF(Q294&lt;&gt;"OK","",MAX(0,-MIN(N294,O294)))</x:f>
      </x:c>
      <x:c r="Q294" s="18" t="str">
        <x:f>IF(A294="",IF(COUNTA(B294:K294)=0,"","Inserisci ID"),IF(COUNTIFS('Diario'!$A$8:$A$507,A294)&lt;&gt;1,"ID assente / duplicato",IF(OR(NOT(ISNUMBER(B294)),B294&lt;1,B294&lt;&gt;INT(B294),COUNTIFS($A$8:$A$1007,A294,$B$8:$B$1007,B294)&lt;&gt;1),"N. esecuzione non valido",IF(OR(NOT(ISNUMBER(C294)),AND(D294&lt;&gt;"Ingresso",D294&lt;&gt;"Uscita"),AND(E294&lt;&gt;"Back",E294&lt;&gt;"Lay")),"Completa data / fase / lato",IF(OR(NOT(ISNUMBER(F294)),F294&lt;=1,NOT(ISNUMBER(G294)),G294&lt;=0),"Correggi quota / stake","OK")))))</x:f>
      </x:c>
    </x:row>
    <x:row r="295" ht="22" customHeight="1">
      <x:c r="A295" s="24"/>
      <x:c r="B295" s="24"/>
      <x:c r="C295" s="26"/>
      <x:c r="D295" s="24"/>
      <x:c r="E295" s="24"/>
      <x:c r="F295" s="28"/>
      <x:c r="G295" s="29"/>
      <x:c r="H295" s="24"/>
      <x:c r="I295" s="24"/>
      <x:c r="J295" s="24"/>
      <x:c r="K295" s="24"/>
      <x:c r="L295" s="20" t="str">
        <x:f>IF(Q295&lt;&gt;"OK","",IF(E295="Back",G295*(F295-1),-G295*(F295-1)))</x:f>
      </x:c>
      <x:c r="M295" s="20" t="str">
        <x:f>IF(Q295&lt;&gt;"OK","",IF(E295="Back",-G295,G295))</x:f>
      </x:c>
      <x:c r="N295" s="20" t="str">
        <x:f>IF(Q295&lt;&gt;"OK","",SUMIFS($L$8:$L$1007,$A$8:$A$1007,A295,$B$8:$B$1007,"&lt;="&amp;B295))</x:f>
      </x:c>
      <x:c r="O295" s="20" t="str">
        <x:f>IF(Q295&lt;&gt;"OK","",SUMIFS($M$8:$M$1007,$A$8:$A$1007,A295,$B$8:$B$1007,"&lt;="&amp;B295))</x:f>
      </x:c>
      <x:c r="P295" s="20" t="str">
        <x:f>IF(Q295&lt;&gt;"OK","",MAX(0,-MIN(N295,O295)))</x:f>
      </x:c>
      <x:c r="Q295" s="18" t="str">
        <x:f>IF(A295="",IF(COUNTA(B295:K295)=0,"","Inserisci ID"),IF(COUNTIFS('Diario'!$A$8:$A$507,A295)&lt;&gt;1,"ID assente / duplicato",IF(OR(NOT(ISNUMBER(B295)),B295&lt;1,B295&lt;&gt;INT(B295),COUNTIFS($A$8:$A$1007,A295,$B$8:$B$1007,B295)&lt;&gt;1),"N. esecuzione non valido",IF(OR(NOT(ISNUMBER(C295)),AND(D295&lt;&gt;"Ingresso",D295&lt;&gt;"Uscita"),AND(E295&lt;&gt;"Back",E295&lt;&gt;"Lay")),"Completa data / fase / lato",IF(OR(NOT(ISNUMBER(F295)),F295&lt;=1,NOT(ISNUMBER(G295)),G295&lt;=0),"Correggi quota / stake","OK")))))</x:f>
      </x:c>
    </x:row>
    <x:row r="296" ht="22" customHeight="1">
      <x:c r="A296" s="24"/>
      <x:c r="B296" s="24"/>
      <x:c r="C296" s="26"/>
      <x:c r="D296" s="24"/>
      <x:c r="E296" s="24"/>
      <x:c r="F296" s="28"/>
      <x:c r="G296" s="29"/>
      <x:c r="H296" s="24"/>
      <x:c r="I296" s="24"/>
      <x:c r="J296" s="24"/>
      <x:c r="K296" s="24"/>
      <x:c r="L296" s="20" t="str">
        <x:f>IF(Q296&lt;&gt;"OK","",IF(E296="Back",G296*(F296-1),-G296*(F296-1)))</x:f>
      </x:c>
      <x:c r="M296" s="20" t="str">
        <x:f>IF(Q296&lt;&gt;"OK","",IF(E296="Back",-G296,G296))</x:f>
      </x:c>
      <x:c r="N296" s="20" t="str">
        <x:f>IF(Q296&lt;&gt;"OK","",SUMIFS($L$8:$L$1007,$A$8:$A$1007,A296,$B$8:$B$1007,"&lt;="&amp;B296))</x:f>
      </x:c>
      <x:c r="O296" s="20" t="str">
        <x:f>IF(Q296&lt;&gt;"OK","",SUMIFS($M$8:$M$1007,$A$8:$A$1007,A296,$B$8:$B$1007,"&lt;="&amp;B296))</x:f>
      </x:c>
      <x:c r="P296" s="20" t="str">
        <x:f>IF(Q296&lt;&gt;"OK","",MAX(0,-MIN(N296,O296)))</x:f>
      </x:c>
      <x:c r="Q296" s="18" t="str">
        <x:f>IF(A296="",IF(COUNTA(B296:K296)=0,"","Inserisci ID"),IF(COUNTIFS('Diario'!$A$8:$A$507,A296)&lt;&gt;1,"ID assente / duplicato",IF(OR(NOT(ISNUMBER(B296)),B296&lt;1,B296&lt;&gt;INT(B296),COUNTIFS($A$8:$A$1007,A296,$B$8:$B$1007,B296)&lt;&gt;1),"N. esecuzione non valido",IF(OR(NOT(ISNUMBER(C296)),AND(D296&lt;&gt;"Ingresso",D296&lt;&gt;"Uscita"),AND(E296&lt;&gt;"Back",E296&lt;&gt;"Lay")),"Completa data / fase / lato",IF(OR(NOT(ISNUMBER(F296)),F296&lt;=1,NOT(ISNUMBER(G296)),G296&lt;=0),"Correggi quota / stake","OK")))))</x:f>
      </x:c>
    </x:row>
    <x:row r="297" ht="22" customHeight="1">
      <x:c r="A297" s="24"/>
      <x:c r="B297" s="24"/>
      <x:c r="C297" s="26"/>
      <x:c r="D297" s="24"/>
      <x:c r="E297" s="24"/>
      <x:c r="F297" s="28"/>
      <x:c r="G297" s="29"/>
      <x:c r="H297" s="24"/>
      <x:c r="I297" s="24"/>
      <x:c r="J297" s="24"/>
      <x:c r="K297" s="24"/>
      <x:c r="L297" s="20" t="str">
        <x:f>IF(Q297&lt;&gt;"OK","",IF(E297="Back",G297*(F297-1),-G297*(F297-1)))</x:f>
      </x:c>
      <x:c r="M297" s="20" t="str">
        <x:f>IF(Q297&lt;&gt;"OK","",IF(E297="Back",-G297,G297))</x:f>
      </x:c>
      <x:c r="N297" s="20" t="str">
        <x:f>IF(Q297&lt;&gt;"OK","",SUMIFS($L$8:$L$1007,$A$8:$A$1007,A297,$B$8:$B$1007,"&lt;="&amp;B297))</x:f>
      </x:c>
      <x:c r="O297" s="20" t="str">
        <x:f>IF(Q297&lt;&gt;"OK","",SUMIFS($M$8:$M$1007,$A$8:$A$1007,A297,$B$8:$B$1007,"&lt;="&amp;B297))</x:f>
      </x:c>
      <x:c r="P297" s="20" t="str">
        <x:f>IF(Q297&lt;&gt;"OK","",MAX(0,-MIN(N297,O297)))</x:f>
      </x:c>
      <x:c r="Q297" s="18" t="str">
        <x:f>IF(A297="",IF(COUNTA(B297:K297)=0,"","Inserisci ID"),IF(COUNTIFS('Diario'!$A$8:$A$507,A297)&lt;&gt;1,"ID assente / duplicato",IF(OR(NOT(ISNUMBER(B297)),B297&lt;1,B297&lt;&gt;INT(B297),COUNTIFS($A$8:$A$1007,A297,$B$8:$B$1007,B297)&lt;&gt;1),"N. esecuzione non valido",IF(OR(NOT(ISNUMBER(C297)),AND(D297&lt;&gt;"Ingresso",D297&lt;&gt;"Uscita"),AND(E297&lt;&gt;"Back",E297&lt;&gt;"Lay")),"Completa data / fase / lato",IF(OR(NOT(ISNUMBER(F297)),F297&lt;=1,NOT(ISNUMBER(G297)),G297&lt;=0),"Correggi quota / stake","OK")))))</x:f>
      </x:c>
    </x:row>
    <x:row r="298" ht="22" customHeight="1">
      <x:c r="A298" s="24"/>
      <x:c r="B298" s="24"/>
      <x:c r="C298" s="26"/>
      <x:c r="D298" s="24"/>
      <x:c r="E298" s="24"/>
      <x:c r="F298" s="28"/>
      <x:c r="G298" s="29"/>
      <x:c r="H298" s="24"/>
      <x:c r="I298" s="24"/>
      <x:c r="J298" s="24"/>
      <x:c r="K298" s="24"/>
      <x:c r="L298" s="20" t="str">
        <x:f>IF(Q298&lt;&gt;"OK","",IF(E298="Back",G298*(F298-1),-G298*(F298-1)))</x:f>
      </x:c>
      <x:c r="M298" s="20" t="str">
        <x:f>IF(Q298&lt;&gt;"OK","",IF(E298="Back",-G298,G298))</x:f>
      </x:c>
      <x:c r="N298" s="20" t="str">
        <x:f>IF(Q298&lt;&gt;"OK","",SUMIFS($L$8:$L$1007,$A$8:$A$1007,A298,$B$8:$B$1007,"&lt;="&amp;B298))</x:f>
      </x:c>
      <x:c r="O298" s="20" t="str">
        <x:f>IF(Q298&lt;&gt;"OK","",SUMIFS($M$8:$M$1007,$A$8:$A$1007,A298,$B$8:$B$1007,"&lt;="&amp;B298))</x:f>
      </x:c>
      <x:c r="P298" s="20" t="str">
        <x:f>IF(Q298&lt;&gt;"OK","",MAX(0,-MIN(N298,O298)))</x:f>
      </x:c>
      <x:c r="Q298" s="18" t="str">
        <x:f>IF(A298="",IF(COUNTA(B298:K298)=0,"","Inserisci ID"),IF(COUNTIFS('Diario'!$A$8:$A$507,A298)&lt;&gt;1,"ID assente / duplicato",IF(OR(NOT(ISNUMBER(B298)),B298&lt;1,B298&lt;&gt;INT(B298),COUNTIFS($A$8:$A$1007,A298,$B$8:$B$1007,B298)&lt;&gt;1),"N. esecuzione non valido",IF(OR(NOT(ISNUMBER(C298)),AND(D298&lt;&gt;"Ingresso",D298&lt;&gt;"Uscita"),AND(E298&lt;&gt;"Back",E298&lt;&gt;"Lay")),"Completa data / fase / lato",IF(OR(NOT(ISNUMBER(F298)),F298&lt;=1,NOT(ISNUMBER(G298)),G298&lt;=0),"Correggi quota / stake","OK")))))</x:f>
      </x:c>
    </x:row>
    <x:row r="299" ht="22" customHeight="1">
      <x:c r="A299" s="24"/>
      <x:c r="B299" s="24"/>
      <x:c r="C299" s="26"/>
      <x:c r="D299" s="24"/>
      <x:c r="E299" s="24"/>
      <x:c r="F299" s="28"/>
      <x:c r="G299" s="29"/>
      <x:c r="H299" s="24"/>
      <x:c r="I299" s="24"/>
      <x:c r="J299" s="24"/>
      <x:c r="K299" s="24"/>
      <x:c r="L299" s="20" t="str">
        <x:f>IF(Q299&lt;&gt;"OK","",IF(E299="Back",G299*(F299-1),-G299*(F299-1)))</x:f>
      </x:c>
      <x:c r="M299" s="20" t="str">
        <x:f>IF(Q299&lt;&gt;"OK","",IF(E299="Back",-G299,G299))</x:f>
      </x:c>
      <x:c r="N299" s="20" t="str">
        <x:f>IF(Q299&lt;&gt;"OK","",SUMIFS($L$8:$L$1007,$A$8:$A$1007,A299,$B$8:$B$1007,"&lt;="&amp;B299))</x:f>
      </x:c>
      <x:c r="O299" s="20" t="str">
        <x:f>IF(Q299&lt;&gt;"OK","",SUMIFS($M$8:$M$1007,$A$8:$A$1007,A299,$B$8:$B$1007,"&lt;="&amp;B299))</x:f>
      </x:c>
      <x:c r="P299" s="20" t="str">
        <x:f>IF(Q299&lt;&gt;"OK","",MAX(0,-MIN(N299,O299)))</x:f>
      </x:c>
      <x:c r="Q299" s="18" t="str">
        <x:f>IF(A299="",IF(COUNTA(B299:K299)=0,"","Inserisci ID"),IF(COUNTIFS('Diario'!$A$8:$A$507,A299)&lt;&gt;1,"ID assente / duplicato",IF(OR(NOT(ISNUMBER(B299)),B299&lt;1,B299&lt;&gt;INT(B299),COUNTIFS($A$8:$A$1007,A299,$B$8:$B$1007,B299)&lt;&gt;1),"N. esecuzione non valido",IF(OR(NOT(ISNUMBER(C299)),AND(D299&lt;&gt;"Ingresso",D299&lt;&gt;"Uscita"),AND(E299&lt;&gt;"Back",E299&lt;&gt;"Lay")),"Completa data / fase / lato",IF(OR(NOT(ISNUMBER(F299)),F299&lt;=1,NOT(ISNUMBER(G299)),G299&lt;=0),"Correggi quota / stake","OK")))))</x:f>
      </x:c>
    </x:row>
    <x:row r="300" ht="22" customHeight="1">
      <x:c r="A300" s="24"/>
      <x:c r="B300" s="24"/>
      <x:c r="C300" s="26"/>
      <x:c r="D300" s="24"/>
      <x:c r="E300" s="24"/>
      <x:c r="F300" s="28"/>
      <x:c r="G300" s="29"/>
      <x:c r="H300" s="24"/>
      <x:c r="I300" s="24"/>
      <x:c r="J300" s="24"/>
      <x:c r="K300" s="24"/>
      <x:c r="L300" s="20" t="str">
        <x:f>IF(Q300&lt;&gt;"OK","",IF(E300="Back",G300*(F300-1),-G300*(F300-1)))</x:f>
      </x:c>
      <x:c r="M300" s="20" t="str">
        <x:f>IF(Q300&lt;&gt;"OK","",IF(E300="Back",-G300,G300))</x:f>
      </x:c>
      <x:c r="N300" s="20" t="str">
        <x:f>IF(Q300&lt;&gt;"OK","",SUMIFS($L$8:$L$1007,$A$8:$A$1007,A300,$B$8:$B$1007,"&lt;="&amp;B300))</x:f>
      </x:c>
      <x:c r="O300" s="20" t="str">
        <x:f>IF(Q300&lt;&gt;"OK","",SUMIFS($M$8:$M$1007,$A$8:$A$1007,A300,$B$8:$B$1007,"&lt;="&amp;B300))</x:f>
      </x:c>
      <x:c r="P300" s="20" t="str">
        <x:f>IF(Q300&lt;&gt;"OK","",MAX(0,-MIN(N300,O300)))</x:f>
      </x:c>
      <x:c r="Q300" s="18" t="str">
        <x:f>IF(A300="",IF(COUNTA(B300:K300)=0,"","Inserisci ID"),IF(COUNTIFS('Diario'!$A$8:$A$507,A300)&lt;&gt;1,"ID assente / duplicato",IF(OR(NOT(ISNUMBER(B300)),B300&lt;1,B300&lt;&gt;INT(B300),COUNTIFS($A$8:$A$1007,A300,$B$8:$B$1007,B300)&lt;&gt;1),"N. esecuzione non valido",IF(OR(NOT(ISNUMBER(C300)),AND(D300&lt;&gt;"Ingresso",D300&lt;&gt;"Uscita"),AND(E300&lt;&gt;"Back",E300&lt;&gt;"Lay")),"Completa data / fase / lato",IF(OR(NOT(ISNUMBER(F300)),F300&lt;=1,NOT(ISNUMBER(G300)),G300&lt;=0),"Correggi quota / stake","OK")))))</x:f>
      </x:c>
    </x:row>
    <x:row r="301" ht="22" customHeight="1">
      <x:c r="A301" s="24"/>
      <x:c r="B301" s="24"/>
      <x:c r="C301" s="26"/>
      <x:c r="D301" s="24"/>
      <x:c r="E301" s="24"/>
      <x:c r="F301" s="28"/>
      <x:c r="G301" s="29"/>
      <x:c r="H301" s="24"/>
      <x:c r="I301" s="24"/>
      <x:c r="J301" s="24"/>
      <x:c r="K301" s="24"/>
      <x:c r="L301" s="20" t="str">
        <x:f>IF(Q301&lt;&gt;"OK","",IF(E301="Back",G301*(F301-1),-G301*(F301-1)))</x:f>
      </x:c>
      <x:c r="M301" s="20" t="str">
        <x:f>IF(Q301&lt;&gt;"OK","",IF(E301="Back",-G301,G301))</x:f>
      </x:c>
      <x:c r="N301" s="20" t="str">
        <x:f>IF(Q301&lt;&gt;"OK","",SUMIFS($L$8:$L$1007,$A$8:$A$1007,A301,$B$8:$B$1007,"&lt;="&amp;B301))</x:f>
      </x:c>
      <x:c r="O301" s="20" t="str">
        <x:f>IF(Q301&lt;&gt;"OK","",SUMIFS($M$8:$M$1007,$A$8:$A$1007,A301,$B$8:$B$1007,"&lt;="&amp;B301))</x:f>
      </x:c>
      <x:c r="P301" s="20" t="str">
        <x:f>IF(Q301&lt;&gt;"OK","",MAX(0,-MIN(N301,O301)))</x:f>
      </x:c>
      <x:c r="Q301" s="18" t="str">
        <x:f>IF(A301="",IF(COUNTA(B301:K301)=0,"","Inserisci ID"),IF(COUNTIFS('Diario'!$A$8:$A$507,A301)&lt;&gt;1,"ID assente / duplicato",IF(OR(NOT(ISNUMBER(B301)),B301&lt;1,B301&lt;&gt;INT(B301),COUNTIFS($A$8:$A$1007,A301,$B$8:$B$1007,B301)&lt;&gt;1),"N. esecuzione non valido",IF(OR(NOT(ISNUMBER(C301)),AND(D301&lt;&gt;"Ingresso",D301&lt;&gt;"Uscita"),AND(E301&lt;&gt;"Back",E301&lt;&gt;"Lay")),"Completa data / fase / lato",IF(OR(NOT(ISNUMBER(F301)),F301&lt;=1,NOT(ISNUMBER(G301)),G301&lt;=0),"Correggi quota / stake","OK")))))</x:f>
      </x:c>
    </x:row>
    <x:row r="302" ht="22" customHeight="1">
      <x:c r="A302" s="24"/>
      <x:c r="B302" s="24"/>
      <x:c r="C302" s="26"/>
      <x:c r="D302" s="24"/>
      <x:c r="E302" s="24"/>
      <x:c r="F302" s="28"/>
      <x:c r="G302" s="29"/>
      <x:c r="H302" s="24"/>
      <x:c r="I302" s="24"/>
      <x:c r="J302" s="24"/>
      <x:c r="K302" s="24"/>
      <x:c r="L302" s="20" t="str">
        <x:f>IF(Q302&lt;&gt;"OK","",IF(E302="Back",G302*(F302-1),-G302*(F302-1)))</x:f>
      </x:c>
      <x:c r="M302" s="20" t="str">
        <x:f>IF(Q302&lt;&gt;"OK","",IF(E302="Back",-G302,G302))</x:f>
      </x:c>
      <x:c r="N302" s="20" t="str">
        <x:f>IF(Q302&lt;&gt;"OK","",SUMIFS($L$8:$L$1007,$A$8:$A$1007,A302,$B$8:$B$1007,"&lt;="&amp;B302))</x:f>
      </x:c>
      <x:c r="O302" s="20" t="str">
        <x:f>IF(Q302&lt;&gt;"OK","",SUMIFS($M$8:$M$1007,$A$8:$A$1007,A302,$B$8:$B$1007,"&lt;="&amp;B302))</x:f>
      </x:c>
      <x:c r="P302" s="20" t="str">
        <x:f>IF(Q302&lt;&gt;"OK","",MAX(0,-MIN(N302,O302)))</x:f>
      </x:c>
      <x:c r="Q302" s="18" t="str">
        <x:f>IF(A302="",IF(COUNTA(B302:K302)=0,"","Inserisci ID"),IF(COUNTIFS('Diario'!$A$8:$A$507,A302)&lt;&gt;1,"ID assente / duplicato",IF(OR(NOT(ISNUMBER(B302)),B302&lt;1,B302&lt;&gt;INT(B302),COUNTIFS($A$8:$A$1007,A302,$B$8:$B$1007,B302)&lt;&gt;1),"N. esecuzione non valido",IF(OR(NOT(ISNUMBER(C302)),AND(D302&lt;&gt;"Ingresso",D302&lt;&gt;"Uscita"),AND(E302&lt;&gt;"Back",E302&lt;&gt;"Lay")),"Completa data / fase / lato",IF(OR(NOT(ISNUMBER(F302)),F302&lt;=1,NOT(ISNUMBER(G302)),G302&lt;=0),"Correggi quota / stake","OK")))))</x:f>
      </x:c>
    </x:row>
    <x:row r="303" ht="22" customHeight="1">
      <x:c r="A303" s="24"/>
      <x:c r="B303" s="24"/>
      <x:c r="C303" s="26"/>
      <x:c r="D303" s="24"/>
      <x:c r="E303" s="24"/>
      <x:c r="F303" s="28"/>
      <x:c r="G303" s="29"/>
      <x:c r="H303" s="24"/>
      <x:c r="I303" s="24"/>
      <x:c r="J303" s="24"/>
      <x:c r="K303" s="24"/>
      <x:c r="L303" s="20" t="str">
        <x:f>IF(Q303&lt;&gt;"OK","",IF(E303="Back",G303*(F303-1),-G303*(F303-1)))</x:f>
      </x:c>
      <x:c r="M303" s="20" t="str">
        <x:f>IF(Q303&lt;&gt;"OK","",IF(E303="Back",-G303,G303))</x:f>
      </x:c>
      <x:c r="N303" s="20" t="str">
        <x:f>IF(Q303&lt;&gt;"OK","",SUMIFS($L$8:$L$1007,$A$8:$A$1007,A303,$B$8:$B$1007,"&lt;="&amp;B303))</x:f>
      </x:c>
      <x:c r="O303" s="20" t="str">
        <x:f>IF(Q303&lt;&gt;"OK","",SUMIFS($M$8:$M$1007,$A$8:$A$1007,A303,$B$8:$B$1007,"&lt;="&amp;B303))</x:f>
      </x:c>
      <x:c r="P303" s="20" t="str">
        <x:f>IF(Q303&lt;&gt;"OK","",MAX(0,-MIN(N303,O303)))</x:f>
      </x:c>
      <x:c r="Q303" s="18" t="str">
        <x:f>IF(A303="",IF(COUNTA(B303:K303)=0,"","Inserisci ID"),IF(COUNTIFS('Diario'!$A$8:$A$507,A303)&lt;&gt;1,"ID assente / duplicato",IF(OR(NOT(ISNUMBER(B303)),B303&lt;1,B303&lt;&gt;INT(B303),COUNTIFS($A$8:$A$1007,A303,$B$8:$B$1007,B303)&lt;&gt;1),"N. esecuzione non valido",IF(OR(NOT(ISNUMBER(C303)),AND(D303&lt;&gt;"Ingresso",D303&lt;&gt;"Uscita"),AND(E303&lt;&gt;"Back",E303&lt;&gt;"Lay")),"Completa data / fase / lato",IF(OR(NOT(ISNUMBER(F303)),F303&lt;=1,NOT(ISNUMBER(G303)),G303&lt;=0),"Correggi quota / stake","OK")))))</x:f>
      </x:c>
    </x:row>
    <x:row r="304" ht="22" customHeight="1">
      <x:c r="A304" s="24"/>
      <x:c r="B304" s="24"/>
      <x:c r="C304" s="26"/>
      <x:c r="D304" s="24"/>
      <x:c r="E304" s="24"/>
      <x:c r="F304" s="28"/>
      <x:c r="G304" s="29"/>
      <x:c r="H304" s="24"/>
      <x:c r="I304" s="24"/>
      <x:c r="J304" s="24"/>
      <x:c r="K304" s="24"/>
      <x:c r="L304" s="20" t="str">
        <x:f>IF(Q304&lt;&gt;"OK","",IF(E304="Back",G304*(F304-1),-G304*(F304-1)))</x:f>
      </x:c>
      <x:c r="M304" s="20" t="str">
        <x:f>IF(Q304&lt;&gt;"OK","",IF(E304="Back",-G304,G304))</x:f>
      </x:c>
      <x:c r="N304" s="20" t="str">
        <x:f>IF(Q304&lt;&gt;"OK","",SUMIFS($L$8:$L$1007,$A$8:$A$1007,A304,$B$8:$B$1007,"&lt;="&amp;B304))</x:f>
      </x:c>
      <x:c r="O304" s="20" t="str">
        <x:f>IF(Q304&lt;&gt;"OK","",SUMIFS($M$8:$M$1007,$A$8:$A$1007,A304,$B$8:$B$1007,"&lt;="&amp;B304))</x:f>
      </x:c>
      <x:c r="P304" s="20" t="str">
        <x:f>IF(Q304&lt;&gt;"OK","",MAX(0,-MIN(N304,O304)))</x:f>
      </x:c>
      <x:c r="Q304" s="18" t="str">
        <x:f>IF(A304="",IF(COUNTA(B304:K304)=0,"","Inserisci ID"),IF(COUNTIFS('Diario'!$A$8:$A$507,A304)&lt;&gt;1,"ID assente / duplicato",IF(OR(NOT(ISNUMBER(B304)),B304&lt;1,B304&lt;&gt;INT(B304),COUNTIFS($A$8:$A$1007,A304,$B$8:$B$1007,B304)&lt;&gt;1),"N. esecuzione non valido",IF(OR(NOT(ISNUMBER(C304)),AND(D304&lt;&gt;"Ingresso",D304&lt;&gt;"Uscita"),AND(E304&lt;&gt;"Back",E304&lt;&gt;"Lay")),"Completa data / fase / lato",IF(OR(NOT(ISNUMBER(F304)),F304&lt;=1,NOT(ISNUMBER(G304)),G304&lt;=0),"Correggi quota / stake","OK")))))</x:f>
      </x:c>
    </x:row>
    <x:row r="305" ht="22" customHeight="1">
      <x:c r="A305" s="24"/>
      <x:c r="B305" s="24"/>
      <x:c r="C305" s="26"/>
      <x:c r="D305" s="24"/>
      <x:c r="E305" s="24"/>
      <x:c r="F305" s="28"/>
      <x:c r="G305" s="29"/>
      <x:c r="H305" s="24"/>
      <x:c r="I305" s="24"/>
      <x:c r="J305" s="24"/>
      <x:c r="K305" s="24"/>
      <x:c r="L305" s="20" t="str">
        <x:f>IF(Q305&lt;&gt;"OK","",IF(E305="Back",G305*(F305-1),-G305*(F305-1)))</x:f>
      </x:c>
      <x:c r="M305" s="20" t="str">
        <x:f>IF(Q305&lt;&gt;"OK","",IF(E305="Back",-G305,G305))</x:f>
      </x:c>
      <x:c r="N305" s="20" t="str">
        <x:f>IF(Q305&lt;&gt;"OK","",SUMIFS($L$8:$L$1007,$A$8:$A$1007,A305,$B$8:$B$1007,"&lt;="&amp;B305))</x:f>
      </x:c>
      <x:c r="O305" s="20" t="str">
        <x:f>IF(Q305&lt;&gt;"OK","",SUMIFS($M$8:$M$1007,$A$8:$A$1007,A305,$B$8:$B$1007,"&lt;="&amp;B305))</x:f>
      </x:c>
      <x:c r="P305" s="20" t="str">
        <x:f>IF(Q305&lt;&gt;"OK","",MAX(0,-MIN(N305,O305)))</x:f>
      </x:c>
      <x:c r="Q305" s="18" t="str">
        <x:f>IF(A305="",IF(COUNTA(B305:K305)=0,"","Inserisci ID"),IF(COUNTIFS('Diario'!$A$8:$A$507,A305)&lt;&gt;1,"ID assente / duplicato",IF(OR(NOT(ISNUMBER(B305)),B305&lt;1,B305&lt;&gt;INT(B305),COUNTIFS($A$8:$A$1007,A305,$B$8:$B$1007,B305)&lt;&gt;1),"N. esecuzione non valido",IF(OR(NOT(ISNUMBER(C305)),AND(D305&lt;&gt;"Ingresso",D305&lt;&gt;"Uscita"),AND(E305&lt;&gt;"Back",E305&lt;&gt;"Lay")),"Completa data / fase / lato",IF(OR(NOT(ISNUMBER(F305)),F305&lt;=1,NOT(ISNUMBER(G305)),G305&lt;=0),"Correggi quota / stake","OK")))))</x:f>
      </x:c>
    </x:row>
    <x:row r="306" ht="22" customHeight="1">
      <x:c r="A306" s="24"/>
      <x:c r="B306" s="24"/>
      <x:c r="C306" s="26"/>
      <x:c r="D306" s="24"/>
      <x:c r="E306" s="24"/>
      <x:c r="F306" s="28"/>
      <x:c r="G306" s="29"/>
      <x:c r="H306" s="24"/>
      <x:c r="I306" s="24"/>
      <x:c r="J306" s="24"/>
      <x:c r="K306" s="24"/>
      <x:c r="L306" s="20" t="str">
        <x:f>IF(Q306&lt;&gt;"OK","",IF(E306="Back",G306*(F306-1),-G306*(F306-1)))</x:f>
      </x:c>
      <x:c r="M306" s="20" t="str">
        <x:f>IF(Q306&lt;&gt;"OK","",IF(E306="Back",-G306,G306))</x:f>
      </x:c>
      <x:c r="N306" s="20" t="str">
        <x:f>IF(Q306&lt;&gt;"OK","",SUMIFS($L$8:$L$1007,$A$8:$A$1007,A306,$B$8:$B$1007,"&lt;="&amp;B306))</x:f>
      </x:c>
      <x:c r="O306" s="20" t="str">
        <x:f>IF(Q306&lt;&gt;"OK","",SUMIFS($M$8:$M$1007,$A$8:$A$1007,A306,$B$8:$B$1007,"&lt;="&amp;B306))</x:f>
      </x:c>
      <x:c r="P306" s="20" t="str">
        <x:f>IF(Q306&lt;&gt;"OK","",MAX(0,-MIN(N306,O306)))</x:f>
      </x:c>
      <x:c r="Q306" s="18" t="str">
        <x:f>IF(A306="",IF(COUNTA(B306:K306)=0,"","Inserisci ID"),IF(COUNTIFS('Diario'!$A$8:$A$507,A306)&lt;&gt;1,"ID assente / duplicato",IF(OR(NOT(ISNUMBER(B306)),B306&lt;1,B306&lt;&gt;INT(B306),COUNTIFS($A$8:$A$1007,A306,$B$8:$B$1007,B306)&lt;&gt;1),"N. esecuzione non valido",IF(OR(NOT(ISNUMBER(C306)),AND(D306&lt;&gt;"Ingresso",D306&lt;&gt;"Uscita"),AND(E306&lt;&gt;"Back",E306&lt;&gt;"Lay")),"Completa data / fase / lato",IF(OR(NOT(ISNUMBER(F306)),F306&lt;=1,NOT(ISNUMBER(G306)),G306&lt;=0),"Correggi quota / stake","OK")))))</x:f>
      </x:c>
    </x:row>
    <x:row r="307" ht="22" customHeight="1">
      <x:c r="A307" s="24"/>
      <x:c r="B307" s="24"/>
      <x:c r="C307" s="26"/>
      <x:c r="D307" s="24"/>
      <x:c r="E307" s="24"/>
      <x:c r="F307" s="28"/>
      <x:c r="G307" s="29"/>
      <x:c r="H307" s="24"/>
      <x:c r="I307" s="24"/>
      <x:c r="J307" s="24"/>
      <x:c r="K307" s="24"/>
      <x:c r="L307" s="20" t="str">
        <x:f>IF(Q307&lt;&gt;"OK","",IF(E307="Back",G307*(F307-1),-G307*(F307-1)))</x:f>
      </x:c>
      <x:c r="M307" s="20" t="str">
        <x:f>IF(Q307&lt;&gt;"OK","",IF(E307="Back",-G307,G307))</x:f>
      </x:c>
      <x:c r="N307" s="20" t="str">
        <x:f>IF(Q307&lt;&gt;"OK","",SUMIFS($L$8:$L$1007,$A$8:$A$1007,A307,$B$8:$B$1007,"&lt;="&amp;B307))</x:f>
      </x:c>
      <x:c r="O307" s="20" t="str">
        <x:f>IF(Q307&lt;&gt;"OK","",SUMIFS($M$8:$M$1007,$A$8:$A$1007,A307,$B$8:$B$1007,"&lt;="&amp;B307))</x:f>
      </x:c>
      <x:c r="P307" s="20" t="str">
        <x:f>IF(Q307&lt;&gt;"OK","",MAX(0,-MIN(N307,O307)))</x:f>
      </x:c>
      <x:c r="Q307" s="18" t="str">
        <x:f>IF(A307="",IF(COUNTA(B307:K307)=0,"","Inserisci ID"),IF(COUNTIFS('Diario'!$A$8:$A$507,A307)&lt;&gt;1,"ID assente / duplicato",IF(OR(NOT(ISNUMBER(B307)),B307&lt;1,B307&lt;&gt;INT(B307),COUNTIFS($A$8:$A$1007,A307,$B$8:$B$1007,B307)&lt;&gt;1),"N. esecuzione non valido",IF(OR(NOT(ISNUMBER(C307)),AND(D307&lt;&gt;"Ingresso",D307&lt;&gt;"Uscita"),AND(E307&lt;&gt;"Back",E307&lt;&gt;"Lay")),"Completa data / fase / lato",IF(OR(NOT(ISNUMBER(F307)),F307&lt;=1,NOT(ISNUMBER(G307)),G307&lt;=0),"Correggi quota / stake","OK")))))</x:f>
      </x:c>
    </x:row>
    <x:row r="308" ht="22" customHeight="1">
      <x:c r="A308" s="24"/>
      <x:c r="B308" s="24"/>
      <x:c r="C308" s="26"/>
      <x:c r="D308" s="24"/>
      <x:c r="E308" s="24"/>
      <x:c r="F308" s="28"/>
      <x:c r="G308" s="29"/>
      <x:c r="H308" s="24"/>
      <x:c r="I308" s="24"/>
      <x:c r="J308" s="24"/>
      <x:c r="K308" s="24"/>
      <x:c r="L308" s="20" t="str">
        <x:f>IF(Q308&lt;&gt;"OK","",IF(E308="Back",G308*(F308-1),-G308*(F308-1)))</x:f>
      </x:c>
      <x:c r="M308" s="20" t="str">
        <x:f>IF(Q308&lt;&gt;"OK","",IF(E308="Back",-G308,G308))</x:f>
      </x:c>
      <x:c r="N308" s="20" t="str">
        <x:f>IF(Q308&lt;&gt;"OK","",SUMIFS($L$8:$L$1007,$A$8:$A$1007,A308,$B$8:$B$1007,"&lt;="&amp;B308))</x:f>
      </x:c>
      <x:c r="O308" s="20" t="str">
        <x:f>IF(Q308&lt;&gt;"OK","",SUMIFS($M$8:$M$1007,$A$8:$A$1007,A308,$B$8:$B$1007,"&lt;="&amp;B308))</x:f>
      </x:c>
      <x:c r="P308" s="20" t="str">
        <x:f>IF(Q308&lt;&gt;"OK","",MAX(0,-MIN(N308,O308)))</x:f>
      </x:c>
      <x:c r="Q308" s="18" t="str">
        <x:f>IF(A308="",IF(COUNTA(B308:K308)=0,"","Inserisci ID"),IF(COUNTIFS('Diario'!$A$8:$A$507,A308)&lt;&gt;1,"ID assente / duplicato",IF(OR(NOT(ISNUMBER(B308)),B308&lt;1,B308&lt;&gt;INT(B308),COUNTIFS($A$8:$A$1007,A308,$B$8:$B$1007,B308)&lt;&gt;1),"N. esecuzione non valido",IF(OR(NOT(ISNUMBER(C308)),AND(D308&lt;&gt;"Ingresso",D308&lt;&gt;"Uscita"),AND(E308&lt;&gt;"Back",E308&lt;&gt;"Lay")),"Completa data / fase / lato",IF(OR(NOT(ISNUMBER(F308)),F308&lt;=1,NOT(ISNUMBER(G308)),G308&lt;=0),"Correggi quota / stake","OK")))))</x:f>
      </x:c>
    </x:row>
    <x:row r="309" ht="22" customHeight="1">
      <x:c r="A309" s="24"/>
      <x:c r="B309" s="24"/>
      <x:c r="C309" s="26"/>
      <x:c r="D309" s="24"/>
      <x:c r="E309" s="24"/>
      <x:c r="F309" s="28"/>
      <x:c r="G309" s="29"/>
      <x:c r="H309" s="24"/>
      <x:c r="I309" s="24"/>
      <x:c r="J309" s="24"/>
      <x:c r="K309" s="24"/>
      <x:c r="L309" s="20" t="str">
        <x:f>IF(Q309&lt;&gt;"OK","",IF(E309="Back",G309*(F309-1),-G309*(F309-1)))</x:f>
      </x:c>
      <x:c r="M309" s="20" t="str">
        <x:f>IF(Q309&lt;&gt;"OK","",IF(E309="Back",-G309,G309))</x:f>
      </x:c>
      <x:c r="N309" s="20" t="str">
        <x:f>IF(Q309&lt;&gt;"OK","",SUMIFS($L$8:$L$1007,$A$8:$A$1007,A309,$B$8:$B$1007,"&lt;="&amp;B309))</x:f>
      </x:c>
      <x:c r="O309" s="20" t="str">
        <x:f>IF(Q309&lt;&gt;"OK","",SUMIFS($M$8:$M$1007,$A$8:$A$1007,A309,$B$8:$B$1007,"&lt;="&amp;B309))</x:f>
      </x:c>
      <x:c r="P309" s="20" t="str">
        <x:f>IF(Q309&lt;&gt;"OK","",MAX(0,-MIN(N309,O309)))</x:f>
      </x:c>
      <x:c r="Q309" s="18" t="str">
        <x:f>IF(A309="",IF(COUNTA(B309:K309)=0,"","Inserisci ID"),IF(COUNTIFS('Diario'!$A$8:$A$507,A309)&lt;&gt;1,"ID assente / duplicato",IF(OR(NOT(ISNUMBER(B309)),B309&lt;1,B309&lt;&gt;INT(B309),COUNTIFS($A$8:$A$1007,A309,$B$8:$B$1007,B309)&lt;&gt;1),"N. esecuzione non valido",IF(OR(NOT(ISNUMBER(C309)),AND(D309&lt;&gt;"Ingresso",D309&lt;&gt;"Uscita"),AND(E309&lt;&gt;"Back",E309&lt;&gt;"Lay")),"Completa data / fase / lato",IF(OR(NOT(ISNUMBER(F309)),F309&lt;=1,NOT(ISNUMBER(G309)),G309&lt;=0),"Correggi quota / stake","OK")))))</x:f>
      </x:c>
    </x:row>
    <x:row r="310" ht="22" customHeight="1">
      <x:c r="A310" s="24"/>
      <x:c r="B310" s="24"/>
      <x:c r="C310" s="26"/>
      <x:c r="D310" s="24"/>
      <x:c r="E310" s="24"/>
      <x:c r="F310" s="28"/>
      <x:c r="G310" s="29"/>
      <x:c r="H310" s="24"/>
      <x:c r="I310" s="24"/>
      <x:c r="J310" s="24"/>
      <x:c r="K310" s="24"/>
      <x:c r="L310" s="20" t="str">
        <x:f>IF(Q310&lt;&gt;"OK","",IF(E310="Back",G310*(F310-1),-G310*(F310-1)))</x:f>
      </x:c>
      <x:c r="M310" s="20" t="str">
        <x:f>IF(Q310&lt;&gt;"OK","",IF(E310="Back",-G310,G310))</x:f>
      </x:c>
      <x:c r="N310" s="20" t="str">
        <x:f>IF(Q310&lt;&gt;"OK","",SUMIFS($L$8:$L$1007,$A$8:$A$1007,A310,$B$8:$B$1007,"&lt;="&amp;B310))</x:f>
      </x:c>
      <x:c r="O310" s="20" t="str">
        <x:f>IF(Q310&lt;&gt;"OK","",SUMIFS($M$8:$M$1007,$A$8:$A$1007,A310,$B$8:$B$1007,"&lt;="&amp;B310))</x:f>
      </x:c>
      <x:c r="P310" s="20" t="str">
        <x:f>IF(Q310&lt;&gt;"OK","",MAX(0,-MIN(N310,O310)))</x:f>
      </x:c>
      <x:c r="Q310" s="18" t="str">
        <x:f>IF(A310="",IF(COUNTA(B310:K310)=0,"","Inserisci ID"),IF(COUNTIFS('Diario'!$A$8:$A$507,A310)&lt;&gt;1,"ID assente / duplicato",IF(OR(NOT(ISNUMBER(B310)),B310&lt;1,B310&lt;&gt;INT(B310),COUNTIFS($A$8:$A$1007,A310,$B$8:$B$1007,B310)&lt;&gt;1),"N. esecuzione non valido",IF(OR(NOT(ISNUMBER(C310)),AND(D310&lt;&gt;"Ingresso",D310&lt;&gt;"Uscita"),AND(E310&lt;&gt;"Back",E310&lt;&gt;"Lay")),"Completa data / fase / lato",IF(OR(NOT(ISNUMBER(F310)),F310&lt;=1,NOT(ISNUMBER(G310)),G310&lt;=0),"Correggi quota / stake","OK")))))</x:f>
      </x:c>
    </x:row>
    <x:row r="311" ht="22" customHeight="1">
      <x:c r="A311" s="24"/>
      <x:c r="B311" s="24"/>
      <x:c r="C311" s="26"/>
      <x:c r="D311" s="24"/>
      <x:c r="E311" s="24"/>
      <x:c r="F311" s="28"/>
      <x:c r="G311" s="29"/>
      <x:c r="H311" s="24"/>
      <x:c r="I311" s="24"/>
      <x:c r="J311" s="24"/>
      <x:c r="K311" s="24"/>
      <x:c r="L311" s="20" t="str">
        <x:f>IF(Q311&lt;&gt;"OK","",IF(E311="Back",G311*(F311-1),-G311*(F311-1)))</x:f>
      </x:c>
      <x:c r="M311" s="20" t="str">
        <x:f>IF(Q311&lt;&gt;"OK","",IF(E311="Back",-G311,G311))</x:f>
      </x:c>
      <x:c r="N311" s="20" t="str">
        <x:f>IF(Q311&lt;&gt;"OK","",SUMIFS($L$8:$L$1007,$A$8:$A$1007,A311,$B$8:$B$1007,"&lt;="&amp;B311))</x:f>
      </x:c>
      <x:c r="O311" s="20" t="str">
        <x:f>IF(Q311&lt;&gt;"OK","",SUMIFS($M$8:$M$1007,$A$8:$A$1007,A311,$B$8:$B$1007,"&lt;="&amp;B311))</x:f>
      </x:c>
      <x:c r="P311" s="20" t="str">
        <x:f>IF(Q311&lt;&gt;"OK","",MAX(0,-MIN(N311,O311)))</x:f>
      </x:c>
      <x:c r="Q311" s="18" t="str">
        <x:f>IF(A311="",IF(COUNTA(B311:K311)=0,"","Inserisci ID"),IF(COUNTIFS('Diario'!$A$8:$A$507,A311)&lt;&gt;1,"ID assente / duplicato",IF(OR(NOT(ISNUMBER(B311)),B311&lt;1,B311&lt;&gt;INT(B311),COUNTIFS($A$8:$A$1007,A311,$B$8:$B$1007,B311)&lt;&gt;1),"N. esecuzione non valido",IF(OR(NOT(ISNUMBER(C311)),AND(D311&lt;&gt;"Ingresso",D311&lt;&gt;"Uscita"),AND(E311&lt;&gt;"Back",E311&lt;&gt;"Lay")),"Completa data / fase / lato",IF(OR(NOT(ISNUMBER(F311)),F311&lt;=1,NOT(ISNUMBER(G311)),G311&lt;=0),"Correggi quota / stake","OK")))))</x:f>
      </x:c>
    </x:row>
    <x:row r="312" ht="22" customHeight="1">
      <x:c r="A312" s="24"/>
      <x:c r="B312" s="24"/>
      <x:c r="C312" s="26"/>
      <x:c r="D312" s="24"/>
      <x:c r="E312" s="24"/>
      <x:c r="F312" s="28"/>
      <x:c r="G312" s="29"/>
      <x:c r="H312" s="24"/>
      <x:c r="I312" s="24"/>
      <x:c r="J312" s="24"/>
      <x:c r="K312" s="24"/>
      <x:c r="L312" s="20" t="str">
        <x:f>IF(Q312&lt;&gt;"OK","",IF(E312="Back",G312*(F312-1),-G312*(F312-1)))</x:f>
      </x:c>
      <x:c r="M312" s="20" t="str">
        <x:f>IF(Q312&lt;&gt;"OK","",IF(E312="Back",-G312,G312))</x:f>
      </x:c>
      <x:c r="N312" s="20" t="str">
        <x:f>IF(Q312&lt;&gt;"OK","",SUMIFS($L$8:$L$1007,$A$8:$A$1007,A312,$B$8:$B$1007,"&lt;="&amp;B312))</x:f>
      </x:c>
      <x:c r="O312" s="20" t="str">
        <x:f>IF(Q312&lt;&gt;"OK","",SUMIFS($M$8:$M$1007,$A$8:$A$1007,A312,$B$8:$B$1007,"&lt;="&amp;B312))</x:f>
      </x:c>
      <x:c r="P312" s="20" t="str">
        <x:f>IF(Q312&lt;&gt;"OK","",MAX(0,-MIN(N312,O312)))</x:f>
      </x:c>
      <x:c r="Q312" s="18" t="str">
        <x:f>IF(A312="",IF(COUNTA(B312:K312)=0,"","Inserisci ID"),IF(COUNTIFS('Diario'!$A$8:$A$507,A312)&lt;&gt;1,"ID assente / duplicato",IF(OR(NOT(ISNUMBER(B312)),B312&lt;1,B312&lt;&gt;INT(B312),COUNTIFS($A$8:$A$1007,A312,$B$8:$B$1007,B312)&lt;&gt;1),"N. esecuzione non valido",IF(OR(NOT(ISNUMBER(C312)),AND(D312&lt;&gt;"Ingresso",D312&lt;&gt;"Uscita"),AND(E312&lt;&gt;"Back",E312&lt;&gt;"Lay")),"Completa data / fase / lato",IF(OR(NOT(ISNUMBER(F312)),F312&lt;=1,NOT(ISNUMBER(G312)),G312&lt;=0),"Correggi quota / stake","OK")))))</x:f>
      </x:c>
    </x:row>
    <x:row r="313" ht="22" customHeight="1">
      <x:c r="A313" s="24"/>
      <x:c r="B313" s="24"/>
      <x:c r="C313" s="26"/>
      <x:c r="D313" s="24"/>
      <x:c r="E313" s="24"/>
      <x:c r="F313" s="28"/>
      <x:c r="G313" s="29"/>
      <x:c r="H313" s="24"/>
      <x:c r="I313" s="24"/>
      <x:c r="J313" s="24"/>
      <x:c r="K313" s="24"/>
      <x:c r="L313" s="20" t="str">
        <x:f>IF(Q313&lt;&gt;"OK","",IF(E313="Back",G313*(F313-1),-G313*(F313-1)))</x:f>
      </x:c>
      <x:c r="M313" s="20" t="str">
        <x:f>IF(Q313&lt;&gt;"OK","",IF(E313="Back",-G313,G313))</x:f>
      </x:c>
      <x:c r="N313" s="20" t="str">
        <x:f>IF(Q313&lt;&gt;"OK","",SUMIFS($L$8:$L$1007,$A$8:$A$1007,A313,$B$8:$B$1007,"&lt;="&amp;B313))</x:f>
      </x:c>
      <x:c r="O313" s="20" t="str">
        <x:f>IF(Q313&lt;&gt;"OK","",SUMIFS($M$8:$M$1007,$A$8:$A$1007,A313,$B$8:$B$1007,"&lt;="&amp;B313))</x:f>
      </x:c>
      <x:c r="P313" s="20" t="str">
        <x:f>IF(Q313&lt;&gt;"OK","",MAX(0,-MIN(N313,O313)))</x:f>
      </x:c>
      <x:c r="Q313" s="18" t="str">
        <x:f>IF(A313="",IF(COUNTA(B313:K313)=0,"","Inserisci ID"),IF(COUNTIFS('Diario'!$A$8:$A$507,A313)&lt;&gt;1,"ID assente / duplicato",IF(OR(NOT(ISNUMBER(B313)),B313&lt;1,B313&lt;&gt;INT(B313),COUNTIFS($A$8:$A$1007,A313,$B$8:$B$1007,B313)&lt;&gt;1),"N. esecuzione non valido",IF(OR(NOT(ISNUMBER(C313)),AND(D313&lt;&gt;"Ingresso",D313&lt;&gt;"Uscita"),AND(E313&lt;&gt;"Back",E313&lt;&gt;"Lay")),"Completa data / fase / lato",IF(OR(NOT(ISNUMBER(F313)),F313&lt;=1,NOT(ISNUMBER(G313)),G313&lt;=0),"Correggi quota / stake","OK")))))</x:f>
      </x:c>
    </x:row>
    <x:row r="314" ht="22" customHeight="1">
      <x:c r="A314" s="24"/>
      <x:c r="B314" s="24"/>
      <x:c r="C314" s="26"/>
      <x:c r="D314" s="24"/>
      <x:c r="E314" s="24"/>
      <x:c r="F314" s="28"/>
      <x:c r="G314" s="29"/>
      <x:c r="H314" s="24"/>
      <x:c r="I314" s="24"/>
      <x:c r="J314" s="24"/>
      <x:c r="K314" s="24"/>
      <x:c r="L314" s="20" t="str">
        <x:f>IF(Q314&lt;&gt;"OK","",IF(E314="Back",G314*(F314-1),-G314*(F314-1)))</x:f>
      </x:c>
      <x:c r="M314" s="20" t="str">
        <x:f>IF(Q314&lt;&gt;"OK","",IF(E314="Back",-G314,G314))</x:f>
      </x:c>
      <x:c r="N314" s="20" t="str">
        <x:f>IF(Q314&lt;&gt;"OK","",SUMIFS($L$8:$L$1007,$A$8:$A$1007,A314,$B$8:$B$1007,"&lt;="&amp;B314))</x:f>
      </x:c>
      <x:c r="O314" s="20" t="str">
        <x:f>IF(Q314&lt;&gt;"OK","",SUMIFS($M$8:$M$1007,$A$8:$A$1007,A314,$B$8:$B$1007,"&lt;="&amp;B314))</x:f>
      </x:c>
      <x:c r="P314" s="20" t="str">
        <x:f>IF(Q314&lt;&gt;"OK","",MAX(0,-MIN(N314,O314)))</x:f>
      </x:c>
      <x:c r="Q314" s="18" t="str">
        <x:f>IF(A314="",IF(COUNTA(B314:K314)=0,"","Inserisci ID"),IF(COUNTIFS('Diario'!$A$8:$A$507,A314)&lt;&gt;1,"ID assente / duplicato",IF(OR(NOT(ISNUMBER(B314)),B314&lt;1,B314&lt;&gt;INT(B314),COUNTIFS($A$8:$A$1007,A314,$B$8:$B$1007,B314)&lt;&gt;1),"N. esecuzione non valido",IF(OR(NOT(ISNUMBER(C314)),AND(D314&lt;&gt;"Ingresso",D314&lt;&gt;"Uscita"),AND(E314&lt;&gt;"Back",E314&lt;&gt;"Lay")),"Completa data / fase / lato",IF(OR(NOT(ISNUMBER(F314)),F314&lt;=1,NOT(ISNUMBER(G314)),G314&lt;=0),"Correggi quota / stake","OK")))))</x:f>
      </x:c>
    </x:row>
    <x:row r="315" ht="22" customHeight="1">
      <x:c r="A315" s="24"/>
      <x:c r="B315" s="24"/>
      <x:c r="C315" s="26"/>
      <x:c r="D315" s="24"/>
      <x:c r="E315" s="24"/>
      <x:c r="F315" s="28"/>
      <x:c r="G315" s="29"/>
      <x:c r="H315" s="24"/>
      <x:c r="I315" s="24"/>
      <x:c r="J315" s="24"/>
      <x:c r="K315" s="24"/>
      <x:c r="L315" s="20" t="str">
        <x:f>IF(Q315&lt;&gt;"OK","",IF(E315="Back",G315*(F315-1),-G315*(F315-1)))</x:f>
      </x:c>
      <x:c r="M315" s="20" t="str">
        <x:f>IF(Q315&lt;&gt;"OK","",IF(E315="Back",-G315,G315))</x:f>
      </x:c>
      <x:c r="N315" s="20" t="str">
        <x:f>IF(Q315&lt;&gt;"OK","",SUMIFS($L$8:$L$1007,$A$8:$A$1007,A315,$B$8:$B$1007,"&lt;="&amp;B315))</x:f>
      </x:c>
      <x:c r="O315" s="20" t="str">
        <x:f>IF(Q315&lt;&gt;"OK","",SUMIFS($M$8:$M$1007,$A$8:$A$1007,A315,$B$8:$B$1007,"&lt;="&amp;B315))</x:f>
      </x:c>
      <x:c r="P315" s="20" t="str">
        <x:f>IF(Q315&lt;&gt;"OK","",MAX(0,-MIN(N315,O315)))</x:f>
      </x:c>
      <x:c r="Q315" s="18" t="str">
        <x:f>IF(A315="",IF(COUNTA(B315:K315)=0,"","Inserisci ID"),IF(COUNTIFS('Diario'!$A$8:$A$507,A315)&lt;&gt;1,"ID assente / duplicato",IF(OR(NOT(ISNUMBER(B315)),B315&lt;1,B315&lt;&gt;INT(B315),COUNTIFS($A$8:$A$1007,A315,$B$8:$B$1007,B315)&lt;&gt;1),"N. esecuzione non valido",IF(OR(NOT(ISNUMBER(C315)),AND(D315&lt;&gt;"Ingresso",D315&lt;&gt;"Uscita"),AND(E315&lt;&gt;"Back",E315&lt;&gt;"Lay")),"Completa data / fase / lato",IF(OR(NOT(ISNUMBER(F315)),F315&lt;=1,NOT(ISNUMBER(G315)),G315&lt;=0),"Correggi quota / stake","OK")))))</x:f>
      </x:c>
    </x:row>
    <x:row r="316" ht="22" customHeight="1">
      <x:c r="A316" s="24"/>
      <x:c r="B316" s="24"/>
      <x:c r="C316" s="26"/>
      <x:c r="D316" s="24"/>
      <x:c r="E316" s="24"/>
      <x:c r="F316" s="28"/>
      <x:c r="G316" s="29"/>
      <x:c r="H316" s="24"/>
      <x:c r="I316" s="24"/>
      <x:c r="J316" s="24"/>
      <x:c r="K316" s="24"/>
      <x:c r="L316" s="20" t="str">
        <x:f>IF(Q316&lt;&gt;"OK","",IF(E316="Back",G316*(F316-1),-G316*(F316-1)))</x:f>
      </x:c>
      <x:c r="M316" s="20" t="str">
        <x:f>IF(Q316&lt;&gt;"OK","",IF(E316="Back",-G316,G316))</x:f>
      </x:c>
      <x:c r="N316" s="20" t="str">
        <x:f>IF(Q316&lt;&gt;"OK","",SUMIFS($L$8:$L$1007,$A$8:$A$1007,A316,$B$8:$B$1007,"&lt;="&amp;B316))</x:f>
      </x:c>
      <x:c r="O316" s="20" t="str">
        <x:f>IF(Q316&lt;&gt;"OK","",SUMIFS($M$8:$M$1007,$A$8:$A$1007,A316,$B$8:$B$1007,"&lt;="&amp;B316))</x:f>
      </x:c>
      <x:c r="P316" s="20" t="str">
        <x:f>IF(Q316&lt;&gt;"OK","",MAX(0,-MIN(N316,O316)))</x:f>
      </x:c>
      <x:c r="Q316" s="18" t="str">
        <x:f>IF(A316="",IF(COUNTA(B316:K316)=0,"","Inserisci ID"),IF(COUNTIFS('Diario'!$A$8:$A$507,A316)&lt;&gt;1,"ID assente / duplicato",IF(OR(NOT(ISNUMBER(B316)),B316&lt;1,B316&lt;&gt;INT(B316),COUNTIFS($A$8:$A$1007,A316,$B$8:$B$1007,B316)&lt;&gt;1),"N. esecuzione non valido",IF(OR(NOT(ISNUMBER(C316)),AND(D316&lt;&gt;"Ingresso",D316&lt;&gt;"Uscita"),AND(E316&lt;&gt;"Back",E316&lt;&gt;"Lay")),"Completa data / fase / lato",IF(OR(NOT(ISNUMBER(F316)),F316&lt;=1,NOT(ISNUMBER(G316)),G316&lt;=0),"Correggi quota / stake","OK")))))</x:f>
      </x:c>
    </x:row>
    <x:row r="317" ht="22" customHeight="1">
      <x:c r="A317" s="24"/>
      <x:c r="B317" s="24"/>
      <x:c r="C317" s="26"/>
      <x:c r="D317" s="24"/>
      <x:c r="E317" s="24"/>
      <x:c r="F317" s="28"/>
      <x:c r="G317" s="29"/>
      <x:c r="H317" s="24"/>
      <x:c r="I317" s="24"/>
      <x:c r="J317" s="24"/>
      <x:c r="K317" s="24"/>
      <x:c r="L317" s="20" t="str">
        <x:f>IF(Q317&lt;&gt;"OK","",IF(E317="Back",G317*(F317-1),-G317*(F317-1)))</x:f>
      </x:c>
      <x:c r="M317" s="20" t="str">
        <x:f>IF(Q317&lt;&gt;"OK","",IF(E317="Back",-G317,G317))</x:f>
      </x:c>
      <x:c r="N317" s="20" t="str">
        <x:f>IF(Q317&lt;&gt;"OK","",SUMIFS($L$8:$L$1007,$A$8:$A$1007,A317,$B$8:$B$1007,"&lt;="&amp;B317))</x:f>
      </x:c>
      <x:c r="O317" s="20" t="str">
        <x:f>IF(Q317&lt;&gt;"OK","",SUMIFS($M$8:$M$1007,$A$8:$A$1007,A317,$B$8:$B$1007,"&lt;="&amp;B317))</x:f>
      </x:c>
      <x:c r="P317" s="20" t="str">
        <x:f>IF(Q317&lt;&gt;"OK","",MAX(0,-MIN(N317,O317)))</x:f>
      </x:c>
      <x:c r="Q317" s="18" t="str">
        <x:f>IF(A317="",IF(COUNTA(B317:K317)=0,"","Inserisci ID"),IF(COUNTIFS('Diario'!$A$8:$A$507,A317)&lt;&gt;1,"ID assente / duplicato",IF(OR(NOT(ISNUMBER(B317)),B317&lt;1,B317&lt;&gt;INT(B317),COUNTIFS($A$8:$A$1007,A317,$B$8:$B$1007,B317)&lt;&gt;1),"N. esecuzione non valido",IF(OR(NOT(ISNUMBER(C317)),AND(D317&lt;&gt;"Ingresso",D317&lt;&gt;"Uscita"),AND(E317&lt;&gt;"Back",E317&lt;&gt;"Lay")),"Completa data / fase / lato",IF(OR(NOT(ISNUMBER(F317)),F317&lt;=1,NOT(ISNUMBER(G317)),G317&lt;=0),"Correggi quota / stake","OK")))))</x:f>
      </x:c>
    </x:row>
    <x:row r="318" ht="22" customHeight="1">
      <x:c r="A318" s="24"/>
      <x:c r="B318" s="24"/>
      <x:c r="C318" s="26"/>
      <x:c r="D318" s="24"/>
      <x:c r="E318" s="24"/>
      <x:c r="F318" s="28"/>
      <x:c r="G318" s="29"/>
      <x:c r="H318" s="24"/>
      <x:c r="I318" s="24"/>
      <x:c r="J318" s="24"/>
      <x:c r="K318" s="24"/>
      <x:c r="L318" s="20" t="str">
        <x:f>IF(Q318&lt;&gt;"OK","",IF(E318="Back",G318*(F318-1),-G318*(F318-1)))</x:f>
      </x:c>
      <x:c r="M318" s="20" t="str">
        <x:f>IF(Q318&lt;&gt;"OK","",IF(E318="Back",-G318,G318))</x:f>
      </x:c>
      <x:c r="N318" s="20" t="str">
        <x:f>IF(Q318&lt;&gt;"OK","",SUMIFS($L$8:$L$1007,$A$8:$A$1007,A318,$B$8:$B$1007,"&lt;="&amp;B318))</x:f>
      </x:c>
      <x:c r="O318" s="20" t="str">
        <x:f>IF(Q318&lt;&gt;"OK","",SUMIFS($M$8:$M$1007,$A$8:$A$1007,A318,$B$8:$B$1007,"&lt;="&amp;B318))</x:f>
      </x:c>
      <x:c r="P318" s="20" t="str">
        <x:f>IF(Q318&lt;&gt;"OK","",MAX(0,-MIN(N318,O318)))</x:f>
      </x:c>
      <x:c r="Q318" s="18" t="str">
        <x:f>IF(A318="",IF(COUNTA(B318:K318)=0,"","Inserisci ID"),IF(COUNTIFS('Diario'!$A$8:$A$507,A318)&lt;&gt;1,"ID assente / duplicato",IF(OR(NOT(ISNUMBER(B318)),B318&lt;1,B318&lt;&gt;INT(B318),COUNTIFS($A$8:$A$1007,A318,$B$8:$B$1007,B318)&lt;&gt;1),"N. esecuzione non valido",IF(OR(NOT(ISNUMBER(C318)),AND(D318&lt;&gt;"Ingresso",D318&lt;&gt;"Uscita"),AND(E318&lt;&gt;"Back",E318&lt;&gt;"Lay")),"Completa data / fase / lato",IF(OR(NOT(ISNUMBER(F318)),F318&lt;=1,NOT(ISNUMBER(G318)),G318&lt;=0),"Correggi quota / stake","OK")))))</x:f>
      </x:c>
    </x:row>
    <x:row r="319" ht="22" customHeight="1">
      <x:c r="A319" s="24"/>
      <x:c r="B319" s="24"/>
      <x:c r="C319" s="26"/>
      <x:c r="D319" s="24"/>
      <x:c r="E319" s="24"/>
      <x:c r="F319" s="28"/>
      <x:c r="G319" s="29"/>
      <x:c r="H319" s="24"/>
      <x:c r="I319" s="24"/>
      <x:c r="J319" s="24"/>
      <x:c r="K319" s="24"/>
      <x:c r="L319" s="20" t="str">
        <x:f>IF(Q319&lt;&gt;"OK","",IF(E319="Back",G319*(F319-1),-G319*(F319-1)))</x:f>
      </x:c>
      <x:c r="M319" s="20" t="str">
        <x:f>IF(Q319&lt;&gt;"OK","",IF(E319="Back",-G319,G319))</x:f>
      </x:c>
      <x:c r="N319" s="20" t="str">
        <x:f>IF(Q319&lt;&gt;"OK","",SUMIFS($L$8:$L$1007,$A$8:$A$1007,A319,$B$8:$B$1007,"&lt;="&amp;B319))</x:f>
      </x:c>
      <x:c r="O319" s="20" t="str">
        <x:f>IF(Q319&lt;&gt;"OK","",SUMIFS($M$8:$M$1007,$A$8:$A$1007,A319,$B$8:$B$1007,"&lt;="&amp;B319))</x:f>
      </x:c>
      <x:c r="P319" s="20" t="str">
        <x:f>IF(Q319&lt;&gt;"OK","",MAX(0,-MIN(N319,O319)))</x:f>
      </x:c>
      <x:c r="Q319" s="18" t="str">
        <x:f>IF(A319="",IF(COUNTA(B319:K319)=0,"","Inserisci ID"),IF(COUNTIFS('Diario'!$A$8:$A$507,A319)&lt;&gt;1,"ID assente / duplicato",IF(OR(NOT(ISNUMBER(B319)),B319&lt;1,B319&lt;&gt;INT(B319),COUNTIFS($A$8:$A$1007,A319,$B$8:$B$1007,B319)&lt;&gt;1),"N. esecuzione non valido",IF(OR(NOT(ISNUMBER(C319)),AND(D319&lt;&gt;"Ingresso",D319&lt;&gt;"Uscita"),AND(E319&lt;&gt;"Back",E319&lt;&gt;"Lay")),"Completa data / fase / lato",IF(OR(NOT(ISNUMBER(F319)),F319&lt;=1,NOT(ISNUMBER(G319)),G319&lt;=0),"Correggi quota / stake","OK")))))</x:f>
      </x:c>
    </x:row>
    <x:row r="320" ht="22" customHeight="1">
      <x:c r="A320" s="24"/>
      <x:c r="B320" s="24"/>
      <x:c r="C320" s="26"/>
      <x:c r="D320" s="24"/>
      <x:c r="E320" s="24"/>
      <x:c r="F320" s="28"/>
      <x:c r="G320" s="29"/>
      <x:c r="H320" s="24"/>
      <x:c r="I320" s="24"/>
      <x:c r="J320" s="24"/>
      <x:c r="K320" s="24"/>
      <x:c r="L320" s="20" t="str">
        <x:f>IF(Q320&lt;&gt;"OK","",IF(E320="Back",G320*(F320-1),-G320*(F320-1)))</x:f>
      </x:c>
      <x:c r="M320" s="20" t="str">
        <x:f>IF(Q320&lt;&gt;"OK","",IF(E320="Back",-G320,G320))</x:f>
      </x:c>
      <x:c r="N320" s="20" t="str">
        <x:f>IF(Q320&lt;&gt;"OK","",SUMIFS($L$8:$L$1007,$A$8:$A$1007,A320,$B$8:$B$1007,"&lt;="&amp;B320))</x:f>
      </x:c>
      <x:c r="O320" s="20" t="str">
        <x:f>IF(Q320&lt;&gt;"OK","",SUMIFS($M$8:$M$1007,$A$8:$A$1007,A320,$B$8:$B$1007,"&lt;="&amp;B320))</x:f>
      </x:c>
      <x:c r="P320" s="20" t="str">
        <x:f>IF(Q320&lt;&gt;"OK","",MAX(0,-MIN(N320,O320)))</x:f>
      </x:c>
      <x:c r="Q320" s="18" t="str">
        <x:f>IF(A320="",IF(COUNTA(B320:K320)=0,"","Inserisci ID"),IF(COUNTIFS('Diario'!$A$8:$A$507,A320)&lt;&gt;1,"ID assente / duplicato",IF(OR(NOT(ISNUMBER(B320)),B320&lt;1,B320&lt;&gt;INT(B320),COUNTIFS($A$8:$A$1007,A320,$B$8:$B$1007,B320)&lt;&gt;1),"N. esecuzione non valido",IF(OR(NOT(ISNUMBER(C320)),AND(D320&lt;&gt;"Ingresso",D320&lt;&gt;"Uscita"),AND(E320&lt;&gt;"Back",E320&lt;&gt;"Lay")),"Completa data / fase / lato",IF(OR(NOT(ISNUMBER(F320)),F320&lt;=1,NOT(ISNUMBER(G320)),G320&lt;=0),"Correggi quota / stake","OK")))))</x:f>
      </x:c>
    </x:row>
    <x:row r="321" ht="22" customHeight="1">
      <x:c r="A321" s="24"/>
      <x:c r="B321" s="24"/>
      <x:c r="C321" s="26"/>
      <x:c r="D321" s="24"/>
      <x:c r="E321" s="24"/>
      <x:c r="F321" s="28"/>
      <x:c r="G321" s="29"/>
      <x:c r="H321" s="24"/>
      <x:c r="I321" s="24"/>
      <x:c r="J321" s="24"/>
      <x:c r="K321" s="24"/>
      <x:c r="L321" s="20" t="str">
        <x:f>IF(Q321&lt;&gt;"OK","",IF(E321="Back",G321*(F321-1),-G321*(F321-1)))</x:f>
      </x:c>
      <x:c r="M321" s="20" t="str">
        <x:f>IF(Q321&lt;&gt;"OK","",IF(E321="Back",-G321,G321))</x:f>
      </x:c>
      <x:c r="N321" s="20" t="str">
        <x:f>IF(Q321&lt;&gt;"OK","",SUMIFS($L$8:$L$1007,$A$8:$A$1007,A321,$B$8:$B$1007,"&lt;="&amp;B321))</x:f>
      </x:c>
      <x:c r="O321" s="20" t="str">
        <x:f>IF(Q321&lt;&gt;"OK","",SUMIFS($M$8:$M$1007,$A$8:$A$1007,A321,$B$8:$B$1007,"&lt;="&amp;B321))</x:f>
      </x:c>
      <x:c r="P321" s="20" t="str">
        <x:f>IF(Q321&lt;&gt;"OK","",MAX(0,-MIN(N321,O321)))</x:f>
      </x:c>
      <x:c r="Q321" s="18" t="str">
        <x:f>IF(A321="",IF(COUNTA(B321:K321)=0,"","Inserisci ID"),IF(COUNTIFS('Diario'!$A$8:$A$507,A321)&lt;&gt;1,"ID assente / duplicato",IF(OR(NOT(ISNUMBER(B321)),B321&lt;1,B321&lt;&gt;INT(B321),COUNTIFS($A$8:$A$1007,A321,$B$8:$B$1007,B321)&lt;&gt;1),"N. esecuzione non valido",IF(OR(NOT(ISNUMBER(C321)),AND(D321&lt;&gt;"Ingresso",D321&lt;&gt;"Uscita"),AND(E321&lt;&gt;"Back",E321&lt;&gt;"Lay")),"Completa data / fase / lato",IF(OR(NOT(ISNUMBER(F321)),F321&lt;=1,NOT(ISNUMBER(G321)),G321&lt;=0),"Correggi quota / stake","OK")))))</x:f>
      </x:c>
    </x:row>
    <x:row r="322" ht="22" customHeight="1">
      <x:c r="A322" s="24"/>
      <x:c r="B322" s="24"/>
      <x:c r="C322" s="26"/>
      <x:c r="D322" s="24"/>
      <x:c r="E322" s="24"/>
      <x:c r="F322" s="28"/>
      <x:c r="G322" s="29"/>
      <x:c r="H322" s="24"/>
      <x:c r="I322" s="24"/>
      <x:c r="J322" s="24"/>
      <x:c r="K322" s="24"/>
      <x:c r="L322" s="20" t="str">
        <x:f>IF(Q322&lt;&gt;"OK","",IF(E322="Back",G322*(F322-1),-G322*(F322-1)))</x:f>
      </x:c>
      <x:c r="M322" s="20" t="str">
        <x:f>IF(Q322&lt;&gt;"OK","",IF(E322="Back",-G322,G322))</x:f>
      </x:c>
      <x:c r="N322" s="20" t="str">
        <x:f>IF(Q322&lt;&gt;"OK","",SUMIFS($L$8:$L$1007,$A$8:$A$1007,A322,$B$8:$B$1007,"&lt;="&amp;B322))</x:f>
      </x:c>
      <x:c r="O322" s="20" t="str">
        <x:f>IF(Q322&lt;&gt;"OK","",SUMIFS($M$8:$M$1007,$A$8:$A$1007,A322,$B$8:$B$1007,"&lt;="&amp;B322))</x:f>
      </x:c>
      <x:c r="P322" s="20" t="str">
        <x:f>IF(Q322&lt;&gt;"OK","",MAX(0,-MIN(N322,O322)))</x:f>
      </x:c>
      <x:c r="Q322" s="18" t="str">
        <x:f>IF(A322="",IF(COUNTA(B322:K322)=0,"","Inserisci ID"),IF(COUNTIFS('Diario'!$A$8:$A$507,A322)&lt;&gt;1,"ID assente / duplicato",IF(OR(NOT(ISNUMBER(B322)),B322&lt;1,B322&lt;&gt;INT(B322),COUNTIFS($A$8:$A$1007,A322,$B$8:$B$1007,B322)&lt;&gt;1),"N. esecuzione non valido",IF(OR(NOT(ISNUMBER(C322)),AND(D322&lt;&gt;"Ingresso",D322&lt;&gt;"Uscita"),AND(E322&lt;&gt;"Back",E322&lt;&gt;"Lay")),"Completa data / fase / lato",IF(OR(NOT(ISNUMBER(F322)),F322&lt;=1,NOT(ISNUMBER(G322)),G322&lt;=0),"Correggi quota / stake","OK")))))</x:f>
      </x:c>
    </x:row>
    <x:row r="323" ht="22" customHeight="1">
      <x:c r="A323" s="24"/>
      <x:c r="B323" s="24"/>
      <x:c r="C323" s="26"/>
      <x:c r="D323" s="24"/>
      <x:c r="E323" s="24"/>
      <x:c r="F323" s="28"/>
      <x:c r="G323" s="29"/>
      <x:c r="H323" s="24"/>
      <x:c r="I323" s="24"/>
      <x:c r="J323" s="24"/>
      <x:c r="K323" s="24"/>
      <x:c r="L323" s="20" t="str">
        <x:f>IF(Q323&lt;&gt;"OK","",IF(E323="Back",G323*(F323-1),-G323*(F323-1)))</x:f>
      </x:c>
      <x:c r="M323" s="20" t="str">
        <x:f>IF(Q323&lt;&gt;"OK","",IF(E323="Back",-G323,G323))</x:f>
      </x:c>
      <x:c r="N323" s="20" t="str">
        <x:f>IF(Q323&lt;&gt;"OK","",SUMIFS($L$8:$L$1007,$A$8:$A$1007,A323,$B$8:$B$1007,"&lt;="&amp;B323))</x:f>
      </x:c>
      <x:c r="O323" s="20" t="str">
        <x:f>IF(Q323&lt;&gt;"OK","",SUMIFS($M$8:$M$1007,$A$8:$A$1007,A323,$B$8:$B$1007,"&lt;="&amp;B323))</x:f>
      </x:c>
      <x:c r="P323" s="20" t="str">
        <x:f>IF(Q323&lt;&gt;"OK","",MAX(0,-MIN(N323,O323)))</x:f>
      </x:c>
      <x:c r="Q323" s="18" t="str">
        <x:f>IF(A323="",IF(COUNTA(B323:K323)=0,"","Inserisci ID"),IF(COUNTIFS('Diario'!$A$8:$A$507,A323)&lt;&gt;1,"ID assente / duplicato",IF(OR(NOT(ISNUMBER(B323)),B323&lt;1,B323&lt;&gt;INT(B323),COUNTIFS($A$8:$A$1007,A323,$B$8:$B$1007,B323)&lt;&gt;1),"N. esecuzione non valido",IF(OR(NOT(ISNUMBER(C323)),AND(D323&lt;&gt;"Ingresso",D323&lt;&gt;"Uscita"),AND(E323&lt;&gt;"Back",E323&lt;&gt;"Lay")),"Completa data / fase / lato",IF(OR(NOT(ISNUMBER(F323)),F323&lt;=1,NOT(ISNUMBER(G323)),G323&lt;=0),"Correggi quota / stake","OK")))))</x:f>
      </x:c>
    </x:row>
    <x:row r="324" ht="22" customHeight="1">
      <x:c r="A324" s="24"/>
      <x:c r="B324" s="24"/>
      <x:c r="C324" s="26"/>
      <x:c r="D324" s="24"/>
      <x:c r="E324" s="24"/>
      <x:c r="F324" s="28"/>
      <x:c r="G324" s="29"/>
      <x:c r="H324" s="24"/>
      <x:c r="I324" s="24"/>
      <x:c r="J324" s="24"/>
      <x:c r="K324" s="24"/>
      <x:c r="L324" s="20" t="str">
        <x:f>IF(Q324&lt;&gt;"OK","",IF(E324="Back",G324*(F324-1),-G324*(F324-1)))</x:f>
      </x:c>
      <x:c r="M324" s="20" t="str">
        <x:f>IF(Q324&lt;&gt;"OK","",IF(E324="Back",-G324,G324))</x:f>
      </x:c>
      <x:c r="N324" s="20" t="str">
        <x:f>IF(Q324&lt;&gt;"OK","",SUMIFS($L$8:$L$1007,$A$8:$A$1007,A324,$B$8:$B$1007,"&lt;="&amp;B324))</x:f>
      </x:c>
      <x:c r="O324" s="20" t="str">
        <x:f>IF(Q324&lt;&gt;"OK","",SUMIFS($M$8:$M$1007,$A$8:$A$1007,A324,$B$8:$B$1007,"&lt;="&amp;B324))</x:f>
      </x:c>
      <x:c r="P324" s="20" t="str">
        <x:f>IF(Q324&lt;&gt;"OK","",MAX(0,-MIN(N324,O324)))</x:f>
      </x:c>
      <x:c r="Q324" s="18" t="str">
        <x:f>IF(A324="",IF(COUNTA(B324:K324)=0,"","Inserisci ID"),IF(COUNTIFS('Diario'!$A$8:$A$507,A324)&lt;&gt;1,"ID assente / duplicato",IF(OR(NOT(ISNUMBER(B324)),B324&lt;1,B324&lt;&gt;INT(B324),COUNTIFS($A$8:$A$1007,A324,$B$8:$B$1007,B324)&lt;&gt;1),"N. esecuzione non valido",IF(OR(NOT(ISNUMBER(C324)),AND(D324&lt;&gt;"Ingresso",D324&lt;&gt;"Uscita"),AND(E324&lt;&gt;"Back",E324&lt;&gt;"Lay")),"Completa data / fase / lato",IF(OR(NOT(ISNUMBER(F324)),F324&lt;=1,NOT(ISNUMBER(G324)),G324&lt;=0),"Correggi quota / stake","OK")))))</x:f>
      </x:c>
    </x:row>
    <x:row r="325" ht="22" customHeight="1">
      <x:c r="A325" s="24"/>
      <x:c r="B325" s="24"/>
      <x:c r="C325" s="26"/>
      <x:c r="D325" s="24"/>
      <x:c r="E325" s="24"/>
      <x:c r="F325" s="28"/>
      <x:c r="G325" s="29"/>
      <x:c r="H325" s="24"/>
      <x:c r="I325" s="24"/>
      <x:c r="J325" s="24"/>
      <x:c r="K325" s="24"/>
      <x:c r="L325" s="20" t="str">
        <x:f>IF(Q325&lt;&gt;"OK","",IF(E325="Back",G325*(F325-1),-G325*(F325-1)))</x:f>
      </x:c>
      <x:c r="M325" s="20" t="str">
        <x:f>IF(Q325&lt;&gt;"OK","",IF(E325="Back",-G325,G325))</x:f>
      </x:c>
      <x:c r="N325" s="20" t="str">
        <x:f>IF(Q325&lt;&gt;"OK","",SUMIFS($L$8:$L$1007,$A$8:$A$1007,A325,$B$8:$B$1007,"&lt;="&amp;B325))</x:f>
      </x:c>
      <x:c r="O325" s="20" t="str">
        <x:f>IF(Q325&lt;&gt;"OK","",SUMIFS($M$8:$M$1007,$A$8:$A$1007,A325,$B$8:$B$1007,"&lt;="&amp;B325))</x:f>
      </x:c>
      <x:c r="P325" s="20" t="str">
        <x:f>IF(Q325&lt;&gt;"OK","",MAX(0,-MIN(N325,O325)))</x:f>
      </x:c>
      <x:c r="Q325" s="18" t="str">
        <x:f>IF(A325="",IF(COUNTA(B325:K325)=0,"","Inserisci ID"),IF(COUNTIFS('Diario'!$A$8:$A$507,A325)&lt;&gt;1,"ID assente / duplicato",IF(OR(NOT(ISNUMBER(B325)),B325&lt;1,B325&lt;&gt;INT(B325),COUNTIFS($A$8:$A$1007,A325,$B$8:$B$1007,B325)&lt;&gt;1),"N. esecuzione non valido",IF(OR(NOT(ISNUMBER(C325)),AND(D325&lt;&gt;"Ingresso",D325&lt;&gt;"Uscita"),AND(E325&lt;&gt;"Back",E325&lt;&gt;"Lay")),"Completa data / fase / lato",IF(OR(NOT(ISNUMBER(F325)),F325&lt;=1,NOT(ISNUMBER(G325)),G325&lt;=0),"Correggi quota / stake","OK")))))</x:f>
      </x:c>
    </x:row>
    <x:row r="326" ht="22" customHeight="1">
      <x:c r="A326" s="24"/>
      <x:c r="B326" s="24"/>
      <x:c r="C326" s="26"/>
      <x:c r="D326" s="24"/>
      <x:c r="E326" s="24"/>
      <x:c r="F326" s="28"/>
      <x:c r="G326" s="29"/>
      <x:c r="H326" s="24"/>
      <x:c r="I326" s="24"/>
      <x:c r="J326" s="24"/>
      <x:c r="K326" s="24"/>
      <x:c r="L326" s="20" t="str">
        <x:f>IF(Q326&lt;&gt;"OK","",IF(E326="Back",G326*(F326-1),-G326*(F326-1)))</x:f>
      </x:c>
      <x:c r="M326" s="20" t="str">
        <x:f>IF(Q326&lt;&gt;"OK","",IF(E326="Back",-G326,G326))</x:f>
      </x:c>
      <x:c r="N326" s="20" t="str">
        <x:f>IF(Q326&lt;&gt;"OK","",SUMIFS($L$8:$L$1007,$A$8:$A$1007,A326,$B$8:$B$1007,"&lt;="&amp;B326))</x:f>
      </x:c>
      <x:c r="O326" s="20" t="str">
        <x:f>IF(Q326&lt;&gt;"OK","",SUMIFS($M$8:$M$1007,$A$8:$A$1007,A326,$B$8:$B$1007,"&lt;="&amp;B326))</x:f>
      </x:c>
      <x:c r="P326" s="20" t="str">
        <x:f>IF(Q326&lt;&gt;"OK","",MAX(0,-MIN(N326,O326)))</x:f>
      </x:c>
      <x:c r="Q326" s="18" t="str">
        <x:f>IF(A326="",IF(COUNTA(B326:K326)=0,"","Inserisci ID"),IF(COUNTIFS('Diario'!$A$8:$A$507,A326)&lt;&gt;1,"ID assente / duplicato",IF(OR(NOT(ISNUMBER(B326)),B326&lt;1,B326&lt;&gt;INT(B326),COUNTIFS($A$8:$A$1007,A326,$B$8:$B$1007,B326)&lt;&gt;1),"N. esecuzione non valido",IF(OR(NOT(ISNUMBER(C326)),AND(D326&lt;&gt;"Ingresso",D326&lt;&gt;"Uscita"),AND(E326&lt;&gt;"Back",E326&lt;&gt;"Lay")),"Completa data / fase / lato",IF(OR(NOT(ISNUMBER(F326)),F326&lt;=1,NOT(ISNUMBER(G326)),G326&lt;=0),"Correggi quota / stake","OK")))))</x:f>
      </x:c>
    </x:row>
    <x:row r="327" ht="22" customHeight="1">
      <x:c r="A327" s="24"/>
      <x:c r="B327" s="24"/>
      <x:c r="C327" s="26"/>
      <x:c r="D327" s="24"/>
      <x:c r="E327" s="24"/>
      <x:c r="F327" s="28"/>
      <x:c r="G327" s="29"/>
      <x:c r="H327" s="24"/>
      <x:c r="I327" s="24"/>
      <x:c r="J327" s="24"/>
      <x:c r="K327" s="24"/>
      <x:c r="L327" s="20" t="str">
        <x:f>IF(Q327&lt;&gt;"OK","",IF(E327="Back",G327*(F327-1),-G327*(F327-1)))</x:f>
      </x:c>
      <x:c r="M327" s="20" t="str">
        <x:f>IF(Q327&lt;&gt;"OK","",IF(E327="Back",-G327,G327))</x:f>
      </x:c>
      <x:c r="N327" s="20" t="str">
        <x:f>IF(Q327&lt;&gt;"OK","",SUMIFS($L$8:$L$1007,$A$8:$A$1007,A327,$B$8:$B$1007,"&lt;="&amp;B327))</x:f>
      </x:c>
      <x:c r="O327" s="20" t="str">
        <x:f>IF(Q327&lt;&gt;"OK","",SUMIFS($M$8:$M$1007,$A$8:$A$1007,A327,$B$8:$B$1007,"&lt;="&amp;B327))</x:f>
      </x:c>
      <x:c r="P327" s="20" t="str">
        <x:f>IF(Q327&lt;&gt;"OK","",MAX(0,-MIN(N327,O327)))</x:f>
      </x:c>
      <x:c r="Q327" s="18" t="str">
        <x:f>IF(A327="",IF(COUNTA(B327:K327)=0,"","Inserisci ID"),IF(COUNTIFS('Diario'!$A$8:$A$507,A327)&lt;&gt;1,"ID assente / duplicato",IF(OR(NOT(ISNUMBER(B327)),B327&lt;1,B327&lt;&gt;INT(B327),COUNTIFS($A$8:$A$1007,A327,$B$8:$B$1007,B327)&lt;&gt;1),"N. esecuzione non valido",IF(OR(NOT(ISNUMBER(C327)),AND(D327&lt;&gt;"Ingresso",D327&lt;&gt;"Uscita"),AND(E327&lt;&gt;"Back",E327&lt;&gt;"Lay")),"Completa data / fase / lato",IF(OR(NOT(ISNUMBER(F327)),F327&lt;=1,NOT(ISNUMBER(G327)),G327&lt;=0),"Correggi quota / stake","OK")))))</x:f>
      </x:c>
    </x:row>
    <x:row r="328" ht="22" customHeight="1">
      <x:c r="A328" s="24"/>
      <x:c r="B328" s="24"/>
      <x:c r="C328" s="26"/>
      <x:c r="D328" s="24"/>
      <x:c r="E328" s="24"/>
      <x:c r="F328" s="28"/>
      <x:c r="G328" s="29"/>
      <x:c r="H328" s="24"/>
      <x:c r="I328" s="24"/>
      <x:c r="J328" s="24"/>
      <x:c r="K328" s="24"/>
      <x:c r="L328" s="20" t="str">
        <x:f>IF(Q328&lt;&gt;"OK","",IF(E328="Back",G328*(F328-1),-G328*(F328-1)))</x:f>
      </x:c>
      <x:c r="M328" s="20" t="str">
        <x:f>IF(Q328&lt;&gt;"OK","",IF(E328="Back",-G328,G328))</x:f>
      </x:c>
      <x:c r="N328" s="20" t="str">
        <x:f>IF(Q328&lt;&gt;"OK","",SUMIFS($L$8:$L$1007,$A$8:$A$1007,A328,$B$8:$B$1007,"&lt;="&amp;B328))</x:f>
      </x:c>
      <x:c r="O328" s="20" t="str">
        <x:f>IF(Q328&lt;&gt;"OK","",SUMIFS($M$8:$M$1007,$A$8:$A$1007,A328,$B$8:$B$1007,"&lt;="&amp;B328))</x:f>
      </x:c>
      <x:c r="P328" s="20" t="str">
        <x:f>IF(Q328&lt;&gt;"OK","",MAX(0,-MIN(N328,O328)))</x:f>
      </x:c>
      <x:c r="Q328" s="18" t="str">
        <x:f>IF(A328="",IF(COUNTA(B328:K328)=0,"","Inserisci ID"),IF(COUNTIFS('Diario'!$A$8:$A$507,A328)&lt;&gt;1,"ID assente / duplicato",IF(OR(NOT(ISNUMBER(B328)),B328&lt;1,B328&lt;&gt;INT(B328),COUNTIFS($A$8:$A$1007,A328,$B$8:$B$1007,B328)&lt;&gt;1),"N. esecuzione non valido",IF(OR(NOT(ISNUMBER(C328)),AND(D328&lt;&gt;"Ingresso",D328&lt;&gt;"Uscita"),AND(E328&lt;&gt;"Back",E328&lt;&gt;"Lay")),"Completa data / fase / lato",IF(OR(NOT(ISNUMBER(F328)),F328&lt;=1,NOT(ISNUMBER(G328)),G328&lt;=0),"Correggi quota / stake","OK")))))</x:f>
      </x:c>
    </x:row>
    <x:row r="329" ht="22" customHeight="1">
      <x:c r="A329" s="24"/>
      <x:c r="B329" s="24"/>
      <x:c r="C329" s="26"/>
      <x:c r="D329" s="24"/>
      <x:c r="E329" s="24"/>
      <x:c r="F329" s="28"/>
      <x:c r="G329" s="29"/>
      <x:c r="H329" s="24"/>
      <x:c r="I329" s="24"/>
      <x:c r="J329" s="24"/>
      <x:c r="K329" s="24"/>
      <x:c r="L329" s="20" t="str">
        <x:f>IF(Q329&lt;&gt;"OK","",IF(E329="Back",G329*(F329-1),-G329*(F329-1)))</x:f>
      </x:c>
      <x:c r="M329" s="20" t="str">
        <x:f>IF(Q329&lt;&gt;"OK","",IF(E329="Back",-G329,G329))</x:f>
      </x:c>
      <x:c r="N329" s="20" t="str">
        <x:f>IF(Q329&lt;&gt;"OK","",SUMIFS($L$8:$L$1007,$A$8:$A$1007,A329,$B$8:$B$1007,"&lt;="&amp;B329))</x:f>
      </x:c>
      <x:c r="O329" s="20" t="str">
        <x:f>IF(Q329&lt;&gt;"OK","",SUMIFS($M$8:$M$1007,$A$8:$A$1007,A329,$B$8:$B$1007,"&lt;="&amp;B329))</x:f>
      </x:c>
      <x:c r="P329" s="20" t="str">
        <x:f>IF(Q329&lt;&gt;"OK","",MAX(0,-MIN(N329,O329)))</x:f>
      </x:c>
      <x:c r="Q329" s="18" t="str">
        <x:f>IF(A329="",IF(COUNTA(B329:K329)=0,"","Inserisci ID"),IF(COUNTIFS('Diario'!$A$8:$A$507,A329)&lt;&gt;1,"ID assente / duplicato",IF(OR(NOT(ISNUMBER(B329)),B329&lt;1,B329&lt;&gt;INT(B329),COUNTIFS($A$8:$A$1007,A329,$B$8:$B$1007,B329)&lt;&gt;1),"N. esecuzione non valido",IF(OR(NOT(ISNUMBER(C329)),AND(D329&lt;&gt;"Ingresso",D329&lt;&gt;"Uscita"),AND(E329&lt;&gt;"Back",E329&lt;&gt;"Lay")),"Completa data / fase / lato",IF(OR(NOT(ISNUMBER(F329)),F329&lt;=1,NOT(ISNUMBER(G329)),G329&lt;=0),"Correggi quota / stake","OK")))))</x:f>
      </x:c>
    </x:row>
    <x:row r="330" ht="22" customHeight="1">
      <x:c r="A330" s="24"/>
      <x:c r="B330" s="24"/>
      <x:c r="C330" s="26"/>
      <x:c r="D330" s="24"/>
      <x:c r="E330" s="24"/>
      <x:c r="F330" s="28"/>
      <x:c r="G330" s="29"/>
      <x:c r="H330" s="24"/>
      <x:c r="I330" s="24"/>
      <x:c r="J330" s="24"/>
      <x:c r="K330" s="24"/>
      <x:c r="L330" s="20" t="str">
        <x:f>IF(Q330&lt;&gt;"OK","",IF(E330="Back",G330*(F330-1),-G330*(F330-1)))</x:f>
      </x:c>
      <x:c r="M330" s="20" t="str">
        <x:f>IF(Q330&lt;&gt;"OK","",IF(E330="Back",-G330,G330))</x:f>
      </x:c>
      <x:c r="N330" s="20" t="str">
        <x:f>IF(Q330&lt;&gt;"OK","",SUMIFS($L$8:$L$1007,$A$8:$A$1007,A330,$B$8:$B$1007,"&lt;="&amp;B330))</x:f>
      </x:c>
      <x:c r="O330" s="20" t="str">
        <x:f>IF(Q330&lt;&gt;"OK","",SUMIFS($M$8:$M$1007,$A$8:$A$1007,A330,$B$8:$B$1007,"&lt;="&amp;B330))</x:f>
      </x:c>
      <x:c r="P330" s="20" t="str">
        <x:f>IF(Q330&lt;&gt;"OK","",MAX(0,-MIN(N330,O330)))</x:f>
      </x:c>
      <x:c r="Q330" s="18" t="str">
        <x:f>IF(A330="",IF(COUNTA(B330:K330)=0,"","Inserisci ID"),IF(COUNTIFS('Diario'!$A$8:$A$507,A330)&lt;&gt;1,"ID assente / duplicato",IF(OR(NOT(ISNUMBER(B330)),B330&lt;1,B330&lt;&gt;INT(B330),COUNTIFS($A$8:$A$1007,A330,$B$8:$B$1007,B330)&lt;&gt;1),"N. esecuzione non valido",IF(OR(NOT(ISNUMBER(C330)),AND(D330&lt;&gt;"Ingresso",D330&lt;&gt;"Uscita"),AND(E330&lt;&gt;"Back",E330&lt;&gt;"Lay")),"Completa data / fase / lato",IF(OR(NOT(ISNUMBER(F330)),F330&lt;=1,NOT(ISNUMBER(G330)),G330&lt;=0),"Correggi quota / stake","OK")))))</x:f>
      </x:c>
    </x:row>
    <x:row r="331" ht="22" customHeight="1">
      <x:c r="A331" s="24"/>
      <x:c r="B331" s="24"/>
      <x:c r="C331" s="26"/>
      <x:c r="D331" s="24"/>
      <x:c r="E331" s="24"/>
      <x:c r="F331" s="28"/>
      <x:c r="G331" s="29"/>
      <x:c r="H331" s="24"/>
      <x:c r="I331" s="24"/>
      <x:c r="J331" s="24"/>
      <x:c r="K331" s="24"/>
      <x:c r="L331" s="20" t="str">
        <x:f>IF(Q331&lt;&gt;"OK","",IF(E331="Back",G331*(F331-1),-G331*(F331-1)))</x:f>
      </x:c>
      <x:c r="M331" s="20" t="str">
        <x:f>IF(Q331&lt;&gt;"OK","",IF(E331="Back",-G331,G331))</x:f>
      </x:c>
      <x:c r="N331" s="20" t="str">
        <x:f>IF(Q331&lt;&gt;"OK","",SUMIFS($L$8:$L$1007,$A$8:$A$1007,A331,$B$8:$B$1007,"&lt;="&amp;B331))</x:f>
      </x:c>
      <x:c r="O331" s="20" t="str">
        <x:f>IF(Q331&lt;&gt;"OK","",SUMIFS($M$8:$M$1007,$A$8:$A$1007,A331,$B$8:$B$1007,"&lt;="&amp;B331))</x:f>
      </x:c>
      <x:c r="P331" s="20" t="str">
        <x:f>IF(Q331&lt;&gt;"OK","",MAX(0,-MIN(N331,O331)))</x:f>
      </x:c>
      <x:c r="Q331" s="18" t="str">
        <x:f>IF(A331="",IF(COUNTA(B331:K331)=0,"","Inserisci ID"),IF(COUNTIFS('Diario'!$A$8:$A$507,A331)&lt;&gt;1,"ID assente / duplicato",IF(OR(NOT(ISNUMBER(B331)),B331&lt;1,B331&lt;&gt;INT(B331),COUNTIFS($A$8:$A$1007,A331,$B$8:$B$1007,B331)&lt;&gt;1),"N. esecuzione non valido",IF(OR(NOT(ISNUMBER(C331)),AND(D331&lt;&gt;"Ingresso",D331&lt;&gt;"Uscita"),AND(E331&lt;&gt;"Back",E331&lt;&gt;"Lay")),"Completa data / fase / lato",IF(OR(NOT(ISNUMBER(F331)),F331&lt;=1,NOT(ISNUMBER(G331)),G331&lt;=0),"Correggi quota / stake","OK")))))</x:f>
      </x:c>
    </x:row>
    <x:row r="332" ht="22" customHeight="1">
      <x:c r="A332" s="24"/>
      <x:c r="B332" s="24"/>
      <x:c r="C332" s="26"/>
      <x:c r="D332" s="24"/>
      <x:c r="E332" s="24"/>
      <x:c r="F332" s="28"/>
      <x:c r="G332" s="29"/>
      <x:c r="H332" s="24"/>
      <x:c r="I332" s="24"/>
      <x:c r="J332" s="24"/>
      <x:c r="K332" s="24"/>
      <x:c r="L332" s="20" t="str">
        <x:f>IF(Q332&lt;&gt;"OK","",IF(E332="Back",G332*(F332-1),-G332*(F332-1)))</x:f>
      </x:c>
      <x:c r="M332" s="20" t="str">
        <x:f>IF(Q332&lt;&gt;"OK","",IF(E332="Back",-G332,G332))</x:f>
      </x:c>
      <x:c r="N332" s="20" t="str">
        <x:f>IF(Q332&lt;&gt;"OK","",SUMIFS($L$8:$L$1007,$A$8:$A$1007,A332,$B$8:$B$1007,"&lt;="&amp;B332))</x:f>
      </x:c>
      <x:c r="O332" s="20" t="str">
        <x:f>IF(Q332&lt;&gt;"OK","",SUMIFS($M$8:$M$1007,$A$8:$A$1007,A332,$B$8:$B$1007,"&lt;="&amp;B332))</x:f>
      </x:c>
      <x:c r="P332" s="20" t="str">
        <x:f>IF(Q332&lt;&gt;"OK","",MAX(0,-MIN(N332,O332)))</x:f>
      </x:c>
      <x:c r="Q332" s="18" t="str">
        <x:f>IF(A332="",IF(COUNTA(B332:K332)=0,"","Inserisci ID"),IF(COUNTIFS('Diario'!$A$8:$A$507,A332)&lt;&gt;1,"ID assente / duplicato",IF(OR(NOT(ISNUMBER(B332)),B332&lt;1,B332&lt;&gt;INT(B332),COUNTIFS($A$8:$A$1007,A332,$B$8:$B$1007,B332)&lt;&gt;1),"N. esecuzione non valido",IF(OR(NOT(ISNUMBER(C332)),AND(D332&lt;&gt;"Ingresso",D332&lt;&gt;"Uscita"),AND(E332&lt;&gt;"Back",E332&lt;&gt;"Lay")),"Completa data / fase / lato",IF(OR(NOT(ISNUMBER(F332)),F332&lt;=1,NOT(ISNUMBER(G332)),G332&lt;=0),"Correggi quota / stake","OK")))))</x:f>
      </x:c>
    </x:row>
    <x:row r="333" ht="22" customHeight="1">
      <x:c r="A333" s="24"/>
      <x:c r="B333" s="24"/>
      <x:c r="C333" s="26"/>
      <x:c r="D333" s="24"/>
      <x:c r="E333" s="24"/>
      <x:c r="F333" s="28"/>
      <x:c r="G333" s="29"/>
      <x:c r="H333" s="24"/>
      <x:c r="I333" s="24"/>
      <x:c r="J333" s="24"/>
      <x:c r="K333" s="24"/>
      <x:c r="L333" s="20" t="str">
        <x:f>IF(Q333&lt;&gt;"OK","",IF(E333="Back",G333*(F333-1),-G333*(F333-1)))</x:f>
      </x:c>
      <x:c r="M333" s="20" t="str">
        <x:f>IF(Q333&lt;&gt;"OK","",IF(E333="Back",-G333,G333))</x:f>
      </x:c>
      <x:c r="N333" s="20" t="str">
        <x:f>IF(Q333&lt;&gt;"OK","",SUMIFS($L$8:$L$1007,$A$8:$A$1007,A333,$B$8:$B$1007,"&lt;="&amp;B333))</x:f>
      </x:c>
      <x:c r="O333" s="20" t="str">
        <x:f>IF(Q333&lt;&gt;"OK","",SUMIFS($M$8:$M$1007,$A$8:$A$1007,A333,$B$8:$B$1007,"&lt;="&amp;B333))</x:f>
      </x:c>
      <x:c r="P333" s="20" t="str">
        <x:f>IF(Q333&lt;&gt;"OK","",MAX(0,-MIN(N333,O333)))</x:f>
      </x:c>
      <x:c r="Q333" s="18" t="str">
        <x:f>IF(A333="",IF(COUNTA(B333:K333)=0,"","Inserisci ID"),IF(COUNTIFS('Diario'!$A$8:$A$507,A333)&lt;&gt;1,"ID assente / duplicato",IF(OR(NOT(ISNUMBER(B333)),B333&lt;1,B333&lt;&gt;INT(B333),COUNTIFS($A$8:$A$1007,A333,$B$8:$B$1007,B333)&lt;&gt;1),"N. esecuzione non valido",IF(OR(NOT(ISNUMBER(C333)),AND(D333&lt;&gt;"Ingresso",D333&lt;&gt;"Uscita"),AND(E333&lt;&gt;"Back",E333&lt;&gt;"Lay")),"Completa data / fase / lato",IF(OR(NOT(ISNUMBER(F333)),F333&lt;=1,NOT(ISNUMBER(G333)),G333&lt;=0),"Correggi quota / stake","OK")))))</x:f>
      </x:c>
    </x:row>
    <x:row r="334" ht="22" customHeight="1">
      <x:c r="A334" s="24"/>
      <x:c r="B334" s="24"/>
      <x:c r="C334" s="26"/>
      <x:c r="D334" s="24"/>
      <x:c r="E334" s="24"/>
      <x:c r="F334" s="28"/>
      <x:c r="G334" s="29"/>
      <x:c r="H334" s="24"/>
      <x:c r="I334" s="24"/>
      <x:c r="J334" s="24"/>
      <x:c r="K334" s="24"/>
      <x:c r="L334" s="20" t="str">
        <x:f>IF(Q334&lt;&gt;"OK","",IF(E334="Back",G334*(F334-1),-G334*(F334-1)))</x:f>
      </x:c>
      <x:c r="M334" s="20" t="str">
        <x:f>IF(Q334&lt;&gt;"OK","",IF(E334="Back",-G334,G334))</x:f>
      </x:c>
      <x:c r="N334" s="20" t="str">
        <x:f>IF(Q334&lt;&gt;"OK","",SUMIFS($L$8:$L$1007,$A$8:$A$1007,A334,$B$8:$B$1007,"&lt;="&amp;B334))</x:f>
      </x:c>
      <x:c r="O334" s="20" t="str">
        <x:f>IF(Q334&lt;&gt;"OK","",SUMIFS($M$8:$M$1007,$A$8:$A$1007,A334,$B$8:$B$1007,"&lt;="&amp;B334))</x:f>
      </x:c>
      <x:c r="P334" s="20" t="str">
        <x:f>IF(Q334&lt;&gt;"OK","",MAX(0,-MIN(N334,O334)))</x:f>
      </x:c>
      <x:c r="Q334" s="18" t="str">
        <x:f>IF(A334="",IF(COUNTA(B334:K334)=0,"","Inserisci ID"),IF(COUNTIFS('Diario'!$A$8:$A$507,A334)&lt;&gt;1,"ID assente / duplicato",IF(OR(NOT(ISNUMBER(B334)),B334&lt;1,B334&lt;&gt;INT(B334),COUNTIFS($A$8:$A$1007,A334,$B$8:$B$1007,B334)&lt;&gt;1),"N. esecuzione non valido",IF(OR(NOT(ISNUMBER(C334)),AND(D334&lt;&gt;"Ingresso",D334&lt;&gt;"Uscita"),AND(E334&lt;&gt;"Back",E334&lt;&gt;"Lay")),"Completa data / fase / lato",IF(OR(NOT(ISNUMBER(F334)),F334&lt;=1,NOT(ISNUMBER(G334)),G334&lt;=0),"Correggi quota / stake","OK")))))</x:f>
      </x:c>
    </x:row>
    <x:row r="335" ht="22" customHeight="1">
      <x:c r="A335" s="24"/>
      <x:c r="B335" s="24"/>
      <x:c r="C335" s="26"/>
      <x:c r="D335" s="24"/>
      <x:c r="E335" s="24"/>
      <x:c r="F335" s="28"/>
      <x:c r="G335" s="29"/>
      <x:c r="H335" s="24"/>
      <x:c r="I335" s="24"/>
      <x:c r="J335" s="24"/>
      <x:c r="K335" s="24"/>
      <x:c r="L335" s="20" t="str">
        <x:f>IF(Q335&lt;&gt;"OK","",IF(E335="Back",G335*(F335-1),-G335*(F335-1)))</x:f>
      </x:c>
      <x:c r="M335" s="20" t="str">
        <x:f>IF(Q335&lt;&gt;"OK","",IF(E335="Back",-G335,G335))</x:f>
      </x:c>
      <x:c r="N335" s="20" t="str">
        <x:f>IF(Q335&lt;&gt;"OK","",SUMIFS($L$8:$L$1007,$A$8:$A$1007,A335,$B$8:$B$1007,"&lt;="&amp;B335))</x:f>
      </x:c>
      <x:c r="O335" s="20" t="str">
        <x:f>IF(Q335&lt;&gt;"OK","",SUMIFS($M$8:$M$1007,$A$8:$A$1007,A335,$B$8:$B$1007,"&lt;="&amp;B335))</x:f>
      </x:c>
      <x:c r="P335" s="20" t="str">
        <x:f>IF(Q335&lt;&gt;"OK","",MAX(0,-MIN(N335,O335)))</x:f>
      </x:c>
      <x:c r="Q335" s="18" t="str">
        <x:f>IF(A335="",IF(COUNTA(B335:K335)=0,"","Inserisci ID"),IF(COUNTIFS('Diario'!$A$8:$A$507,A335)&lt;&gt;1,"ID assente / duplicato",IF(OR(NOT(ISNUMBER(B335)),B335&lt;1,B335&lt;&gt;INT(B335),COUNTIFS($A$8:$A$1007,A335,$B$8:$B$1007,B335)&lt;&gt;1),"N. esecuzione non valido",IF(OR(NOT(ISNUMBER(C335)),AND(D335&lt;&gt;"Ingresso",D335&lt;&gt;"Uscita"),AND(E335&lt;&gt;"Back",E335&lt;&gt;"Lay")),"Completa data / fase / lato",IF(OR(NOT(ISNUMBER(F335)),F335&lt;=1,NOT(ISNUMBER(G335)),G335&lt;=0),"Correggi quota / stake","OK")))))</x:f>
      </x:c>
    </x:row>
    <x:row r="336" ht="22" customHeight="1">
      <x:c r="A336" s="24"/>
      <x:c r="B336" s="24"/>
      <x:c r="C336" s="26"/>
      <x:c r="D336" s="24"/>
      <x:c r="E336" s="24"/>
      <x:c r="F336" s="28"/>
      <x:c r="G336" s="29"/>
      <x:c r="H336" s="24"/>
      <x:c r="I336" s="24"/>
      <x:c r="J336" s="24"/>
      <x:c r="K336" s="24"/>
      <x:c r="L336" s="20" t="str">
        <x:f>IF(Q336&lt;&gt;"OK","",IF(E336="Back",G336*(F336-1),-G336*(F336-1)))</x:f>
      </x:c>
      <x:c r="M336" s="20" t="str">
        <x:f>IF(Q336&lt;&gt;"OK","",IF(E336="Back",-G336,G336))</x:f>
      </x:c>
      <x:c r="N336" s="20" t="str">
        <x:f>IF(Q336&lt;&gt;"OK","",SUMIFS($L$8:$L$1007,$A$8:$A$1007,A336,$B$8:$B$1007,"&lt;="&amp;B336))</x:f>
      </x:c>
      <x:c r="O336" s="20" t="str">
        <x:f>IF(Q336&lt;&gt;"OK","",SUMIFS($M$8:$M$1007,$A$8:$A$1007,A336,$B$8:$B$1007,"&lt;="&amp;B336))</x:f>
      </x:c>
      <x:c r="P336" s="20" t="str">
        <x:f>IF(Q336&lt;&gt;"OK","",MAX(0,-MIN(N336,O336)))</x:f>
      </x:c>
      <x:c r="Q336" s="18" t="str">
        <x:f>IF(A336="",IF(COUNTA(B336:K336)=0,"","Inserisci ID"),IF(COUNTIFS('Diario'!$A$8:$A$507,A336)&lt;&gt;1,"ID assente / duplicato",IF(OR(NOT(ISNUMBER(B336)),B336&lt;1,B336&lt;&gt;INT(B336),COUNTIFS($A$8:$A$1007,A336,$B$8:$B$1007,B336)&lt;&gt;1),"N. esecuzione non valido",IF(OR(NOT(ISNUMBER(C336)),AND(D336&lt;&gt;"Ingresso",D336&lt;&gt;"Uscita"),AND(E336&lt;&gt;"Back",E336&lt;&gt;"Lay")),"Completa data / fase / lato",IF(OR(NOT(ISNUMBER(F336)),F336&lt;=1,NOT(ISNUMBER(G336)),G336&lt;=0),"Correggi quota / stake","OK")))))</x:f>
      </x:c>
    </x:row>
    <x:row r="337" ht="22" customHeight="1">
      <x:c r="A337" s="24"/>
      <x:c r="B337" s="24"/>
      <x:c r="C337" s="26"/>
      <x:c r="D337" s="24"/>
      <x:c r="E337" s="24"/>
      <x:c r="F337" s="28"/>
      <x:c r="G337" s="29"/>
      <x:c r="H337" s="24"/>
      <x:c r="I337" s="24"/>
      <x:c r="J337" s="24"/>
      <x:c r="K337" s="24"/>
      <x:c r="L337" s="20" t="str">
        <x:f>IF(Q337&lt;&gt;"OK","",IF(E337="Back",G337*(F337-1),-G337*(F337-1)))</x:f>
      </x:c>
      <x:c r="M337" s="20" t="str">
        <x:f>IF(Q337&lt;&gt;"OK","",IF(E337="Back",-G337,G337))</x:f>
      </x:c>
      <x:c r="N337" s="20" t="str">
        <x:f>IF(Q337&lt;&gt;"OK","",SUMIFS($L$8:$L$1007,$A$8:$A$1007,A337,$B$8:$B$1007,"&lt;="&amp;B337))</x:f>
      </x:c>
      <x:c r="O337" s="20" t="str">
        <x:f>IF(Q337&lt;&gt;"OK","",SUMIFS($M$8:$M$1007,$A$8:$A$1007,A337,$B$8:$B$1007,"&lt;="&amp;B337))</x:f>
      </x:c>
      <x:c r="P337" s="20" t="str">
        <x:f>IF(Q337&lt;&gt;"OK","",MAX(0,-MIN(N337,O337)))</x:f>
      </x:c>
      <x:c r="Q337" s="18" t="str">
        <x:f>IF(A337="",IF(COUNTA(B337:K337)=0,"","Inserisci ID"),IF(COUNTIFS('Diario'!$A$8:$A$507,A337)&lt;&gt;1,"ID assente / duplicato",IF(OR(NOT(ISNUMBER(B337)),B337&lt;1,B337&lt;&gt;INT(B337),COUNTIFS($A$8:$A$1007,A337,$B$8:$B$1007,B337)&lt;&gt;1),"N. esecuzione non valido",IF(OR(NOT(ISNUMBER(C337)),AND(D337&lt;&gt;"Ingresso",D337&lt;&gt;"Uscita"),AND(E337&lt;&gt;"Back",E337&lt;&gt;"Lay")),"Completa data / fase / lato",IF(OR(NOT(ISNUMBER(F337)),F337&lt;=1,NOT(ISNUMBER(G337)),G337&lt;=0),"Correggi quota / stake","OK")))))</x:f>
      </x:c>
    </x:row>
    <x:row r="338" ht="22" customHeight="1">
      <x:c r="A338" s="24"/>
      <x:c r="B338" s="24"/>
      <x:c r="C338" s="26"/>
      <x:c r="D338" s="24"/>
      <x:c r="E338" s="24"/>
      <x:c r="F338" s="28"/>
      <x:c r="G338" s="29"/>
      <x:c r="H338" s="24"/>
      <x:c r="I338" s="24"/>
      <x:c r="J338" s="24"/>
      <x:c r="K338" s="24"/>
      <x:c r="L338" s="20" t="str">
        <x:f>IF(Q338&lt;&gt;"OK","",IF(E338="Back",G338*(F338-1),-G338*(F338-1)))</x:f>
      </x:c>
      <x:c r="M338" s="20" t="str">
        <x:f>IF(Q338&lt;&gt;"OK","",IF(E338="Back",-G338,G338))</x:f>
      </x:c>
      <x:c r="N338" s="20" t="str">
        <x:f>IF(Q338&lt;&gt;"OK","",SUMIFS($L$8:$L$1007,$A$8:$A$1007,A338,$B$8:$B$1007,"&lt;="&amp;B338))</x:f>
      </x:c>
      <x:c r="O338" s="20" t="str">
        <x:f>IF(Q338&lt;&gt;"OK","",SUMIFS($M$8:$M$1007,$A$8:$A$1007,A338,$B$8:$B$1007,"&lt;="&amp;B338))</x:f>
      </x:c>
      <x:c r="P338" s="20" t="str">
        <x:f>IF(Q338&lt;&gt;"OK","",MAX(0,-MIN(N338,O338)))</x:f>
      </x:c>
      <x:c r="Q338" s="18" t="str">
        <x:f>IF(A338="",IF(COUNTA(B338:K338)=0,"","Inserisci ID"),IF(COUNTIFS('Diario'!$A$8:$A$507,A338)&lt;&gt;1,"ID assente / duplicato",IF(OR(NOT(ISNUMBER(B338)),B338&lt;1,B338&lt;&gt;INT(B338),COUNTIFS($A$8:$A$1007,A338,$B$8:$B$1007,B338)&lt;&gt;1),"N. esecuzione non valido",IF(OR(NOT(ISNUMBER(C338)),AND(D338&lt;&gt;"Ingresso",D338&lt;&gt;"Uscita"),AND(E338&lt;&gt;"Back",E338&lt;&gt;"Lay")),"Completa data / fase / lato",IF(OR(NOT(ISNUMBER(F338)),F338&lt;=1,NOT(ISNUMBER(G338)),G338&lt;=0),"Correggi quota / stake","OK")))))</x:f>
      </x:c>
    </x:row>
    <x:row r="339" ht="22" customHeight="1">
      <x:c r="A339" s="24"/>
      <x:c r="B339" s="24"/>
      <x:c r="C339" s="26"/>
      <x:c r="D339" s="24"/>
      <x:c r="E339" s="24"/>
      <x:c r="F339" s="28"/>
      <x:c r="G339" s="29"/>
      <x:c r="H339" s="24"/>
      <x:c r="I339" s="24"/>
      <x:c r="J339" s="24"/>
      <x:c r="K339" s="24"/>
      <x:c r="L339" s="20" t="str">
        <x:f>IF(Q339&lt;&gt;"OK","",IF(E339="Back",G339*(F339-1),-G339*(F339-1)))</x:f>
      </x:c>
      <x:c r="M339" s="20" t="str">
        <x:f>IF(Q339&lt;&gt;"OK","",IF(E339="Back",-G339,G339))</x:f>
      </x:c>
      <x:c r="N339" s="20" t="str">
        <x:f>IF(Q339&lt;&gt;"OK","",SUMIFS($L$8:$L$1007,$A$8:$A$1007,A339,$B$8:$B$1007,"&lt;="&amp;B339))</x:f>
      </x:c>
      <x:c r="O339" s="20" t="str">
        <x:f>IF(Q339&lt;&gt;"OK","",SUMIFS($M$8:$M$1007,$A$8:$A$1007,A339,$B$8:$B$1007,"&lt;="&amp;B339))</x:f>
      </x:c>
      <x:c r="P339" s="20" t="str">
        <x:f>IF(Q339&lt;&gt;"OK","",MAX(0,-MIN(N339,O339)))</x:f>
      </x:c>
      <x:c r="Q339" s="18" t="str">
        <x:f>IF(A339="",IF(COUNTA(B339:K339)=0,"","Inserisci ID"),IF(COUNTIFS('Diario'!$A$8:$A$507,A339)&lt;&gt;1,"ID assente / duplicato",IF(OR(NOT(ISNUMBER(B339)),B339&lt;1,B339&lt;&gt;INT(B339),COUNTIFS($A$8:$A$1007,A339,$B$8:$B$1007,B339)&lt;&gt;1),"N. esecuzione non valido",IF(OR(NOT(ISNUMBER(C339)),AND(D339&lt;&gt;"Ingresso",D339&lt;&gt;"Uscita"),AND(E339&lt;&gt;"Back",E339&lt;&gt;"Lay")),"Completa data / fase / lato",IF(OR(NOT(ISNUMBER(F339)),F339&lt;=1,NOT(ISNUMBER(G339)),G339&lt;=0),"Correggi quota / stake","OK")))))</x:f>
      </x:c>
    </x:row>
    <x:row r="340" ht="22" customHeight="1">
      <x:c r="A340" s="24"/>
      <x:c r="B340" s="24"/>
      <x:c r="C340" s="26"/>
      <x:c r="D340" s="24"/>
      <x:c r="E340" s="24"/>
      <x:c r="F340" s="28"/>
      <x:c r="G340" s="29"/>
      <x:c r="H340" s="24"/>
      <x:c r="I340" s="24"/>
      <x:c r="J340" s="24"/>
      <x:c r="K340" s="24"/>
      <x:c r="L340" s="20" t="str">
        <x:f>IF(Q340&lt;&gt;"OK","",IF(E340="Back",G340*(F340-1),-G340*(F340-1)))</x:f>
      </x:c>
      <x:c r="M340" s="20" t="str">
        <x:f>IF(Q340&lt;&gt;"OK","",IF(E340="Back",-G340,G340))</x:f>
      </x:c>
      <x:c r="N340" s="20" t="str">
        <x:f>IF(Q340&lt;&gt;"OK","",SUMIFS($L$8:$L$1007,$A$8:$A$1007,A340,$B$8:$B$1007,"&lt;="&amp;B340))</x:f>
      </x:c>
      <x:c r="O340" s="20" t="str">
        <x:f>IF(Q340&lt;&gt;"OK","",SUMIFS($M$8:$M$1007,$A$8:$A$1007,A340,$B$8:$B$1007,"&lt;="&amp;B340))</x:f>
      </x:c>
      <x:c r="P340" s="20" t="str">
        <x:f>IF(Q340&lt;&gt;"OK","",MAX(0,-MIN(N340,O340)))</x:f>
      </x:c>
      <x:c r="Q340" s="18" t="str">
        <x:f>IF(A340="",IF(COUNTA(B340:K340)=0,"","Inserisci ID"),IF(COUNTIFS('Diario'!$A$8:$A$507,A340)&lt;&gt;1,"ID assente / duplicato",IF(OR(NOT(ISNUMBER(B340)),B340&lt;1,B340&lt;&gt;INT(B340),COUNTIFS($A$8:$A$1007,A340,$B$8:$B$1007,B340)&lt;&gt;1),"N. esecuzione non valido",IF(OR(NOT(ISNUMBER(C340)),AND(D340&lt;&gt;"Ingresso",D340&lt;&gt;"Uscita"),AND(E340&lt;&gt;"Back",E340&lt;&gt;"Lay")),"Completa data / fase / lato",IF(OR(NOT(ISNUMBER(F340)),F340&lt;=1,NOT(ISNUMBER(G340)),G340&lt;=0),"Correggi quota / stake","OK")))))</x:f>
      </x:c>
    </x:row>
    <x:row r="341" ht="22" customHeight="1">
      <x:c r="A341" s="24"/>
      <x:c r="B341" s="24"/>
      <x:c r="C341" s="26"/>
      <x:c r="D341" s="24"/>
      <x:c r="E341" s="24"/>
      <x:c r="F341" s="28"/>
      <x:c r="G341" s="29"/>
      <x:c r="H341" s="24"/>
      <x:c r="I341" s="24"/>
      <x:c r="J341" s="24"/>
      <x:c r="K341" s="24"/>
      <x:c r="L341" s="20" t="str">
        <x:f>IF(Q341&lt;&gt;"OK","",IF(E341="Back",G341*(F341-1),-G341*(F341-1)))</x:f>
      </x:c>
      <x:c r="M341" s="20" t="str">
        <x:f>IF(Q341&lt;&gt;"OK","",IF(E341="Back",-G341,G341))</x:f>
      </x:c>
      <x:c r="N341" s="20" t="str">
        <x:f>IF(Q341&lt;&gt;"OK","",SUMIFS($L$8:$L$1007,$A$8:$A$1007,A341,$B$8:$B$1007,"&lt;="&amp;B341))</x:f>
      </x:c>
      <x:c r="O341" s="20" t="str">
        <x:f>IF(Q341&lt;&gt;"OK","",SUMIFS($M$8:$M$1007,$A$8:$A$1007,A341,$B$8:$B$1007,"&lt;="&amp;B341))</x:f>
      </x:c>
      <x:c r="P341" s="20" t="str">
        <x:f>IF(Q341&lt;&gt;"OK","",MAX(0,-MIN(N341,O341)))</x:f>
      </x:c>
      <x:c r="Q341" s="18" t="str">
        <x:f>IF(A341="",IF(COUNTA(B341:K341)=0,"","Inserisci ID"),IF(COUNTIFS('Diario'!$A$8:$A$507,A341)&lt;&gt;1,"ID assente / duplicato",IF(OR(NOT(ISNUMBER(B341)),B341&lt;1,B341&lt;&gt;INT(B341),COUNTIFS($A$8:$A$1007,A341,$B$8:$B$1007,B341)&lt;&gt;1),"N. esecuzione non valido",IF(OR(NOT(ISNUMBER(C341)),AND(D341&lt;&gt;"Ingresso",D341&lt;&gt;"Uscita"),AND(E341&lt;&gt;"Back",E341&lt;&gt;"Lay")),"Completa data / fase / lato",IF(OR(NOT(ISNUMBER(F341)),F341&lt;=1,NOT(ISNUMBER(G341)),G341&lt;=0),"Correggi quota / stake","OK")))))</x:f>
      </x:c>
    </x:row>
    <x:row r="342" ht="22" customHeight="1">
      <x:c r="A342" s="24"/>
      <x:c r="B342" s="24"/>
      <x:c r="C342" s="26"/>
      <x:c r="D342" s="24"/>
      <x:c r="E342" s="24"/>
      <x:c r="F342" s="28"/>
      <x:c r="G342" s="29"/>
      <x:c r="H342" s="24"/>
      <x:c r="I342" s="24"/>
      <x:c r="J342" s="24"/>
      <x:c r="K342" s="24"/>
      <x:c r="L342" s="20" t="str">
        <x:f>IF(Q342&lt;&gt;"OK","",IF(E342="Back",G342*(F342-1),-G342*(F342-1)))</x:f>
      </x:c>
      <x:c r="M342" s="20" t="str">
        <x:f>IF(Q342&lt;&gt;"OK","",IF(E342="Back",-G342,G342))</x:f>
      </x:c>
      <x:c r="N342" s="20" t="str">
        <x:f>IF(Q342&lt;&gt;"OK","",SUMIFS($L$8:$L$1007,$A$8:$A$1007,A342,$B$8:$B$1007,"&lt;="&amp;B342))</x:f>
      </x:c>
      <x:c r="O342" s="20" t="str">
        <x:f>IF(Q342&lt;&gt;"OK","",SUMIFS($M$8:$M$1007,$A$8:$A$1007,A342,$B$8:$B$1007,"&lt;="&amp;B342))</x:f>
      </x:c>
      <x:c r="P342" s="20" t="str">
        <x:f>IF(Q342&lt;&gt;"OK","",MAX(0,-MIN(N342,O342)))</x:f>
      </x:c>
      <x:c r="Q342" s="18" t="str">
        <x:f>IF(A342="",IF(COUNTA(B342:K342)=0,"","Inserisci ID"),IF(COUNTIFS('Diario'!$A$8:$A$507,A342)&lt;&gt;1,"ID assente / duplicato",IF(OR(NOT(ISNUMBER(B342)),B342&lt;1,B342&lt;&gt;INT(B342),COUNTIFS($A$8:$A$1007,A342,$B$8:$B$1007,B342)&lt;&gt;1),"N. esecuzione non valido",IF(OR(NOT(ISNUMBER(C342)),AND(D342&lt;&gt;"Ingresso",D342&lt;&gt;"Uscita"),AND(E342&lt;&gt;"Back",E342&lt;&gt;"Lay")),"Completa data / fase / lato",IF(OR(NOT(ISNUMBER(F342)),F342&lt;=1,NOT(ISNUMBER(G342)),G342&lt;=0),"Correggi quota / stake","OK")))))</x:f>
      </x:c>
    </x:row>
    <x:row r="343" ht="22" customHeight="1">
      <x:c r="A343" s="24"/>
      <x:c r="B343" s="24"/>
      <x:c r="C343" s="26"/>
      <x:c r="D343" s="24"/>
      <x:c r="E343" s="24"/>
      <x:c r="F343" s="28"/>
      <x:c r="G343" s="29"/>
      <x:c r="H343" s="24"/>
      <x:c r="I343" s="24"/>
      <x:c r="J343" s="24"/>
      <x:c r="K343" s="24"/>
      <x:c r="L343" s="20" t="str">
        <x:f>IF(Q343&lt;&gt;"OK","",IF(E343="Back",G343*(F343-1),-G343*(F343-1)))</x:f>
      </x:c>
      <x:c r="M343" s="20" t="str">
        <x:f>IF(Q343&lt;&gt;"OK","",IF(E343="Back",-G343,G343))</x:f>
      </x:c>
      <x:c r="N343" s="20" t="str">
        <x:f>IF(Q343&lt;&gt;"OK","",SUMIFS($L$8:$L$1007,$A$8:$A$1007,A343,$B$8:$B$1007,"&lt;="&amp;B343))</x:f>
      </x:c>
      <x:c r="O343" s="20" t="str">
        <x:f>IF(Q343&lt;&gt;"OK","",SUMIFS($M$8:$M$1007,$A$8:$A$1007,A343,$B$8:$B$1007,"&lt;="&amp;B343))</x:f>
      </x:c>
      <x:c r="P343" s="20" t="str">
        <x:f>IF(Q343&lt;&gt;"OK","",MAX(0,-MIN(N343,O343)))</x:f>
      </x:c>
      <x:c r="Q343" s="18" t="str">
        <x:f>IF(A343="",IF(COUNTA(B343:K343)=0,"","Inserisci ID"),IF(COUNTIFS('Diario'!$A$8:$A$507,A343)&lt;&gt;1,"ID assente / duplicato",IF(OR(NOT(ISNUMBER(B343)),B343&lt;1,B343&lt;&gt;INT(B343),COUNTIFS($A$8:$A$1007,A343,$B$8:$B$1007,B343)&lt;&gt;1),"N. esecuzione non valido",IF(OR(NOT(ISNUMBER(C343)),AND(D343&lt;&gt;"Ingresso",D343&lt;&gt;"Uscita"),AND(E343&lt;&gt;"Back",E343&lt;&gt;"Lay")),"Completa data / fase / lato",IF(OR(NOT(ISNUMBER(F343)),F343&lt;=1,NOT(ISNUMBER(G343)),G343&lt;=0),"Correggi quota / stake","OK")))))</x:f>
      </x:c>
    </x:row>
    <x:row r="344" ht="22" customHeight="1">
      <x:c r="A344" s="24"/>
      <x:c r="B344" s="24"/>
      <x:c r="C344" s="26"/>
      <x:c r="D344" s="24"/>
      <x:c r="E344" s="24"/>
      <x:c r="F344" s="28"/>
      <x:c r="G344" s="29"/>
      <x:c r="H344" s="24"/>
      <x:c r="I344" s="24"/>
      <x:c r="J344" s="24"/>
      <x:c r="K344" s="24"/>
      <x:c r="L344" s="20" t="str">
        <x:f>IF(Q344&lt;&gt;"OK","",IF(E344="Back",G344*(F344-1),-G344*(F344-1)))</x:f>
      </x:c>
      <x:c r="M344" s="20" t="str">
        <x:f>IF(Q344&lt;&gt;"OK","",IF(E344="Back",-G344,G344))</x:f>
      </x:c>
      <x:c r="N344" s="20" t="str">
        <x:f>IF(Q344&lt;&gt;"OK","",SUMIFS($L$8:$L$1007,$A$8:$A$1007,A344,$B$8:$B$1007,"&lt;="&amp;B344))</x:f>
      </x:c>
      <x:c r="O344" s="20" t="str">
        <x:f>IF(Q344&lt;&gt;"OK","",SUMIFS($M$8:$M$1007,$A$8:$A$1007,A344,$B$8:$B$1007,"&lt;="&amp;B344))</x:f>
      </x:c>
      <x:c r="P344" s="20" t="str">
        <x:f>IF(Q344&lt;&gt;"OK","",MAX(0,-MIN(N344,O344)))</x:f>
      </x:c>
      <x:c r="Q344" s="18" t="str">
        <x:f>IF(A344="",IF(COUNTA(B344:K344)=0,"","Inserisci ID"),IF(COUNTIFS('Diario'!$A$8:$A$507,A344)&lt;&gt;1,"ID assente / duplicato",IF(OR(NOT(ISNUMBER(B344)),B344&lt;1,B344&lt;&gt;INT(B344),COUNTIFS($A$8:$A$1007,A344,$B$8:$B$1007,B344)&lt;&gt;1),"N. esecuzione non valido",IF(OR(NOT(ISNUMBER(C344)),AND(D344&lt;&gt;"Ingresso",D344&lt;&gt;"Uscita"),AND(E344&lt;&gt;"Back",E344&lt;&gt;"Lay")),"Completa data / fase / lato",IF(OR(NOT(ISNUMBER(F344)),F344&lt;=1,NOT(ISNUMBER(G344)),G344&lt;=0),"Correggi quota / stake","OK")))))</x:f>
      </x:c>
    </x:row>
    <x:row r="345" ht="22" customHeight="1">
      <x:c r="A345" s="24"/>
      <x:c r="B345" s="24"/>
      <x:c r="C345" s="26"/>
      <x:c r="D345" s="24"/>
      <x:c r="E345" s="24"/>
      <x:c r="F345" s="28"/>
      <x:c r="G345" s="29"/>
      <x:c r="H345" s="24"/>
      <x:c r="I345" s="24"/>
      <x:c r="J345" s="24"/>
      <x:c r="K345" s="24"/>
      <x:c r="L345" s="20" t="str">
        <x:f>IF(Q345&lt;&gt;"OK","",IF(E345="Back",G345*(F345-1),-G345*(F345-1)))</x:f>
      </x:c>
      <x:c r="M345" s="20" t="str">
        <x:f>IF(Q345&lt;&gt;"OK","",IF(E345="Back",-G345,G345))</x:f>
      </x:c>
      <x:c r="N345" s="20" t="str">
        <x:f>IF(Q345&lt;&gt;"OK","",SUMIFS($L$8:$L$1007,$A$8:$A$1007,A345,$B$8:$B$1007,"&lt;="&amp;B345))</x:f>
      </x:c>
      <x:c r="O345" s="20" t="str">
        <x:f>IF(Q345&lt;&gt;"OK","",SUMIFS($M$8:$M$1007,$A$8:$A$1007,A345,$B$8:$B$1007,"&lt;="&amp;B345))</x:f>
      </x:c>
      <x:c r="P345" s="20" t="str">
        <x:f>IF(Q345&lt;&gt;"OK","",MAX(0,-MIN(N345,O345)))</x:f>
      </x:c>
      <x:c r="Q345" s="18" t="str">
        <x:f>IF(A345="",IF(COUNTA(B345:K345)=0,"","Inserisci ID"),IF(COUNTIFS('Diario'!$A$8:$A$507,A345)&lt;&gt;1,"ID assente / duplicato",IF(OR(NOT(ISNUMBER(B345)),B345&lt;1,B345&lt;&gt;INT(B345),COUNTIFS($A$8:$A$1007,A345,$B$8:$B$1007,B345)&lt;&gt;1),"N. esecuzione non valido",IF(OR(NOT(ISNUMBER(C345)),AND(D345&lt;&gt;"Ingresso",D345&lt;&gt;"Uscita"),AND(E345&lt;&gt;"Back",E345&lt;&gt;"Lay")),"Completa data / fase / lato",IF(OR(NOT(ISNUMBER(F345)),F345&lt;=1,NOT(ISNUMBER(G345)),G345&lt;=0),"Correggi quota / stake","OK")))))</x:f>
      </x:c>
    </x:row>
    <x:row r="346" ht="22" customHeight="1">
      <x:c r="A346" s="24"/>
      <x:c r="B346" s="24"/>
      <x:c r="C346" s="26"/>
      <x:c r="D346" s="24"/>
      <x:c r="E346" s="24"/>
      <x:c r="F346" s="28"/>
      <x:c r="G346" s="29"/>
      <x:c r="H346" s="24"/>
      <x:c r="I346" s="24"/>
      <x:c r="J346" s="24"/>
      <x:c r="K346" s="24"/>
      <x:c r="L346" s="20" t="str">
        <x:f>IF(Q346&lt;&gt;"OK","",IF(E346="Back",G346*(F346-1),-G346*(F346-1)))</x:f>
      </x:c>
      <x:c r="M346" s="20" t="str">
        <x:f>IF(Q346&lt;&gt;"OK","",IF(E346="Back",-G346,G346))</x:f>
      </x:c>
      <x:c r="N346" s="20" t="str">
        <x:f>IF(Q346&lt;&gt;"OK","",SUMIFS($L$8:$L$1007,$A$8:$A$1007,A346,$B$8:$B$1007,"&lt;="&amp;B346))</x:f>
      </x:c>
      <x:c r="O346" s="20" t="str">
        <x:f>IF(Q346&lt;&gt;"OK","",SUMIFS($M$8:$M$1007,$A$8:$A$1007,A346,$B$8:$B$1007,"&lt;="&amp;B346))</x:f>
      </x:c>
      <x:c r="P346" s="20" t="str">
        <x:f>IF(Q346&lt;&gt;"OK","",MAX(0,-MIN(N346,O346)))</x:f>
      </x:c>
      <x:c r="Q346" s="18" t="str">
        <x:f>IF(A346="",IF(COUNTA(B346:K346)=0,"","Inserisci ID"),IF(COUNTIFS('Diario'!$A$8:$A$507,A346)&lt;&gt;1,"ID assente / duplicato",IF(OR(NOT(ISNUMBER(B346)),B346&lt;1,B346&lt;&gt;INT(B346),COUNTIFS($A$8:$A$1007,A346,$B$8:$B$1007,B346)&lt;&gt;1),"N. esecuzione non valido",IF(OR(NOT(ISNUMBER(C346)),AND(D346&lt;&gt;"Ingresso",D346&lt;&gt;"Uscita"),AND(E346&lt;&gt;"Back",E346&lt;&gt;"Lay")),"Completa data / fase / lato",IF(OR(NOT(ISNUMBER(F346)),F346&lt;=1,NOT(ISNUMBER(G346)),G346&lt;=0),"Correggi quota / stake","OK")))))</x:f>
      </x:c>
    </x:row>
    <x:row r="347" ht="22" customHeight="1">
      <x:c r="A347" s="24"/>
      <x:c r="B347" s="24"/>
      <x:c r="C347" s="26"/>
      <x:c r="D347" s="24"/>
      <x:c r="E347" s="24"/>
      <x:c r="F347" s="28"/>
      <x:c r="G347" s="29"/>
      <x:c r="H347" s="24"/>
      <x:c r="I347" s="24"/>
      <x:c r="J347" s="24"/>
      <x:c r="K347" s="24"/>
      <x:c r="L347" s="20" t="str">
        <x:f>IF(Q347&lt;&gt;"OK","",IF(E347="Back",G347*(F347-1),-G347*(F347-1)))</x:f>
      </x:c>
      <x:c r="M347" s="20" t="str">
        <x:f>IF(Q347&lt;&gt;"OK","",IF(E347="Back",-G347,G347))</x:f>
      </x:c>
      <x:c r="N347" s="20" t="str">
        <x:f>IF(Q347&lt;&gt;"OK","",SUMIFS($L$8:$L$1007,$A$8:$A$1007,A347,$B$8:$B$1007,"&lt;="&amp;B347))</x:f>
      </x:c>
      <x:c r="O347" s="20" t="str">
        <x:f>IF(Q347&lt;&gt;"OK","",SUMIFS($M$8:$M$1007,$A$8:$A$1007,A347,$B$8:$B$1007,"&lt;="&amp;B347))</x:f>
      </x:c>
      <x:c r="P347" s="20" t="str">
        <x:f>IF(Q347&lt;&gt;"OK","",MAX(0,-MIN(N347,O347)))</x:f>
      </x:c>
      <x:c r="Q347" s="18" t="str">
        <x:f>IF(A347="",IF(COUNTA(B347:K347)=0,"","Inserisci ID"),IF(COUNTIFS('Diario'!$A$8:$A$507,A347)&lt;&gt;1,"ID assente / duplicato",IF(OR(NOT(ISNUMBER(B347)),B347&lt;1,B347&lt;&gt;INT(B347),COUNTIFS($A$8:$A$1007,A347,$B$8:$B$1007,B347)&lt;&gt;1),"N. esecuzione non valido",IF(OR(NOT(ISNUMBER(C347)),AND(D347&lt;&gt;"Ingresso",D347&lt;&gt;"Uscita"),AND(E347&lt;&gt;"Back",E347&lt;&gt;"Lay")),"Completa data / fase / lato",IF(OR(NOT(ISNUMBER(F347)),F347&lt;=1,NOT(ISNUMBER(G347)),G347&lt;=0),"Correggi quota / stake","OK")))))</x:f>
      </x:c>
    </x:row>
    <x:row r="348" ht="22" customHeight="1">
      <x:c r="A348" s="24"/>
      <x:c r="B348" s="24"/>
      <x:c r="C348" s="26"/>
      <x:c r="D348" s="24"/>
      <x:c r="E348" s="24"/>
      <x:c r="F348" s="28"/>
      <x:c r="G348" s="29"/>
      <x:c r="H348" s="24"/>
      <x:c r="I348" s="24"/>
      <x:c r="J348" s="24"/>
      <x:c r="K348" s="24"/>
      <x:c r="L348" s="20" t="str">
        <x:f>IF(Q348&lt;&gt;"OK","",IF(E348="Back",G348*(F348-1),-G348*(F348-1)))</x:f>
      </x:c>
      <x:c r="M348" s="20" t="str">
        <x:f>IF(Q348&lt;&gt;"OK","",IF(E348="Back",-G348,G348))</x:f>
      </x:c>
      <x:c r="N348" s="20" t="str">
        <x:f>IF(Q348&lt;&gt;"OK","",SUMIFS($L$8:$L$1007,$A$8:$A$1007,A348,$B$8:$B$1007,"&lt;="&amp;B348))</x:f>
      </x:c>
      <x:c r="O348" s="20" t="str">
        <x:f>IF(Q348&lt;&gt;"OK","",SUMIFS($M$8:$M$1007,$A$8:$A$1007,A348,$B$8:$B$1007,"&lt;="&amp;B348))</x:f>
      </x:c>
      <x:c r="P348" s="20" t="str">
        <x:f>IF(Q348&lt;&gt;"OK","",MAX(0,-MIN(N348,O348)))</x:f>
      </x:c>
      <x:c r="Q348" s="18" t="str">
        <x:f>IF(A348="",IF(COUNTA(B348:K348)=0,"","Inserisci ID"),IF(COUNTIFS('Diario'!$A$8:$A$507,A348)&lt;&gt;1,"ID assente / duplicato",IF(OR(NOT(ISNUMBER(B348)),B348&lt;1,B348&lt;&gt;INT(B348),COUNTIFS($A$8:$A$1007,A348,$B$8:$B$1007,B348)&lt;&gt;1),"N. esecuzione non valido",IF(OR(NOT(ISNUMBER(C348)),AND(D348&lt;&gt;"Ingresso",D348&lt;&gt;"Uscita"),AND(E348&lt;&gt;"Back",E348&lt;&gt;"Lay")),"Completa data / fase / lato",IF(OR(NOT(ISNUMBER(F348)),F348&lt;=1,NOT(ISNUMBER(G348)),G348&lt;=0),"Correggi quota / stake","OK")))))</x:f>
      </x:c>
    </x:row>
    <x:row r="349" ht="22" customHeight="1">
      <x:c r="A349" s="24"/>
      <x:c r="B349" s="24"/>
      <x:c r="C349" s="26"/>
      <x:c r="D349" s="24"/>
      <x:c r="E349" s="24"/>
      <x:c r="F349" s="28"/>
      <x:c r="G349" s="29"/>
      <x:c r="H349" s="24"/>
      <x:c r="I349" s="24"/>
      <x:c r="J349" s="24"/>
      <x:c r="K349" s="24"/>
      <x:c r="L349" s="20" t="str">
        <x:f>IF(Q349&lt;&gt;"OK","",IF(E349="Back",G349*(F349-1),-G349*(F349-1)))</x:f>
      </x:c>
      <x:c r="M349" s="20" t="str">
        <x:f>IF(Q349&lt;&gt;"OK","",IF(E349="Back",-G349,G349))</x:f>
      </x:c>
      <x:c r="N349" s="20" t="str">
        <x:f>IF(Q349&lt;&gt;"OK","",SUMIFS($L$8:$L$1007,$A$8:$A$1007,A349,$B$8:$B$1007,"&lt;="&amp;B349))</x:f>
      </x:c>
      <x:c r="O349" s="20" t="str">
        <x:f>IF(Q349&lt;&gt;"OK","",SUMIFS($M$8:$M$1007,$A$8:$A$1007,A349,$B$8:$B$1007,"&lt;="&amp;B349))</x:f>
      </x:c>
      <x:c r="P349" s="20" t="str">
        <x:f>IF(Q349&lt;&gt;"OK","",MAX(0,-MIN(N349,O349)))</x:f>
      </x:c>
      <x:c r="Q349" s="18" t="str">
        <x:f>IF(A349="",IF(COUNTA(B349:K349)=0,"","Inserisci ID"),IF(COUNTIFS('Diario'!$A$8:$A$507,A349)&lt;&gt;1,"ID assente / duplicato",IF(OR(NOT(ISNUMBER(B349)),B349&lt;1,B349&lt;&gt;INT(B349),COUNTIFS($A$8:$A$1007,A349,$B$8:$B$1007,B349)&lt;&gt;1),"N. esecuzione non valido",IF(OR(NOT(ISNUMBER(C349)),AND(D349&lt;&gt;"Ingresso",D349&lt;&gt;"Uscita"),AND(E349&lt;&gt;"Back",E349&lt;&gt;"Lay")),"Completa data / fase / lato",IF(OR(NOT(ISNUMBER(F349)),F349&lt;=1,NOT(ISNUMBER(G349)),G349&lt;=0),"Correggi quota / stake","OK")))))</x:f>
      </x:c>
    </x:row>
    <x:row r="350" ht="22" customHeight="1">
      <x:c r="A350" s="24"/>
      <x:c r="B350" s="24"/>
      <x:c r="C350" s="26"/>
      <x:c r="D350" s="24"/>
      <x:c r="E350" s="24"/>
      <x:c r="F350" s="28"/>
      <x:c r="G350" s="29"/>
      <x:c r="H350" s="24"/>
      <x:c r="I350" s="24"/>
      <x:c r="J350" s="24"/>
      <x:c r="K350" s="24"/>
      <x:c r="L350" s="20" t="str">
        <x:f>IF(Q350&lt;&gt;"OK","",IF(E350="Back",G350*(F350-1),-G350*(F350-1)))</x:f>
      </x:c>
      <x:c r="M350" s="20" t="str">
        <x:f>IF(Q350&lt;&gt;"OK","",IF(E350="Back",-G350,G350))</x:f>
      </x:c>
      <x:c r="N350" s="20" t="str">
        <x:f>IF(Q350&lt;&gt;"OK","",SUMIFS($L$8:$L$1007,$A$8:$A$1007,A350,$B$8:$B$1007,"&lt;="&amp;B350))</x:f>
      </x:c>
      <x:c r="O350" s="20" t="str">
        <x:f>IF(Q350&lt;&gt;"OK","",SUMIFS($M$8:$M$1007,$A$8:$A$1007,A350,$B$8:$B$1007,"&lt;="&amp;B350))</x:f>
      </x:c>
      <x:c r="P350" s="20" t="str">
        <x:f>IF(Q350&lt;&gt;"OK","",MAX(0,-MIN(N350,O350)))</x:f>
      </x:c>
      <x:c r="Q350" s="18" t="str">
        <x:f>IF(A350="",IF(COUNTA(B350:K350)=0,"","Inserisci ID"),IF(COUNTIFS('Diario'!$A$8:$A$507,A350)&lt;&gt;1,"ID assente / duplicato",IF(OR(NOT(ISNUMBER(B350)),B350&lt;1,B350&lt;&gt;INT(B350),COUNTIFS($A$8:$A$1007,A350,$B$8:$B$1007,B350)&lt;&gt;1),"N. esecuzione non valido",IF(OR(NOT(ISNUMBER(C350)),AND(D350&lt;&gt;"Ingresso",D350&lt;&gt;"Uscita"),AND(E350&lt;&gt;"Back",E350&lt;&gt;"Lay")),"Completa data / fase / lato",IF(OR(NOT(ISNUMBER(F350)),F350&lt;=1,NOT(ISNUMBER(G350)),G350&lt;=0),"Correggi quota / stake","OK")))))</x:f>
      </x:c>
    </x:row>
    <x:row r="351" ht="22" customHeight="1">
      <x:c r="A351" s="24"/>
      <x:c r="B351" s="24"/>
      <x:c r="C351" s="26"/>
      <x:c r="D351" s="24"/>
      <x:c r="E351" s="24"/>
      <x:c r="F351" s="28"/>
      <x:c r="G351" s="29"/>
      <x:c r="H351" s="24"/>
      <x:c r="I351" s="24"/>
      <x:c r="J351" s="24"/>
      <x:c r="K351" s="24"/>
      <x:c r="L351" s="20" t="str">
        <x:f>IF(Q351&lt;&gt;"OK","",IF(E351="Back",G351*(F351-1),-G351*(F351-1)))</x:f>
      </x:c>
      <x:c r="M351" s="20" t="str">
        <x:f>IF(Q351&lt;&gt;"OK","",IF(E351="Back",-G351,G351))</x:f>
      </x:c>
      <x:c r="N351" s="20" t="str">
        <x:f>IF(Q351&lt;&gt;"OK","",SUMIFS($L$8:$L$1007,$A$8:$A$1007,A351,$B$8:$B$1007,"&lt;="&amp;B351))</x:f>
      </x:c>
      <x:c r="O351" s="20" t="str">
        <x:f>IF(Q351&lt;&gt;"OK","",SUMIFS($M$8:$M$1007,$A$8:$A$1007,A351,$B$8:$B$1007,"&lt;="&amp;B351))</x:f>
      </x:c>
      <x:c r="P351" s="20" t="str">
        <x:f>IF(Q351&lt;&gt;"OK","",MAX(0,-MIN(N351,O351)))</x:f>
      </x:c>
      <x:c r="Q351" s="18" t="str">
        <x:f>IF(A351="",IF(COUNTA(B351:K351)=0,"","Inserisci ID"),IF(COUNTIFS('Diario'!$A$8:$A$507,A351)&lt;&gt;1,"ID assente / duplicato",IF(OR(NOT(ISNUMBER(B351)),B351&lt;1,B351&lt;&gt;INT(B351),COUNTIFS($A$8:$A$1007,A351,$B$8:$B$1007,B351)&lt;&gt;1),"N. esecuzione non valido",IF(OR(NOT(ISNUMBER(C351)),AND(D351&lt;&gt;"Ingresso",D351&lt;&gt;"Uscita"),AND(E351&lt;&gt;"Back",E351&lt;&gt;"Lay")),"Completa data / fase / lato",IF(OR(NOT(ISNUMBER(F351)),F351&lt;=1,NOT(ISNUMBER(G351)),G351&lt;=0),"Correggi quota / stake","OK")))))</x:f>
      </x:c>
    </x:row>
    <x:row r="352" ht="22" customHeight="1">
      <x:c r="A352" s="24"/>
      <x:c r="B352" s="24"/>
      <x:c r="C352" s="26"/>
      <x:c r="D352" s="24"/>
      <x:c r="E352" s="24"/>
      <x:c r="F352" s="28"/>
      <x:c r="G352" s="29"/>
      <x:c r="H352" s="24"/>
      <x:c r="I352" s="24"/>
      <x:c r="J352" s="24"/>
      <x:c r="K352" s="24"/>
      <x:c r="L352" s="20" t="str">
        <x:f>IF(Q352&lt;&gt;"OK","",IF(E352="Back",G352*(F352-1),-G352*(F352-1)))</x:f>
      </x:c>
      <x:c r="M352" s="20" t="str">
        <x:f>IF(Q352&lt;&gt;"OK","",IF(E352="Back",-G352,G352))</x:f>
      </x:c>
      <x:c r="N352" s="20" t="str">
        <x:f>IF(Q352&lt;&gt;"OK","",SUMIFS($L$8:$L$1007,$A$8:$A$1007,A352,$B$8:$B$1007,"&lt;="&amp;B352))</x:f>
      </x:c>
      <x:c r="O352" s="20" t="str">
        <x:f>IF(Q352&lt;&gt;"OK","",SUMIFS($M$8:$M$1007,$A$8:$A$1007,A352,$B$8:$B$1007,"&lt;="&amp;B352))</x:f>
      </x:c>
      <x:c r="P352" s="20" t="str">
        <x:f>IF(Q352&lt;&gt;"OK","",MAX(0,-MIN(N352,O352)))</x:f>
      </x:c>
      <x:c r="Q352" s="18" t="str">
        <x:f>IF(A352="",IF(COUNTA(B352:K352)=0,"","Inserisci ID"),IF(COUNTIFS('Diario'!$A$8:$A$507,A352)&lt;&gt;1,"ID assente / duplicato",IF(OR(NOT(ISNUMBER(B352)),B352&lt;1,B352&lt;&gt;INT(B352),COUNTIFS($A$8:$A$1007,A352,$B$8:$B$1007,B352)&lt;&gt;1),"N. esecuzione non valido",IF(OR(NOT(ISNUMBER(C352)),AND(D352&lt;&gt;"Ingresso",D352&lt;&gt;"Uscita"),AND(E352&lt;&gt;"Back",E352&lt;&gt;"Lay")),"Completa data / fase / lato",IF(OR(NOT(ISNUMBER(F352)),F352&lt;=1,NOT(ISNUMBER(G352)),G352&lt;=0),"Correggi quota / stake","OK")))))</x:f>
      </x:c>
    </x:row>
    <x:row r="353" ht="22" customHeight="1">
      <x:c r="A353" s="24"/>
      <x:c r="B353" s="24"/>
      <x:c r="C353" s="26"/>
      <x:c r="D353" s="24"/>
      <x:c r="E353" s="24"/>
      <x:c r="F353" s="28"/>
      <x:c r="G353" s="29"/>
      <x:c r="H353" s="24"/>
      <x:c r="I353" s="24"/>
      <x:c r="J353" s="24"/>
      <x:c r="K353" s="24"/>
      <x:c r="L353" s="20" t="str">
        <x:f>IF(Q353&lt;&gt;"OK","",IF(E353="Back",G353*(F353-1),-G353*(F353-1)))</x:f>
      </x:c>
      <x:c r="M353" s="20" t="str">
        <x:f>IF(Q353&lt;&gt;"OK","",IF(E353="Back",-G353,G353))</x:f>
      </x:c>
      <x:c r="N353" s="20" t="str">
        <x:f>IF(Q353&lt;&gt;"OK","",SUMIFS($L$8:$L$1007,$A$8:$A$1007,A353,$B$8:$B$1007,"&lt;="&amp;B353))</x:f>
      </x:c>
      <x:c r="O353" s="20" t="str">
        <x:f>IF(Q353&lt;&gt;"OK","",SUMIFS($M$8:$M$1007,$A$8:$A$1007,A353,$B$8:$B$1007,"&lt;="&amp;B353))</x:f>
      </x:c>
      <x:c r="P353" s="20" t="str">
        <x:f>IF(Q353&lt;&gt;"OK","",MAX(0,-MIN(N353,O353)))</x:f>
      </x:c>
      <x:c r="Q353" s="18" t="str">
        <x:f>IF(A353="",IF(COUNTA(B353:K353)=0,"","Inserisci ID"),IF(COUNTIFS('Diario'!$A$8:$A$507,A353)&lt;&gt;1,"ID assente / duplicato",IF(OR(NOT(ISNUMBER(B353)),B353&lt;1,B353&lt;&gt;INT(B353),COUNTIFS($A$8:$A$1007,A353,$B$8:$B$1007,B353)&lt;&gt;1),"N. esecuzione non valido",IF(OR(NOT(ISNUMBER(C353)),AND(D353&lt;&gt;"Ingresso",D353&lt;&gt;"Uscita"),AND(E353&lt;&gt;"Back",E353&lt;&gt;"Lay")),"Completa data / fase / lato",IF(OR(NOT(ISNUMBER(F353)),F353&lt;=1,NOT(ISNUMBER(G353)),G353&lt;=0),"Correggi quota / stake","OK")))))</x:f>
      </x:c>
    </x:row>
    <x:row r="354" ht="22" customHeight="1">
      <x:c r="A354" s="24"/>
      <x:c r="B354" s="24"/>
      <x:c r="C354" s="26"/>
      <x:c r="D354" s="24"/>
      <x:c r="E354" s="24"/>
      <x:c r="F354" s="28"/>
      <x:c r="G354" s="29"/>
      <x:c r="H354" s="24"/>
      <x:c r="I354" s="24"/>
      <x:c r="J354" s="24"/>
      <x:c r="K354" s="24"/>
      <x:c r="L354" s="20" t="str">
        <x:f>IF(Q354&lt;&gt;"OK","",IF(E354="Back",G354*(F354-1),-G354*(F354-1)))</x:f>
      </x:c>
      <x:c r="M354" s="20" t="str">
        <x:f>IF(Q354&lt;&gt;"OK","",IF(E354="Back",-G354,G354))</x:f>
      </x:c>
      <x:c r="N354" s="20" t="str">
        <x:f>IF(Q354&lt;&gt;"OK","",SUMIFS($L$8:$L$1007,$A$8:$A$1007,A354,$B$8:$B$1007,"&lt;="&amp;B354))</x:f>
      </x:c>
      <x:c r="O354" s="20" t="str">
        <x:f>IF(Q354&lt;&gt;"OK","",SUMIFS($M$8:$M$1007,$A$8:$A$1007,A354,$B$8:$B$1007,"&lt;="&amp;B354))</x:f>
      </x:c>
      <x:c r="P354" s="20" t="str">
        <x:f>IF(Q354&lt;&gt;"OK","",MAX(0,-MIN(N354,O354)))</x:f>
      </x:c>
      <x:c r="Q354" s="18" t="str">
        <x:f>IF(A354="",IF(COUNTA(B354:K354)=0,"","Inserisci ID"),IF(COUNTIFS('Diario'!$A$8:$A$507,A354)&lt;&gt;1,"ID assente / duplicato",IF(OR(NOT(ISNUMBER(B354)),B354&lt;1,B354&lt;&gt;INT(B354),COUNTIFS($A$8:$A$1007,A354,$B$8:$B$1007,B354)&lt;&gt;1),"N. esecuzione non valido",IF(OR(NOT(ISNUMBER(C354)),AND(D354&lt;&gt;"Ingresso",D354&lt;&gt;"Uscita"),AND(E354&lt;&gt;"Back",E354&lt;&gt;"Lay")),"Completa data / fase / lato",IF(OR(NOT(ISNUMBER(F354)),F354&lt;=1,NOT(ISNUMBER(G354)),G354&lt;=0),"Correggi quota / stake","OK")))))</x:f>
      </x:c>
    </x:row>
    <x:row r="355" ht="22" customHeight="1">
      <x:c r="A355" s="24"/>
      <x:c r="B355" s="24"/>
      <x:c r="C355" s="26"/>
      <x:c r="D355" s="24"/>
      <x:c r="E355" s="24"/>
      <x:c r="F355" s="28"/>
      <x:c r="G355" s="29"/>
      <x:c r="H355" s="24"/>
      <x:c r="I355" s="24"/>
      <x:c r="J355" s="24"/>
      <x:c r="K355" s="24"/>
      <x:c r="L355" s="20" t="str">
        <x:f>IF(Q355&lt;&gt;"OK","",IF(E355="Back",G355*(F355-1),-G355*(F355-1)))</x:f>
      </x:c>
      <x:c r="M355" s="20" t="str">
        <x:f>IF(Q355&lt;&gt;"OK","",IF(E355="Back",-G355,G355))</x:f>
      </x:c>
      <x:c r="N355" s="20" t="str">
        <x:f>IF(Q355&lt;&gt;"OK","",SUMIFS($L$8:$L$1007,$A$8:$A$1007,A355,$B$8:$B$1007,"&lt;="&amp;B355))</x:f>
      </x:c>
      <x:c r="O355" s="20" t="str">
        <x:f>IF(Q355&lt;&gt;"OK","",SUMIFS($M$8:$M$1007,$A$8:$A$1007,A355,$B$8:$B$1007,"&lt;="&amp;B355))</x:f>
      </x:c>
      <x:c r="P355" s="20" t="str">
        <x:f>IF(Q355&lt;&gt;"OK","",MAX(0,-MIN(N355,O355)))</x:f>
      </x:c>
      <x:c r="Q355" s="18" t="str">
        <x:f>IF(A355="",IF(COUNTA(B355:K355)=0,"","Inserisci ID"),IF(COUNTIFS('Diario'!$A$8:$A$507,A355)&lt;&gt;1,"ID assente / duplicato",IF(OR(NOT(ISNUMBER(B355)),B355&lt;1,B355&lt;&gt;INT(B355),COUNTIFS($A$8:$A$1007,A355,$B$8:$B$1007,B355)&lt;&gt;1),"N. esecuzione non valido",IF(OR(NOT(ISNUMBER(C355)),AND(D355&lt;&gt;"Ingresso",D355&lt;&gt;"Uscita"),AND(E355&lt;&gt;"Back",E355&lt;&gt;"Lay")),"Completa data / fase / lato",IF(OR(NOT(ISNUMBER(F355)),F355&lt;=1,NOT(ISNUMBER(G355)),G355&lt;=0),"Correggi quota / stake","OK")))))</x:f>
      </x:c>
    </x:row>
    <x:row r="356" ht="22" customHeight="1">
      <x:c r="A356" s="24"/>
      <x:c r="B356" s="24"/>
      <x:c r="C356" s="26"/>
      <x:c r="D356" s="24"/>
      <x:c r="E356" s="24"/>
      <x:c r="F356" s="28"/>
      <x:c r="G356" s="29"/>
      <x:c r="H356" s="24"/>
      <x:c r="I356" s="24"/>
      <x:c r="J356" s="24"/>
      <x:c r="K356" s="24"/>
      <x:c r="L356" s="20" t="str">
        <x:f>IF(Q356&lt;&gt;"OK","",IF(E356="Back",G356*(F356-1),-G356*(F356-1)))</x:f>
      </x:c>
      <x:c r="M356" s="20" t="str">
        <x:f>IF(Q356&lt;&gt;"OK","",IF(E356="Back",-G356,G356))</x:f>
      </x:c>
      <x:c r="N356" s="20" t="str">
        <x:f>IF(Q356&lt;&gt;"OK","",SUMIFS($L$8:$L$1007,$A$8:$A$1007,A356,$B$8:$B$1007,"&lt;="&amp;B356))</x:f>
      </x:c>
      <x:c r="O356" s="20" t="str">
        <x:f>IF(Q356&lt;&gt;"OK","",SUMIFS($M$8:$M$1007,$A$8:$A$1007,A356,$B$8:$B$1007,"&lt;="&amp;B356))</x:f>
      </x:c>
      <x:c r="P356" s="20" t="str">
        <x:f>IF(Q356&lt;&gt;"OK","",MAX(0,-MIN(N356,O356)))</x:f>
      </x:c>
      <x:c r="Q356" s="18" t="str">
        <x:f>IF(A356="",IF(COUNTA(B356:K356)=0,"","Inserisci ID"),IF(COUNTIFS('Diario'!$A$8:$A$507,A356)&lt;&gt;1,"ID assente / duplicato",IF(OR(NOT(ISNUMBER(B356)),B356&lt;1,B356&lt;&gt;INT(B356),COUNTIFS($A$8:$A$1007,A356,$B$8:$B$1007,B356)&lt;&gt;1),"N. esecuzione non valido",IF(OR(NOT(ISNUMBER(C356)),AND(D356&lt;&gt;"Ingresso",D356&lt;&gt;"Uscita"),AND(E356&lt;&gt;"Back",E356&lt;&gt;"Lay")),"Completa data / fase / lato",IF(OR(NOT(ISNUMBER(F356)),F356&lt;=1,NOT(ISNUMBER(G356)),G356&lt;=0),"Correggi quota / stake","OK")))))</x:f>
      </x:c>
    </x:row>
    <x:row r="357" ht="22" customHeight="1">
      <x:c r="A357" s="24"/>
      <x:c r="B357" s="24"/>
      <x:c r="C357" s="26"/>
      <x:c r="D357" s="24"/>
      <x:c r="E357" s="24"/>
      <x:c r="F357" s="28"/>
      <x:c r="G357" s="29"/>
      <x:c r="H357" s="24"/>
      <x:c r="I357" s="24"/>
      <x:c r="J357" s="24"/>
      <x:c r="K357" s="24"/>
      <x:c r="L357" s="20" t="str">
        <x:f>IF(Q357&lt;&gt;"OK","",IF(E357="Back",G357*(F357-1),-G357*(F357-1)))</x:f>
      </x:c>
      <x:c r="M357" s="20" t="str">
        <x:f>IF(Q357&lt;&gt;"OK","",IF(E357="Back",-G357,G357))</x:f>
      </x:c>
      <x:c r="N357" s="20" t="str">
        <x:f>IF(Q357&lt;&gt;"OK","",SUMIFS($L$8:$L$1007,$A$8:$A$1007,A357,$B$8:$B$1007,"&lt;="&amp;B357))</x:f>
      </x:c>
      <x:c r="O357" s="20" t="str">
        <x:f>IF(Q357&lt;&gt;"OK","",SUMIFS($M$8:$M$1007,$A$8:$A$1007,A357,$B$8:$B$1007,"&lt;="&amp;B357))</x:f>
      </x:c>
      <x:c r="P357" s="20" t="str">
        <x:f>IF(Q357&lt;&gt;"OK","",MAX(0,-MIN(N357,O357)))</x:f>
      </x:c>
      <x:c r="Q357" s="18" t="str">
        <x:f>IF(A357="",IF(COUNTA(B357:K357)=0,"","Inserisci ID"),IF(COUNTIFS('Diario'!$A$8:$A$507,A357)&lt;&gt;1,"ID assente / duplicato",IF(OR(NOT(ISNUMBER(B357)),B357&lt;1,B357&lt;&gt;INT(B357),COUNTIFS($A$8:$A$1007,A357,$B$8:$B$1007,B357)&lt;&gt;1),"N. esecuzione non valido",IF(OR(NOT(ISNUMBER(C357)),AND(D357&lt;&gt;"Ingresso",D357&lt;&gt;"Uscita"),AND(E357&lt;&gt;"Back",E357&lt;&gt;"Lay")),"Completa data / fase / lato",IF(OR(NOT(ISNUMBER(F357)),F357&lt;=1,NOT(ISNUMBER(G357)),G357&lt;=0),"Correggi quota / stake","OK")))))</x:f>
      </x:c>
    </x:row>
    <x:row r="358" ht="22" customHeight="1">
      <x:c r="A358" s="24"/>
      <x:c r="B358" s="24"/>
      <x:c r="C358" s="26"/>
      <x:c r="D358" s="24"/>
      <x:c r="E358" s="24"/>
      <x:c r="F358" s="28"/>
      <x:c r="G358" s="29"/>
      <x:c r="H358" s="24"/>
      <x:c r="I358" s="24"/>
      <x:c r="J358" s="24"/>
      <x:c r="K358" s="24"/>
      <x:c r="L358" s="20" t="str">
        <x:f>IF(Q358&lt;&gt;"OK","",IF(E358="Back",G358*(F358-1),-G358*(F358-1)))</x:f>
      </x:c>
      <x:c r="M358" s="20" t="str">
        <x:f>IF(Q358&lt;&gt;"OK","",IF(E358="Back",-G358,G358))</x:f>
      </x:c>
      <x:c r="N358" s="20" t="str">
        <x:f>IF(Q358&lt;&gt;"OK","",SUMIFS($L$8:$L$1007,$A$8:$A$1007,A358,$B$8:$B$1007,"&lt;="&amp;B358))</x:f>
      </x:c>
      <x:c r="O358" s="20" t="str">
        <x:f>IF(Q358&lt;&gt;"OK","",SUMIFS($M$8:$M$1007,$A$8:$A$1007,A358,$B$8:$B$1007,"&lt;="&amp;B358))</x:f>
      </x:c>
      <x:c r="P358" s="20" t="str">
        <x:f>IF(Q358&lt;&gt;"OK","",MAX(0,-MIN(N358,O358)))</x:f>
      </x:c>
      <x:c r="Q358" s="18" t="str">
        <x:f>IF(A358="",IF(COUNTA(B358:K358)=0,"","Inserisci ID"),IF(COUNTIFS('Diario'!$A$8:$A$507,A358)&lt;&gt;1,"ID assente / duplicato",IF(OR(NOT(ISNUMBER(B358)),B358&lt;1,B358&lt;&gt;INT(B358),COUNTIFS($A$8:$A$1007,A358,$B$8:$B$1007,B358)&lt;&gt;1),"N. esecuzione non valido",IF(OR(NOT(ISNUMBER(C358)),AND(D358&lt;&gt;"Ingresso",D358&lt;&gt;"Uscita"),AND(E358&lt;&gt;"Back",E358&lt;&gt;"Lay")),"Completa data / fase / lato",IF(OR(NOT(ISNUMBER(F358)),F358&lt;=1,NOT(ISNUMBER(G358)),G358&lt;=0),"Correggi quota / stake","OK")))))</x:f>
      </x:c>
    </x:row>
    <x:row r="359" ht="22" customHeight="1">
      <x:c r="A359" s="24"/>
      <x:c r="B359" s="24"/>
      <x:c r="C359" s="26"/>
      <x:c r="D359" s="24"/>
      <x:c r="E359" s="24"/>
      <x:c r="F359" s="28"/>
      <x:c r="G359" s="29"/>
      <x:c r="H359" s="24"/>
      <x:c r="I359" s="24"/>
      <x:c r="J359" s="24"/>
      <x:c r="K359" s="24"/>
      <x:c r="L359" s="20" t="str">
        <x:f>IF(Q359&lt;&gt;"OK","",IF(E359="Back",G359*(F359-1),-G359*(F359-1)))</x:f>
      </x:c>
      <x:c r="M359" s="20" t="str">
        <x:f>IF(Q359&lt;&gt;"OK","",IF(E359="Back",-G359,G359))</x:f>
      </x:c>
      <x:c r="N359" s="20" t="str">
        <x:f>IF(Q359&lt;&gt;"OK","",SUMIFS($L$8:$L$1007,$A$8:$A$1007,A359,$B$8:$B$1007,"&lt;="&amp;B359))</x:f>
      </x:c>
      <x:c r="O359" s="20" t="str">
        <x:f>IF(Q359&lt;&gt;"OK","",SUMIFS($M$8:$M$1007,$A$8:$A$1007,A359,$B$8:$B$1007,"&lt;="&amp;B359))</x:f>
      </x:c>
      <x:c r="P359" s="20" t="str">
        <x:f>IF(Q359&lt;&gt;"OK","",MAX(0,-MIN(N359,O359)))</x:f>
      </x:c>
      <x:c r="Q359" s="18" t="str">
        <x:f>IF(A359="",IF(COUNTA(B359:K359)=0,"","Inserisci ID"),IF(COUNTIFS('Diario'!$A$8:$A$507,A359)&lt;&gt;1,"ID assente / duplicato",IF(OR(NOT(ISNUMBER(B359)),B359&lt;1,B359&lt;&gt;INT(B359),COUNTIFS($A$8:$A$1007,A359,$B$8:$B$1007,B359)&lt;&gt;1),"N. esecuzione non valido",IF(OR(NOT(ISNUMBER(C359)),AND(D359&lt;&gt;"Ingresso",D359&lt;&gt;"Uscita"),AND(E359&lt;&gt;"Back",E359&lt;&gt;"Lay")),"Completa data / fase / lato",IF(OR(NOT(ISNUMBER(F359)),F359&lt;=1,NOT(ISNUMBER(G359)),G359&lt;=0),"Correggi quota / stake","OK")))))</x:f>
      </x:c>
    </x:row>
    <x:row r="360" ht="22" customHeight="1">
      <x:c r="A360" s="24"/>
      <x:c r="B360" s="24"/>
      <x:c r="C360" s="26"/>
      <x:c r="D360" s="24"/>
      <x:c r="E360" s="24"/>
      <x:c r="F360" s="28"/>
      <x:c r="G360" s="29"/>
      <x:c r="H360" s="24"/>
      <x:c r="I360" s="24"/>
      <x:c r="J360" s="24"/>
      <x:c r="K360" s="24"/>
      <x:c r="L360" s="20" t="str">
        <x:f>IF(Q360&lt;&gt;"OK","",IF(E360="Back",G360*(F360-1),-G360*(F360-1)))</x:f>
      </x:c>
      <x:c r="M360" s="20" t="str">
        <x:f>IF(Q360&lt;&gt;"OK","",IF(E360="Back",-G360,G360))</x:f>
      </x:c>
      <x:c r="N360" s="20" t="str">
        <x:f>IF(Q360&lt;&gt;"OK","",SUMIFS($L$8:$L$1007,$A$8:$A$1007,A360,$B$8:$B$1007,"&lt;="&amp;B360))</x:f>
      </x:c>
      <x:c r="O360" s="20" t="str">
        <x:f>IF(Q360&lt;&gt;"OK","",SUMIFS($M$8:$M$1007,$A$8:$A$1007,A360,$B$8:$B$1007,"&lt;="&amp;B360))</x:f>
      </x:c>
      <x:c r="P360" s="20" t="str">
        <x:f>IF(Q360&lt;&gt;"OK","",MAX(0,-MIN(N360,O360)))</x:f>
      </x:c>
      <x:c r="Q360" s="18" t="str">
        <x:f>IF(A360="",IF(COUNTA(B360:K360)=0,"","Inserisci ID"),IF(COUNTIFS('Diario'!$A$8:$A$507,A360)&lt;&gt;1,"ID assente / duplicato",IF(OR(NOT(ISNUMBER(B360)),B360&lt;1,B360&lt;&gt;INT(B360),COUNTIFS($A$8:$A$1007,A360,$B$8:$B$1007,B360)&lt;&gt;1),"N. esecuzione non valido",IF(OR(NOT(ISNUMBER(C360)),AND(D360&lt;&gt;"Ingresso",D360&lt;&gt;"Uscita"),AND(E360&lt;&gt;"Back",E360&lt;&gt;"Lay")),"Completa data / fase / lato",IF(OR(NOT(ISNUMBER(F360)),F360&lt;=1,NOT(ISNUMBER(G360)),G360&lt;=0),"Correggi quota / stake","OK")))))</x:f>
      </x:c>
    </x:row>
    <x:row r="361" ht="22" customHeight="1">
      <x:c r="A361" s="24"/>
      <x:c r="B361" s="24"/>
      <x:c r="C361" s="26"/>
      <x:c r="D361" s="24"/>
      <x:c r="E361" s="24"/>
      <x:c r="F361" s="28"/>
      <x:c r="G361" s="29"/>
      <x:c r="H361" s="24"/>
      <x:c r="I361" s="24"/>
      <x:c r="J361" s="24"/>
      <x:c r="K361" s="24"/>
      <x:c r="L361" s="20" t="str">
        <x:f>IF(Q361&lt;&gt;"OK","",IF(E361="Back",G361*(F361-1),-G361*(F361-1)))</x:f>
      </x:c>
      <x:c r="M361" s="20" t="str">
        <x:f>IF(Q361&lt;&gt;"OK","",IF(E361="Back",-G361,G361))</x:f>
      </x:c>
      <x:c r="N361" s="20" t="str">
        <x:f>IF(Q361&lt;&gt;"OK","",SUMIFS($L$8:$L$1007,$A$8:$A$1007,A361,$B$8:$B$1007,"&lt;="&amp;B361))</x:f>
      </x:c>
      <x:c r="O361" s="20" t="str">
        <x:f>IF(Q361&lt;&gt;"OK","",SUMIFS($M$8:$M$1007,$A$8:$A$1007,A361,$B$8:$B$1007,"&lt;="&amp;B361))</x:f>
      </x:c>
      <x:c r="P361" s="20" t="str">
        <x:f>IF(Q361&lt;&gt;"OK","",MAX(0,-MIN(N361,O361)))</x:f>
      </x:c>
      <x:c r="Q361" s="18" t="str">
        <x:f>IF(A361="",IF(COUNTA(B361:K361)=0,"","Inserisci ID"),IF(COUNTIFS('Diario'!$A$8:$A$507,A361)&lt;&gt;1,"ID assente / duplicato",IF(OR(NOT(ISNUMBER(B361)),B361&lt;1,B361&lt;&gt;INT(B361),COUNTIFS($A$8:$A$1007,A361,$B$8:$B$1007,B361)&lt;&gt;1),"N. esecuzione non valido",IF(OR(NOT(ISNUMBER(C361)),AND(D361&lt;&gt;"Ingresso",D361&lt;&gt;"Uscita"),AND(E361&lt;&gt;"Back",E361&lt;&gt;"Lay")),"Completa data / fase / lato",IF(OR(NOT(ISNUMBER(F361)),F361&lt;=1,NOT(ISNUMBER(G361)),G361&lt;=0),"Correggi quota / stake","OK")))))</x:f>
      </x:c>
    </x:row>
    <x:row r="362" ht="22" customHeight="1">
      <x:c r="A362" s="24"/>
      <x:c r="B362" s="24"/>
      <x:c r="C362" s="26"/>
      <x:c r="D362" s="24"/>
      <x:c r="E362" s="24"/>
      <x:c r="F362" s="28"/>
      <x:c r="G362" s="29"/>
      <x:c r="H362" s="24"/>
      <x:c r="I362" s="24"/>
      <x:c r="J362" s="24"/>
      <x:c r="K362" s="24"/>
      <x:c r="L362" s="20" t="str">
        <x:f>IF(Q362&lt;&gt;"OK","",IF(E362="Back",G362*(F362-1),-G362*(F362-1)))</x:f>
      </x:c>
      <x:c r="M362" s="20" t="str">
        <x:f>IF(Q362&lt;&gt;"OK","",IF(E362="Back",-G362,G362))</x:f>
      </x:c>
      <x:c r="N362" s="20" t="str">
        <x:f>IF(Q362&lt;&gt;"OK","",SUMIFS($L$8:$L$1007,$A$8:$A$1007,A362,$B$8:$B$1007,"&lt;="&amp;B362))</x:f>
      </x:c>
      <x:c r="O362" s="20" t="str">
        <x:f>IF(Q362&lt;&gt;"OK","",SUMIFS($M$8:$M$1007,$A$8:$A$1007,A362,$B$8:$B$1007,"&lt;="&amp;B362))</x:f>
      </x:c>
      <x:c r="P362" s="20" t="str">
        <x:f>IF(Q362&lt;&gt;"OK","",MAX(0,-MIN(N362,O362)))</x:f>
      </x:c>
      <x:c r="Q362" s="18" t="str">
        <x:f>IF(A362="",IF(COUNTA(B362:K362)=0,"","Inserisci ID"),IF(COUNTIFS('Diario'!$A$8:$A$507,A362)&lt;&gt;1,"ID assente / duplicato",IF(OR(NOT(ISNUMBER(B362)),B362&lt;1,B362&lt;&gt;INT(B362),COUNTIFS($A$8:$A$1007,A362,$B$8:$B$1007,B362)&lt;&gt;1),"N. esecuzione non valido",IF(OR(NOT(ISNUMBER(C362)),AND(D362&lt;&gt;"Ingresso",D362&lt;&gt;"Uscita"),AND(E362&lt;&gt;"Back",E362&lt;&gt;"Lay")),"Completa data / fase / lato",IF(OR(NOT(ISNUMBER(F362)),F362&lt;=1,NOT(ISNUMBER(G362)),G362&lt;=0),"Correggi quota / stake","OK")))))</x:f>
      </x:c>
    </x:row>
    <x:row r="363" ht="22" customHeight="1">
      <x:c r="A363" s="24"/>
      <x:c r="B363" s="24"/>
      <x:c r="C363" s="26"/>
      <x:c r="D363" s="24"/>
      <x:c r="E363" s="24"/>
      <x:c r="F363" s="28"/>
      <x:c r="G363" s="29"/>
      <x:c r="H363" s="24"/>
      <x:c r="I363" s="24"/>
      <x:c r="J363" s="24"/>
      <x:c r="K363" s="24"/>
      <x:c r="L363" s="20" t="str">
        <x:f>IF(Q363&lt;&gt;"OK","",IF(E363="Back",G363*(F363-1),-G363*(F363-1)))</x:f>
      </x:c>
      <x:c r="M363" s="20" t="str">
        <x:f>IF(Q363&lt;&gt;"OK","",IF(E363="Back",-G363,G363))</x:f>
      </x:c>
      <x:c r="N363" s="20" t="str">
        <x:f>IF(Q363&lt;&gt;"OK","",SUMIFS($L$8:$L$1007,$A$8:$A$1007,A363,$B$8:$B$1007,"&lt;="&amp;B363))</x:f>
      </x:c>
      <x:c r="O363" s="20" t="str">
        <x:f>IF(Q363&lt;&gt;"OK","",SUMIFS($M$8:$M$1007,$A$8:$A$1007,A363,$B$8:$B$1007,"&lt;="&amp;B363))</x:f>
      </x:c>
      <x:c r="P363" s="20" t="str">
        <x:f>IF(Q363&lt;&gt;"OK","",MAX(0,-MIN(N363,O363)))</x:f>
      </x:c>
      <x:c r="Q363" s="18" t="str">
        <x:f>IF(A363="",IF(COUNTA(B363:K363)=0,"","Inserisci ID"),IF(COUNTIFS('Diario'!$A$8:$A$507,A363)&lt;&gt;1,"ID assente / duplicato",IF(OR(NOT(ISNUMBER(B363)),B363&lt;1,B363&lt;&gt;INT(B363),COUNTIFS($A$8:$A$1007,A363,$B$8:$B$1007,B363)&lt;&gt;1),"N. esecuzione non valido",IF(OR(NOT(ISNUMBER(C363)),AND(D363&lt;&gt;"Ingresso",D363&lt;&gt;"Uscita"),AND(E363&lt;&gt;"Back",E363&lt;&gt;"Lay")),"Completa data / fase / lato",IF(OR(NOT(ISNUMBER(F363)),F363&lt;=1,NOT(ISNUMBER(G363)),G363&lt;=0),"Correggi quota / stake","OK")))))</x:f>
      </x:c>
    </x:row>
    <x:row r="364" ht="22" customHeight="1">
      <x:c r="A364" s="24"/>
      <x:c r="B364" s="24"/>
      <x:c r="C364" s="26"/>
      <x:c r="D364" s="24"/>
      <x:c r="E364" s="24"/>
      <x:c r="F364" s="28"/>
      <x:c r="G364" s="29"/>
      <x:c r="H364" s="24"/>
      <x:c r="I364" s="24"/>
      <x:c r="J364" s="24"/>
      <x:c r="K364" s="24"/>
      <x:c r="L364" s="20" t="str">
        <x:f>IF(Q364&lt;&gt;"OK","",IF(E364="Back",G364*(F364-1),-G364*(F364-1)))</x:f>
      </x:c>
      <x:c r="M364" s="20" t="str">
        <x:f>IF(Q364&lt;&gt;"OK","",IF(E364="Back",-G364,G364))</x:f>
      </x:c>
      <x:c r="N364" s="20" t="str">
        <x:f>IF(Q364&lt;&gt;"OK","",SUMIFS($L$8:$L$1007,$A$8:$A$1007,A364,$B$8:$B$1007,"&lt;="&amp;B364))</x:f>
      </x:c>
      <x:c r="O364" s="20" t="str">
        <x:f>IF(Q364&lt;&gt;"OK","",SUMIFS($M$8:$M$1007,$A$8:$A$1007,A364,$B$8:$B$1007,"&lt;="&amp;B364))</x:f>
      </x:c>
      <x:c r="P364" s="20" t="str">
        <x:f>IF(Q364&lt;&gt;"OK","",MAX(0,-MIN(N364,O364)))</x:f>
      </x:c>
      <x:c r="Q364" s="18" t="str">
        <x:f>IF(A364="",IF(COUNTA(B364:K364)=0,"","Inserisci ID"),IF(COUNTIFS('Diario'!$A$8:$A$507,A364)&lt;&gt;1,"ID assente / duplicato",IF(OR(NOT(ISNUMBER(B364)),B364&lt;1,B364&lt;&gt;INT(B364),COUNTIFS($A$8:$A$1007,A364,$B$8:$B$1007,B364)&lt;&gt;1),"N. esecuzione non valido",IF(OR(NOT(ISNUMBER(C364)),AND(D364&lt;&gt;"Ingresso",D364&lt;&gt;"Uscita"),AND(E364&lt;&gt;"Back",E364&lt;&gt;"Lay")),"Completa data / fase / lato",IF(OR(NOT(ISNUMBER(F364)),F364&lt;=1,NOT(ISNUMBER(G364)),G364&lt;=0),"Correggi quota / stake","OK")))))</x:f>
      </x:c>
    </x:row>
    <x:row r="365" ht="22" customHeight="1">
      <x:c r="A365" s="24"/>
      <x:c r="B365" s="24"/>
      <x:c r="C365" s="26"/>
      <x:c r="D365" s="24"/>
      <x:c r="E365" s="24"/>
      <x:c r="F365" s="28"/>
      <x:c r="G365" s="29"/>
      <x:c r="H365" s="24"/>
      <x:c r="I365" s="24"/>
      <x:c r="J365" s="24"/>
      <x:c r="K365" s="24"/>
      <x:c r="L365" s="20" t="str">
        <x:f>IF(Q365&lt;&gt;"OK","",IF(E365="Back",G365*(F365-1),-G365*(F365-1)))</x:f>
      </x:c>
      <x:c r="M365" s="20" t="str">
        <x:f>IF(Q365&lt;&gt;"OK","",IF(E365="Back",-G365,G365))</x:f>
      </x:c>
      <x:c r="N365" s="20" t="str">
        <x:f>IF(Q365&lt;&gt;"OK","",SUMIFS($L$8:$L$1007,$A$8:$A$1007,A365,$B$8:$B$1007,"&lt;="&amp;B365))</x:f>
      </x:c>
      <x:c r="O365" s="20" t="str">
        <x:f>IF(Q365&lt;&gt;"OK","",SUMIFS($M$8:$M$1007,$A$8:$A$1007,A365,$B$8:$B$1007,"&lt;="&amp;B365))</x:f>
      </x:c>
      <x:c r="P365" s="20" t="str">
        <x:f>IF(Q365&lt;&gt;"OK","",MAX(0,-MIN(N365,O365)))</x:f>
      </x:c>
      <x:c r="Q365" s="18" t="str">
        <x:f>IF(A365="",IF(COUNTA(B365:K365)=0,"","Inserisci ID"),IF(COUNTIFS('Diario'!$A$8:$A$507,A365)&lt;&gt;1,"ID assente / duplicato",IF(OR(NOT(ISNUMBER(B365)),B365&lt;1,B365&lt;&gt;INT(B365),COUNTIFS($A$8:$A$1007,A365,$B$8:$B$1007,B365)&lt;&gt;1),"N. esecuzione non valido",IF(OR(NOT(ISNUMBER(C365)),AND(D365&lt;&gt;"Ingresso",D365&lt;&gt;"Uscita"),AND(E365&lt;&gt;"Back",E365&lt;&gt;"Lay")),"Completa data / fase / lato",IF(OR(NOT(ISNUMBER(F365)),F365&lt;=1,NOT(ISNUMBER(G365)),G365&lt;=0),"Correggi quota / stake","OK")))))</x:f>
      </x:c>
    </x:row>
    <x:row r="366" ht="22" customHeight="1">
      <x:c r="A366" s="24"/>
      <x:c r="B366" s="24"/>
      <x:c r="C366" s="26"/>
      <x:c r="D366" s="24"/>
      <x:c r="E366" s="24"/>
      <x:c r="F366" s="28"/>
      <x:c r="G366" s="29"/>
      <x:c r="H366" s="24"/>
      <x:c r="I366" s="24"/>
      <x:c r="J366" s="24"/>
      <x:c r="K366" s="24"/>
      <x:c r="L366" s="20" t="str">
        <x:f>IF(Q366&lt;&gt;"OK","",IF(E366="Back",G366*(F366-1),-G366*(F366-1)))</x:f>
      </x:c>
      <x:c r="M366" s="20" t="str">
        <x:f>IF(Q366&lt;&gt;"OK","",IF(E366="Back",-G366,G366))</x:f>
      </x:c>
      <x:c r="N366" s="20" t="str">
        <x:f>IF(Q366&lt;&gt;"OK","",SUMIFS($L$8:$L$1007,$A$8:$A$1007,A366,$B$8:$B$1007,"&lt;="&amp;B366))</x:f>
      </x:c>
      <x:c r="O366" s="20" t="str">
        <x:f>IF(Q366&lt;&gt;"OK","",SUMIFS($M$8:$M$1007,$A$8:$A$1007,A366,$B$8:$B$1007,"&lt;="&amp;B366))</x:f>
      </x:c>
      <x:c r="P366" s="20" t="str">
        <x:f>IF(Q366&lt;&gt;"OK","",MAX(0,-MIN(N366,O366)))</x:f>
      </x:c>
      <x:c r="Q366" s="18" t="str">
        <x:f>IF(A366="",IF(COUNTA(B366:K366)=0,"","Inserisci ID"),IF(COUNTIFS('Diario'!$A$8:$A$507,A366)&lt;&gt;1,"ID assente / duplicato",IF(OR(NOT(ISNUMBER(B366)),B366&lt;1,B366&lt;&gt;INT(B366),COUNTIFS($A$8:$A$1007,A366,$B$8:$B$1007,B366)&lt;&gt;1),"N. esecuzione non valido",IF(OR(NOT(ISNUMBER(C366)),AND(D366&lt;&gt;"Ingresso",D366&lt;&gt;"Uscita"),AND(E366&lt;&gt;"Back",E366&lt;&gt;"Lay")),"Completa data / fase / lato",IF(OR(NOT(ISNUMBER(F366)),F366&lt;=1,NOT(ISNUMBER(G366)),G366&lt;=0),"Correggi quota / stake","OK")))))</x:f>
      </x:c>
    </x:row>
    <x:row r="367" ht="22" customHeight="1">
      <x:c r="A367" s="24"/>
      <x:c r="B367" s="24"/>
      <x:c r="C367" s="26"/>
      <x:c r="D367" s="24"/>
      <x:c r="E367" s="24"/>
      <x:c r="F367" s="28"/>
      <x:c r="G367" s="29"/>
      <x:c r="H367" s="24"/>
      <x:c r="I367" s="24"/>
      <x:c r="J367" s="24"/>
      <x:c r="K367" s="24"/>
      <x:c r="L367" s="20" t="str">
        <x:f>IF(Q367&lt;&gt;"OK","",IF(E367="Back",G367*(F367-1),-G367*(F367-1)))</x:f>
      </x:c>
      <x:c r="M367" s="20" t="str">
        <x:f>IF(Q367&lt;&gt;"OK","",IF(E367="Back",-G367,G367))</x:f>
      </x:c>
      <x:c r="N367" s="20" t="str">
        <x:f>IF(Q367&lt;&gt;"OK","",SUMIFS($L$8:$L$1007,$A$8:$A$1007,A367,$B$8:$B$1007,"&lt;="&amp;B367))</x:f>
      </x:c>
      <x:c r="O367" s="20" t="str">
        <x:f>IF(Q367&lt;&gt;"OK","",SUMIFS($M$8:$M$1007,$A$8:$A$1007,A367,$B$8:$B$1007,"&lt;="&amp;B367))</x:f>
      </x:c>
      <x:c r="P367" s="20" t="str">
        <x:f>IF(Q367&lt;&gt;"OK","",MAX(0,-MIN(N367,O367)))</x:f>
      </x:c>
      <x:c r="Q367" s="18" t="str">
        <x:f>IF(A367="",IF(COUNTA(B367:K367)=0,"","Inserisci ID"),IF(COUNTIFS('Diario'!$A$8:$A$507,A367)&lt;&gt;1,"ID assente / duplicato",IF(OR(NOT(ISNUMBER(B367)),B367&lt;1,B367&lt;&gt;INT(B367),COUNTIFS($A$8:$A$1007,A367,$B$8:$B$1007,B367)&lt;&gt;1),"N. esecuzione non valido",IF(OR(NOT(ISNUMBER(C367)),AND(D367&lt;&gt;"Ingresso",D367&lt;&gt;"Uscita"),AND(E367&lt;&gt;"Back",E367&lt;&gt;"Lay")),"Completa data / fase / lato",IF(OR(NOT(ISNUMBER(F367)),F367&lt;=1,NOT(ISNUMBER(G367)),G367&lt;=0),"Correggi quota / stake","OK")))))</x:f>
      </x:c>
    </x:row>
    <x:row r="368" ht="22" customHeight="1">
      <x:c r="A368" s="24"/>
      <x:c r="B368" s="24"/>
      <x:c r="C368" s="26"/>
      <x:c r="D368" s="24"/>
      <x:c r="E368" s="24"/>
      <x:c r="F368" s="28"/>
      <x:c r="G368" s="29"/>
      <x:c r="H368" s="24"/>
      <x:c r="I368" s="24"/>
      <x:c r="J368" s="24"/>
      <x:c r="K368" s="24"/>
      <x:c r="L368" s="20" t="str">
        <x:f>IF(Q368&lt;&gt;"OK","",IF(E368="Back",G368*(F368-1),-G368*(F368-1)))</x:f>
      </x:c>
      <x:c r="M368" s="20" t="str">
        <x:f>IF(Q368&lt;&gt;"OK","",IF(E368="Back",-G368,G368))</x:f>
      </x:c>
      <x:c r="N368" s="20" t="str">
        <x:f>IF(Q368&lt;&gt;"OK","",SUMIFS($L$8:$L$1007,$A$8:$A$1007,A368,$B$8:$B$1007,"&lt;="&amp;B368))</x:f>
      </x:c>
      <x:c r="O368" s="20" t="str">
        <x:f>IF(Q368&lt;&gt;"OK","",SUMIFS($M$8:$M$1007,$A$8:$A$1007,A368,$B$8:$B$1007,"&lt;="&amp;B368))</x:f>
      </x:c>
      <x:c r="P368" s="20" t="str">
        <x:f>IF(Q368&lt;&gt;"OK","",MAX(0,-MIN(N368,O368)))</x:f>
      </x:c>
      <x:c r="Q368" s="18" t="str">
        <x:f>IF(A368="",IF(COUNTA(B368:K368)=0,"","Inserisci ID"),IF(COUNTIFS('Diario'!$A$8:$A$507,A368)&lt;&gt;1,"ID assente / duplicato",IF(OR(NOT(ISNUMBER(B368)),B368&lt;1,B368&lt;&gt;INT(B368),COUNTIFS($A$8:$A$1007,A368,$B$8:$B$1007,B368)&lt;&gt;1),"N. esecuzione non valido",IF(OR(NOT(ISNUMBER(C368)),AND(D368&lt;&gt;"Ingresso",D368&lt;&gt;"Uscita"),AND(E368&lt;&gt;"Back",E368&lt;&gt;"Lay")),"Completa data / fase / lato",IF(OR(NOT(ISNUMBER(F368)),F368&lt;=1,NOT(ISNUMBER(G368)),G368&lt;=0),"Correggi quota / stake","OK")))))</x:f>
      </x:c>
    </x:row>
    <x:row r="369" ht="22" customHeight="1">
      <x:c r="A369" s="24"/>
      <x:c r="B369" s="24"/>
      <x:c r="C369" s="26"/>
      <x:c r="D369" s="24"/>
      <x:c r="E369" s="24"/>
      <x:c r="F369" s="28"/>
      <x:c r="G369" s="29"/>
      <x:c r="H369" s="24"/>
      <x:c r="I369" s="24"/>
      <x:c r="J369" s="24"/>
      <x:c r="K369" s="24"/>
      <x:c r="L369" s="20" t="str">
        <x:f>IF(Q369&lt;&gt;"OK","",IF(E369="Back",G369*(F369-1),-G369*(F369-1)))</x:f>
      </x:c>
      <x:c r="M369" s="20" t="str">
        <x:f>IF(Q369&lt;&gt;"OK","",IF(E369="Back",-G369,G369))</x:f>
      </x:c>
      <x:c r="N369" s="20" t="str">
        <x:f>IF(Q369&lt;&gt;"OK","",SUMIFS($L$8:$L$1007,$A$8:$A$1007,A369,$B$8:$B$1007,"&lt;="&amp;B369))</x:f>
      </x:c>
      <x:c r="O369" s="20" t="str">
        <x:f>IF(Q369&lt;&gt;"OK","",SUMIFS($M$8:$M$1007,$A$8:$A$1007,A369,$B$8:$B$1007,"&lt;="&amp;B369))</x:f>
      </x:c>
      <x:c r="P369" s="20" t="str">
        <x:f>IF(Q369&lt;&gt;"OK","",MAX(0,-MIN(N369,O369)))</x:f>
      </x:c>
      <x:c r="Q369" s="18" t="str">
        <x:f>IF(A369="",IF(COUNTA(B369:K369)=0,"","Inserisci ID"),IF(COUNTIFS('Diario'!$A$8:$A$507,A369)&lt;&gt;1,"ID assente / duplicato",IF(OR(NOT(ISNUMBER(B369)),B369&lt;1,B369&lt;&gt;INT(B369),COUNTIFS($A$8:$A$1007,A369,$B$8:$B$1007,B369)&lt;&gt;1),"N. esecuzione non valido",IF(OR(NOT(ISNUMBER(C369)),AND(D369&lt;&gt;"Ingresso",D369&lt;&gt;"Uscita"),AND(E369&lt;&gt;"Back",E369&lt;&gt;"Lay")),"Completa data / fase / lato",IF(OR(NOT(ISNUMBER(F369)),F369&lt;=1,NOT(ISNUMBER(G369)),G369&lt;=0),"Correggi quota / stake","OK")))))</x:f>
      </x:c>
    </x:row>
    <x:row r="370" ht="22" customHeight="1">
      <x:c r="A370" s="24"/>
      <x:c r="B370" s="24"/>
      <x:c r="C370" s="26"/>
      <x:c r="D370" s="24"/>
      <x:c r="E370" s="24"/>
      <x:c r="F370" s="28"/>
      <x:c r="G370" s="29"/>
      <x:c r="H370" s="24"/>
      <x:c r="I370" s="24"/>
      <x:c r="J370" s="24"/>
      <x:c r="K370" s="24"/>
      <x:c r="L370" s="20" t="str">
        <x:f>IF(Q370&lt;&gt;"OK","",IF(E370="Back",G370*(F370-1),-G370*(F370-1)))</x:f>
      </x:c>
      <x:c r="M370" s="20" t="str">
        <x:f>IF(Q370&lt;&gt;"OK","",IF(E370="Back",-G370,G370))</x:f>
      </x:c>
      <x:c r="N370" s="20" t="str">
        <x:f>IF(Q370&lt;&gt;"OK","",SUMIFS($L$8:$L$1007,$A$8:$A$1007,A370,$B$8:$B$1007,"&lt;="&amp;B370))</x:f>
      </x:c>
      <x:c r="O370" s="20" t="str">
        <x:f>IF(Q370&lt;&gt;"OK","",SUMIFS($M$8:$M$1007,$A$8:$A$1007,A370,$B$8:$B$1007,"&lt;="&amp;B370))</x:f>
      </x:c>
      <x:c r="P370" s="20" t="str">
        <x:f>IF(Q370&lt;&gt;"OK","",MAX(0,-MIN(N370,O370)))</x:f>
      </x:c>
      <x:c r="Q370" s="18" t="str">
        <x:f>IF(A370="",IF(COUNTA(B370:K370)=0,"","Inserisci ID"),IF(COUNTIFS('Diario'!$A$8:$A$507,A370)&lt;&gt;1,"ID assente / duplicato",IF(OR(NOT(ISNUMBER(B370)),B370&lt;1,B370&lt;&gt;INT(B370),COUNTIFS($A$8:$A$1007,A370,$B$8:$B$1007,B370)&lt;&gt;1),"N. esecuzione non valido",IF(OR(NOT(ISNUMBER(C370)),AND(D370&lt;&gt;"Ingresso",D370&lt;&gt;"Uscita"),AND(E370&lt;&gt;"Back",E370&lt;&gt;"Lay")),"Completa data / fase / lato",IF(OR(NOT(ISNUMBER(F370)),F370&lt;=1,NOT(ISNUMBER(G370)),G370&lt;=0),"Correggi quota / stake","OK")))))</x:f>
      </x:c>
    </x:row>
    <x:row r="371" ht="22" customHeight="1">
      <x:c r="A371" s="24"/>
      <x:c r="B371" s="24"/>
      <x:c r="C371" s="26"/>
      <x:c r="D371" s="24"/>
      <x:c r="E371" s="24"/>
      <x:c r="F371" s="28"/>
      <x:c r="G371" s="29"/>
      <x:c r="H371" s="24"/>
      <x:c r="I371" s="24"/>
      <x:c r="J371" s="24"/>
      <x:c r="K371" s="24"/>
      <x:c r="L371" s="20" t="str">
        <x:f>IF(Q371&lt;&gt;"OK","",IF(E371="Back",G371*(F371-1),-G371*(F371-1)))</x:f>
      </x:c>
      <x:c r="M371" s="20" t="str">
        <x:f>IF(Q371&lt;&gt;"OK","",IF(E371="Back",-G371,G371))</x:f>
      </x:c>
      <x:c r="N371" s="20" t="str">
        <x:f>IF(Q371&lt;&gt;"OK","",SUMIFS($L$8:$L$1007,$A$8:$A$1007,A371,$B$8:$B$1007,"&lt;="&amp;B371))</x:f>
      </x:c>
      <x:c r="O371" s="20" t="str">
        <x:f>IF(Q371&lt;&gt;"OK","",SUMIFS($M$8:$M$1007,$A$8:$A$1007,A371,$B$8:$B$1007,"&lt;="&amp;B371))</x:f>
      </x:c>
      <x:c r="P371" s="20" t="str">
        <x:f>IF(Q371&lt;&gt;"OK","",MAX(0,-MIN(N371,O371)))</x:f>
      </x:c>
      <x:c r="Q371" s="18" t="str">
        <x:f>IF(A371="",IF(COUNTA(B371:K371)=0,"","Inserisci ID"),IF(COUNTIFS('Diario'!$A$8:$A$507,A371)&lt;&gt;1,"ID assente / duplicato",IF(OR(NOT(ISNUMBER(B371)),B371&lt;1,B371&lt;&gt;INT(B371),COUNTIFS($A$8:$A$1007,A371,$B$8:$B$1007,B371)&lt;&gt;1),"N. esecuzione non valido",IF(OR(NOT(ISNUMBER(C371)),AND(D371&lt;&gt;"Ingresso",D371&lt;&gt;"Uscita"),AND(E371&lt;&gt;"Back",E371&lt;&gt;"Lay")),"Completa data / fase / lato",IF(OR(NOT(ISNUMBER(F371)),F371&lt;=1,NOT(ISNUMBER(G371)),G371&lt;=0),"Correggi quota / stake","OK")))))</x:f>
      </x:c>
    </x:row>
    <x:row r="372" ht="22" customHeight="1">
      <x:c r="A372" s="24"/>
      <x:c r="B372" s="24"/>
      <x:c r="C372" s="26"/>
      <x:c r="D372" s="24"/>
      <x:c r="E372" s="24"/>
      <x:c r="F372" s="28"/>
      <x:c r="G372" s="29"/>
      <x:c r="H372" s="24"/>
      <x:c r="I372" s="24"/>
      <x:c r="J372" s="24"/>
      <x:c r="K372" s="24"/>
      <x:c r="L372" s="20" t="str">
        <x:f>IF(Q372&lt;&gt;"OK","",IF(E372="Back",G372*(F372-1),-G372*(F372-1)))</x:f>
      </x:c>
      <x:c r="M372" s="20" t="str">
        <x:f>IF(Q372&lt;&gt;"OK","",IF(E372="Back",-G372,G372))</x:f>
      </x:c>
      <x:c r="N372" s="20" t="str">
        <x:f>IF(Q372&lt;&gt;"OK","",SUMIFS($L$8:$L$1007,$A$8:$A$1007,A372,$B$8:$B$1007,"&lt;="&amp;B372))</x:f>
      </x:c>
      <x:c r="O372" s="20" t="str">
        <x:f>IF(Q372&lt;&gt;"OK","",SUMIFS($M$8:$M$1007,$A$8:$A$1007,A372,$B$8:$B$1007,"&lt;="&amp;B372))</x:f>
      </x:c>
      <x:c r="P372" s="20" t="str">
        <x:f>IF(Q372&lt;&gt;"OK","",MAX(0,-MIN(N372,O372)))</x:f>
      </x:c>
      <x:c r="Q372" s="18" t="str">
        <x:f>IF(A372="",IF(COUNTA(B372:K372)=0,"","Inserisci ID"),IF(COUNTIFS('Diario'!$A$8:$A$507,A372)&lt;&gt;1,"ID assente / duplicato",IF(OR(NOT(ISNUMBER(B372)),B372&lt;1,B372&lt;&gt;INT(B372),COUNTIFS($A$8:$A$1007,A372,$B$8:$B$1007,B372)&lt;&gt;1),"N. esecuzione non valido",IF(OR(NOT(ISNUMBER(C372)),AND(D372&lt;&gt;"Ingresso",D372&lt;&gt;"Uscita"),AND(E372&lt;&gt;"Back",E372&lt;&gt;"Lay")),"Completa data / fase / lato",IF(OR(NOT(ISNUMBER(F372)),F372&lt;=1,NOT(ISNUMBER(G372)),G372&lt;=0),"Correggi quota / stake","OK")))))</x:f>
      </x:c>
    </x:row>
    <x:row r="373" ht="22" customHeight="1">
      <x:c r="A373" s="24"/>
      <x:c r="B373" s="24"/>
      <x:c r="C373" s="26"/>
      <x:c r="D373" s="24"/>
      <x:c r="E373" s="24"/>
      <x:c r="F373" s="28"/>
      <x:c r="G373" s="29"/>
      <x:c r="H373" s="24"/>
      <x:c r="I373" s="24"/>
      <x:c r="J373" s="24"/>
      <x:c r="K373" s="24"/>
      <x:c r="L373" s="20" t="str">
        <x:f>IF(Q373&lt;&gt;"OK","",IF(E373="Back",G373*(F373-1),-G373*(F373-1)))</x:f>
      </x:c>
      <x:c r="M373" s="20" t="str">
        <x:f>IF(Q373&lt;&gt;"OK","",IF(E373="Back",-G373,G373))</x:f>
      </x:c>
      <x:c r="N373" s="20" t="str">
        <x:f>IF(Q373&lt;&gt;"OK","",SUMIFS($L$8:$L$1007,$A$8:$A$1007,A373,$B$8:$B$1007,"&lt;="&amp;B373))</x:f>
      </x:c>
      <x:c r="O373" s="20" t="str">
        <x:f>IF(Q373&lt;&gt;"OK","",SUMIFS($M$8:$M$1007,$A$8:$A$1007,A373,$B$8:$B$1007,"&lt;="&amp;B373))</x:f>
      </x:c>
      <x:c r="P373" s="20" t="str">
        <x:f>IF(Q373&lt;&gt;"OK","",MAX(0,-MIN(N373,O373)))</x:f>
      </x:c>
      <x:c r="Q373" s="18" t="str">
        <x:f>IF(A373="",IF(COUNTA(B373:K373)=0,"","Inserisci ID"),IF(COUNTIFS('Diario'!$A$8:$A$507,A373)&lt;&gt;1,"ID assente / duplicato",IF(OR(NOT(ISNUMBER(B373)),B373&lt;1,B373&lt;&gt;INT(B373),COUNTIFS($A$8:$A$1007,A373,$B$8:$B$1007,B373)&lt;&gt;1),"N. esecuzione non valido",IF(OR(NOT(ISNUMBER(C373)),AND(D373&lt;&gt;"Ingresso",D373&lt;&gt;"Uscita"),AND(E373&lt;&gt;"Back",E373&lt;&gt;"Lay")),"Completa data / fase / lato",IF(OR(NOT(ISNUMBER(F373)),F373&lt;=1,NOT(ISNUMBER(G373)),G373&lt;=0),"Correggi quota / stake","OK")))))</x:f>
      </x:c>
    </x:row>
    <x:row r="374" ht="22" customHeight="1">
      <x:c r="A374" s="24"/>
      <x:c r="B374" s="24"/>
      <x:c r="C374" s="26"/>
      <x:c r="D374" s="24"/>
      <x:c r="E374" s="24"/>
      <x:c r="F374" s="28"/>
      <x:c r="G374" s="29"/>
      <x:c r="H374" s="24"/>
      <x:c r="I374" s="24"/>
      <x:c r="J374" s="24"/>
      <x:c r="K374" s="24"/>
      <x:c r="L374" s="20" t="str">
        <x:f>IF(Q374&lt;&gt;"OK","",IF(E374="Back",G374*(F374-1),-G374*(F374-1)))</x:f>
      </x:c>
      <x:c r="M374" s="20" t="str">
        <x:f>IF(Q374&lt;&gt;"OK","",IF(E374="Back",-G374,G374))</x:f>
      </x:c>
      <x:c r="N374" s="20" t="str">
        <x:f>IF(Q374&lt;&gt;"OK","",SUMIFS($L$8:$L$1007,$A$8:$A$1007,A374,$B$8:$B$1007,"&lt;="&amp;B374))</x:f>
      </x:c>
      <x:c r="O374" s="20" t="str">
        <x:f>IF(Q374&lt;&gt;"OK","",SUMIFS($M$8:$M$1007,$A$8:$A$1007,A374,$B$8:$B$1007,"&lt;="&amp;B374))</x:f>
      </x:c>
      <x:c r="P374" s="20" t="str">
        <x:f>IF(Q374&lt;&gt;"OK","",MAX(0,-MIN(N374,O374)))</x:f>
      </x:c>
      <x:c r="Q374" s="18" t="str">
        <x:f>IF(A374="",IF(COUNTA(B374:K374)=0,"","Inserisci ID"),IF(COUNTIFS('Diario'!$A$8:$A$507,A374)&lt;&gt;1,"ID assente / duplicato",IF(OR(NOT(ISNUMBER(B374)),B374&lt;1,B374&lt;&gt;INT(B374),COUNTIFS($A$8:$A$1007,A374,$B$8:$B$1007,B374)&lt;&gt;1),"N. esecuzione non valido",IF(OR(NOT(ISNUMBER(C374)),AND(D374&lt;&gt;"Ingresso",D374&lt;&gt;"Uscita"),AND(E374&lt;&gt;"Back",E374&lt;&gt;"Lay")),"Completa data / fase / lato",IF(OR(NOT(ISNUMBER(F374)),F374&lt;=1,NOT(ISNUMBER(G374)),G374&lt;=0),"Correggi quota / stake","OK")))))</x:f>
      </x:c>
    </x:row>
    <x:row r="375" ht="22" customHeight="1">
      <x:c r="A375" s="24"/>
      <x:c r="B375" s="24"/>
      <x:c r="C375" s="26"/>
      <x:c r="D375" s="24"/>
      <x:c r="E375" s="24"/>
      <x:c r="F375" s="28"/>
      <x:c r="G375" s="29"/>
      <x:c r="H375" s="24"/>
      <x:c r="I375" s="24"/>
      <x:c r="J375" s="24"/>
      <x:c r="K375" s="24"/>
      <x:c r="L375" s="20" t="str">
        <x:f>IF(Q375&lt;&gt;"OK","",IF(E375="Back",G375*(F375-1),-G375*(F375-1)))</x:f>
      </x:c>
      <x:c r="M375" s="20" t="str">
        <x:f>IF(Q375&lt;&gt;"OK","",IF(E375="Back",-G375,G375))</x:f>
      </x:c>
      <x:c r="N375" s="20" t="str">
        <x:f>IF(Q375&lt;&gt;"OK","",SUMIFS($L$8:$L$1007,$A$8:$A$1007,A375,$B$8:$B$1007,"&lt;="&amp;B375))</x:f>
      </x:c>
      <x:c r="O375" s="20" t="str">
        <x:f>IF(Q375&lt;&gt;"OK","",SUMIFS($M$8:$M$1007,$A$8:$A$1007,A375,$B$8:$B$1007,"&lt;="&amp;B375))</x:f>
      </x:c>
      <x:c r="P375" s="20" t="str">
        <x:f>IF(Q375&lt;&gt;"OK","",MAX(0,-MIN(N375,O375)))</x:f>
      </x:c>
      <x:c r="Q375" s="18" t="str">
        <x:f>IF(A375="",IF(COUNTA(B375:K375)=0,"","Inserisci ID"),IF(COUNTIFS('Diario'!$A$8:$A$507,A375)&lt;&gt;1,"ID assente / duplicato",IF(OR(NOT(ISNUMBER(B375)),B375&lt;1,B375&lt;&gt;INT(B375),COUNTIFS($A$8:$A$1007,A375,$B$8:$B$1007,B375)&lt;&gt;1),"N. esecuzione non valido",IF(OR(NOT(ISNUMBER(C375)),AND(D375&lt;&gt;"Ingresso",D375&lt;&gt;"Uscita"),AND(E375&lt;&gt;"Back",E375&lt;&gt;"Lay")),"Completa data / fase / lato",IF(OR(NOT(ISNUMBER(F375)),F375&lt;=1,NOT(ISNUMBER(G375)),G375&lt;=0),"Correggi quota / stake","OK")))))</x:f>
      </x:c>
    </x:row>
    <x:row r="376" ht="22" customHeight="1">
      <x:c r="A376" s="24"/>
      <x:c r="B376" s="24"/>
      <x:c r="C376" s="26"/>
      <x:c r="D376" s="24"/>
      <x:c r="E376" s="24"/>
      <x:c r="F376" s="28"/>
      <x:c r="G376" s="29"/>
      <x:c r="H376" s="24"/>
      <x:c r="I376" s="24"/>
      <x:c r="J376" s="24"/>
      <x:c r="K376" s="24"/>
      <x:c r="L376" s="20" t="str">
        <x:f>IF(Q376&lt;&gt;"OK","",IF(E376="Back",G376*(F376-1),-G376*(F376-1)))</x:f>
      </x:c>
      <x:c r="M376" s="20" t="str">
        <x:f>IF(Q376&lt;&gt;"OK","",IF(E376="Back",-G376,G376))</x:f>
      </x:c>
      <x:c r="N376" s="20" t="str">
        <x:f>IF(Q376&lt;&gt;"OK","",SUMIFS($L$8:$L$1007,$A$8:$A$1007,A376,$B$8:$B$1007,"&lt;="&amp;B376))</x:f>
      </x:c>
      <x:c r="O376" s="20" t="str">
        <x:f>IF(Q376&lt;&gt;"OK","",SUMIFS($M$8:$M$1007,$A$8:$A$1007,A376,$B$8:$B$1007,"&lt;="&amp;B376))</x:f>
      </x:c>
      <x:c r="P376" s="20" t="str">
        <x:f>IF(Q376&lt;&gt;"OK","",MAX(0,-MIN(N376,O376)))</x:f>
      </x:c>
      <x:c r="Q376" s="18" t="str">
        <x:f>IF(A376="",IF(COUNTA(B376:K376)=0,"","Inserisci ID"),IF(COUNTIFS('Diario'!$A$8:$A$507,A376)&lt;&gt;1,"ID assente / duplicato",IF(OR(NOT(ISNUMBER(B376)),B376&lt;1,B376&lt;&gt;INT(B376),COUNTIFS($A$8:$A$1007,A376,$B$8:$B$1007,B376)&lt;&gt;1),"N. esecuzione non valido",IF(OR(NOT(ISNUMBER(C376)),AND(D376&lt;&gt;"Ingresso",D376&lt;&gt;"Uscita"),AND(E376&lt;&gt;"Back",E376&lt;&gt;"Lay")),"Completa data / fase / lato",IF(OR(NOT(ISNUMBER(F376)),F376&lt;=1,NOT(ISNUMBER(G376)),G376&lt;=0),"Correggi quota / stake","OK")))))</x:f>
      </x:c>
    </x:row>
    <x:row r="377" ht="22" customHeight="1">
      <x:c r="A377" s="24"/>
      <x:c r="B377" s="24"/>
      <x:c r="C377" s="26"/>
      <x:c r="D377" s="24"/>
      <x:c r="E377" s="24"/>
      <x:c r="F377" s="28"/>
      <x:c r="G377" s="29"/>
      <x:c r="H377" s="24"/>
      <x:c r="I377" s="24"/>
      <x:c r="J377" s="24"/>
      <x:c r="K377" s="24"/>
      <x:c r="L377" s="20" t="str">
        <x:f>IF(Q377&lt;&gt;"OK","",IF(E377="Back",G377*(F377-1),-G377*(F377-1)))</x:f>
      </x:c>
      <x:c r="M377" s="20" t="str">
        <x:f>IF(Q377&lt;&gt;"OK","",IF(E377="Back",-G377,G377))</x:f>
      </x:c>
      <x:c r="N377" s="20" t="str">
        <x:f>IF(Q377&lt;&gt;"OK","",SUMIFS($L$8:$L$1007,$A$8:$A$1007,A377,$B$8:$B$1007,"&lt;="&amp;B377))</x:f>
      </x:c>
      <x:c r="O377" s="20" t="str">
        <x:f>IF(Q377&lt;&gt;"OK","",SUMIFS($M$8:$M$1007,$A$8:$A$1007,A377,$B$8:$B$1007,"&lt;="&amp;B377))</x:f>
      </x:c>
      <x:c r="P377" s="20" t="str">
        <x:f>IF(Q377&lt;&gt;"OK","",MAX(0,-MIN(N377,O377)))</x:f>
      </x:c>
      <x:c r="Q377" s="18" t="str">
        <x:f>IF(A377="",IF(COUNTA(B377:K377)=0,"","Inserisci ID"),IF(COUNTIFS('Diario'!$A$8:$A$507,A377)&lt;&gt;1,"ID assente / duplicato",IF(OR(NOT(ISNUMBER(B377)),B377&lt;1,B377&lt;&gt;INT(B377),COUNTIFS($A$8:$A$1007,A377,$B$8:$B$1007,B377)&lt;&gt;1),"N. esecuzione non valido",IF(OR(NOT(ISNUMBER(C377)),AND(D377&lt;&gt;"Ingresso",D377&lt;&gt;"Uscita"),AND(E377&lt;&gt;"Back",E377&lt;&gt;"Lay")),"Completa data / fase / lato",IF(OR(NOT(ISNUMBER(F377)),F377&lt;=1,NOT(ISNUMBER(G377)),G377&lt;=0),"Correggi quota / stake","OK")))))</x:f>
      </x:c>
    </x:row>
    <x:row r="378" ht="22" customHeight="1">
      <x:c r="A378" s="24"/>
      <x:c r="B378" s="24"/>
      <x:c r="C378" s="26"/>
      <x:c r="D378" s="24"/>
      <x:c r="E378" s="24"/>
      <x:c r="F378" s="28"/>
      <x:c r="G378" s="29"/>
      <x:c r="H378" s="24"/>
      <x:c r="I378" s="24"/>
      <x:c r="J378" s="24"/>
      <x:c r="K378" s="24"/>
      <x:c r="L378" s="20" t="str">
        <x:f>IF(Q378&lt;&gt;"OK","",IF(E378="Back",G378*(F378-1),-G378*(F378-1)))</x:f>
      </x:c>
      <x:c r="M378" s="20" t="str">
        <x:f>IF(Q378&lt;&gt;"OK","",IF(E378="Back",-G378,G378))</x:f>
      </x:c>
      <x:c r="N378" s="20" t="str">
        <x:f>IF(Q378&lt;&gt;"OK","",SUMIFS($L$8:$L$1007,$A$8:$A$1007,A378,$B$8:$B$1007,"&lt;="&amp;B378))</x:f>
      </x:c>
      <x:c r="O378" s="20" t="str">
        <x:f>IF(Q378&lt;&gt;"OK","",SUMIFS($M$8:$M$1007,$A$8:$A$1007,A378,$B$8:$B$1007,"&lt;="&amp;B378))</x:f>
      </x:c>
      <x:c r="P378" s="20" t="str">
        <x:f>IF(Q378&lt;&gt;"OK","",MAX(0,-MIN(N378,O378)))</x:f>
      </x:c>
      <x:c r="Q378" s="18" t="str">
        <x:f>IF(A378="",IF(COUNTA(B378:K378)=0,"","Inserisci ID"),IF(COUNTIFS('Diario'!$A$8:$A$507,A378)&lt;&gt;1,"ID assente / duplicato",IF(OR(NOT(ISNUMBER(B378)),B378&lt;1,B378&lt;&gt;INT(B378),COUNTIFS($A$8:$A$1007,A378,$B$8:$B$1007,B378)&lt;&gt;1),"N. esecuzione non valido",IF(OR(NOT(ISNUMBER(C378)),AND(D378&lt;&gt;"Ingresso",D378&lt;&gt;"Uscita"),AND(E378&lt;&gt;"Back",E378&lt;&gt;"Lay")),"Completa data / fase / lato",IF(OR(NOT(ISNUMBER(F378)),F378&lt;=1,NOT(ISNUMBER(G378)),G378&lt;=0),"Correggi quota / stake","OK")))))</x:f>
      </x:c>
    </x:row>
    <x:row r="379" ht="22" customHeight="1">
      <x:c r="A379" s="24"/>
      <x:c r="B379" s="24"/>
      <x:c r="C379" s="26"/>
      <x:c r="D379" s="24"/>
      <x:c r="E379" s="24"/>
      <x:c r="F379" s="28"/>
      <x:c r="G379" s="29"/>
      <x:c r="H379" s="24"/>
      <x:c r="I379" s="24"/>
      <x:c r="J379" s="24"/>
      <x:c r="K379" s="24"/>
      <x:c r="L379" s="20" t="str">
        <x:f>IF(Q379&lt;&gt;"OK","",IF(E379="Back",G379*(F379-1),-G379*(F379-1)))</x:f>
      </x:c>
      <x:c r="M379" s="20" t="str">
        <x:f>IF(Q379&lt;&gt;"OK","",IF(E379="Back",-G379,G379))</x:f>
      </x:c>
      <x:c r="N379" s="20" t="str">
        <x:f>IF(Q379&lt;&gt;"OK","",SUMIFS($L$8:$L$1007,$A$8:$A$1007,A379,$B$8:$B$1007,"&lt;="&amp;B379))</x:f>
      </x:c>
      <x:c r="O379" s="20" t="str">
        <x:f>IF(Q379&lt;&gt;"OK","",SUMIFS($M$8:$M$1007,$A$8:$A$1007,A379,$B$8:$B$1007,"&lt;="&amp;B379))</x:f>
      </x:c>
      <x:c r="P379" s="20" t="str">
        <x:f>IF(Q379&lt;&gt;"OK","",MAX(0,-MIN(N379,O379)))</x:f>
      </x:c>
      <x:c r="Q379" s="18" t="str">
        <x:f>IF(A379="",IF(COUNTA(B379:K379)=0,"","Inserisci ID"),IF(COUNTIFS('Diario'!$A$8:$A$507,A379)&lt;&gt;1,"ID assente / duplicato",IF(OR(NOT(ISNUMBER(B379)),B379&lt;1,B379&lt;&gt;INT(B379),COUNTIFS($A$8:$A$1007,A379,$B$8:$B$1007,B379)&lt;&gt;1),"N. esecuzione non valido",IF(OR(NOT(ISNUMBER(C379)),AND(D379&lt;&gt;"Ingresso",D379&lt;&gt;"Uscita"),AND(E379&lt;&gt;"Back",E379&lt;&gt;"Lay")),"Completa data / fase / lato",IF(OR(NOT(ISNUMBER(F379)),F379&lt;=1,NOT(ISNUMBER(G379)),G379&lt;=0),"Correggi quota / stake","OK")))))</x:f>
      </x:c>
    </x:row>
    <x:row r="380" ht="22" customHeight="1">
      <x:c r="A380" s="24"/>
      <x:c r="B380" s="24"/>
      <x:c r="C380" s="26"/>
      <x:c r="D380" s="24"/>
      <x:c r="E380" s="24"/>
      <x:c r="F380" s="28"/>
      <x:c r="G380" s="29"/>
      <x:c r="H380" s="24"/>
      <x:c r="I380" s="24"/>
      <x:c r="J380" s="24"/>
      <x:c r="K380" s="24"/>
      <x:c r="L380" s="20" t="str">
        <x:f>IF(Q380&lt;&gt;"OK","",IF(E380="Back",G380*(F380-1),-G380*(F380-1)))</x:f>
      </x:c>
      <x:c r="M380" s="20" t="str">
        <x:f>IF(Q380&lt;&gt;"OK","",IF(E380="Back",-G380,G380))</x:f>
      </x:c>
      <x:c r="N380" s="20" t="str">
        <x:f>IF(Q380&lt;&gt;"OK","",SUMIFS($L$8:$L$1007,$A$8:$A$1007,A380,$B$8:$B$1007,"&lt;="&amp;B380))</x:f>
      </x:c>
      <x:c r="O380" s="20" t="str">
        <x:f>IF(Q380&lt;&gt;"OK","",SUMIFS($M$8:$M$1007,$A$8:$A$1007,A380,$B$8:$B$1007,"&lt;="&amp;B380))</x:f>
      </x:c>
      <x:c r="P380" s="20" t="str">
        <x:f>IF(Q380&lt;&gt;"OK","",MAX(0,-MIN(N380,O380)))</x:f>
      </x:c>
      <x:c r="Q380" s="18" t="str">
        <x:f>IF(A380="",IF(COUNTA(B380:K380)=0,"","Inserisci ID"),IF(COUNTIFS('Diario'!$A$8:$A$507,A380)&lt;&gt;1,"ID assente / duplicato",IF(OR(NOT(ISNUMBER(B380)),B380&lt;1,B380&lt;&gt;INT(B380),COUNTIFS($A$8:$A$1007,A380,$B$8:$B$1007,B380)&lt;&gt;1),"N. esecuzione non valido",IF(OR(NOT(ISNUMBER(C380)),AND(D380&lt;&gt;"Ingresso",D380&lt;&gt;"Uscita"),AND(E380&lt;&gt;"Back",E380&lt;&gt;"Lay")),"Completa data / fase / lato",IF(OR(NOT(ISNUMBER(F380)),F380&lt;=1,NOT(ISNUMBER(G380)),G380&lt;=0),"Correggi quota / stake","OK")))))</x:f>
      </x:c>
    </x:row>
    <x:row r="381" ht="22" customHeight="1">
      <x:c r="A381" s="24"/>
      <x:c r="B381" s="24"/>
      <x:c r="C381" s="26"/>
      <x:c r="D381" s="24"/>
      <x:c r="E381" s="24"/>
      <x:c r="F381" s="28"/>
      <x:c r="G381" s="29"/>
      <x:c r="H381" s="24"/>
      <x:c r="I381" s="24"/>
      <x:c r="J381" s="24"/>
      <x:c r="K381" s="24"/>
      <x:c r="L381" s="20" t="str">
        <x:f>IF(Q381&lt;&gt;"OK","",IF(E381="Back",G381*(F381-1),-G381*(F381-1)))</x:f>
      </x:c>
      <x:c r="M381" s="20" t="str">
        <x:f>IF(Q381&lt;&gt;"OK","",IF(E381="Back",-G381,G381))</x:f>
      </x:c>
      <x:c r="N381" s="20" t="str">
        <x:f>IF(Q381&lt;&gt;"OK","",SUMIFS($L$8:$L$1007,$A$8:$A$1007,A381,$B$8:$B$1007,"&lt;="&amp;B381))</x:f>
      </x:c>
      <x:c r="O381" s="20" t="str">
        <x:f>IF(Q381&lt;&gt;"OK","",SUMIFS($M$8:$M$1007,$A$8:$A$1007,A381,$B$8:$B$1007,"&lt;="&amp;B381))</x:f>
      </x:c>
      <x:c r="P381" s="20" t="str">
        <x:f>IF(Q381&lt;&gt;"OK","",MAX(0,-MIN(N381,O381)))</x:f>
      </x:c>
      <x:c r="Q381" s="18" t="str">
        <x:f>IF(A381="",IF(COUNTA(B381:K381)=0,"","Inserisci ID"),IF(COUNTIFS('Diario'!$A$8:$A$507,A381)&lt;&gt;1,"ID assente / duplicato",IF(OR(NOT(ISNUMBER(B381)),B381&lt;1,B381&lt;&gt;INT(B381),COUNTIFS($A$8:$A$1007,A381,$B$8:$B$1007,B381)&lt;&gt;1),"N. esecuzione non valido",IF(OR(NOT(ISNUMBER(C381)),AND(D381&lt;&gt;"Ingresso",D381&lt;&gt;"Uscita"),AND(E381&lt;&gt;"Back",E381&lt;&gt;"Lay")),"Completa data / fase / lato",IF(OR(NOT(ISNUMBER(F381)),F381&lt;=1,NOT(ISNUMBER(G381)),G381&lt;=0),"Correggi quota / stake","OK")))))</x:f>
      </x:c>
    </x:row>
    <x:row r="382" ht="22" customHeight="1">
      <x:c r="A382" s="24"/>
      <x:c r="B382" s="24"/>
      <x:c r="C382" s="26"/>
      <x:c r="D382" s="24"/>
      <x:c r="E382" s="24"/>
      <x:c r="F382" s="28"/>
      <x:c r="G382" s="29"/>
      <x:c r="H382" s="24"/>
      <x:c r="I382" s="24"/>
      <x:c r="J382" s="24"/>
      <x:c r="K382" s="24"/>
      <x:c r="L382" s="20" t="str">
        <x:f>IF(Q382&lt;&gt;"OK","",IF(E382="Back",G382*(F382-1),-G382*(F382-1)))</x:f>
      </x:c>
      <x:c r="M382" s="20" t="str">
        <x:f>IF(Q382&lt;&gt;"OK","",IF(E382="Back",-G382,G382))</x:f>
      </x:c>
      <x:c r="N382" s="20" t="str">
        <x:f>IF(Q382&lt;&gt;"OK","",SUMIFS($L$8:$L$1007,$A$8:$A$1007,A382,$B$8:$B$1007,"&lt;="&amp;B382))</x:f>
      </x:c>
      <x:c r="O382" s="20" t="str">
        <x:f>IF(Q382&lt;&gt;"OK","",SUMIFS($M$8:$M$1007,$A$8:$A$1007,A382,$B$8:$B$1007,"&lt;="&amp;B382))</x:f>
      </x:c>
      <x:c r="P382" s="20" t="str">
        <x:f>IF(Q382&lt;&gt;"OK","",MAX(0,-MIN(N382,O382)))</x:f>
      </x:c>
      <x:c r="Q382" s="18" t="str">
        <x:f>IF(A382="",IF(COUNTA(B382:K382)=0,"","Inserisci ID"),IF(COUNTIFS('Diario'!$A$8:$A$507,A382)&lt;&gt;1,"ID assente / duplicato",IF(OR(NOT(ISNUMBER(B382)),B382&lt;1,B382&lt;&gt;INT(B382),COUNTIFS($A$8:$A$1007,A382,$B$8:$B$1007,B382)&lt;&gt;1),"N. esecuzione non valido",IF(OR(NOT(ISNUMBER(C382)),AND(D382&lt;&gt;"Ingresso",D382&lt;&gt;"Uscita"),AND(E382&lt;&gt;"Back",E382&lt;&gt;"Lay")),"Completa data / fase / lato",IF(OR(NOT(ISNUMBER(F382)),F382&lt;=1,NOT(ISNUMBER(G382)),G382&lt;=0),"Correggi quota / stake","OK")))))</x:f>
      </x:c>
    </x:row>
    <x:row r="383" ht="22" customHeight="1">
      <x:c r="A383" s="24"/>
      <x:c r="B383" s="24"/>
      <x:c r="C383" s="26"/>
      <x:c r="D383" s="24"/>
      <x:c r="E383" s="24"/>
      <x:c r="F383" s="28"/>
      <x:c r="G383" s="29"/>
      <x:c r="H383" s="24"/>
      <x:c r="I383" s="24"/>
      <x:c r="J383" s="24"/>
      <x:c r="K383" s="24"/>
      <x:c r="L383" s="20" t="str">
        <x:f>IF(Q383&lt;&gt;"OK","",IF(E383="Back",G383*(F383-1),-G383*(F383-1)))</x:f>
      </x:c>
      <x:c r="M383" s="20" t="str">
        <x:f>IF(Q383&lt;&gt;"OK","",IF(E383="Back",-G383,G383))</x:f>
      </x:c>
      <x:c r="N383" s="20" t="str">
        <x:f>IF(Q383&lt;&gt;"OK","",SUMIFS($L$8:$L$1007,$A$8:$A$1007,A383,$B$8:$B$1007,"&lt;="&amp;B383))</x:f>
      </x:c>
      <x:c r="O383" s="20" t="str">
        <x:f>IF(Q383&lt;&gt;"OK","",SUMIFS($M$8:$M$1007,$A$8:$A$1007,A383,$B$8:$B$1007,"&lt;="&amp;B383))</x:f>
      </x:c>
      <x:c r="P383" s="20" t="str">
        <x:f>IF(Q383&lt;&gt;"OK","",MAX(0,-MIN(N383,O383)))</x:f>
      </x:c>
      <x:c r="Q383" s="18" t="str">
        <x:f>IF(A383="",IF(COUNTA(B383:K383)=0,"","Inserisci ID"),IF(COUNTIFS('Diario'!$A$8:$A$507,A383)&lt;&gt;1,"ID assente / duplicato",IF(OR(NOT(ISNUMBER(B383)),B383&lt;1,B383&lt;&gt;INT(B383),COUNTIFS($A$8:$A$1007,A383,$B$8:$B$1007,B383)&lt;&gt;1),"N. esecuzione non valido",IF(OR(NOT(ISNUMBER(C383)),AND(D383&lt;&gt;"Ingresso",D383&lt;&gt;"Uscita"),AND(E383&lt;&gt;"Back",E383&lt;&gt;"Lay")),"Completa data / fase / lato",IF(OR(NOT(ISNUMBER(F383)),F383&lt;=1,NOT(ISNUMBER(G383)),G383&lt;=0),"Correggi quota / stake","OK")))))</x:f>
      </x:c>
    </x:row>
    <x:row r="384" ht="22" customHeight="1">
      <x:c r="A384" s="24"/>
      <x:c r="B384" s="24"/>
      <x:c r="C384" s="26"/>
      <x:c r="D384" s="24"/>
      <x:c r="E384" s="24"/>
      <x:c r="F384" s="28"/>
      <x:c r="G384" s="29"/>
      <x:c r="H384" s="24"/>
      <x:c r="I384" s="24"/>
      <x:c r="J384" s="24"/>
      <x:c r="K384" s="24"/>
      <x:c r="L384" s="20" t="str">
        <x:f>IF(Q384&lt;&gt;"OK","",IF(E384="Back",G384*(F384-1),-G384*(F384-1)))</x:f>
      </x:c>
      <x:c r="M384" s="20" t="str">
        <x:f>IF(Q384&lt;&gt;"OK","",IF(E384="Back",-G384,G384))</x:f>
      </x:c>
      <x:c r="N384" s="20" t="str">
        <x:f>IF(Q384&lt;&gt;"OK","",SUMIFS($L$8:$L$1007,$A$8:$A$1007,A384,$B$8:$B$1007,"&lt;="&amp;B384))</x:f>
      </x:c>
      <x:c r="O384" s="20" t="str">
        <x:f>IF(Q384&lt;&gt;"OK","",SUMIFS($M$8:$M$1007,$A$8:$A$1007,A384,$B$8:$B$1007,"&lt;="&amp;B384))</x:f>
      </x:c>
      <x:c r="P384" s="20" t="str">
        <x:f>IF(Q384&lt;&gt;"OK","",MAX(0,-MIN(N384,O384)))</x:f>
      </x:c>
      <x:c r="Q384" s="18" t="str">
        <x:f>IF(A384="",IF(COUNTA(B384:K384)=0,"","Inserisci ID"),IF(COUNTIFS('Diario'!$A$8:$A$507,A384)&lt;&gt;1,"ID assente / duplicato",IF(OR(NOT(ISNUMBER(B384)),B384&lt;1,B384&lt;&gt;INT(B384),COUNTIFS($A$8:$A$1007,A384,$B$8:$B$1007,B384)&lt;&gt;1),"N. esecuzione non valido",IF(OR(NOT(ISNUMBER(C384)),AND(D384&lt;&gt;"Ingresso",D384&lt;&gt;"Uscita"),AND(E384&lt;&gt;"Back",E384&lt;&gt;"Lay")),"Completa data / fase / lato",IF(OR(NOT(ISNUMBER(F384)),F384&lt;=1,NOT(ISNUMBER(G384)),G384&lt;=0),"Correggi quota / stake","OK")))))</x:f>
      </x:c>
    </x:row>
    <x:row r="385" ht="22" customHeight="1">
      <x:c r="A385" s="24"/>
      <x:c r="B385" s="24"/>
      <x:c r="C385" s="26"/>
      <x:c r="D385" s="24"/>
      <x:c r="E385" s="24"/>
      <x:c r="F385" s="28"/>
      <x:c r="G385" s="29"/>
      <x:c r="H385" s="24"/>
      <x:c r="I385" s="24"/>
      <x:c r="J385" s="24"/>
      <x:c r="K385" s="24"/>
      <x:c r="L385" s="20" t="str">
        <x:f>IF(Q385&lt;&gt;"OK","",IF(E385="Back",G385*(F385-1),-G385*(F385-1)))</x:f>
      </x:c>
      <x:c r="M385" s="20" t="str">
        <x:f>IF(Q385&lt;&gt;"OK","",IF(E385="Back",-G385,G385))</x:f>
      </x:c>
      <x:c r="N385" s="20" t="str">
        <x:f>IF(Q385&lt;&gt;"OK","",SUMIFS($L$8:$L$1007,$A$8:$A$1007,A385,$B$8:$B$1007,"&lt;="&amp;B385))</x:f>
      </x:c>
      <x:c r="O385" s="20" t="str">
        <x:f>IF(Q385&lt;&gt;"OK","",SUMIFS($M$8:$M$1007,$A$8:$A$1007,A385,$B$8:$B$1007,"&lt;="&amp;B385))</x:f>
      </x:c>
      <x:c r="P385" s="20" t="str">
        <x:f>IF(Q385&lt;&gt;"OK","",MAX(0,-MIN(N385,O385)))</x:f>
      </x:c>
      <x:c r="Q385" s="18" t="str">
        <x:f>IF(A385="",IF(COUNTA(B385:K385)=0,"","Inserisci ID"),IF(COUNTIFS('Diario'!$A$8:$A$507,A385)&lt;&gt;1,"ID assente / duplicato",IF(OR(NOT(ISNUMBER(B385)),B385&lt;1,B385&lt;&gt;INT(B385),COUNTIFS($A$8:$A$1007,A385,$B$8:$B$1007,B385)&lt;&gt;1),"N. esecuzione non valido",IF(OR(NOT(ISNUMBER(C385)),AND(D385&lt;&gt;"Ingresso",D385&lt;&gt;"Uscita"),AND(E385&lt;&gt;"Back",E385&lt;&gt;"Lay")),"Completa data / fase / lato",IF(OR(NOT(ISNUMBER(F385)),F385&lt;=1,NOT(ISNUMBER(G385)),G385&lt;=0),"Correggi quota / stake","OK")))))</x:f>
      </x:c>
    </x:row>
    <x:row r="386" ht="22" customHeight="1">
      <x:c r="A386" s="24"/>
      <x:c r="B386" s="24"/>
      <x:c r="C386" s="26"/>
      <x:c r="D386" s="24"/>
      <x:c r="E386" s="24"/>
      <x:c r="F386" s="28"/>
      <x:c r="G386" s="29"/>
      <x:c r="H386" s="24"/>
      <x:c r="I386" s="24"/>
      <x:c r="J386" s="24"/>
      <x:c r="K386" s="24"/>
      <x:c r="L386" s="20" t="str">
        <x:f>IF(Q386&lt;&gt;"OK","",IF(E386="Back",G386*(F386-1),-G386*(F386-1)))</x:f>
      </x:c>
      <x:c r="M386" s="20" t="str">
        <x:f>IF(Q386&lt;&gt;"OK","",IF(E386="Back",-G386,G386))</x:f>
      </x:c>
      <x:c r="N386" s="20" t="str">
        <x:f>IF(Q386&lt;&gt;"OK","",SUMIFS($L$8:$L$1007,$A$8:$A$1007,A386,$B$8:$B$1007,"&lt;="&amp;B386))</x:f>
      </x:c>
      <x:c r="O386" s="20" t="str">
        <x:f>IF(Q386&lt;&gt;"OK","",SUMIFS($M$8:$M$1007,$A$8:$A$1007,A386,$B$8:$B$1007,"&lt;="&amp;B386))</x:f>
      </x:c>
      <x:c r="P386" s="20" t="str">
        <x:f>IF(Q386&lt;&gt;"OK","",MAX(0,-MIN(N386,O386)))</x:f>
      </x:c>
      <x:c r="Q386" s="18" t="str">
        <x:f>IF(A386="",IF(COUNTA(B386:K386)=0,"","Inserisci ID"),IF(COUNTIFS('Diario'!$A$8:$A$507,A386)&lt;&gt;1,"ID assente / duplicato",IF(OR(NOT(ISNUMBER(B386)),B386&lt;1,B386&lt;&gt;INT(B386),COUNTIFS($A$8:$A$1007,A386,$B$8:$B$1007,B386)&lt;&gt;1),"N. esecuzione non valido",IF(OR(NOT(ISNUMBER(C386)),AND(D386&lt;&gt;"Ingresso",D386&lt;&gt;"Uscita"),AND(E386&lt;&gt;"Back",E386&lt;&gt;"Lay")),"Completa data / fase / lato",IF(OR(NOT(ISNUMBER(F386)),F386&lt;=1,NOT(ISNUMBER(G386)),G386&lt;=0),"Correggi quota / stake","OK")))))</x:f>
      </x:c>
    </x:row>
    <x:row r="387" ht="22" customHeight="1">
      <x:c r="A387" s="24"/>
      <x:c r="B387" s="24"/>
      <x:c r="C387" s="26"/>
      <x:c r="D387" s="24"/>
      <x:c r="E387" s="24"/>
      <x:c r="F387" s="28"/>
      <x:c r="G387" s="29"/>
      <x:c r="H387" s="24"/>
      <x:c r="I387" s="24"/>
      <x:c r="J387" s="24"/>
      <x:c r="K387" s="24"/>
      <x:c r="L387" s="20" t="str">
        <x:f>IF(Q387&lt;&gt;"OK","",IF(E387="Back",G387*(F387-1),-G387*(F387-1)))</x:f>
      </x:c>
      <x:c r="M387" s="20" t="str">
        <x:f>IF(Q387&lt;&gt;"OK","",IF(E387="Back",-G387,G387))</x:f>
      </x:c>
      <x:c r="N387" s="20" t="str">
        <x:f>IF(Q387&lt;&gt;"OK","",SUMIFS($L$8:$L$1007,$A$8:$A$1007,A387,$B$8:$B$1007,"&lt;="&amp;B387))</x:f>
      </x:c>
      <x:c r="O387" s="20" t="str">
        <x:f>IF(Q387&lt;&gt;"OK","",SUMIFS($M$8:$M$1007,$A$8:$A$1007,A387,$B$8:$B$1007,"&lt;="&amp;B387))</x:f>
      </x:c>
      <x:c r="P387" s="20" t="str">
        <x:f>IF(Q387&lt;&gt;"OK","",MAX(0,-MIN(N387,O387)))</x:f>
      </x:c>
      <x:c r="Q387" s="18" t="str">
        <x:f>IF(A387="",IF(COUNTA(B387:K387)=0,"","Inserisci ID"),IF(COUNTIFS('Diario'!$A$8:$A$507,A387)&lt;&gt;1,"ID assente / duplicato",IF(OR(NOT(ISNUMBER(B387)),B387&lt;1,B387&lt;&gt;INT(B387),COUNTIFS($A$8:$A$1007,A387,$B$8:$B$1007,B387)&lt;&gt;1),"N. esecuzione non valido",IF(OR(NOT(ISNUMBER(C387)),AND(D387&lt;&gt;"Ingresso",D387&lt;&gt;"Uscita"),AND(E387&lt;&gt;"Back",E387&lt;&gt;"Lay")),"Completa data / fase / lato",IF(OR(NOT(ISNUMBER(F387)),F387&lt;=1,NOT(ISNUMBER(G387)),G387&lt;=0),"Correggi quota / stake","OK")))))</x:f>
      </x:c>
    </x:row>
    <x:row r="388" ht="22" customHeight="1">
      <x:c r="A388" s="24"/>
      <x:c r="B388" s="24"/>
      <x:c r="C388" s="26"/>
      <x:c r="D388" s="24"/>
      <x:c r="E388" s="24"/>
      <x:c r="F388" s="28"/>
      <x:c r="G388" s="29"/>
      <x:c r="H388" s="24"/>
      <x:c r="I388" s="24"/>
      <x:c r="J388" s="24"/>
      <x:c r="K388" s="24"/>
      <x:c r="L388" s="20" t="str">
        <x:f>IF(Q388&lt;&gt;"OK","",IF(E388="Back",G388*(F388-1),-G388*(F388-1)))</x:f>
      </x:c>
      <x:c r="M388" s="20" t="str">
        <x:f>IF(Q388&lt;&gt;"OK","",IF(E388="Back",-G388,G388))</x:f>
      </x:c>
      <x:c r="N388" s="20" t="str">
        <x:f>IF(Q388&lt;&gt;"OK","",SUMIFS($L$8:$L$1007,$A$8:$A$1007,A388,$B$8:$B$1007,"&lt;="&amp;B388))</x:f>
      </x:c>
      <x:c r="O388" s="20" t="str">
        <x:f>IF(Q388&lt;&gt;"OK","",SUMIFS($M$8:$M$1007,$A$8:$A$1007,A388,$B$8:$B$1007,"&lt;="&amp;B388))</x:f>
      </x:c>
      <x:c r="P388" s="20" t="str">
        <x:f>IF(Q388&lt;&gt;"OK","",MAX(0,-MIN(N388,O388)))</x:f>
      </x:c>
      <x:c r="Q388" s="18" t="str">
        <x:f>IF(A388="",IF(COUNTA(B388:K388)=0,"","Inserisci ID"),IF(COUNTIFS('Diario'!$A$8:$A$507,A388)&lt;&gt;1,"ID assente / duplicato",IF(OR(NOT(ISNUMBER(B388)),B388&lt;1,B388&lt;&gt;INT(B388),COUNTIFS($A$8:$A$1007,A388,$B$8:$B$1007,B388)&lt;&gt;1),"N. esecuzione non valido",IF(OR(NOT(ISNUMBER(C388)),AND(D388&lt;&gt;"Ingresso",D388&lt;&gt;"Uscita"),AND(E388&lt;&gt;"Back",E388&lt;&gt;"Lay")),"Completa data / fase / lato",IF(OR(NOT(ISNUMBER(F388)),F388&lt;=1,NOT(ISNUMBER(G388)),G388&lt;=0),"Correggi quota / stake","OK")))))</x:f>
      </x:c>
    </x:row>
    <x:row r="389" ht="22" customHeight="1">
      <x:c r="A389" s="24"/>
      <x:c r="B389" s="24"/>
      <x:c r="C389" s="26"/>
      <x:c r="D389" s="24"/>
      <x:c r="E389" s="24"/>
      <x:c r="F389" s="28"/>
      <x:c r="G389" s="29"/>
      <x:c r="H389" s="24"/>
      <x:c r="I389" s="24"/>
      <x:c r="J389" s="24"/>
      <x:c r="K389" s="24"/>
      <x:c r="L389" s="20" t="str">
        <x:f>IF(Q389&lt;&gt;"OK","",IF(E389="Back",G389*(F389-1),-G389*(F389-1)))</x:f>
      </x:c>
      <x:c r="M389" s="20" t="str">
        <x:f>IF(Q389&lt;&gt;"OK","",IF(E389="Back",-G389,G389))</x:f>
      </x:c>
      <x:c r="N389" s="20" t="str">
        <x:f>IF(Q389&lt;&gt;"OK","",SUMIFS($L$8:$L$1007,$A$8:$A$1007,A389,$B$8:$B$1007,"&lt;="&amp;B389))</x:f>
      </x:c>
      <x:c r="O389" s="20" t="str">
        <x:f>IF(Q389&lt;&gt;"OK","",SUMIFS($M$8:$M$1007,$A$8:$A$1007,A389,$B$8:$B$1007,"&lt;="&amp;B389))</x:f>
      </x:c>
      <x:c r="P389" s="20" t="str">
        <x:f>IF(Q389&lt;&gt;"OK","",MAX(0,-MIN(N389,O389)))</x:f>
      </x:c>
      <x:c r="Q389" s="18" t="str">
        <x:f>IF(A389="",IF(COUNTA(B389:K389)=0,"","Inserisci ID"),IF(COUNTIFS('Diario'!$A$8:$A$507,A389)&lt;&gt;1,"ID assente / duplicato",IF(OR(NOT(ISNUMBER(B389)),B389&lt;1,B389&lt;&gt;INT(B389),COUNTIFS($A$8:$A$1007,A389,$B$8:$B$1007,B389)&lt;&gt;1),"N. esecuzione non valido",IF(OR(NOT(ISNUMBER(C389)),AND(D389&lt;&gt;"Ingresso",D389&lt;&gt;"Uscita"),AND(E389&lt;&gt;"Back",E389&lt;&gt;"Lay")),"Completa data / fase / lato",IF(OR(NOT(ISNUMBER(F389)),F389&lt;=1,NOT(ISNUMBER(G389)),G389&lt;=0),"Correggi quota / stake","OK")))))</x:f>
      </x:c>
    </x:row>
    <x:row r="390" ht="22" customHeight="1">
      <x:c r="A390" s="24"/>
      <x:c r="B390" s="24"/>
      <x:c r="C390" s="26"/>
      <x:c r="D390" s="24"/>
      <x:c r="E390" s="24"/>
      <x:c r="F390" s="28"/>
      <x:c r="G390" s="29"/>
      <x:c r="H390" s="24"/>
      <x:c r="I390" s="24"/>
      <x:c r="J390" s="24"/>
      <x:c r="K390" s="24"/>
      <x:c r="L390" s="20" t="str">
        <x:f>IF(Q390&lt;&gt;"OK","",IF(E390="Back",G390*(F390-1),-G390*(F390-1)))</x:f>
      </x:c>
      <x:c r="M390" s="20" t="str">
        <x:f>IF(Q390&lt;&gt;"OK","",IF(E390="Back",-G390,G390))</x:f>
      </x:c>
      <x:c r="N390" s="20" t="str">
        <x:f>IF(Q390&lt;&gt;"OK","",SUMIFS($L$8:$L$1007,$A$8:$A$1007,A390,$B$8:$B$1007,"&lt;="&amp;B390))</x:f>
      </x:c>
      <x:c r="O390" s="20" t="str">
        <x:f>IF(Q390&lt;&gt;"OK","",SUMIFS($M$8:$M$1007,$A$8:$A$1007,A390,$B$8:$B$1007,"&lt;="&amp;B390))</x:f>
      </x:c>
      <x:c r="P390" s="20" t="str">
        <x:f>IF(Q390&lt;&gt;"OK","",MAX(0,-MIN(N390,O390)))</x:f>
      </x:c>
      <x:c r="Q390" s="18" t="str">
        <x:f>IF(A390="",IF(COUNTA(B390:K390)=0,"","Inserisci ID"),IF(COUNTIFS('Diario'!$A$8:$A$507,A390)&lt;&gt;1,"ID assente / duplicato",IF(OR(NOT(ISNUMBER(B390)),B390&lt;1,B390&lt;&gt;INT(B390),COUNTIFS($A$8:$A$1007,A390,$B$8:$B$1007,B390)&lt;&gt;1),"N. esecuzione non valido",IF(OR(NOT(ISNUMBER(C390)),AND(D390&lt;&gt;"Ingresso",D390&lt;&gt;"Uscita"),AND(E390&lt;&gt;"Back",E390&lt;&gt;"Lay")),"Completa data / fase / lato",IF(OR(NOT(ISNUMBER(F390)),F390&lt;=1,NOT(ISNUMBER(G390)),G390&lt;=0),"Correggi quota / stake","OK")))))</x:f>
      </x:c>
    </x:row>
    <x:row r="391" ht="22" customHeight="1">
      <x:c r="A391" s="24"/>
      <x:c r="B391" s="24"/>
      <x:c r="C391" s="26"/>
      <x:c r="D391" s="24"/>
      <x:c r="E391" s="24"/>
      <x:c r="F391" s="28"/>
      <x:c r="G391" s="29"/>
      <x:c r="H391" s="24"/>
      <x:c r="I391" s="24"/>
      <x:c r="J391" s="24"/>
      <x:c r="K391" s="24"/>
      <x:c r="L391" s="20" t="str">
        <x:f>IF(Q391&lt;&gt;"OK","",IF(E391="Back",G391*(F391-1),-G391*(F391-1)))</x:f>
      </x:c>
      <x:c r="M391" s="20" t="str">
        <x:f>IF(Q391&lt;&gt;"OK","",IF(E391="Back",-G391,G391))</x:f>
      </x:c>
      <x:c r="N391" s="20" t="str">
        <x:f>IF(Q391&lt;&gt;"OK","",SUMIFS($L$8:$L$1007,$A$8:$A$1007,A391,$B$8:$B$1007,"&lt;="&amp;B391))</x:f>
      </x:c>
      <x:c r="O391" s="20" t="str">
        <x:f>IF(Q391&lt;&gt;"OK","",SUMIFS($M$8:$M$1007,$A$8:$A$1007,A391,$B$8:$B$1007,"&lt;="&amp;B391))</x:f>
      </x:c>
      <x:c r="P391" s="20" t="str">
        <x:f>IF(Q391&lt;&gt;"OK","",MAX(0,-MIN(N391,O391)))</x:f>
      </x:c>
      <x:c r="Q391" s="18" t="str">
        <x:f>IF(A391="",IF(COUNTA(B391:K391)=0,"","Inserisci ID"),IF(COUNTIFS('Diario'!$A$8:$A$507,A391)&lt;&gt;1,"ID assente / duplicato",IF(OR(NOT(ISNUMBER(B391)),B391&lt;1,B391&lt;&gt;INT(B391),COUNTIFS($A$8:$A$1007,A391,$B$8:$B$1007,B391)&lt;&gt;1),"N. esecuzione non valido",IF(OR(NOT(ISNUMBER(C391)),AND(D391&lt;&gt;"Ingresso",D391&lt;&gt;"Uscita"),AND(E391&lt;&gt;"Back",E391&lt;&gt;"Lay")),"Completa data / fase / lato",IF(OR(NOT(ISNUMBER(F391)),F391&lt;=1,NOT(ISNUMBER(G391)),G391&lt;=0),"Correggi quota / stake","OK")))))</x:f>
      </x:c>
    </x:row>
    <x:row r="392" ht="22" customHeight="1">
      <x:c r="A392" s="24"/>
      <x:c r="B392" s="24"/>
      <x:c r="C392" s="26"/>
      <x:c r="D392" s="24"/>
      <x:c r="E392" s="24"/>
      <x:c r="F392" s="28"/>
      <x:c r="G392" s="29"/>
      <x:c r="H392" s="24"/>
      <x:c r="I392" s="24"/>
      <x:c r="J392" s="24"/>
      <x:c r="K392" s="24"/>
      <x:c r="L392" s="20" t="str">
        <x:f>IF(Q392&lt;&gt;"OK","",IF(E392="Back",G392*(F392-1),-G392*(F392-1)))</x:f>
      </x:c>
      <x:c r="M392" s="20" t="str">
        <x:f>IF(Q392&lt;&gt;"OK","",IF(E392="Back",-G392,G392))</x:f>
      </x:c>
      <x:c r="N392" s="20" t="str">
        <x:f>IF(Q392&lt;&gt;"OK","",SUMIFS($L$8:$L$1007,$A$8:$A$1007,A392,$B$8:$B$1007,"&lt;="&amp;B392))</x:f>
      </x:c>
      <x:c r="O392" s="20" t="str">
        <x:f>IF(Q392&lt;&gt;"OK","",SUMIFS($M$8:$M$1007,$A$8:$A$1007,A392,$B$8:$B$1007,"&lt;="&amp;B392))</x:f>
      </x:c>
      <x:c r="P392" s="20" t="str">
        <x:f>IF(Q392&lt;&gt;"OK","",MAX(0,-MIN(N392,O392)))</x:f>
      </x:c>
      <x:c r="Q392" s="18" t="str">
        <x:f>IF(A392="",IF(COUNTA(B392:K392)=0,"","Inserisci ID"),IF(COUNTIFS('Diario'!$A$8:$A$507,A392)&lt;&gt;1,"ID assente / duplicato",IF(OR(NOT(ISNUMBER(B392)),B392&lt;1,B392&lt;&gt;INT(B392),COUNTIFS($A$8:$A$1007,A392,$B$8:$B$1007,B392)&lt;&gt;1),"N. esecuzione non valido",IF(OR(NOT(ISNUMBER(C392)),AND(D392&lt;&gt;"Ingresso",D392&lt;&gt;"Uscita"),AND(E392&lt;&gt;"Back",E392&lt;&gt;"Lay")),"Completa data / fase / lato",IF(OR(NOT(ISNUMBER(F392)),F392&lt;=1,NOT(ISNUMBER(G392)),G392&lt;=0),"Correggi quota / stake","OK")))))</x:f>
      </x:c>
    </x:row>
    <x:row r="393" ht="22" customHeight="1">
      <x:c r="A393" s="24"/>
      <x:c r="B393" s="24"/>
      <x:c r="C393" s="26"/>
      <x:c r="D393" s="24"/>
      <x:c r="E393" s="24"/>
      <x:c r="F393" s="28"/>
      <x:c r="G393" s="29"/>
      <x:c r="H393" s="24"/>
      <x:c r="I393" s="24"/>
      <x:c r="J393" s="24"/>
      <x:c r="K393" s="24"/>
      <x:c r="L393" s="20" t="str">
        <x:f>IF(Q393&lt;&gt;"OK","",IF(E393="Back",G393*(F393-1),-G393*(F393-1)))</x:f>
      </x:c>
      <x:c r="M393" s="20" t="str">
        <x:f>IF(Q393&lt;&gt;"OK","",IF(E393="Back",-G393,G393))</x:f>
      </x:c>
      <x:c r="N393" s="20" t="str">
        <x:f>IF(Q393&lt;&gt;"OK","",SUMIFS($L$8:$L$1007,$A$8:$A$1007,A393,$B$8:$B$1007,"&lt;="&amp;B393))</x:f>
      </x:c>
      <x:c r="O393" s="20" t="str">
        <x:f>IF(Q393&lt;&gt;"OK","",SUMIFS($M$8:$M$1007,$A$8:$A$1007,A393,$B$8:$B$1007,"&lt;="&amp;B393))</x:f>
      </x:c>
      <x:c r="P393" s="20" t="str">
        <x:f>IF(Q393&lt;&gt;"OK","",MAX(0,-MIN(N393,O393)))</x:f>
      </x:c>
      <x:c r="Q393" s="18" t="str">
        <x:f>IF(A393="",IF(COUNTA(B393:K393)=0,"","Inserisci ID"),IF(COUNTIFS('Diario'!$A$8:$A$507,A393)&lt;&gt;1,"ID assente / duplicato",IF(OR(NOT(ISNUMBER(B393)),B393&lt;1,B393&lt;&gt;INT(B393),COUNTIFS($A$8:$A$1007,A393,$B$8:$B$1007,B393)&lt;&gt;1),"N. esecuzione non valido",IF(OR(NOT(ISNUMBER(C393)),AND(D393&lt;&gt;"Ingresso",D393&lt;&gt;"Uscita"),AND(E393&lt;&gt;"Back",E393&lt;&gt;"Lay")),"Completa data / fase / lato",IF(OR(NOT(ISNUMBER(F393)),F393&lt;=1,NOT(ISNUMBER(G393)),G393&lt;=0),"Correggi quota / stake","OK")))))</x:f>
      </x:c>
    </x:row>
    <x:row r="394" ht="22" customHeight="1">
      <x:c r="A394" s="24"/>
      <x:c r="B394" s="24"/>
      <x:c r="C394" s="26"/>
      <x:c r="D394" s="24"/>
      <x:c r="E394" s="24"/>
      <x:c r="F394" s="28"/>
      <x:c r="G394" s="29"/>
      <x:c r="H394" s="24"/>
      <x:c r="I394" s="24"/>
      <x:c r="J394" s="24"/>
      <x:c r="K394" s="24"/>
      <x:c r="L394" s="20" t="str">
        <x:f>IF(Q394&lt;&gt;"OK","",IF(E394="Back",G394*(F394-1),-G394*(F394-1)))</x:f>
      </x:c>
      <x:c r="M394" s="20" t="str">
        <x:f>IF(Q394&lt;&gt;"OK","",IF(E394="Back",-G394,G394))</x:f>
      </x:c>
      <x:c r="N394" s="20" t="str">
        <x:f>IF(Q394&lt;&gt;"OK","",SUMIFS($L$8:$L$1007,$A$8:$A$1007,A394,$B$8:$B$1007,"&lt;="&amp;B394))</x:f>
      </x:c>
      <x:c r="O394" s="20" t="str">
        <x:f>IF(Q394&lt;&gt;"OK","",SUMIFS($M$8:$M$1007,$A$8:$A$1007,A394,$B$8:$B$1007,"&lt;="&amp;B394))</x:f>
      </x:c>
      <x:c r="P394" s="20" t="str">
        <x:f>IF(Q394&lt;&gt;"OK","",MAX(0,-MIN(N394,O394)))</x:f>
      </x:c>
      <x:c r="Q394" s="18" t="str">
        <x:f>IF(A394="",IF(COUNTA(B394:K394)=0,"","Inserisci ID"),IF(COUNTIFS('Diario'!$A$8:$A$507,A394)&lt;&gt;1,"ID assente / duplicato",IF(OR(NOT(ISNUMBER(B394)),B394&lt;1,B394&lt;&gt;INT(B394),COUNTIFS($A$8:$A$1007,A394,$B$8:$B$1007,B394)&lt;&gt;1),"N. esecuzione non valido",IF(OR(NOT(ISNUMBER(C394)),AND(D394&lt;&gt;"Ingresso",D394&lt;&gt;"Uscita"),AND(E394&lt;&gt;"Back",E394&lt;&gt;"Lay")),"Completa data / fase / lato",IF(OR(NOT(ISNUMBER(F394)),F394&lt;=1,NOT(ISNUMBER(G394)),G394&lt;=0),"Correggi quota / stake","OK")))))</x:f>
      </x:c>
    </x:row>
    <x:row r="395" ht="22" customHeight="1">
      <x:c r="A395" s="24"/>
      <x:c r="B395" s="24"/>
      <x:c r="C395" s="26"/>
      <x:c r="D395" s="24"/>
      <x:c r="E395" s="24"/>
      <x:c r="F395" s="28"/>
      <x:c r="G395" s="29"/>
      <x:c r="H395" s="24"/>
      <x:c r="I395" s="24"/>
      <x:c r="J395" s="24"/>
      <x:c r="K395" s="24"/>
      <x:c r="L395" s="20" t="str">
        <x:f>IF(Q395&lt;&gt;"OK","",IF(E395="Back",G395*(F395-1),-G395*(F395-1)))</x:f>
      </x:c>
      <x:c r="M395" s="20" t="str">
        <x:f>IF(Q395&lt;&gt;"OK","",IF(E395="Back",-G395,G395))</x:f>
      </x:c>
      <x:c r="N395" s="20" t="str">
        <x:f>IF(Q395&lt;&gt;"OK","",SUMIFS($L$8:$L$1007,$A$8:$A$1007,A395,$B$8:$B$1007,"&lt;="&amp;B395))</x:f>
      </x:c>
      <x:c r="O395" s="20" t="str">
        <x:f>IF(Q395&lt;&gt;"OK","",SUMIFS($M$8:$M$1007,$A$8:$A$1007,A395,$B$8:$B$1007,"&lt;="&amp;B395))</x:f>
      </x:c>
      <x:c r="P395" s="20" t="str">
        <x:f>IF(Q395&lt;&gt;"OK","",MAX(0,-MIN(N395,O395)))</x:f>
      </x:c>
      <x:c r="Q395" s="18" t="str">
        <x:f>IF(A395="",IF(COUNTA(B395:K395)=0,"","Inserisci ID"),IF(COUNTIFS('Diario'!$A$8:$A$507,A395)&lt;&gt;1,"ID assente / duplicato",IF(OR(NOT(ISNUMBER(B395)),B395&lt;1,B395&lt;&gt;INT(B395),COUNTIFS($A$8:$A$1007,A395,$B$8:$B$1007,B395)&lt;&gt;1),"N. esecuzione non valido",IF(OR(NOT(ISNUMBER(C395)),AND(D395&lt;&gt;"Ingresso",D395&lt;&gt;"Uscita"),AND(E395&lt;&gt;"Back",E395&lt;&gt;"Lay")),"Completa data / fase / lato",IF(OR(NOT(ISNUMBER(F395)),F395&lt;=1,NOT(ISNUMBER(G395)),G395&lt;=0),"Correggi quota / stake","OK")))))</x:f>
      </x:c>
    </x:row>
    <x:row r="396" ht="22" customHeight="1">
      <x:c r="A396" s="24"/>
      <x:c r="B396" s="24"/>
      <x:c r="C396" s="26"/>
      <x:c r="D396" s="24"/>
      <x:c r="E396" s="24"/>
      <x:c r="F396" s="28"/>
      <x:c r="G396" s="29"/>
      <x:c r="H396" s="24"/>
      <x:c r="I396" s="24"/>
      <x:c r="J396" s="24"/>
      <x:c r="K396" s="24"/>
      <x:c r="L396" s="20" t="str">
        <x:f>IF(Q396&lt;&gt;"OK","",IF(E396="Back",G396*(F396-1),-G396*(F396-1)))</x:f>
      </x:c>
      <x:c r="M396" s="20" t="str">
        <x:f>IF(Q396&lt;&gt;"OK","",IF(E396="Back",-G396,G396))</x:f>
      </x:c>
      <x:c r="N396" s="20" t="str">
        <x:f>IF(Q396&lt;&gt;"OK","",SUMIFS($L$8:$L$1007,$A$8:$A$1007,A396,$B$8:$B$1007,"&lt;="&amp;B396))</x:f>
      </x:c>
      <x:c r="O396" s="20" t="str">
        <x:f>IF(Q396&lt;&gt;"OK","",SUMIFS($M$8:$M$1007,$A$8:$A$1007,A396,$B$8:$B$1007,"&lt;="&amp;B396))</x:f>
      </x:c>
      <x:c r="P396" s="20" t="str">
        <x:f>IF(Q396&lt;&gt;"OK","",MAX(0,-MIN(N396,O396)))</x:f>
      </x:c>
      <x:c r="Q396" s="18" t="str">
        <x:f>IF(A396="",IF(COUNTA(B396:K396)=0,"","Inserisci ID"),IF(COUNTIFS('Diario'!$A$8:$A$507,A396)&lt;&gt;1,"ID assente / duplicato",IF(OR(NOT(ISNUMBER(B396)),B396&lt;1,B396&lt;&gt;INT(B396),COUNTIFS($A$8:$A$1007,A396,$B$8:$B$1007,B396)&lt;&gt;1),"N. esecuzione non valido",IF(OR(NOT(ISNUMBER(C396)),AND(D396&lt;&gt;"Ingresso",D396&lt;&gt;"Uscita"),AND(E396&lt;&gt;"Back",E396&lt;&gt;"Lay")),"Completa data / fase / lato",IF(OR(NOT(ISNUMBER(F396)),F396&lt;=1,NOT(ISNUMBER(G396)),G396&lt;=0),"Correggi quota / stake","OK")))))</x:f>
      </x:c>
    </x:row>
    <x:row r="397" ht="22" customHeight="1">
      <x:c r="A397" s="24"/>
      <x:c r="B397" s="24"/>
      <x:c r="C397" s="26"/>
      <x:c r="D397" s="24"/>
      <x:c r="E397" s="24"/>
      <x:c r="F397" s="28"/>
      <x:c r="G397" s="29"/>
      <x:c r="H397" s="24"/>
      <x:c r="I397" s="24"/>
      <x:c r="J397" s="24"/>
      <x:c r="K397" s="24"/>
      <x:c r="L397" s="20" t="str">
        <x:f>IF(Q397&lt;&gt;"OK","",IF(E397="Back",G397*(F397-1),-G397*(F397-1)))</x:f>
      </x:c>
      <x:c r="M397" s="20" t="str">
        <x:f>IF(Q397&lt;&gt;"OK","",IF(E397="Back",-G397,G397))</x:f>
      </x:c>
      <x:c r="N397" s="20" t="str">
        <x:f>IF(Q397&lt;&gt;"OK","",SUMIFS($L$8:$L$1007,$A$8:$A$1007,A397,$B$8:$B$1007,"&lt;="&amp;B397))</x:f>
      </x:c>
      <x:c r="O397" s="20" t="str">
        <x:f>IF(Q397&lt;&gt;"OK","",SUMIFS($M$8:$M$1007,$A$8:$A$1007,A397,$B$8:$B$1007,"&lt;="&amp;B397))</x:f>
      </x:c>
      <x:c r="P397" s="20" t="str">
        <x:f>IF(Q397&lt;&gt;"OK","",MAX(0,-MIN(N397,O397)))</x:f>
      </x:c>
      <x:c r="Q397" s="18" t="str">
        <x:f>IF(A397="",IF(COUNTA(B397:K397)=0,"","Inserisci ID"),IF(COUNTIFS('Diario'!$A$8:$A$507,A397)&lt;&gt;1,"ID assente / duplicato",IF(OR(NOT(ISNUMBER(B397)),B397&lt;1,B397&lt;&gt;INT(B397),COUNTIFS($A$8:$A$1007,A397,$B$8:$B$1007,B397)&lt;&gt;1),"N. esecuzione non valido",IF(OR(NOT(ISNUMBER(C397)),AND(D397&lt;&gt;"Ingresso",D397&lt;&gt;"Uscita"),AND(E397&lt;&gt;"Back",E397&lt;&gt;"Lay")),"Completa data / fase / lato",IF(OR(NOT(ISNUMBER(F397)),F397&lt;=1,NOT(ISNUMBER(G397)),G397&lt;=0),"Correggi quota / stake","OK")))))</x:f>
      </x:c>
    </x:row>
    <x:row r="398" ht="22" customHeight="1">
      <x:c r="A398" s="24"/>
      <x:c r="B398" s="24"/>
      <x:c r="C398" s="26"/>
      <x:c r="D398" s="24"/>
      <x:c r="E398" s="24"/>
      <x:c r="F398" s="28"/>
      <x:c r="G398" s="29"/>
      <x:c r="H398" s="24"/>
      <x:c r="I398" s="24"/>
      <x:c r="J398" s="24"/>
      <x:c r="K398" s="24"/>
      <x:c r="L398" s="20" t="str">
        <x:f>IF(Q398&lt;&gt;"OK","",IF(E398="Back",G398*(F398-1),-G398*(F398-1)))</x:f>
      </x:c>
      <x:c r="M398" s="20" t="str">
        <x:f>IF(Q398&lt;&gt;"OK","",IF(E398="Back",-G398,G398))</x:f>
      </x:c>
      <x:c r="N398" s="20" t="str">
        <x:f>IF(Q398&lt;&gt;"OK","",SUMIFS($L$8:$L$1007,$A$8:$A$1007,A398,$B$8:$B$1007,"&lt;="&amp;B398))</x:f>
      </x:c>
      <x:c r="O398" s="20" t="str">
        <x:f>IF(Q398&lt;&gt;"OK","",SUMIFS($M$8:$M$1007,$A$8:$A$1007,A398,$B$8:$B$1007,"&lt;="&amp;B398))</x:f>
      </x:c>
      <x:c r="P398" s="20" t="str">
        <x:f>IF(Q398&lt;&gt;"OK","",MAX(0,-MIN(N398,O398)))</x:f>
      </x:c>
      <x:c r="Q398" s="18" t="str">
        <x:f>IF(A398="",IF(COUNTA(B398:K398)=0,"","Inserisci ID"),IF(COUNTIFS('Diario'!$A$8:$A$507,A398)&lt;&gt;1,"ID assente / duplicato",IF(OR(NOT(ISNUMBER(B398)),B398&lt;1,B398&lt;&gt;INT(B398),COUNTIFS($A$8:$A$1007,A398,$B$8:$B$1007,B398)&lt;&gt;1),"N. esecuzione non valido",IF(OR(NOT(ISNUMBER(C398)),AND(D398&lt;&gt;"Ingresso",D398&lt;&gt;"Uscita"),AND(E398&lt;&gt;"Back",E398&lt;&gt;"Lay")),"Completa data / fase / lato",IF(OR(NOT(ISNUMBER(F398)),F398&lt;=1,NOT(ISNUMBER(G398)),G398&lt;=0),"Correggi quota / stake","OK")))))</x:f>
      </x:c>
    </x:row>
    <x:row r="399" ht="22" customHeight="1">
      <x:c r="A399" s="24"/>
      <x:c r="B399" s="24"/>
      <x:c r="C399" s="26"/>
      <x:c r="D399" s="24"/>
      <x:c r="E399" s="24"/>
      <x:c r="F399" s="28"/>
      <x:c r="G399" s="29"/>
      <x:c r="H399" s="24"/>
      <x:c r="I399" s="24"/>
      <x:c r="J399" s="24"/>
      <x:c r="K399" s="24"/>
      <x:c r="L399" s="20" t="str">
        <x:f>IF(Q399&lt;&gt;"OK","",IF(E399="Back",G399*(F399-1),-G399*(F399-1)))</x:f>
      </x:c>
      <x:c r="M399" s="20" t="str">
        <x:f>IF(Q399&lt;&gt;"OK","",IF(E399="Back",-G399,G399))</x:f>
      </x:c>
      <x:c r="N399" s="20" t="str">
        <x:f>IF(Q399&lt;&gt;"OK","",SUMIFS($L$8:$L$1007,$A$8:$A$1007,A399,$B$8:$B$1007,"&lt;="&amp;B399))</x:f>
      </x:c>
      <x:c r="O399" s="20" t="str">
        <x:f>IF(Q399&lt;&gt;"OK","",SUMIFS($M$8:$M$1007,$A$8:$A$1007,A399,$B$8:$B$1007,"&lt;="&amp;B399))</x:f>
      </x:c>
      <x:c r="P399" s="20" t="str">
        <x:f>IF(Q399&lt;&gt;"OK","",MAX(0,-MIN(N399,O399)))</x:f>
      </x:c>
      <x:c r="Q399" s="18" t="str">
        <x:f>IF(A399="",IF(COUNTA(B399:K399)=0,"","Inserisci ID"),IF(COUNTIFS('Diario'!$A$8:$A$507,A399)&lt;&gt;1,"ID assente / duplicato",IF(OR(NOT(ISNUMBER(B399)),B399&lt;1,B399&lt;&gt;INT(B399),COUNTIFS($A$8:$A$1007,A399,$B$8:$B$1007,B399)&lt;&gt;1),"N. esecuzione non valido",IF(OR(NOT(ISNUMBER(C399)),AND(D399&lt;&gt;"Ingresso",D399&lt;&gt;"Uscita"),AND(E399&lt;&gt;"Back",E399&lt;&gt;"Lay")),"Completa data / fase / lato",IF(OR(NOT(ISNUMBER(F399)),F399&lt;=1,NOT(ISNUMBER(G399)),G399&lt;=0),"Correggi quota / stake","OK")))))</x:f>
      </x:c>
    </x:row>
    <x:row r="400" ht="22" customHeight="1">
      <x:c r="A400" s="24"/>
      <x:c r="B400" s="24"/>
      <x:c r="C400" s="26"/>
      <x:c r="D400" s="24"/>
      <x:c r="E400" s="24"/>
      <x:c r="F400" s="28"/>
      <x:c r="G400" s="29"/>
      <x:c r="H400" s="24"/>
      <x:c r="I400" s="24"/>
      <x:c r="J400" s="24"/>
      <x:c r="K400" s="24"/>
      <x:c r="L400" s="20" t="str">
        <x:f>IF(Q400&lt;&gt;"OK","",IF(E400="Back",G400*(F400-1),-G400*(F400-1)))</x:f>
      </x:c>
      <x:c r="M400" s="20" t="str">
        <x:f>IF(Q400&lt;&gt;"OK","",IF(E400="Back",-G400,G400))</x:f>
      </x:c>
      <x:c r="N400" s="20" t="str">
        <x:f>IF(Q400&lt;&gt;"OK","",SUMIFS($L$8:$L$1007,$A$8:$A$1007,A400,$B$8:$B$1007,"&lt;="&amp;B400))</x:f>
      </x:c>
      <x:c r="O400" s="20" t="str">
        <x:f>IF(Q400&lt;&gt;"OK","",SUMIFS($M$8:$M$1007,$A$8:$A$1007,A400,$B$8:$B$1007,"&lt;="&amp;B400))</x:f>
      </x:c>
      <x:c r="P400" s="20" t="str">
        <x:f>IF(Q400&lt;&gt;"OK","",MAX(0,-MIN(N400,O400)))</x:f>
      </x:c>
      <x:c r="Q400" s="18" t="str">
        <x:f>IF(A400="",IF(COUNTA(B400:K400)=0,"","Inserisci ID"),IF(COUNTIFS('Diario'!$A$8:$A$507,A400)&lt;&gt;1,"ID assente / duplicato",IF(OR(NOT(ISNUMBER(B400)),B400&lt;1,B400&lt;&gt;INT(B400),COUNTIFS($A$8:$A$1007,A400,$B$8:$B$1007,B400)&lt;&gt;1),"N. esecuzione non valido",IF(OR(NOT(ISNUMBER(C400)),AND(D400&lt;&gt;"Ingresso",D400&lt;&gt;"Uscita"),AND(E400&lt;&gt;"Back",E400&lt;&gt;"Lay")),"Completa data / fase / lato",IF(OR(NOT(ISNUMBER(F400)),F400&lt;=1,NOT(ISNUMBER(G400)),G400&lt;=0),"Correggi quota / stake","OK")))))</x:f>
      </x:c>
    </x:row>
    <x:row r="401" ht="22" customHeight="1">
      <x:c r="A401" s="24"/>
      <x:c r="B401" s="24"/>
      <x:c r="C401" s="26"/>
      <x:c r="D401" s="24"/>
      <x:c r="E401" s="24"/>
      <x:c r="F401" s="28"/>
      <x:c r="G401" s="29"/>
      <x:c r="H401" s="24"/>
      <x:c r="I401" s="24"/>
      <x:c r="J401" s="24"/>
      <x:c r="K401" s="24"/>
      <x:c r="L401" s="20" t="str">
        <x:f>IF(Q401&lt;&gt;"OK","",IF(E401="Back",G401*(F401-1),-G401*(F401-1)))</x:f>
      </x:c>
      <x:c r="M401" s="20" t="str">
        <x:f>IF(Q401&lt;&gt;"OK","",IF(E401="Back",-G401,G401))</x:f>
      </x:c>
      <x:c r="N401" s="20" t="str">
        <x:f>IF(Q401&lt;&gt;"OK","",SUMIFS($L$8:$L$1007,$A$8:$A$1007,A401,$B$8:$B$1007,"&lt;="&amp;B401))</x:f>
      </x:c>
      <x:c r="O401" s="20" t="str">
        <x:f>IF(Q401&lt;&gt;"OK","",SUMIFS($M$8:$M$1007,$A$8:$A$1007,A401,$B$8:$B$1007,"&lt;="&amp;B401))</x:f>
      </x:c>
      <x:c r="P401" s="20" t="str">
        <x:f>IF(Q401&lt;&gt;"OK","",MAX(0,-MIN(N401,O401)))</x:f>
      </x:c>
      <x:c r="Q401" s="18" t="str">
        <x:f>IF(A401="",IF(COUNTA(B401:K401)=0,"","Inserisci ID"),IF(COUNTIFS('Diario'!$A$8:$A$507,A401)&lt;&gt;1,"ID assente / duplicato",IF(OR(NOT(ISNUMBER(B401)),B401&lt;1,B401&lt;&gt;INT(B401),COUNTIFS($A$8:$A$1007,A401,$B$8:$B$1007,B401)&lt;&gt;1),"N. esecuzione non valido",IF(OR(NOT(ISNUMBER(C401)),AND(D401&lt;&gt;"Ingresso",D401&lt;&gt;"Uscita"),AND(E401&lt;&gt;"Back",E401&lt;&gt;"Lay")),"Completa data / fase / lato",IF(OR(NOT(ISNUMBER(F401)),F401&lt;=1,NOT(ISNUMBER(G401)),G401&lt;=0),"Correggi quota / stake","OK")))))</x:f>
      </x:c>
    </x:row>
    <x:row r="402" ht="22" customHeight="1">
      <x:c r="A402" s="24"/>
      <x:c r="B402" s="24"/>
      <x:c r="C402" s="26"/>
      <x:c r="D402" s="24"/>
      <x:c r="E402" s="24"/>
      <x:c r="F402" s="28"/>
      <x:c r="G402" s="29"/>
      <x:c r="H402" s="24"/>
      <x:c r="I402" s="24"/>
      <x:c r="J402" s="24"/>
      <x:c r="K402" s="24"/>
      <x:c r="L402" s="20" t="str">
        <x:f>IF(Q402&lt;&gt;"OK","",IF(E402="Back",G402*(F402-1),-G402*(F402-1)))</x:f>
      </x:c>
      <x:c r="M402" s="20" t="str">
        <x:f>IF(Q402&lt;&gt;"OK","",IF(E402="Back",-G402,G402))</x:f>
      </x:c>
      <x:c r="N402" s="20" t="str">
        <x:f>IF(Q402&lt;&gt;"OK","",SUMIFS($L$8:$L$1007,$A$8:$A$1007,A402,$B$8:$B$1007,"&lt;="&amp;B402))</x:f>
      </x:c>
      <x:c r="O402" s="20" t="str">
        <x:f>IF(Q402&lt;&gt;"OK","",SUMIFS($M$8:$M$1007,$A$8:$A$1007,A402,$B$8:$B$1007,"&lt;="&amp;B402))</x:f>
      </x:c>
      <x:c r="P402" s="20" t="str">
        <x:f>IF(Q402&lt;&gt;"OK","",MAX(0,-MIN(N402,O402)))</x:f>
      </x:c>
      <x:c r="Q402" s="18" t="str">
        <x:f>IF(A402="",IF(COUNTA(B402:K402)=0,"","Inserisci ID"),IF(COUNTIFS('Diario'!$A$8:$A$507,A402)&lt;&gt;1,"ID assente / duplicato",IF(OR(NOT(ISNUMBER(B402)),B402&lt;1,B402&lt;&gt;INT(B402),COUNTIFS($A$8:$A$1007,A402,$B$8:$B$1007,B402)&lt;&gt;1),"N. esecuzione non valido",IF(OR(NOT(ISNUMBER(C402)),AND(D402&lt;&gt;"Ingresso",D402&lt;&gt;"Uscita"),AND(E402&lt;&gt;"Back",E402&lt;&gt;"Lay")),"Completa data / fase / lato",IF(OR(NOT(ISNUMBER(F402)),F402&lt;=1,NOT(ISNUMBER(G402)),G402&lt;=0),"Correggi quota / stake","OK")))))</x:f>
      </x:c>
    </x:row>
    <x:row r="403" ht="22" customHeight="1">
      <x:c r="A403" s="24"/>
      <x:c r="B403" s="24"/>
      <x:c r="C403" s="26"/>
      <x:c r="D403" s="24"/>
      <x:c r="E403" s="24"/>
      <x:c r="F403" s="28"/>
      <x:c r="G403" s="29"/>
      <x:c r="H403" s="24"/>
      <x:c r="I403" s="24"/>
      <x:c r="J403" s="24"/>
      <x:c r="K403" s="24"/>
      <x:c r="L403" s="20" t="str">
        <x:f>IF(Q403&lt;&gt;"OK","",IF(E403="Back",G403*(F403-1),-G403*(F403-1)))</x:f>
      </x:c>
      <x:c r="M403" s="20" t="str">
        <x:f>IF(Q403&lt;&gt;"OK","",IF(E403="Back",-G403,G403))</x:f>
      </x:c>
      <x:c r="N403" s="20" t="str">
        <x:f>IF(Q403&lt;&gt;"OK","",SUMIFS($L$8:$L$1007,$A$8:$A$1007,A403,$B$8:$B$1007,"&lt;="&amp;B403))</x:f>
      </x:c>
      <x:c r="O403" s="20" t="str">
        <x:f>IF(Q403&lt;&gt;"OK","",SUMIFS($M$8:$M$1007,$A$8:$A$1007,A403,$B$8:$B$1007,"&lt;="&amp;B403))</x:f>
      </x:c>
      <x:c r="P403" s="20" t="str">
        <x:f>IF(Q403&lt;&gt;"OK","",MAX(0,-MIN(N403,O403)))</x:f>
      </x:c>
      <x:c r="Q403" s="18" t="str">
        <x:f>IF(A403="",IF(COUNTA(B403:K403)=0,"","Inserisci ID"),IF(COUNTIFS('Diario'!$A$8:$A$507,A403)&lt;&gt;1,"ID assente / duplicato",IF(OR(NOT(ISNUMBER(B403)),B403&lt;1,B403&lt;&gt;INT(B403),COUNTIFS($A$8:$A$1007,A403,$B$8:$B$1007,B403)&lt;&gt;1),"N. esecuzione non valido",IF(OR(NOT(ISNUMBER(C403)),AND(D403&lt;&gt;"Ingresso",D403&lt;&gt;"Uscita"),AND(E403&lt;&gt;"Back",E403&lt;&gt;"Lay")),"Completa data / fase / lato",IF(OR(NOT(ISNUMBER(F403)),F403&lt;=1,NOT(ISNUMBER(G403)),G403&lt;=0),"Correggi quota / stake","OK")))))</x:f>
      </x:c>
    </x:row>
    <x:row r="404" ht="22" customHeight="1">
      <x:c r="A404" s="24"/>
      <x:c r="B404" s="24"/>
      <x:c r="C404" s="26"/>
      <x:c r="D404" s="24"/>
      <x:c r="E404" s="24"/>
      <x:c r="F404" s="28"/>
      <x:c r="G404" s="29"/>
      <x:c r="H404" s="24"/>
      <x:c r="I404" s="24"/>
      <x:c r="J404" s="24"/>
      <x:c r="K404" s="24"/>
      <x:c r="L404" s="20" t="str">
        <x:f>IF(Q404&lt;&gt;"OK","",IF(E404="Back",G404*(F404-1),-G404*(F404-1)))</x:f>
      </x:c>
      <x:c r="M404" s="20" t="str">
        <x:f>IF(Q404&lt;&gt;"OK","",IF(E404="Back",-G404,G404))</x:f>
      </x:c>
      <x:c r="N404" s="20" t="str">
        <x:f>IF(Q404&lt;&gt;"OK","",SUMIFS($L$8:$L$1007,$A$8:$A$1007,A404,$B$8:$B$1007,"&lt;="&amp;B404))</x:f>
      </x:c>
      <x:c r="O404" s="20" t="str">
        <x:f>IF(Q404&lt;&gt;"OK","",SUMIFS($M$8:$M$1007,$A$8:$A$1007,A404,$B$8:$B$1007,"&lt;="&amp;B404))</x:f>
      </x:c>
      <x:c r="P404" s="20" t="str">
        <x:f>IF(Q404&lt;&gt;"OK","",MAX(0,-MIN(N404,O404)))</x:f>
      </x:c>
      <x:c r="Q404" s="18" t="str">
        <x:f>IF(A404="",IF(COUNTA(B404:K404)=0,"","Inserisci ID"),IF(COUNTIFS('Diario'!$A$8:$A$507,A404)&lt;&gt;1,"ID assente / duplicato",IF(OR(NOT(ISNUMBER(B404)),B404&lt;1,B404&lt;&gt;INT(B404),COUNTIFS($A$8:$A$1007,A404,$B$8:$B$1007,B404)&lt;&gt;1),"N. esecuzione non valido",IF(OR(NOT(ISNUMBER(C404)),AND(D404&lt;&gt;"Ingresso",D404&lt;&gt;"Uscita"),AND(E404&lt;&gt;"Back",E404&lt;&gt;"Lay")),"Completa data / fase / lato",IF(OR(NOT(ISNUMBER(F404)),F404&lt;=1,NOT(ISNUMBER(G404)),G404&lt;=0),"Correggi quota / stake","OK")))))</x:f>
      </x:c>
    </x:row>
    <x:row r="405" ht="22" customHeight="1">
      <x:c r="A405" s="24"/>
      <x:c r="B405" s="24"/>
      <x:c r="C405" s="26"/>
      <x:c r="D405" s="24"/>
      <x:c r="E405" s="24"/>
      <x:c r="F405" s="28"/>
      <x:c r="G405" s="29"/>
      <x:c r="H405" s="24"/>
      <x:c r="I405" s="24"/>
      <x:c r="J405" s="24"/>
      <x:c r="K405" s="24"/>
      <x:c r="L405" s="20" t="str">
        <x:f>IF(Q405&lt;&gt;"OK","",IF(E405="Back",G405*(F405-1),-G405*(F405-1)))</x:f>
      </x:c>
      <x:c r="M405" s="20" t="str">
        <x:f>IF(Q405&lt;&gt;"OK","",IF(E405="Back",-G405,G405))</x:f>
      </x:c>
      <x:c r="N405" s="20" t="str">
        <x:f>IF(Q405&lt;&gt;"OK","",SUMIFS($L$8:$L$1007,$A$8:$A$1007,A405,$B$8:$B$1007,"&lt;="&amp;B405))</x:f>
      </x:c>
      <x:c r="O405" s="20" t="str">
        <x:f>IF(Q405&lt;&gt;"OK","",SUMIFS($M$8:$M$1007,$A$8:$A$1007,A405,$B$8:$B$1007,"&lt;="&amp;B405))</x:f>
      </x:c>
      <x:c r="P405" s="20" t="str">
        <x:f>IF(Q405&lt;&gt;"OK","",MAX(0,-MIN(N405,O405)))</x:f>
      </x:c>
      <x:c r="Q405" s="18" t="str">
        <x:f>IF(A405="",IF(COUNTA(B405:K405)=0,"","Inserisci ID"),IF(COUNTIFS('Diario'!$A$8:$A$507,A405)&lt;&gt;1,"ID assente / duplicato",IF(OR(NOT(ISNUMBER(B405)),B405&lt;1,B405&lt;&gt;INT(B405),COUNTIFS($A$8:$A$1007,A405,$B$8:$B$1007,B405)&lt;&gt;1),"N. esecuzione non valido",IF(OR(NOT(ISNUMBER(C405)),AND(D405&lt;&gt;"Ingresso",D405&lt;&gt;"Uscita"),AND(E405&lt;&gt;"Back",E405&lt;&gt;"Lay")),"Completa data / fase / lato",IF(OR(NOT(ISNUMBER(F405)),F405&lt;=1,NOT(ISNUMBER(G405)),G405&lt;=0),"Correggi quota / stake","OK")))))</x:f>
      </x:c>
    </x:row>
    <x:row r="406" ht="22" customHeight="1">
      <x:c r="A406" s="24"/>
      <x:c r="B406" s="24"/>
      <x:c r="C406" s="26"/>
      <x:c r="D406" s="24"/>
      <x:c r="E406" s="24"/>
      <x:c r="F406" s="28"/>
      <x:c r="G406" s="29"/>
      <x:c r="H406" s="24"/>
      <x:c r="I406" s="24"/>
      <x:c r="J406" s="24"/>
      <x:c r="K406" s="24"/>
      <x:c r="L406" s="20" t="str">
        <x:f>IF(Q406&lt;&gt;"OK","",IF(E406="Back",G406*(F406-1),-G406*(F406-1)))</x:f>
      </x:c>
      <x:c r="M406" s="20" t="str">
        <x:f>IF(Q406&lt;&gt;"OK","",IF(E406="Back",-G406,G406))</x:f>
      </x:c>
      <x:c r="N406" s="20" t="str">
        <x:f>IF(Q406&lt;&gt;"OK","",SUMIFS($L$8:$L$1007,$A$8:$A$1007,A406,$B$8:$B$1007,"&lt;="&amp;B406))</x:f>
      </x:c>
      <x:c r="O406" s="20" t="str">
        <x:f>IF(Q406&lt;&gt;"OK","",SUMIFS($M$8:$M$1007,$A$8:$A$1007,A406,$B$8:$B$1007,"&lt;="&amp;B406))</x:f>
      </x:c>
      <x:c r="P406" s="20" t="str">
        <x:f>IF(Q406&lt;&gt;"OK","",MAX(0,-MIN(N406,O406)))</x:f>
      </x:c>
      <x:c r="Q406" s="18" t="str">
        <x:f>IF(A406="",IF(COUNTA(B406:K406)=0,"","Inserisci ID"),IF(COUNTIFS('Diario'!$A$8:$A$507,A406)&lt;&gt;1,"ID assente / duplicato",IF(OR(NOT(ISNUMBER(B406)),B406&lt;1,B406&lt;&gt;INT(B406),COUNTIFS($A$8:$A$1007,A406,$B$8:$B$1007,B406)&lt;&gt;1),"N. esecuzione non valido",IF(OR(NOT(ISNUMBER(C406)),AND(D406&lt;&gt;"Ingresso",D406&lt;&gt;"Uscita"),AND(E406&lt;&gt;"Back",E406&lt;&gt;"Lay")),"Completa data / fase / lato",IF(OR(NOT(ISNUMBER(F406)),F406&lt;=1,NOT(ISNUMBER(G406)),G406&lt;=0),"Correggi quota / stake","OK")))))</x:f>
      </x:c>
    </x:row>
    <x:row r="407" ht="22" customHeight="1">
      <x:c r="A407" s="24"/>
      <x:c r="B407" s="24"/>
      <x:c r="C407" s="26"/>
      <x:c r="D407" s="24"/>
      <x:c r="E407" s="24"/>
      <x:c r="F407" s="28"/>
      <x:c r="G407" s="29"/>
      <x:c r="H407" s="24"/>
      <x:c r="I407" s="24"/>
      <x:c r="J407" s="24"/>
      <x:c r="K407" s="24"/>
      <x:c r="L407" s="20" t="str">
        <x:f>IF(Q407&lt;&gt;"OK","",IF(E407="Back",G407*(F407-1),-G407*(F407-1)))</x:f>
      </x:c>
      <x:c r="M407" s="20" t="str">
        <x:f>IF(Q407&lt;&gt;"OK","",IF(E407="Back",-G407,G407))</x:f>
      </x:c>
      <x:c r="N407" s="20" t="str">
        <x:f>IF(Q407&lt;&gt;"OK","",SUMIFS($L$8:$L$1007,$A$8:$A$1007,A407,$B$8:$B$1007,"&lt;="&amp;B407))</x:f>
      </x:c>
      <x:c r="O407" s="20" t="str">
        <x:f>IF(Q407&lt;&gt;"OK","",SUMIFS($M$8:$M$1007,$A$8:$A$1007,A407,$B$8:$B$1007,"&lt;="&amp;B407))</x:f>
      </x:c>
      <x:c r="P407" s="20" t="str">
        <x:f>IF(Q407&lt;&gt;"OK","",MAX(0,-MIN(N407,O407)))</x:f>
      </x:c>
      <x:c r="Q407" s="18" t="str">
        <x:f>IF(A407="",IF(COUNTA(B407:K407)=0,"","Inserisci ID"),IF(COUNTIFS('Diario'!$A$8:$A$507,A407)&lt;&gt;1,"ID assente / duplicato",IF(OR(NOT(ISNUMBER(B407)),B407&lt;1,B407&lt;&gt;INT(B407),COUNTIFS($A$8:$A$1007,A407,$B$8:$B$1007,B407)&lt;&gt;1),"N. esecuzione non valido",IF(OR(NOT(ISNUMBER(C407)),AND(D407&lt;&gt;"Ingresso",D407&lt;&gt;"Uscita"),AND(E407&lt;&gt;"Back",E407&lt;&gt;"Lay")),"Completa data / fase / lato",IF(OR(NOT(ISNUMBER(F407)),F407&lt;=1,NOT(ISNUMBER(G407)),G407&lt;=0),"Correggi quota / stake","OK")))))</x:f>
      </x:c>
    </x:row>
    <x:row r="408" ht="22" customHeight="1">
      <x:c r="A408" s="24"/>
      <x:c r="B408" s="24"/>
      <x:c r="C408" s="26"/>
      <x:c r="D408" s="24"/>
      <x:c r="E408" s="24"/>
      <x:c r="F408" s="28"/>
      <x:c r="G408" s="29"/>
      <x:c r="H408" s="24"/>
      <x:c r="I408" s="24"/>
      <x:c r="J408" s="24"/>
      <x:c r="K408" s="24"/>
      <x:c r="L408" s="20" t="str">
        <x:f>IF(Q408&lt;&gt;"OK","",IF(E408="Back",G408*(F408-1),-G408*(F408-1)))</x:f>
      </x:c>
      <x:c r="M408" s="20" t="str">
        <x:f>IF(Q408&lt;&gt;"OK","",IF(E408="Back",-G408,G408))</x:f>
      </x:c>
      <x:c r="N408" s="20" t="str">
        <x:f>IF(Q408&lt;&gt;"OK","",SUMIFS($L$8:$L$1007,$A$8:$A$1007,A408,$B$8:$B$1007,"&lt;="&amp;B408))</x:f>
      </x:c>
      <x:c r="O408" s="20" t="str">
        <x:f>IF(Q408&lt;&gt;"OK","",SUMIFS($M$8:$M$1007,$A$8:$A$1007,A408,$B$8:$B$1007,"&lt;="&amp;B408))</x:f>
      </x:c>
      <x:c r="P408" s="20" t="str">
        <x:f>IF(Q408&lt;&gt;"OK","",MAX(0,-MIN(N408,O408)))</x:f>
      </x:c>
      <x:c r="Q408" s="18" t="str">
        <x:f>IF(A408="",IF(COUNTA(B408:K408)=0,"","Inserisci ID"),IF(COUNTIFS('Diario'!$A$8:$A$507,A408)&lt;&gt;1,"ID assente / duplicato",IF(OR(NOT(ISNUMBER(B408)),B408&lt;1,B408&lt;&gt;INT(B408),COUNTIFS($A$8:$A$1007,A408,$B$8:$B$1007,B408)&lt;&gt;1),"N. esecuzione non valido",IF(OR(NOT(ISNUMBER(C408)),AND(D408&lt;&gt;"Ingresso",D408&lt;&gt;"Uscita"),AND(E408&lt;&gt;"Back",E408&lt;&gt;"Lay")),"Completa data / fase / lato",IF(OR(NOT(ISNUMBER(F408)),F408&lt;=1,NOT(ISNUMBER(G408)),G408&lt;=0),"Correggi quota / stake","OK")))))</x:f>
      </x:c>
    </x:row>
    <x:row r="409" ht="22" customHeight="1">
      <x:c r="A409" s="24"/>
      <x:c r="B409" s="24"/>
      <x:c r="C409" s="26"/>
      <x:c r="D409" s="24"/>
      <x:c r="E409" s="24"/>
      <x:c r="F409" s="28"/>
      <x:c r="G409" s="29"/>
      <x:c r="H409" s="24"/>
      <x:c r="I409" s="24"/>
      <x:c r="J409" s="24"/>
      <x:c r="K409" s="24"/>
      <x:c r="L409" s="20" t="str">
        <x:f>IF(Q409&lt;&gt;"OK","",IF(E409="Back",G409*(F409-1),-G409*(F409-1)))</x:f>
      </x:c>
      <x:c r="M409" s="20" t="str">
        <x:f>IF(Q409&lt;&gt;"OK","",IF(E409="Back",-G409,G409))</x:f>
      </x:c>
      <x:c r="N409" s="20" t="str">
        <x:f>IF(Q409&lt;&gt;"OK","",SUMIFS($L$8:$L$1007,$A$8:$A$1007,A409,$B$8:$B$1007,"&lt;="&amp;B409))</x:f>
      </x:c>
      <x:c r="O409" s="20" t="str">
        <x:f>IF(Q409&lt;&gt;"OK","",SUMIFS($M$8:$M$1007,$A$8:$A$1007,A409,$B$8:$B$1007,"&lt;="&amp;B409))</x:f>
      </x:c>
      <x:c r="P409" s="20" t="str">
        <x:f>IF(Q409&lt;&gt;"OK","",MAX(0,-MIN(N409,O409)))</x:f>
      </x:c>
      <x:c r="Q409" s="18" t="str">
        <x:f>IF(A409="",IF(COUNTA(B409:K409)=0,"","Inserisci ID"),IF(COUNTIFS('Diario'!$A$8:$A$507,A409)&lt;&gt;1,"ID assente / duplicato",IF(OR(NOT(ISNUMBER(B409)),B409&lt;1,B409&lt;&gt;INT(B409),COUNTIFS($A$8:$A$1007,A409,$B$8:$B$1007,B409)&lt;&gt;1),"N. esecuzione non valido",IF(OR(NOT(ISNUMBER(C409)),AND(D409&lt;&gt;"Ingresso",D409&lt;&gt;"Uscita"),AND(E409&lt;&gt;"Back",E409&lt;&gt;"Lay")),"Completa data / fase / lato",IF(OR(NOT(ISNUMBER(F409)),F409&lt;=1,NOT(ISNUMBER(G409)),G409&lt;=0),"Correggi quota / stake","OK")))))</x:f>
      </x:c>
    </x:row>
    <x:row r="410" ht="22" customHeight="1">
      <x:c r="A410" s="24"/>
      <x:c r="B410" s="24"/>
      <x:c r="C410" s="26"/>
      <x:c r="D410" s="24"/>
      <x:c r="E410" s="24"/>
      <x:c r="F410" s="28"/>
      <x:c r="G410" s="29"/>
      <x:c r="H410" s="24"/>
      <x:c r="I410" s="24"/>
      <x:c r="J410" s="24"/>
      <x:c r="K410" s="24"/>
      <x:c r="L410" s="20" t="str">
        <x:f>IF(Q410&lt;&gt;"OK","",IF(E410="Back",G410*(F410-1),-G410*(F410-1)))</x:f>
      </x:c>
      <x:c r="M410" s="20" t="str">
        <x:f>IF(Q410&lt;&gt;"OK","",IF(E410="Back",-G410,G410))</x:f>
      </x:c>
      <x:c r="N410" s="20" t="str">
        <x:f>IF(Q410&lt;&gt;"OK","",SUMIFS($L$8:$L$1007,$A$8:$A$1007,A410,$B$8:$B$1007,"&lt;="&amp;B410))</x:f>
      </x:c>
      <x:c r="O410" s="20" t="str">
        <x:f>IF(Q410&lt;&gt;"OK","",SUMIFS($M$8:$M$1007,$A$8:$A$1007,A410,$B$8:$B$1007,"&lt;="&amp;B410))</x:f>
      </x:c>
      <x:c r="P410" s="20" t="str">
        <x:f>IF(Q410&lt;&gt;"OK","",MAX(0,-MIN(N410,O410)))</x:f>
      </x:c>
      <x:c r="Q410" s="18" t="str">
        <x:f>IF(A410="",IF(COUNTA(B410:K410)=0,"","Inserisci ID"),IF(COUNTIFS('Diario'!$A$8:$A$507,A410)&lt;&gt;1,"ID assente / duplicato",IF(OR(NOT(ISNUMBER(B410)),B410&lt;1,B410&lt;&gt;INT(B410),COUNTIFS($A$8:$A$1007,A410,$B$8:$B$1007,B410)&lt;&gt;1),"N. esecuzione non valido",IF(OR(NOT(ISNUMBER(C410)),AND(D410&lt;&gt;"Ingresso",D410&lt;&gt;"Uscita"),AND(E410&lt;&gt;"Back",E410&lt;&gt;"Lay")),"Completa data / fase / lato",IF(OR(NOT(ISNUMBER(F410)),F410&lt;=1,NOT(ISNUMBER(G410)),G410&lt;=0),"Correggi quota / stake","OK")))))</x:f>
      </x:c>
    </x:row>
    <x:row r="411" ht="22" customHeight="1">
      <x:c r="A411" s="24"/>
      <x:c r="B411" s="24"/>
      <x:c r="C411" s="26"/>
      <x:c r="D411" s="24"/>
      <x:c r="E411" s="24"/>
      <x:c r="F411" s="28"/>
      <x:c r="G411" s="29"/>
      <x:c r="H411" s="24"/>
      <x:c r="I411" s="24"/>
      <x:c r="J411" s="24"/>
      <x:c r="K411" s="24"/>
      <x:c r="L411" s="20" t="str">
        <x:f>IF(Q411&lt;&gt;"OK","",IF(E411="Back",G411*(F411-1),-G411*(F411-1)))</x:f>
      </x:c>
      <x:c r="M411" s="20" t="str">
        <x:f>IF(Q411&lt;&gt;"OK","",IF(E411="Back",-G411,G411))</x:f>
      </x:c>
      <x:c r="N411" s="20" t="str">
        <x:f>IF(Q411&lt;&gt;"OK","",SUMIFS($L$8:$L$1007,$A$8:$A$1007,A411,$B$8:$B$1007,"&lt;="&amp;B411))</x:f>
      </x:c>
      <x:c r="O411" s="20" t="str">
        <x:f>IF(Q411&lt;&gt;"OK","",SUMIFS($M$8:$M$1007,$A$8:$A$1007,A411,$B$8:$B$1007,"&lt;="&amp;B411))</x:f>
      </x:c>
      <x:c r="P411" s="20" t="str">
        <x:f>IF(Q411&lt;&gt;"OK","",MAX(0,-MIN(N411,O411)))</x:f>
      </x:c>
      <x:c r="Q411" s="18" t="str">
        <x:f>IF(A411="",IF(COUNTA(B411:K411)=0,"","Inserisci ID"),IF(COUNTIFS('Diario'!$A$8:$A$507,A411)&lt;&gt;1,"ID assente / duplicato",IF(OR(NOT(ISNUMBER(B411)),B411&lt;1,B411&lt;&gt;INT(B411),COUNTIFS($A$8:$A$1007,A411,$B$8:$B$1007,B411)&lt;&gt;1),"N. esecuzione non valido",IF(OR(NOT(ISNUMBER(C411)),AND(D411&lt;&gt;"Ingresso",D411&lt;&gt;"Uscita"),AND(E411&lt;&gt;"Back",E411&lt;&gt;"Lay")),"Completa data / fase / lato",IF(OR(NOT(ISNUMBER(F411)),F411&lt;=1,NOT(ISNUMBER(G411)),G411&lt;=0),"Correggi quota / stake","OK")))))</x:f>
      </x:c>
    </x:row>
    <x:row r="412" ht="22" customHeight="1">
      <x:c r="A412" s="24"/>
      <x:c r="B412" s="24"/>
      <x:c r="C412" s="26"/>
      <x:c r="D412" s="24"/>
      <x:c r="E412" s="24"/>
      <x:c r="F412" s="28"/>
      <x:c r="G412" s="29"/>
      <x:c r="H412" s="24"/>
      <x:c r="I412" s="24"/>
      <x:c r="J412" s="24"/>
      <x:c r="K412" s="24"/>
      <x:c r="L412" s="20" t="str">
        <x:f>IF(Q412&lt;&gt;"OK","",IF(E412="Back",G412*(F412-1),-G412*(F412-1)))</x:f>
      </x:c>
      <x:c r="M412" s="20" t="str">
        <x:f>IF(Q412&lt;&gt;"OK","",IF(E412="Back",-G412,G412))</x:f>
      </x:c>
      <x:c r="N412" s="20" t="str">
        <x:f>IF(Q412&lt;&gt;"OK","",SUMIFS($L$8:$L$1007,$A$8:$A$1007,A412,$B$8:$B$1007,"&lt;="&amp;B412))</x:f>
      </x:c>
      <x:c r="O412" s="20" t="str">
        <x:f>IF(Q412&lt;&gt;"OK","",SUMIFS($M$8:$M$1007,$A$8:$A$1007,A412,$B$8:$B$1007,"&lt;="&amp;B412))</x:f>
      </x:c>
      <x:c r="P412" s="20" t="str">
        <x:f>IF(Q412&lt;&gt;"OK","",MAX(0,-MIN(N412,O412)))</x:f>
      </x:c>
      <x:c r="Q412" s="18" t="str">
        <x:f>IF(A412="",IF(COUNTA(B412:K412)=0,"","Inserisci ID"),IF(COUNTIFS('Diario'!$A$8:$A$507,A412)&lt;&gt;1,"ID assente / duplicato",IF(OR(NOT(ISNUMBER(B412)),B412&lt;1,B412&lt;&gt;INT(B412),COUNTIFS($A$8:$A$1007,A412,$B$8:$B$1007,B412)&lt;&gt;1),"N. esecuzione non valido",IF(OR(NOT(ISNUMBER(C412)),AND(D412&lt;&gt;"Ingresso",D412&lt;&gt;"Uscita"),AND(E412&lt;&gt;"Back",E412&lt;&gt;"Lay")),"Completa data / fase / lato",IF(OR(NOT(ISNUMBER(F412)),F412&lt;=1,NOT(ISNUMBER(G412)),G412&lt;=0),"Correggi quota / stake","OK")))))</x:f>
      </x:c>
    </x:row>
    <x:row r="413" ht="22" customHeight="1">
      <x:c r="A413" s="24"/>
      <x:c r="B413" s="24"/>
      <x:c r="C413" s="26"/>
      <x:c r="D413" s="24"/>
      <x:c r="E413" s="24"/>
      <x:c r="F413" s="28"/>
      <x:c r="G413" s="29"/>
      <x:c r="H413" s="24"/>
      <x:c r="I413" s="24"/>
      <x:c r="J413" s="24"/>
      <x:c r="K413" s="24"/>
      <x:c r="L413" s="20" t="str">
        <x:f>IF(Q413&lt;&gt;"OK","",IF(E413="Back",G413*(F413-1),-G413*(F413-1)))</x:f>
      </x:c>
      <x:c r="M413" s="20" t="str">
        <x:f>IF(Q413&lt;&gt;"OK","",IF(E413="Back",-G413,G413))</x:f>
      </x:c>
      <x:c r="N413" s="20" t="str">
        <x:f>IF(Q413&lt;&gt;"OK","",SUMIFS($L$8:$L$1007,$A$8:$A$1007,A413,$B$8:$B$1007,"&lt;="&amp;B413))</x:f>
      </x:c>
      <x:c r="O413" s="20" t="str">
        <x:f>IF(Q413&lt;&gt;"OK","",SUMIFS($M$8:$M$1007,$A$8:$A$1007,A413,$B$8:$B$1007,"&lt;="&amp;B413))</x:f>
      </x:c>
      <x:c r="P413" s="20" t="str">
        <x:f>IF(Q413&lt;&gt;"OK","",MAX(0,-MIN(N413,O413)))</x:f>
      </x:c>
      <x:c r="Q413" s="18" t="str">
        <x:f>IF(A413="",IF(COUNTA(B413:K413)=0,"","Inserisci ID"),IF(COUNTIFS('Diario'!$A$8:$A$507,A413)&lt;&gt;1,"ID assente / duplicato",IF(OR(NOT(ISNUMBER(B413)),B413&lt;1,B413&lt;&gt;INT(B413),COUNTIFS($A$8:$A$1007,A413,$B$8:$B$1007,B413)&lt;&gt;1),"N. esecuzione non valido",IF(OR(NOT(ISNUMBER(C413)),AND(D413&lt;&gt;"Ingresso",D413&lt;&gt;"Uscita"),AND(E413&lt;&gt;"Back",E413&lt;&gt;"Lay")),"Completa data / fase / lato",IF(OR(NOT(ISNUMBER(F413)),F413&lt;=1,NOT(ISNUMBER(G413)),G413&lt;=0),"Correggi quota / stake","OK")))))</x:f>
      </x:c>
    </x:row>
    <x:row r="414" ht="22" customHeight="1">
      <x:c r="A414" s="24"/>
      <x:c r="B414" s="24"/>
      <x:c r="C414" s="26"/>
      <x:c r="D414" s="24"/>
      <x:c r="E414" s="24"/>
      <x:c r="F414" s="28"/>
      <x:c r="G414" s="29"/>
      <x:c r="H414" s="24"/>
      <x:c r="I414" s="24"/>
      <x:c r="J414" s="24"/>
      <x:c r="K414" s="24"/>
      <x:c r="L414" s="20" t="str">
        <x:f>IF(Q414&lt;&gt;"OK","",IF(E414="Back",G414*(F414-1),-G414*(F414-1)))</x:f>
      </x:c>
      <x:c r="M414" s="20" t="str">
        <x:f>IF(Q414&lt;&gt;"OK","",IF(E414="Back",-G414,G414))</x:f>
      </x:c>
      <x:c r="N414" s="20" t="str">
        <x:f>IF(Q414&lt;&gt;"OK","",SUMIFS($L$8:$L$1007,$A$8:$A$1007,A414,$B$8:$B$1007,"&lt;="&amp;B414))</x:f>
      </x:c>
      <x:c r="O414" s="20" t="str">
        <x:f>IF(Q414&lt;&gt;"OK","",SUMIFS($M$8:$M$1007,$A$8:$A$1007,A414,$B$8:$B$1007,"&lt;="&amp;B414))</x:f>
      </x:c>
      <x:c r="P414" s="20" t="str">
        <x:f>IF(Q414&lt;&gt;"OK","",MAX(0,-MIN(N414,O414)))</x:f>
      </x:c>
      <x:c r="Q414" s="18" t="str">
        <x:f>IF(A414="",IF(COUNTA(B414:K414)=0,"","Inserisci ID"),IF(COUNTIFS('Diario'!$A$8:$A$507,A414)&lt;&gt;1,"ID assente / duplicato",IF(OR(NOT(ISNUMBER(B414)),B414&lt;1,B414&lt;&gt;INT(B414),COUNTIFS($A$8:$A$1007,A414,$B$8:$B$1007,B414)&lt;&gt;1),"N. esecuzione non valido",IF(OR(NOT(ISNUMBER(C414)),AND(D414&lt;&gt;"Ingresso",D414&lt;&gt;"Uscita"),AND(E414&lt;&gt;"Back",E414&lt;&gt;"Lay")),"Completa data / fase / lato",IF(OR(NOT(ISNUMBER(F414)),F414&lt;=1,NOT(ISNUMBER(G414)),G414&lt;=0),"Correggi quota / stake","OK")))))</x:f>
      </x:c>
    </x:row>
    <x:row r="415" ht="22" customHeight="1">
      <x:c r="A415" s="24"/>
      <x:c r="B415" s="24"/>
      <x:c r="C415" s="26"/>
      <x:c r="D415" s="24"/>
      <x:c r="E415" s="24"/>
      <x:c r="F415" s="28"/>
      <x:c r="G415" s="29"/>
      <x:c r="H415" s="24"/>
      <x:c r="I415" s="24"/>
      <x:c r="J415" s="24"/>
      <x:c r="K415" s="24"/>
      <x:c r="L415" s="20" t="str">
        <x:f>IF(Q415&lt;&gt;"OK","",IF(E415="Back",G415*(F415-1),-G415*(F415-1)))</x:f>
      </x:c>
      <x:c r="M415" s="20" t="str">
        <x:f>IF(Q415&lt;&gt;"OK","",IF(E415="Back",-G415,G415))</x:f>
      </x:c>
      <x:c r="N415" s="20" t="str">
        <x:f>IF(Q415&lt;&gt;"OK","",SUMIFS($L$8:$L$1007,$A$8:$A$1007,A415,$B$8:$B$1007,"&lt;="&amp;B415))</x:f>
      </x:c>
      <x:c r="O415" s="20" t="str">
        <x:f>IF(Q415&lt;&gt;"OK","",SUMIFS($M$8:$M$1007,$A$8:$A$1007,A415,$B$8:$B$1007,"&lt;="&amp;B415))</x:f>
      </x:c>
      <x:c r="P415" s="20" t="str">
        <x:f>IF(Q415&lt;&gt;"OK","",MAX(0,-MIN(N415,O415)))</x:f>
      </x:c>
      <x:c r="Q415" s="18" t="str">
        <x:f>IF(A415="",IF(COUNTA(B415:K415)=0,"","Inserisci ID"),IF(COUNTIFS('Diario'!$A$8:$A$507,A415)&lt;&gt;1,"ID assente / duplicato",IF(OR(NOT(ISNUMBER(B415)),B415&lt;1,B415&lt;&gt;INT(B415),COUNTIFS($A$8:$A$1007,A415,$B$8:$B$1007,B415)&lt;&gt;1),"N. esecuzione non valido",IF(OR(NOT(ISNUMBER(C415)),AND(D415&lt;&gt;"Ingresso",D415&lt;&gt;"Uscita"),AND(E415&lt;&gt;"Back",E415&lt;&gt;"Lay")),"Completa data / fase / lato",IF(OR(NOT(ISNUMBER(F415)),F415&lt;=1,NOT(ISNUMBER(G415)),G415&lt;=0),"Correggi quota / stake","OK")))))</x:f>
      </x:c>
    </x:row>
    <x:row r="416" ht="22" customHeight="1">
      <x:c r="A416" s="24"/>
      <x:c r="B416" s="24"/>
      <x:c r="C416" s="26"/>
      <x:c r="D416" s="24"/>
      <x:c r="E416" s="24"/>
      <x:c r="F416" s="28"/>
      <x:c r="G416" s="29"/>
      <x:c r="H416" s="24"/>
      <x:c r="I416" s="24"/>
      <x:c r="J416" s="24"/>
      <x:c r="K416" s="24"/>
      <x:c r="L416" s="20" t="str">
        <x:f>IF(Q416&lt;&gt;"OK","",IF(E416="Back",G416*(F416-1),-G416*(F416-1)))</x:f>
      </x:c>
      <x:c r="M416" s="20" t="str">
        <x:f>IF(Q416&lt;&gt;"OK","",IF(E416="Back",-G416,G416))</x:f>
      </x:c>
      <x:c r="N416" s="20" t="str">
        <x:f>IF(Q416&lt;&gt;"OK","",SUMIFS($L$8:$L$1007,$A$8:$A$1007,A416,$B$8:$B$1007,"&lt;="&amp;B416))</x:f>
      </x:c>
      <x:c r="O416" s="20" t="str">
        <x:f>IF(Q416&lt;&gt;"OK","",SUMIFS($M$8:$M$1007,$A$8:$A$1007,A416,$B$8:$B$1007,"&lt;="&amp;B416))</x:f>
      </x:c>
      <x:c r="P416" s="20" t="str">
        <x:f>IF(Q416&lt;&gt;"OK","",MAX(0,-MIN(N416,O416)))</x:f>
      </x:c>
      <x:c r="Q416" s="18" t="str">
        <x:f>IF(A416="",IF(COUNTA(B416:K416)=0,"","Inserisci ID"),IF(COUNTIFS('Diario'!$A$8:$A$507,A416)&lt;&gt;1,"ID assente / duplicato",IF(OR(NOT(ISNUMBER(B416)),B416&lt;1,B416&lt;&gt;INT(B416),COUNTIFS($A$8:$A$1007,A416,$B$8:$B$1007,B416)&lt;&gt;1),"N. esecuzione non valido",IF(OR(NOT(ISNUMBER(C416)),AND(D416&lt;&gt;"Ingresso",D416&lt;&gt;"Uscita"),AND(E416&lt;&gt;"Back",E416&lt;&gt;"Lay")),"Completa data / fase / lato",IF(OR(NOT(ISNUMBER(F416)),F416&lt;=1,NOT(ISNUMBER(G416)),G416&lt;=0),"Correggi quota / stake","OK")))))</x:f>
      </x:c>
    </x:row>
    <x:row r="417" ht="22" customHeight="1">
      <x:c r="A417" s="24"/>
      <x:c r="B417" s="24"/>
      <x:c r="C417" s="26"/>
      <x:c r="D417" s="24"/>
      <x:c r="E417" s="24"/>
      <x:c r="F417" s="28"/>
      <x:c r="G417" s="29"/>
      <x:c r="H417" s="24"/>
      <x:c r="I417" s="24"/>
      <x:c r="J417" s="24"/>
      <x:c r="K417" s="24"/>
      <x:c r="L417" s="20" t="str">
        <x:f>IF(Q417&lt;&gt;"OK","",IF(E417="Back",G417*(F417-1),-G417*(F417-1)))</x:f>
      </x:c>
      <x:c r="M417" s="20" t="str">
        <x:f>IF(Q417&lt;&gt;"OK","",IF(E417="Back",-G417,G417))</x:f>
      </x:c>
      <x:c r="N417" s="20" t="str">
        <x:f>IF(Q417&lt;&gt;"OK","",SUMIFS($L$8:$L$1007,$A$8:$A$1007,A417,$B$8:$B$1007,"&lt;="&amp;B417))</x:f>
      </x:c>
      <x:c r="O417" s="20" t="str">
        <x:f>IF(Q417&lt;&gt;"OK","",SUMIFS($M$8:$M$1007,$A$8:$A$1007,A417,$B$8:$B$1007,"&lt;="&amp;B417))</x:f>
      </x:c>
      <x:c r="P417" s="20" t="str">
        <x:f>IF(Q417&lt;&gt;"OK","",MAX(0,-MIN(N417,O417)))</x:f>
      </x:c>
      <x:c r="Q417" s="18" t="str">
        <x:f>IF(A417="",IF(COUNTA(B417:K417)=0,"","Inserisci ID"),IF(COUNTIFS('Diario'!$A$8:$A$507,A417)&lt;&gt;1,"ID assente / duplicato",IF(OR(NOT(ISNUMBER(B417)),B417&lt;1,B417&lt;&gt;INT(B417),COUNTIFS($A$8:$A$1007,A417,$B$8:$B$1007,B417)&lt;&gt;1),"N. esecuzione non valido",IF(OR(NOT(ISNUMBER(C417)),AND(D417&lt;&gt;"Ingresso",D417&lt;&gt;"Uscita"),AND(E417&lt;&gt;"Back",E417&lt;&gt;"Lay")),"Completa data / fase / lato",IF(OR(NOT(ISNUMBER(F417)),F417&lt;=1,NOT(ISNUMBER(G417)),G417&lt;=0),"Correggi quota / stake","OK")))))</x:f>
      </x:c>
    </x:row>
    <x:row r="418" ht="22" customHeight="1">
      <x:c r="A418" s="24"/>
      <x:c r="B418" s="24"/>
      <x:c r="C418" s="26"/>
      <x:c r="D418" s="24"/>
      <x:c r="E418" s="24"/>
      <x:c r="F418" s="28"/>
      <x:c r="G418" s="29"/>
      <x:c r="H418" s="24"/>
      <x:c r="I418" s="24"/>
      <x:c r="J418" s="24"/>
      <x:c r="K418" s="24"/>
      <x:c r="L418" s="20" t="str">
        <x:f>IF(Q418&lt;&gt;"OK","",IF(E418="Back",G418*(F418-1),-G418*(F418-1)))</x:f>
      </x:c>
      <x:c r="M418" s="20" t="str">
        <x:f>IF(Q418&lt;&gt;"OK","",IF(E418="Back",-G418,G418))</x:f>
      </x:c>
      <x:c r="N418" s="20" t="str">
        <x:f>IF(Q418&lt;&gt;"OK","",SUMIFS($L$8:$L$1007,$A$8:$A$1007,A418,$B$8:$B$1007,"&lt;="&amp;B418))</x:f>
      </x:c>
      <x:c r="O418" s="20" t="str">
        <x:f>IF(Q418&lt;&gt;"OK","",SUMIFS($M$8:$M$1007,$A$8:$A$1007,A418,$B$8:$B$1007,"&lt;="&amp;B418))</x:f>
      </x:c>
      <x:c r="P418" s="20" t="str">
        <x:f>IF(Q418&lt;&gt;"OK","",MAX(0,-MIN(N418,O418)))</x:f>
      </x:c>
      <x:c r="Q418" s="18" t="str">
        <x:f>IF(A418="",IF(COUNTA(B418:K418)=0,"","Inserisci ID"),IF(COUNTIFS('Diario'!$A$8:$A$507,A418)&lt;&gt;1,"ID assente / duplicato",IF(OR(NOT(ISNUMBER(B418)),B418&lt;1,B418&lt;&gt;INT(B418),COUNTIFS($A$8:$A$1007,A418,$B$8:$B$1007,B418)&lt;&gt;1),"N. esecuzione non valido",IF(OR(NOT(ISNUMBER(C418)),AND(D418&lt;&gt;"Ingresso",D418&lt;&gt;"Uscita"),AND(E418&lt;&gt;"Back",E418&lt;&gt;"Lay")),"Completa data / fase / lato",IF(OR(NOT(ISNUMBER(F418)),F418&lt;=1,NOT(ISNUMBER(G418)),G418&lt;=0),"Correggi quota / stake","OK")))))</x:f>
      </x:c>
    </x:row>
    <x:row r="419" ht="22" customHeight="1">
      <x:c r="A419" s="24"/>
      <x:c r="B419" s="24"/>
      <x:c r="C419" s="26"/>
      <x:c r="D419" s="24"/>
      <x:c r="E419" s="24"/>
      <x:c r="F419" s="28"/>
      <x:c r="G419" s="29"/>
      <x:c r="H419" s="24"/>
      <x:c r="I419" s="24"/>
      <x:c r="J419" s="24"/>
      <x:c r="K419" s="24"/>
      <x:c r="L419" s="20" t="str">
        <x:f>IF(Q419&lt;&gt;"OK","",IF(E419="Back",G419*(F419-1),-G419*(F419-1)))</x:f>
      </x:c>
      <x:c r="M419" s="20" t="str">
        <x:f>IF(Q419&lt;&gt;"OK","",IF(E419="Back",-G419,G419))</x:f>
      </x:c>
      <x:c r="N419" s="20" t="str">
        <x:f>IF(Q419&lt;&gt;"OK","",SUMIFS($L$8:$L$1007,$A$8:$A$1007,A419,$B$8:$B$1007,"&lt;="&amp;B419))</x:f>
      </x:c>
      <x:c r="O419" s="20" t="str">
        <x:f>IF(Q419&lt;&gt;"OK","",SUMIFS($M$8:$M$1007,$A$8:$A$1007,A419,$B$8:$B$1007,"&lt;="&amp;B419))</x:f>
      </x:c>
      <x:c r="P419" s="20" t="str">
        <x:f>IF(Q419&lt;&gt;"OK","",MAX(0,-MIN(N419,O419)))</x:f>
      </x:c>
      <x:c r="Q419" s="18" t="str">
        <x:f>IF(A419="",IF(COUNTA(B419:K419)=0,"","Inserisci ID"),IF(COUNTIFS('Diario'!$A$8:$A$507,A419)&lt;&gt;1,"ID assente / duplicato",IF(OR(NOT(ISNUMBER(B419)),B419&lt;1,B419&lt;&gt;INT(B419),COUNTIFS($A$8:$A$1007,A419,$B$8:$B$1007,B419)&lt;&gt;1),"N. esecuzione non valido",IF(OR(NOT(ISNUMBER(C419)),AND(D419&lt;&gt;"Ingresso",D419&lt;&gt;"Uscita"),AND(E419&lt;&gt;"Back",E419&lt;&gt;"Lay")),"Completa data / fase / lato",IF(OR(NOT(ISNUMBER(F419)),F419&lt;=1,NOT(ISNUMBER(G419)),G419&lt;=0),"Correggi quota / stake","OK")))))</x:f>
      </x:c>
    </x:row>
    <x:row r="420" ht="22" customHeight="1">
      <x:c r="A420" s="24"/>
      <x:c r="B420" s="24"/>
      <x:c r="C420" s="26"/>
      <x:c r="D420" s="24"/>
      <x:c r="E420" s="24"/>
      <x:c r="F420" s="28"/>
      <x:c r="G420" s="29"/>
      <x:c r="H420" s="24"/>
      <x:c r="I420" s="24"/>
      <x:c r="J420" s="24"/>
      <x:c r="K420" s="24"/>
      <x:c r="L420" s="20" t="str">
        <x:f>IF(Q420&lt;&gt;"OK","",IF(E420="Back",G420*(F420-1),-G420*(F420-1)))</x:f>
      </x:c>
      <x:c r="M420" s="20" t="str">
        <x:f>IF(Q420&lt;&gt;"OK","",IF(E420="Back",-G420,G420))</x:f>
      </x:c>
      <x:c r="N420" s="20" t="str">
        <x:f>IF(Q420&lt;&gt;"OK","",SUMIFS($L$8:$L$1007,$A$8:$A$1007,A420,$B$8:$B$1007,"&lt;="&amp;B420))</x:f>
      </x:c>
      <x:c r="O420" s="20" t="str">
        <x:f>IF(Q420&lt;&gt;"OK","",SUMIFS($M$8:$M$1007,$A$8:$A$1007,A420,$B$8:$B$1007,"&lt;="&amp;B420))</x:f>
      </x:c>
      <x:c r="P420" s="20" t="str">
        <x:f>IF(Q420&lt;&gt;"OK","",MAX(0,-MIN(N420,O420)))</x:f>
      </x:c>
      <x:c r="Q420" s="18" t="str">
        <x:f>IF(A420="",IF(COUNTA(B420:K420)=0,"","Inserisci ID"),IF(COUNTIFS('Diario'!$A$8:$A$507,A420)&lt;&gt;1,"ID assente / duplicato",IF(OR(NOT(ISNUMBER(B420)),B420&lt;1,B420&lt;&gt;INT(B420),COUNTIFS($A$8:$A$1007,A420,$B$8:$B$1007,B420)&lt;&gt;1),"N. esecuzione non valido",IF(OR(NOT(ISNUMBER(C420)),AND(D420&lt;&gt;"Ingresso",D420&lt;&gt;"Uscita"),AND(E420&lt;&gt;"Back",E420&lt;&gt;"Lay")),"Completa data / fase / lato",IF(OR(NOT(ISNUMBER(F420)),F420&lt;=1,NOT(ISNUMBER(G420)),G420&lt;=0),"Correggi quota / stake","OK")))))</x:f>
      </x:c>
    </x:row>
    <x:row r="421" ht="22" customHeight="1">
      <x:c r="A421" s="24"/>
      <x:c r="B421" s="24"/>
      <x:c r="C421" s="26"/>
      <x:c r="D421" s="24"/>
      <x:c r="E421" s="24"/>
      <x:c r="F421" s="28"/>
      <x:c r="G421" s="29"/>
      <x:c r="H421" s="24"/>
      <x:c r="I421" s="24"/>
      <x:c r="J421" s="24"/>
      <x:c r="K421" s="24"/>
      <x:c r="L421" s="20" t="str">
        <x:f>IF(Q421&lt;&gt;"OK","",IF(E421="Back",G421*(F421-1),-G421*(F421-1)))</x:f>
      </x:c>
      <x:c r="M421" s="20" t="str">
        <x:f>IF(Q421&lt;&gt;"OK","",IF(E421="Back",-G421,G421))</x:f>
      </x:c>
      <x:c r="N421" s="20" t="str">
        <x:f>IF(Q421&lt;&gt;"OK","",SUMIFS($L$8:$L$1007,$A$8:$A$1007,A421,$B$8:$B$1007,"&lt;="&amp;B421))</x:f>
      </x:c>
      <x:c r="O421" s="20" t="str">
        <x:f>IF(Q421&lt;&gt;"OK","",SUMIFS($M$8:$M$1007,$A$8:$A$1007,A421,$B$8:$B$1007,"&lt;="&amp;B421))</x:f>
      </x:c>
      <x:c r="P421" s="20" t="str">
        <x:f>IF(Q421&lt;&gt;"OK","",MAX(0,-MIN(N421,O421)))</x:f>
      </x:c>
      <x:c r="Q421" s="18" t="str">
        <x:f>IF(A421="",IF(COUNTA(B421:K421)=0,"","Inserisci ID"),IF(COUNTIFS('Diario'!$A$8:$A$507,A421)&lt;&gt;1,"ID assente / duplicato",IF(OR(NOT(ISNUMBER(B421)),B421&lt;1,B421&lt;&gt;INT(B421),COUNTIFS($A$8:$A$1007,A421,$B$8:$B$1007,B421)&lt;&gt;1),"N. esecuzione non valido",IF(OR(NOT(ISNUMBER(C421)),AND(D421&lt;&gt;"Ingresso",D421&lt;&gt;"Uscita"),AND(E421&lt;&gt;"Back",E421&lt;&gt;"Lay")),"Completa data / fase / lato",IF(OR(NOT(ISNUMBER(F421)),F421&lt;=1,NOT(ISNUMBER(G421)),G421&lt;=0),"Correggi quota / stake","OK")))))</x:f>
      </x:c>
    </x:row>
    <x:row r="422" ht="22" customHeight="1">
      <x:c r="A422" s="24"/>
      <x:c r="B422" s="24"/>
      <x:c r="C422" s="26"/>
      <x:c r="D422" s="24"/>
      <x:c r="E422" s="24"/>
      <x:c r="F422" s="28"/>
      <x:c r="G422" s="29"/>
      <x:c r="H422" s="24"/>
      <x:c r="I422" s="24"/>
      <x:c r="J422" s="24"/>
      <x:c r="K422" s="24"/>
      <x:c r="L422" s="20" t="str">
        <x:f>IF(Q422&lt;&gt;"OK","",IF(E422="Back",G422*(F422-1),-G422*(F422-1)))</x:f>
      </x:c>
      <x:c r="M422" s="20" t="str">
        <x:f>IF(Q422&lt;&gt;"OK","",IF(E422="Back",-G422,G422))</x:f>
      </x:c>
      <x:c r="N422" s="20" t="str">
        <x:f>IF(Q422&lt;&gt;"OK","",SUMIFS($L$8:$L$1007,$A$8:$A$1007,A422,$B$8:$B$1007,"&lt;="&amp;B422))</x:f>
      </x:c>
      <x:c r="O422" s="20" t="str">
        <x:f>IF(Q422&lt;&gt;"OK","",SUMIFS($M$8:$M$1007,$A$8:$A$1007,A422,$B$8:$B$1007,"&lt;="&amp;B422))</x:f>
      </x:c>
      <x:c r="P422" s="20" t="str">
        <x:f>IF(Q422&lt;&gt;"OK","",MAX(0,-MIN(N422,O422)))</x:f>
      </x:c>
      <x:c r="Q422" s="18" t="str">
        <x:f>IF(A422="",IF(COUNTA(B422:K422)=0,"","Inserisci ID"),IF(COUNTIFS('Diario'!$A$8:$A$507,A422)&lt;&gt;1,"ID assente / duplicato",IF(OR(NOT(ISNUMBER(B422)),B422&lt;1,B422&lt;&gt;INT(B422),COUNTIFS($A$8:$A$1007,A422,$B$8:$B$1007,B422)&lt;&gt;1),"N. esecuzione non valido",IF(OR(NOT(ISNUMBER(C422)),AND(D422&lt;&gt;"Ingresso",D422&lt;&gt;"Uscita"),AND(E422&lt;&gt;"Back",E422&lt;&gt;"Lay")),"Completa data / fase / lato",IF(OR(NOT(ISNUMBER(F422)),F422&lt;=1,NOT(ISNUMBER(G422)),G422&lt;=0),"Correggi quota / stake","OK")))))</x:f>
      </x:c>
    </x:row>
    <x:row r="423" ht="22" customHeight="1">
      <x:c r="A423" s="24"/>
      <x:c r="B423" s="24"/>
      <x:c r="C423" s="26"/>
      <x:c r="D423" s="24"/>
      <x:c r="E423" s="24"/>
      <x:c r="F423" s="28"/>
      <x:c r="G423" s="29"/>
      <x:c r="H423" s="24"/>
      <x:c r="I423" s="24"/>
      <x:c r="J423" s="24"/>
      <x:c r="K423" s="24"/>
      <x:c r="L423" s="20" t="str">
        <x:f>IF(Q423&lt;&gt;"OK","",IF(E423="Back",G423*(F423-1),-G423*(F423-1)))</x:f>
      </x:c>
      <x:c r="M423" s="20" t="str">
        <x:f>IF(Q423&lt;&gt;"OK","",IF(E423="Back",-G423,G423))</x:f>
      </x:c>
      <x:c r="N423" s="20" t="str">
        <x:f>IF(Q423&lt;&gt;"OK","",SUMIFS($L$8:$L$1007,$A$8:$A$1007,A423,$B$8:$B$1007,"&lt;="&amp;B423))</x:f>
      </x:c>
      <x:c r="O423" s="20" t="str">
        <x:f>IF(Q423&lt;&gt;"OK","",SUMIFS($M$8:$M$1007,$A$8:$A$1007,A423,$B$8:$B$1007,"&lt;="&amp;B423))</x:f>
      </x:c>
      <x:c r="P423" s="20" t="str">
        <x:f>IF(Q423&lt;&gt;"OK","",MAX(0,-MIN(N423,O423)))</x:f>
      </x:c>
      <x:c r="Q423" s="18" t="str">
        <x:f>IF(A423="",IF(COUNTA(B423:K423)=0,"","Inserisci ID"),IF(COUNTIFS('Diario'!$A$8:$A$507,A423)&lt;&gt;1,"ID assente / duplicato",IF(OR(NOT(ISNUMBER(B423)),B423&lt;1,B423&lt;&gt;INT(B423),COUNTIFS($A$8:$A$1007,A423,$B$8:$B$1007,B423)&lt;&gt;1),"N. esecuzione non valido",IF(OR(NOT(ISNUMBER(C423)),AND(D423&lt;&gt;"Ingresso",D423&lt;&gt;"Uscita"),AND(E423&lt;&gt;"Back",E423&lt;&gt;"Lay")),"Completa data / fase / lato",IF(OR(NOT(ISNUMBER(F423)),F423&lt;=1,NOT(ISNUMBER(G423)),G423&lt;=0),"Correggi quota / stake","OK")))))</x:f>
      </x:c>
    </x:row>
    <x:row r="424" ht="22" customHeight="1">
      <x:c r="A424" s="24"/>
      <x:c r="B424" s="24"/>
      <x:c r="C424" s="26"/>
      <x:c r="D424" s="24"/>
      <x:c r="E424" s="24"/>
      <x:c r="F424" s="28"/>
      <x:c r="G424" s="29"/>
      <x:c r="H424" s="24"/>
      <x:c r="I424" s="24"/>
      <x:c r="J424" s="24"/>
      <x:c r="K424" s="24"/>
      <x:c r="L424" s="20" t="str">
        <x:f>IF(Q424&lt;&gt;"OK","",IF(E424="Back",G424*(F424-1),-G424*(F424-1)))</x:f>
      </x:c>
      <x:c r="M424" s="20" t="str">
        <x:f>IF(Q424&lt;&gt;"OK","",IF(E424="Back",-G424,G424))</x:f>
      </x:c>
      <x:c r="N424" s="20" t="str">
        <x:f>IF(Q424&lt;&gt;"OK","",SUMIFS($L$8:$L$1007,$A$8:$A$1007,A424,$B$8:$B$1007,"&lt;="&amp;B424))</x:f>
      </x:c>
      <x:c r="O424" s="20" t="str">
        <x:f>IF(Q424&lt;&gt;"OK","",SUMIFS($M$8:$M$1007,$A$8:$A$1007,A424,$B$8:$B$1007,"&lt;="&amp;B424))</x:f>
      </x:c>
      <x:c r="P424" s="20" t="str">
        <x:f>IF(Q424&lt;&gt;"OK","",MAX(0,-MIN(N424,O424)))</x:f>
      </x:c>
      <x:c r="Q424" s="18" t="str">
        <x:f>IF(A424="",IF(COUNTA(B424:K424)=0,"","Inserisci ID"),IF(COUNTIFS('Diario'!$A$8:$A$507,A424)&lt;&gt;1,"ID assente / duplicato",IF(OR(NOT(ISNUMBER(B424)),B424&lt;1,B424&lt;&gt;INT(B424),COUNTIFS($A$8:$A$1007,A424,$B$8:$B$1007,B424)&lt;&gt;1),"N. esecuzione non valido",IF(OR(NOT(ISNUMBER(C424)),AND(D424&lt;&gt;"Ingresso",D424&lt;&gt;"Uscita"),AND(E424&lt;&gt;"Back",E424&lt;&gt;"Lay")),"Completa data / fase / lato",IF(OR(NOT(ISNUMBER(F424)),F424&lt;=1,NOT(ISNUMBER(G424)),G424&lt;=0),"Correggi quota / stake","OK")))))</x:f>
      </x:c>
    </x:row>
    <x:row r="425" ht="22" customHeight="1">
      <x:c r="A425" s="24"/>
      <x:c r="B425" s="24"/>
      <x:c r="C425" s="26"/>
      <x:c r="D425" s="24"/>
      <x:c r="E425" s="24"/>
      <x:c r="F425" s="28"/>
      <x:c r="G425" s="29"/>
      <x:c r="H425" s="24"/>
      <x:c r="I425" s="24"/>
      <x:c r="J425" s="24"/>
      <x:c r="K425" s="24"/>
      <x:c r="L425" s="20" t="str">
        <x:f>IF(Q425&lt;&gt;"OK","",IF(E425="Back",G425*(F425-1),-G425*(F425-1)))</x:f>
      </x:c>
      <x:c r="M425" s="20" t="str">
        <x:f>IF(Q425&lt;&gt;"OK","",IF(E425="Back",-G425,G425))</x:f>
      </x:c>
      <x:c r="N425" s="20" t="str">
        <x:f>IF(Q425&lt;&gt;"OK","",SUMIFS($L$8:$L$1007,$A$8:$A$1007,A425,$B$8:$B$1007,"&lt;="&amp;B425))</x:f>
      </x:c>
      <x:c r="O425" s="20" t="str">
        <x:f>IF(Q425&lt;&gt;"OK","",SUMIFS($M$8:$M$1007,$A$8:$A$1007,A425,$B$8:$B$1007,"&lt;="&amp;B425))</x:f>
      </x:c>
      <x:c r="P425" s="20" t="str">
        <x:f>IF(Q425&lt;&gt;"OK","",MAX(0,-MIN(N425,O425)))</x:f>
      </x:c>
      <x:c r="Q425" s="18" t="str">
        <x:f>IF(A425="",IF(COUNTA(B425:K425)=0,"","Inserisci ID"),IF(COUNTIFS('Diario'!$A$8:$A$507,A425)&lt;&gt;1,"ID assente / duplicato",IF(OR(NOT(ISNUMBER(B425)),B425&lt;1,B425&lt;&gt;INT(B425),COUNTIFS($A$8:$A$1007,A425,$B$8:$B$1007,B425)&lt;&gt;1),"N. esecuzione non valido",IF(OR(NOT(ISNUMBER(C425)),AND(D425&lt;&gt;"Ingresso",D425&lt;&gt;"Uscita"),AND(E425&lt;&gt;"Back",E425&lt;&gt;"Lay")),"Completa data / fase / lato",IF(OR(NOT(ISNUMBER(F425)),F425&lt;=1,NOT(ISNUMBER(G425)),G425&lt;=0),"Correggi quota / stake","OK")))))</x:f>
      </x:c>
    </x:row>
    <x:row r="426" ht="22" customHeight="1">
      <x:c r="A426" s="24"/>
      <x:c r="B426" s="24"/>
      <x:c r="C426" s="26"/>
      <x:c r="D426" s="24"/>
      <x:c r="E426" s="24"/>
      <x:c r="F426" s="28"/>
      <x:c r="G426" s="29"/>
      <x:c r="H426" s="24"/>
      <x:c r="I426" s="24"/>
      <x:c r="J426" s="24"/>
      <x:c r="K426" s="24"/>
      <x:c r="L426" s="20" t="str">
        <x:f>IF(Q426&lt;&gt;"OK","",IF(E426="Back",G426*(F426-1),-G426*(F426-1)))</x:f>
      </x:c>
      <x:c r="M426" s="20" t="str">
        <x:f>IF(Q426&lt;&gt;"OK","",IF(E426="Back",-G426,G426))</x:f>
      </x:c>
      <x:c r="N426" s="20" t="str">
        <x:f>IF(Q426&lt;&gt;"OK","",SUMIFS($L$8:$L$1007,$A$8:$A$1007,A426,$B$8:$B$1007,"&lt;="&amp;B426))</x:f>
      </x:c>
      <x:c r="O426" s="20" t="str">
        <x:f>IF(Q426&lt;&gt;"OK","",SUMIFS($M$8:$M$1007,$A$8:$A$1007,A426,$B$8:$B$1007,"&lt;="&amp;B426))</x:f>
      </x:c>
      <x:c r="P426" s="20" t="str">
        <x:f>IF(Q426&lt;&gt;"OK","",MAX(0,-MIN(N426,O426)))</x:f>
      </x:c>
      <x:c r="Q426" s="18" t="str">
        <x:f>IF(A426="",IF(COUNTA(B426:K426)=0,"","Inserisci ID"),IF(COUNTIFS('Diario'!$A$8:$A$507,A426)&lt;&gt;1,"ID assente / duplicato",IF(OR(NOT(ISNUMBER(B426)),B426&lt;1,B426&lt;&gt;INT(B426),COUNTIFS($A$8:$A$1007,A426,$B$8:$B$1007,B426)&lt;&gt;1),"N. esecuzione non valido",IF(OR(NOT(ISNUMBER(C426)),AND(D426&lt;&gt;"Ingresso",D426&lt;&gt;"Uscita"),AND(E426&lt;&gt;"Back",E426&lt;&gt;"Lay")),"Completa data / fase / lato",IF(OR(NOT(ISNUMBER(F426)),F426&lt;=1,NOT(ISNUMBER(G426)),G426&lt;=0),"Correggi quota / stake","OK")))))</x:f>
      </x:c>
    </x:row>
    <x:row r="427" ht="22" customHeight="1">
      <x:c r="A427" s="24"/>
      <x:c r="B427" s="24"/>
      <x:c r="C427" s="26"/>
      <x:c r="D427" s="24"/>
      <x:c r="E427" s="24"/>
      <x:c r="F427" s="28"/>
      <x:c r="G427" s="29"/>
      <x:c r="H427" s="24"/>
      <x:c r="I427" s="24"/>
      <x:c r="J427" s="24"/>
      <x:c r="K427" s="24"/>
      <x:c r="L427" s="20" t="str">
        <x:f>IF(Q427&lt;&gt;"OK","",IF(E427="Back",G427*(F427-1),-G427*(F427-1)))</x:f>
      </x:c>
      <x:c r="M427" s="20" t="str">
        <x:f>IF(Q427&lt;&gt;"OK","",IF(E427="Back",-G427,G427))</x:f>
      </x:c>
      <x:c r="N427" s="20" t="str">
        <x:f>IF(Q427&lt;&gt;"OK","",SUMIFS($L$8:$L$1007,$A$8:$A$1007,A427,$B$8:$B$1007,"&lt;="&amp;B427))</x:f>
      </x:c>
      <x:c r="O427" s="20" t="str">
        <x:f>IF(Q427&lt;&gt;"OK","",SUMIFS($M$8:$M$1007,$A$8:$A$1007,A427,$B$8:$B$1007,"&lt;="&amp;B427))</x:f>
      </x:c>
      <x:c r="P427" s="20" t="str">
        <x:f>IF(Q427&lt;&gt;"OK","",MAX(0,-MIN(N427,O427)))</x:f>
      </x:c>
      <x:c r="Q427" s="18" t="str">
        <x:f>IF(A427="",IF(COUNTA(B427:K427)=0,"","Inserisci ID"),IF(COUNTIFS('Diario'!$A$8:$A$507,A427)&lt;&gt;1,"ID assente / duplicato",IF(OR(NOT(ISNUMBER(B427)),B427&lt;1,B427&lt;&gt;INT(B427),COUNTIFS($A$8:$A$1007,A427,$B$8:$B$1007,B427)&lt;&gt;1),"N. esecuzione non valido",IF(OR(NOT(ISNUMBER(C427)),AND(D427&lt;&gt;"Ingresso",D427&lt;&gt;"Uscita"),AND(E427&lt;&gt;"Back",E427&lt;&gt;"Lay")),"Completa data / fase / lato",IF(OR(NOT(ISNUMBER(F427)),F427&lt;=1,NOT(ISNUMBER(G427)),G427&lt;=0),"Correggi quota / stake","OK")))))</x:f>
      </x:c>
    </x:row>
    <x:row r="428" ht="22" customHeight="1">
      <x:c r="A428" s="24"/>
      <x:c r="B428" s="24"/>
      <x:c r="C428" s="26"/>
      <x:c r="D428" s="24"/>
      <x:c r="E428" s="24"/>
      <x:c r="F428" s="28"/>
      <x:c r="G428" s="29"/>
      <x:c r="H428" s="24"/>
      <x:c r="I428" s="24"/>
      <x:c r="J428" s="24"/>
      <x:c r="K428" s="24"/>
      <x:c r="L428" s="20" t="str">
        <x:f>IF(Q428&lt;&gt;"OK","",IF(E428="Back",G428*(F428-1),-G428*(F428-1)))</x:f>
      </x:c>
      <x:c r="M428" s="20" t="str">
        <x:f>IF(Q428&lt;&gt;"OK","",IF(E428="Back",-G428,G428))</x:f>
      </x:c>
      <x:c r="N428" s="20" t="str">
        <x:f>IF(Q428&lt;&gt;"OK","",SUMIFS($L$8:$L$1007,$A$8:$A$1007,A428,$B$8:$B$1007,"&lt;="&amp;B428))</x:f>
      </x:c>
      <x:c r="O428" s="20" t="str">
        <x:f>IF(Q428&lt;&gt;"OK","",SUMIFS($M$8:$M$1007,$A$8:$A$1007,A428,$B$8:$B$1007,"&lt;="&amp;B428))</x:f>
      </x:c>
      <x:c r="P428" s="20" t="str">
        <x:f>IF(Q428&lt;&gt;"OK","",MAX(0,-MIN(N428,O428)))</x:f>
      </x:c>
      <x:c r="Q428" s="18" t="str">
        <x:f>IF(A428="",IF(COUNTA(B428:K428)=0,"","Inserisci ID"),IF(COUNTIFS('Diario'!$A$8:$A$507,A428)&lt;&gt;1,"ID assente / duplicato",IF(OR(NOT(ISNUMBER(B428)),B428&lt;1,B428&lt;&gt;INT(B428),COUNTIFS($A$8:$A$1007,A428,$B$8:$B$1007,B428)&lt;&gt;1),"N. esecuzione non valido",IF(OR(NOT(ISNUMBER(C428)),AND(D428&lt;&gt;"Ingresso",D428&lt;&gt;"Uscita"),AND(E428&lt;&gt;"Back",E428&lt;&gt;"Lay")),"Completa data / fase / lato",IF(OR(NOT(ISNUMBER(F428)),F428&lt;=1,NOT(ISNUMBER(G428)),G428&lt;=0),"Correggi quota / stake","OK")))))</x:f>
      </x:c>
    </x:row>
    <x:row r="429" ht="22" customHeight="1">
      <x:c r="A429" s="24"/>
      <x:c r="B429" s="24"/>
      <x:c r="C429" s="26"/>
      <x:c r="D429" s="24"/>
      <x:c r="E429" s="24"/>
      <x:c r="F429" s="28"/>
      <x:c r="G429" s="29"/>
      <x:c r="H429" s="24"/>
      <x:c r="I429" s="24"/>
      <x:c r="J429" s="24"/>
      <x:c r="K429" s="24"/>
      <x:c r="L429" s="20" t="str">
        <x:f>IF(Q429&lt;&gt;"OK","",IF(E429="Back",G429*(F429-1),-G429*(F429-1)))</x:f>
      </x:c>
      <x:c r="M429" s="20" t="str">
        <x:f>IF(Q429&lt;&gt;"OK","",IF(E429="Back",-G429,G429))</x:f>
      </x:c>
      <x:c r="N429" s="20" t="str">
        <x:f>IF(Q429&lt;&gt;"OK","",SUMIFS($L$8:$L$1007,$A$8:$A$1007,A429,$B$8:$B$1007,"&lt;="&amp;B429))</x:f>
      </x:c>
      <x:c r="O429" s="20" t="str">
        <x:f>IF(Q429&lt;&gt;"OK","",SUMIFS($M$8:$M$1007,$A$8:$A$1007,A429,$B$8:$B$1007,"&lt;="&amp;B429))</x:f>
      </x:c>
      <x:c r="P429" s="20" t="str">
        <x:f>IF(Q429&lt;&gt;"OK","",MAX(0,-MIN(N429,O429)))</x:f>
      </x:c>
      <x:c r="Q429" s="18" t="str">
        <x:f>IF(A429="",IF(COUNTA(B429:K429)=0,"","Inserisci ID"),IF(COUNTIFS('Diario'!$A$8:$A$507,A429)&lt;&gt;1,"ID assente / duplicato",IF(OR(NOT(ISNUMBER(B429)),B429&lt;1,B429&lt;&gt;INT(B429),COUNTIFS($A$8:$A$1007,A429,$B$8:$B$1007,B429)&lt;&gt;1),"N. esecuzione non valido",IF(OR(NOT(ISNUMBER(C429)),AND(D429&lt;&gt;"Ingresso",D429&lt;&gt;"Uscita"),AND(E429&lt;&gt;"Back",E429&lt;&gt;"Lay")),"Completa data / fase / lato",IF(OR(NOT(ISNUMBER(F429)),F429&lt;=1,NOT(ISNUMBER(G429)),G429&lt;=0),"Correggi quota / stake","OK")))))</x:f>
      </x:c>
    </x:row>
    <x:row r="430" ht="22" customHeight="1">
      <x:c r="A430" s="24"/>
      <x:c r="B430" s="24"/>
      <x:c r="C430" s="26"/>
      <x:c r="D430" s="24"/>
      <x:c r="E430" s="24"/>
      <x:c r="F430" s="28"/>
      <x:c r="G430" s="29"/>
      <x:c r="H430" s="24"/>
      <x:c r="I430" s="24"/>
      <x:c r="J430" s="24"/>
      <x:c r="K430" s="24"/>
      <x:c r="L430" s="20" t="str">
        <x:f>IF(Q430&lt;&gt;"OK","",IF(E430="Back",G430*(F430-1),-G430*(F430-1)))</x:f>
      </x:c>
      <x:c r="M430" s="20" t="str">
        <x:f>IF(Q430&lt;&gt;"OK","",IF(E430="Back",-G430,G430))</x:f>
      </x:c>
      <x:c r="N430" s="20" t="str">
        <x:f>IF(Q430&lt;&gt;"OK","",SUMIFS($L$8:$L$1007,$A$8:$A$1007,A430,$B$8:$B$1007,"&lt;="&amp;B430))</x:f>
      </x:c>
      <x:c r="O430" s="20" t="str">
        <x:f>IF(Q430&lt;&gt;"OK","",SUMIFS($M$8:$M$1007,$A$8:$A$1007,A430,$B$8:$B$1007,"&lt;="&amp;B430))</x:f>
      </x:c>
      <x:c r="P430" s="20" t="str">
        <x:f>IF(Q430&lt;&gt;"OK","",MAX(0,-MIN(N430,O430)))</x:f>
      </x:c>
      <x:c r="Q430" s="18" t="str">
        <x:f>IF(A430="",IF(COUNTA(B430:K430)=0,"","Inserisci ID"),IF(COUNTIFS('Diario'!$A$8:$A$507,A430)&lt;&gt;1,"ID assente / duplicato",IF(OR(NOT(ISNUMBER(B430)),B430&lt;1,B430&lt;&gt;INT(B430),COUNTIFS($A$8:$A$1007,A430,$B$8:$B$1007,B430)&lt;&gt;1),"N. esecuzione non valido",IF(OR(NOT(ISNUMBER(C430)),AND(D430&lt;&gt;"Ingresso",D430&lt;&gt;"Uscita"),AND(E430&lt;&gt;"Back",E430&lt;&gt;"Lay")),"Completa data / fase / lato",IF(OR(NOT(ISNUMBER(F430)),F430&lt;=1,NOT(ISNUMBER(G430)),G430&lt;=0),"Correggi quota / stake","OK")))))</x:f>
      </x:c>
    </x:row>
    <x:row r="431" ht="22" customHeight="1">
      <x:c r="A431" s="24"/>
      <x:c r="B431" s="24"/>
      <x:c r="C431" s="26"/>
      <x:c r="D431" s="24"/>
      <x:c r="E431" s="24"/>
      <x:c r="F431" s="28"/>
      <x:c r="G431" s="29"/>
      <x:c r="H431" s="24"/>
      <x:c r="I431" s="24"/>
      <x:c r="J431" s="24"/>
      <x:c r="K431" s="24"/>
      <x:c r="L431" s="20" t="str">
        <x:f>IF(Q431&lt;&gt;"OK","",IF(E431="Back",G431*(F431-1),-G431*(F431-1)))</x:f>
      </x:c>
      <x:c r="M431" s="20" t="str">
        <x:f>IF(Q431&lt;&gt;"OK","",IF(E431="Back",-G431,G431))</x:f>
      </x:c>
      <x:c r="N431" s="20" t="str">
        <x:f>IF(Q431&lt;&gt;"OK","",SUMIFS($L$8:$L$1007,$A$8:$A$1007,A431,$B$8:$B$1007,"&lt;="&amp;B431))</x:f>
      </x:c>
      <x:c r="O431" s="20" t="str">
        <x:f>IF(Q431&lt;&gt;"OK","",SUMIFS($M$8:$M$1007,$A$8:$A$1007,A431,$B$8:$B$1007,"&lt;="&amp;B431))</x:f>
      </x:c>
      <x:c r="P431" s="20" t="str">
        <x:f>IF(Q431&lt;&gt;"OK","",MAX(0,-MIN(N431,O431)))</x:f>
      </x:c>
      <x:c r="Q431" s="18" t="str">
        <x:f>IF(A431="",IF(COUNTA(B431:K431)=0,"","Inserisci ID"),IF(COUNTIFS('Diario'!$A$8:$A$507,A431)&lt;&gt;1,"ID assente / duplicato",IF(OR(NOT(ISNUMBER(B431)),B431&lt;1,B431&lt;&gt;INT(B431),COUNTIFS($A$8:$A$1007,A431,$B$8:$B$1007,B431)&lt;&gt;1),"N. esecuzione non valido",IF(OR(NOT(ISNUMBER(C431)),AND(D431&lt;&gt;"Ingresso",D431&lt;&gt;"Uscita"),AND(E431&lt;&gt;"Back",E431&lt;&gt;"Lay")),"Completa data / fase / lato",IF(OR(NOT(ISNUMBER(F431)),F431&lt;=1,NOT(ISNUMBER(G431)),G431&lt;=0),"Correggi quota / stake","OK")))))</x:f>
      </x:c>
    </x:row>
    <x:row r="432" ht="22" customHeight="1">
      <x:c r="A432" s="24"/>
      <x:c r="B432" s="24"/>
      <x:c r="C432" s="26"/>
      <x:c r="D432" s="24"/>
      <x:c r="E432" s="24"/>
      <x:c r="F432" s="28"/>
      <x:c r="G432" s="29"/>
      <x:c r="H432" s="24"/>
      <x:c r="I432" s="24"/>
      <x:c r="J432" s="24"/>
      <x:c r="K432" s="24"/>
      <x:c r="L432" s="20" t="str">
        <x:f>IF(Q432&lt;&gt;"OK","",IF(E432="Back",G432*(F432-1),-G432*(F432-1)))</x:f>
      </x:c>
      <x:c r="M432" s="20" t="str">
        <x:f>IF(Q432&lt;&gt;"OK","",IF(E432="Back",-G432,G432))</x:f>
      </x:c>
      <x:c r="N432" s="20" t="str">
        <x:f>IF(Q432&lt;&gt;"OK","",SUMIFS($L$8:$L$1007,$A$8:$A$1007,A432,$B$8:$B$1007,"&lt;="&amp;B432))</x:f>
      </x:c>
      <x:c r="O432" s="20" t="str">
        <x:f>IF(Q432&lt;&gt;"OK","",SUMIFS($M$8:$M$1007,$A$8:$A$1007,A432,$B$8:$B$1007,"&lt;="&amp;B432))</x:f>
      </x:c>
      <x:c r="P432" s="20" t="str">
        <x:f>IF(Q432&lt;&gt;"OK","",MAX(0,-MIN(N432,O432)))</x:f>
      </x:c>
      <x:c r="Q432" s="18" t="str">
        <x:f>IF(A432="",IF(COUNTA(B432:K432)=0,"","Inserisci ID"),IF(COUNTIFS('Diario'!$A$8:$A$507,A432)&lt;&gt;1,"ID assente / duplicato",IF(OR(NOT(ISNUMBER(B432)),B432&lt;1,B432&lt;&gt;INT(B432),COUNTIFS($A$8:$A$1007,A432,$B$8:$B$1007,B432)&lt;&gt;1),"N. esecuzione non valido",IF(OR(NOT(ISNUMBER(C432)),AND(D432&lt;&gt;"Ingresso",D432&lt;&gt;"Uscita"),AND(E432&lt;&gt;"Back",E432&lt;&gt;"Lay")),"Completa data / fase / lato",IF(OR(NOT(ISNUMBER(F432)),F432&lt;=1,NOT(ISNUMBER(G432)),G432&lt;=0),"Correggi quota / stake","OK")))))</x:f>
      </x:c>
    </x:row>
    <x:row r="433" ht="22" customHeight="1">
      <x:c r="A433" s="24"/>
      <x:c r="B433" s="24"/>
      <x:c r="C433" s="26"/>
      <x:c r="D433" s="24"/>
      <x:c r="E433" s="24"/>
      <x:c r="F433" s="28"/>
      <x:c r="G433" s="29"/>
      <x:c r="H433" s="24"/>
      <x:c r="I433" s="24"/>
      <x:c r="J433" s="24"/>
      <x:c r="K433" s="24"/>
      <x:c r="L433" s="20" t="str">
        <x:f>IF(Q433&lt;&gt;"OK","",IF(E433="Back",G433*(F433-1),-G433*(F433-1)))</x:f>
      </x:c>
      <x:c r="M433" s="20" t="str">
        <x:f>IF(Q433&lt;&gt;"OK","",IF(E433="Back",-G433,G433))</x:f>
      </x:c>
      <x:c r="N433" s="20" t="str">
        <x:f>IF(Q433&lt;&gt;"OK","",SUMIFS($L$8:$L$1007,$A$8:$A$1007,A433,$B$8:$B$1007,"&lt;="&amp;B433))</x:f>
      </x:c>
      <x:c r="O433" s="20" t="str">
        <x:f>IF(Q433&lt;&gt;"OK","",SUMIFS($M$8:$M$1007,$A$8:$A$1007,A433,$B$8:$B$1007,"&lt;="&amp;B433))</x:f>
      </x:c>
      <x:c r="P433" s="20" t="str">
        <x:f>IF(Q433&lt;&gt;"OK","",MAX(0,-MIN(N433,O433)))</x:f>
      </x:c>
      <x:c r="Q433" s="18" t="str">
        <x:f>IF(A433="",IF(COUNTA(B433:K433)=0,"","Inserisci ID"),IF(COUNTIFS('Diario'!$A$8:$A$507,A433)&lt;&gt;1,"ID assente / duplicato",IF(OR(NOT(ISNUMBER(B433)),B433&lt;1,B433&lt;&gt;INT(B433),COUNTIFS($A$8:$A$1007,A433,$B$8:$B$1007,B433)&lt;&gt;1),"N. esecuzione non valido",IF(OR(NOT(ISNUMBER(C433)),AND(D433&lt;&gt;"Ingresso",D433&lt;&gt;"Uscita"),AND(E433&lt;&gt;"Back",E433&lt;&gt;"Lay")),"Completa data / fase / lato",IF(OR(NOT(ISNUMBER(F433)),F433&lt;=1,NOT(ISNUMBER(G433)),G433&lt;=0),"Correggi quota / stake","OK")))))</x:f>
      </x:c>
    </x:row>
    <x:row r="434" ht="22" customHeight="1">
      <x:c r="A434" s="24"/>
      <x:c r="B434" s="24"/>
      <x:c r="C434" s="26"/>
      <x:c r="D434" s="24"/>
      <x:c r="E434" s="24"/>
      <x:c r="F434" s="28"/>
      <x:c r="G434" s="29"/>
      <x:c r="H434" s="24"/>
      <x:c r="I434" s="24"/>
      <x:c r="J434" s="24"/>
      <x:c r="K434" s="24"/>
      <x:c r="L434" s="20" t="str">
        <x:f>IF(Q434&lt;&gt;"OK","",IF(E434="Back",G434*(F434-1),-G434*(F434-1)))</x:f>
      </x:c>
      <x:c r="M434" s="20" t="str">
        <x:f>IF(Q434&lt;&gt;"OK","",IF(E434="Back",-G434,G434))</x:f>
      </x:c>
      <x:c r="N434" s="20" t="str">
        <x:f>IF(Q434&lt;&gt;"OK","",SUMIFS($L$8:$L$1007,$A$8:$A$1007,A434,$B$8:$B$1007,"&lt;="&amp;B434))</x:f>
      </x:c>
      <x:c r="O434" s="20" t="str">
        <x:f>IF(Q434&lt;&gt;"OK","",SUMIFS($M$8:$M$1007,$A$8:$A$1007,A434,$B$8:$B$1007,"&lt;="&amp;B434))</x:f>
      </x:c>
      <x:c r="P434" s="20" t="str">
        <x:f>IF(Q434&lt;&gt;"OK","",MAX(0,-MIN(N434,O434)))</x:f>
      </x:c>
      <x:c r="Q434" s="18" t="str">
        <x:f>IF(A434="",IF(COUNTA(B434:K434)=0,"","Inserisci ID"),IF(COUNTIFS('Diario'!$A$8:$A$507,A434)&lt;&gt;1,"ID assente / duplicato",IF(OR(NOT(ISNUMBER(B434)),B434&lt;1,B434&lt;&gt;INT(B434),COUNTIFS($A$8:$A$1007,A434,$B$8:$B$1007,B434)&lt;&gt;1),"N. esecuzione non valido",IF(OR(NOT(ISNUMBER(C434)),AND(D434&lt;&gt;"Ingresso",D434&lt;&gt;"Uscita"),AND(E434&lt;&gt;"Back",E434&lt;&gt;"Lay")),"Completa data / fase / lato",IF(OR(NOT(ISNUMBER(F434)),F434&lt;=1,NOT(ISNUMBER(G434)),G434&lt;=0),"Correggi quota / stake","OK")))))</x:f>
      </x:c>
    </x:row>
    <x:row r="435" ht="22" customHeight="1">
      <x:c r="A435" s="24"/>
      <x:c r="B435" s="24"/>
      <x:c r="C435" s="26"/>
      <x:c r="D435" s="24"/>
      <x:c r="E435" s="24"/>
      <x:c r="F435" s="28"/>
      <x:c r="G435" s="29"/>
      <x:c r="H435" s="24"/>
      <x:c r="I435" s="24"/>
      <x:c r="J435" s="24"/>
      <x:c r="K435" s="24"/>
      <x:c r="L435" s="20" t="str">
        <x:f>IF(Q435&lt;&gt;"OK","",IF(E435="Back",G435*(F435-1),-G435*(F435-1)))</x:f>
      </x:c>
      <x:c r="M435" s="20" t="str">
        <x:f>IF(Q435&lt;&gt;"OK","",IF(E435="Back",-G435,G435))</x:f>
      </x:c>
      <x:c r="N435" s="20" t="str">
        <x:f>IF(Q435&lt;&gt;"OK","",SUMIFS($L$8:$L$1007,$A$8:$A$1007,A435,$B$8:$B$1007,"&lt;="&amp;B435))</x:f>
      </x:c>
      <x:c r="O435" s="20" t="str">
        <x:f>IF(Q435&lt;&gt;"OK","",SUMIFS($M$8:$M$1007,$A$8:$A$1007,A435,$B$8:$B$1007,"&lt;="&amp;B435))</x:f>
      </x:c>
      <x:c r="P435" s="20" t="str">
        <x:f>IF(Q435&lt;&gt;"OK","",MAX(0,-MIN(N435,O435)))</x:f>
      </x:c>
      <x:c r="Q435" s="18" t="str">
        <x:f>IF(A435="",IF(COUNTA(B435:K435)=0,"","Inserisci ID"),IF(COUNTIFS('Diario'!$A$8:$A$507,A435)&lt;&gt;1,"ID assente / duplicato",IF(OR(NOT(ISNUMBER(B435)),B435&lt;1,B435&lt;&gt;INT(B435),COUNTIFS($A$8:$A$1007,A435,$B$8:$B$1007,B435)&lt;&gt;1),"N. esecuzione non valido",IF(OR(NOT(ISNUMBER(C435)),AND(D435&lt;&gt;"Ingresso",D435&lt;&gt;"Uscita"),AND(E435&lt;&gt;"Back",E435&lt;&gt;"Lay")),"Completa data / fase / lato",IF(OR(NOT(ISNUMBER(F435)),F435&lt;=1,NOT(ISNUMBER(G435)),G435&lt;=0),"Correggi quota / stake","OK")))))</x:f>
      </x:c>
    </x:row>
    <x:row r="436" ht="22" customHeight="1">
      <x:c r="A436" s="24"/>
      <x:c r="B436" s="24"/>
      <x:c r="C436" s="26"/>
      <x:c r="D436" s="24"/>
      <x:c r="E436" s="24"/>
      <x:c r="F436" s="28"/>
      <x:c r="G436" s="29"/>
      <x:c r="H436" s="24"/>
      <x:c r="I436" s="24"/>
      <x:c r="J436" s="24"/>
      <x:c r="K436" s="24"/>
      <x:c r="L436" s="20" t="str">
        <x:f>IF(Q436&lt;&gt;"OK","",IF(E436="Back",G436*(F436-1),-G436*(F436-1)))</x:f>
      </x:c>
      <x:c r="M436" s="20" t="str">
        <x:f>IF(Q436&lt;&gt;"OK","",IF(E436="Back",-G436,G436))</x:f>
      </x:c>
      <x:c r="N436" s="20" t="str">
        <x:f>IF(Q436&lt;&gt;"OK","",SUMIFS($L$8:$L$1007,$A$8:$A$1007,A436,$B$8:$B$1007,"&lt;="&amp;B436))</x:f>
      </x:c>
      <x:c r="O436" s="20" t="str">
        <x:f>IF(Q436&lt;&gt;"OK","",SUMIFS($M$8:$M$1007,$A$8:$A$1007,A436,$B$8:$B$1007,"&lt;="&amp;B436))</x:f>
      </x:c>
      <x:c r="P436" s="20" t="str">
        <x:f>IF(Q436&lt;&gt;"OK","",MAX(0,-MIN(N436,O436)))</x:f>
      </x:c>
      <x:c r="Q436" s="18" t="str">
        <x:f>IF(A436="",IF(COUNTA(B436:K436)=0,"","Inserisci ID"),IF(COUNTIFS('Diario'!$A$8:$A$507,A436)&lt;&gt;1,"ID assente / duplicato",IF(OR(NOT(ISNUMBER(B436)),B436&lt;1,B436&lt;&gt;INT(B436),COUNTIFS($A$8:$A$1007,A436,$B$8:$B$1007,B436)&lt;&gt;1),"N. esecuzione non valido",IF(OR(NOT(ISNUMBER(C436)),AND(D436&lt;&gt;"Ingresso",D436&lt;&gt;"Uscita"),AND(E436&lt;&gt;"Back",E436&lt;&gt;"Lay")),"Completa data / fase / lato",IF(OR(NOT(ISNUMBER(F436)),F436&lt;=1,NOT(ISNUMBER(G436)),G436&lt;=0),"Correggi quota / stake","OK")))))</x:f>
      </x:c>
    </x:row>
    <x:row r="437" ht="22" customHeight="1">
      <x:c r="A437" s="24"/>
      <x:c r="B437" s="24"/>
      <x:c r="C437" s="26"/>
      <x:c r="D437" s="24"/>
      <x:c r="E437" s="24"/>
      <x:c r="F437" s="28"/>
      <x:c r="G437" s="29"/>
      <x:c r="H437" s="24"/>
      <x:c r="I437" s="24"/>
      <x:c r="J437" s="24"/>
      <x:c r="K437" s="24"/>
      <x:c r="L437" s="20" t="str">
        <x:f>IF(Q437&lt;&gt;"OK","",IF(E437="Back",G437*(F437-1),-G437*(F437-1)))</x:f>
      </x:c>
      <x:c r="M437" s="20" t="str">
        <x:f>IF(Q437&lt;&gt;"OK","",IF(E437="Back",-G437,G437))</x:f>
      </x:c>
      <x:c r="N437" s="20" t="str">
        <x:f>IF(Q437&lt;&gt;"OK","",SUMIFS($L$8:$L$1007,$A$8:$A$1007,A437,$B$8:$B$1007,"&lt;="&amp;B437))</x:f>
      </x:c>
      <x:c r="O437" s="20" t="str">
        <x:f>IF(Q437&lt;&gt;"OK","",SUMIFS($M$8:$M$1007,$A$8:$A$1007,A437,$B$8:$B$1007,"&lt;="&amp;B437))</x:f>
      </x:c>
      <x:c r="P437" s="20" t="str">
        <x:f>IF(Q437&lt;&gt;"OK","",MAX(0,-MIN(N437,O437)))</x:f>
      </x:c>
      <x:c r="Q437" s="18" t="str">
        <x:f>IF(A437="",IF(COUNTA(B437:K437)=0,"","Inserisci ID"),IF(COUNTIFS('Diario'!$A$8:$A$507,A437)&lt;&gt;1,"ID assente / duplicato",IF(OR(NOT(ISNUMBER(B437)),B437&lt;1,B437&lt;&gt;INT(B437),COUNTIFS($A$8:$A$1007,A437,$B$8:$B$1007,B437)&lt;&gt;1),"N. esecuzione non valido",IF(OR(NOT(ISNUMBER(C437)),AND(D437&lt;&gt;"Ingresso",D437&lt;&gt;"Uscita"),AND(E437&lt;&gt;"Back",E437&lt;&gt;"Lay")),"Completa data / fase / lato",IF(OR(NOT(ISNUMBER(F437)),F437&lt;=1,NOT(ISNUMBER(G437)),G437&lt;=0),"Correggi quota / stake","OK")))))</x:f>
      </x:c>
    </x:row>
    <x:row r="438" ht="22" customHeight="1">
      <x:c r="A438" s="24"/>
      <x:c r="B438" s="24"/>
      <x:c r="C438" s="26"/>
      <x:c r="D438" s="24"/>
      <x:c r="E438" s="24"/>
      <x:c r="F438" s="28"/>
      <x:c r="G438" s="29"/>
      <x:c r="H438" s="24"/>
      <x:c r="I438" s="24"/>
      <x:c r="J438" s="24"/>
      <x:c r="K438" s="24"/>
      <x:c r="L438" s="20" t="str">
        <x:f>IF(Q438&lt;&gt;"OK","",IF(E438="Back",G438*(F438-1),-G438*(F438-1)))</x:f>
      </x:c>
      <x:c r="M438" s="20" t="str">
        <x:f>IF(Q438&lt;&gt;"OK","",IF(E438="Back",-G438,G438))</x:f>
      </x:c>
      <x:c r="N438" s="20" t="str">
        <x:f>IF(Q438&lt;&gt;"OK","",SUMIFS($L$8:$L$1007,$A$8:$A$1007,A438,$B$8:$B$1007,"&lt;="&amp;B438))</x:f>
      </x:c>
      <x:c r="O438" s="20" t="str">
        <x:f>IF(Q438&lt;&gt;"OK","",SUMIFS($M$8:$M$1007,$A$8:$A$1007,A438,$B$8:$B$1007,"&lt;="&amp;B438))</x:f>
      </x:c>
      <x:c r="P438" s="20" t="str">
        <x:f>IF(Q438&lt;&gt;"OK","",MAX(0,-MIN(N438,O438)))</x:f>
      </x:c>
      <x:c r="Q438" s="18" t="str">
        <x:f>IF(A438="",IF(COUNTA(B438:K438)=0,"","Inserisci ID"),IF(COUNTIFS('Diario'!$A$8:$A$507,A438)&lt;&gt;1,"ID assente / duplicato",IF(OR(NOT(ISNUMBER(B438)),B438&lt;1,B438&lt;&gt;INT(B438),COUNTIFS($A$8:$A$1007,A438,$B$8:$B$1007,B438)&lt;&gt;1),"N. esecuzione non valido",IF(OR(NOT(ISNUMBER(C438)),AND(D438&lt;&gt;"Ingresso",D438&lt;&gt;"Uscita"),AND(E438&lt;&gt;"Back",E438&lt;&gt;"Lay")),"Completa data / fase / lato",IF(OR(NOT(ISNUMBER(F438)),F438&lt;=1,NOT(ISNUMBER(G438)),G438&lt;=0),"Correggi quota / stake","OK")))))</x:f>
      </x:c>
    </x:row>
    <x:row r="439" ht="22" customHeight="1">
      <x:c r="A439" s="24"/>
      <x:c r="B439" s="24"/>
      <x:c r="C439" s="26"/>
      <x:c r="D439" s="24"/>
      <x:c r="E439" s="24"/>
      <x:c r="F439" s="28"/>
      <x:c r="G439" s="29"/>
      <x:c r="H439" s="24"/>
      <x:c r="I439" s="24"/>
      <x:c r="J439" s="24"/>
      <x:c r="K439" s="24"/>
      <x:c r="L439" s="20" t="str">
        <x:f>IF(Q439&lt;&gt;"OK","",IF(E439="Back",G439*(F439-1),-G439*(F439-1)))</x:f>
      </x:c>
      <x:c r="M439" s="20" t="str">
        <x:f>IF(Q439&lt;&gt;"OK","",IF(E439="Back",-G439,G439))</x:f>
      </x:c>
      <x:c r="N439" s="20" t="str">
        <x:f>IF(Q439&lt;&gt;"OK","",SUMIFS($L$8:$L$1007,$A$8:$A$1007,A439,$B$8:$B$1007,"&lt;="&amp;B439))</x:f>
      </x:c>
      <x:c r="O439" s="20" t="str">
        <x:f>IF(Q439&lt;&gt;"OK","",SUMIFS($M$8:$M$1007,$A$8:$A$1007,A439,$B$8:$B$1007,"&lt;="&amp;B439))</x:f>
      </x:c>
      <x:c r="P439" s="20" t="str">
        <x:f>IF(Q439&lt;&gt;"OK","",MAX(0,-MIN(N439,O439)))</x:f>
      </x:c>
      <x:c r="Q439" s="18" t="str">
        <x:f>IF(A439="",IF(COUNTA(B439:K439)=0,"","Inserisci ID"),IF(COUNTIFS('Diario'!$A$8:$A$507,A439)&lt;&gt;1,"ID assente / duplicato",IF(OR(NOT(ISNUMBER(B439)),B439&lt;1,B439&lt;&gt;INT(B439),COUNTIFS($A$8:$A$1007,A439,$B$8:$B$1007,B439)&lt;&gt;1),"N. esecuzione non valido",IF(OR(NOT(ISNUMBER(C439)),AND(D439&lt;&gt;"Ingresso",D439&lt;&gt;"Uscita"),AND(E439&lt;&gt;"Back",E439&lt;&gt;"Lay")),"Completa data / fase / lato",IF(OR(NOT(ISNUMBER(F439)),F439&lt;=1,NOT(ISNUMBER(G439)),G439&lt;=0),"Correggi quota / stake","OK")))))</x:f>
      </x:c>
    </x:row>
    <x:row r="440" ht="22" customHeight="1">
      <x:c r="A440" s="24"/>
      <x:c r="B440" s="24"/>
      <x:c r="C440" s="26"/>
      <x:c r="D440" s="24"/>
      <x:c r="E440" s="24"/>
      <x:c r="F440" s="28"/>
      <x:c r="G440" s="29"/>
      <x:c r="H440" s="24"/>
      <x:c r="I440" s="24"/>
      <x:c r="J440" s="24"/>
      <x:c r="K440" s="24"/>
      <x:c r="L440" s="20" t="str">
        <x:f>IF(Q440&lt;&gt;"OK","",IF(E440="Back",G440*(F440-1),-G440*(F440-1)))</x:f>
      </x:c>
      <x:c r="M440" s="20" t="str">
        <x:f>IF(Q440&lt;&gt;"OK","",IF(E440="Back",-G440,G440))</x:f>
      </x:c>
      <x:c r="N440" s="20" t="str">
        <x:f>IF(Q440&lt;&gt;"OK","",SUMIFS($L$8:$L$1007,$A$8:$A$1007,A440,$B$8:$B$1007,"&lt;="&amp;B440))</x:f>
      </x:c>
      <x:c r="O440" s="20" t="str">
        <x:f>IF(Q440&lt;&gt;"OK","",SUMIFS($M$8:$M$1007,$A$8:$A$1007,A440,$B$8:$B$1007,"&lt;="&amp;B440))</x:f>
      </x:c>
      <x:c r="P440" s="20" t="str">
        <x:f>IF(Q440&lt;&gt;"OK","",MAX(0,-MIN(N440,O440)))</x:f>
      </x:c>
      <x:c r="Q440" s="18" t="str">
        <x:f>IF(A440="",IF(COUNTA(B440:K440)=0,"","Inserisci ID"),IF(COUNTIFS('Diario'!$A$8:$A$507,A440)&lt;&gt;1,"ID assente / duplicato",IF(OR(NOT(ISNUMBER(B440)),B440&lt;1,B440&lt;&gt;INT(B440),COUNTIFS($A$8:$A$1007,A440,$B$8:$B$1007,B440)&lt;&gt;1),"N. esecuzione non valido",IF(OR(NOT(ISNUMBER(C440)),AND(D440&lt;&gt;"Ingresso",D440&lt;&gt;"Uscita"),AND(E440&lt;&gt;"Back",E440&lt;&gt;"Lay")),"Completa data / fase / lato",IF(OR(NOT(ISNUMBER(F440)),F440&lt;=1,NOT(ISNUMBER(G440)),G440&lt;=0),"Correggi quota / stake","OK")))))</x:f>
      </x:c>
    </x:row>
    <x:row r="441" ht="22" customHeight="1">
      <x:c r="A441" s="24"/>
      <x:c r="B441" s="24"/>
      <x:c r="C441" s="26"/>
      <x:c r="D441" s="24"/>
      <x:c r="E441" s="24"/>
      <x:c r="F441" s="28"/>
      <x:c r="G441" s="29"/>
      <x:c r="H441" s="24"/>
      <x:c r="I441" s="24"/>
      <x:c r="J441" s="24"/>
      <x:c r="K441" s="24"/>
      <x:c r="L441" s="20" t="str">
        <x:f>IF(Q441&lt;&gt;"OK","",IF(E441="Back",G441*(F441-1),-G441*(F441-1)))</x:f>
      </x:c>
      <x:c r="M441" s="20" t="str">
        <x:f>IF(Q441&lt;&gt;"OK","",IF(E441="Back",-G441,G441))</x:f>
      </x:c>
      <x:c r="N441" s="20" t="str">
        <x:f>IF(Q441&lt;&gt;"OK","",SUMIFS($L$8:$L$1007,$A$8:$A$1007,A441,$B$8:$B$1007,"&lt;="&amp;B441))</x:f>
      </x:c>
      <x:c r="O441" s="20" t="str">
        <x:f>IF(Q441&lt;&gt;"OK","",SUMIFS($M$8:$M$1007,$A$8:$A$1007,A441,$B$8:$B$1007,"&lt;="&amp;B441))</x:f>
      </x:c>
      <x:c r="P441" s="20" t="str">
        <x:f>IF(Q441&lt;&gt;"OK","",MAX(0,-MIN(N441,O441)))</x:f>
      </x:c>
      <x:c r="Q441" s="18" t="str">
        <x:f>IF(A441="",IF(COUNTA(B441:K441)=0,"","Inserisci ID"),IF(COUNTIFS('Diario'!$A$8:$A$507,A441)&lt;&gt;1,"ID assente / duplicato",IF(OR(NOT(ISNUMBER(B441)),B441&lt;1,B441&lt;&gt;INT(B441),COUNTIFS($A$8:$A$1007,A441,$B$8:$B$1007,B441)&lt;&gt;1),"N. esecuzione non valido",IF(OR(NOT(ISNUMBER(C441)),AND(D441&lt;&gt;"Ingresso",D441&lt;&gt;"Uscita"),AND(E441&lt;&gt;"Back",E441&lt;&gt;"Lay")),"Completa data / fase / lato",IF(OR(NOT(ISNUMBER(F441)),F441&lt;=1,NOT(ISNUMBER(G441)),G441&lt;=0),"Correggi quota / stake","OK")))))</x:f>
      </x:c>
    </x:row>
    <x:row r="442" ht="22" customHeight="1">
      <x:c r="A442" s="24"/>
      <x:c r="B442" s="24"/>
      <x:c r="C442" s="26"/>
      <x:c r="D442" s="24"/>
      <x:c r="E442" s="24"/>
      <x:c r="F442" s="28"/>
      <x:c r="G442" s="29"/>
      <x:c r="H442" s="24"/>
      <x:c r="I442" s="24"/>
      <x:c r="J442" s="24"/>
      <x:c r="K442" s="24"/>
      <x:c r="L442" s="20" t="str">
        <x:f>IF(Q442&lt;&gt;"OK","",IF(E442="Back",G442*(F442-1),-G442*(F442-1)))</x:f>
      </x:c>
      <x:c r="M442" s="20" t="str">
        <x:f>IF(Q442&lt;&gt;"OK","",IF(E442="Back",-G442,G442))</x:f>
      </x:c>
      <x:c r="N442" s="20" t="str">
        <x:f>IF(Q442&lt;&gt;"OK","",SUMIFS($L$8:$L$1007,$A$8:$A$1007,A442,$B$8:$B$1007,"&lt;="&amp;B442))</x:f>
      </x:c>
      <x:c r="O442" s="20" t="str">
        <x:f>IF(Q442&lt;&gt;"OK","",SUMIFS($M$8:$M$1007,$A$8:$A$1007,A442,$B$8:$B$1007,"&lt;="&amp;B442))</x:f>
      </x:c>
      <x:c r="P442" s="20" t="str">
        <x:f>IF(Q442&lt;&gt;"OK","",MAX(0,-MIN(N442,O442)))</x:f>
      </x:c>
      <x:c r="Q442" s="18" t="str">
        <x:f>IF(A442="",IF(COUNTA(B442:K442)=0,"","Inserisci ID"),IF(COUNTIFS('Diario'!$A$8:$A$507,A442)&lt;&gt;1,"ID assente / duplicato",IF(OR(NOT(ISNUMBER(B442)),B442&lt;1,B442&lt;&gt;INT(B442),COUNTIFS($A$8:$A$1007,A442,$B$8:$B$1007,B442)&lt;&gt;1),"N. esecuzione non valido",IF(OR(NOT(ISNUMBER(C442)),AND(D442&lt;&gt;"Ingresso",D442&lt;&gt;"Uscita"),AND(E442&lt;&gt;"Back",E442&lt;&gt;"Lay")),"Completa data / fase / lato",IF(OR(NOT(ISNUMBER(F442)),F442&lt;=1,NOT(ISNUMBER(G442)),G442&lt;=0),"Correggi quota / stake","OK")))))</x:f>
      </x:c>
    </x:row>
    <x:row r="443" ht="22" customHeight="1">
      <x:c r="A443" s="24"/>
      <x:c r="B443" s="24"/>
      <x:c r="C443" s="26"/>
      <x:c r="D443" s="24"/>
      <x:c r="E443" s="24"/>
      <x:c r="F443" s="28"/>
      <x:c r="G443" s="29"/>
      <x:c r="H443" s="24"/>
      <x:c r="I443" s="24"/>
      <x:c r="J443" s="24"/>
      <x:c r="K443" s="24"/>
      <x:c r="L443" s="20" t="str">
        <x:f>IF(Q443&lt;&gt;"OK","",IF(E443="Back",G443*(F443-1),-G443*(F443-1)))</x:f>
      </x:c>
      <x:c r="M443" s="20" t="str">
        <x:f>IF(Q443&lt;&gt;"OK","",IF(E443="Back",-G443,G443))</x:f>
      </x:c>
      <x:c r="N443" s="20" t="str">
        <x:f>IF(Q443&lt;&gt;"OK","",SUMIFS($L$8:$L$1007,$A$8:$A$1007,A443,$B$8:$B$1007,"&lt;="&amp;B443))</x:f>
      </x:c>
      <x:c r="O443" s="20" t="str">
        <x:f>IF(Q443&lt;&gt;"OK","",SUMIFS($M$8:$M$1007,$A$8:$A$1007,A443,$B$8:$B$1007,"&lt;="&amp;B443))</x:f>
      </x:c>
      <x:c r="P443" s="20" t="str">
        <x:f>IF(Q443&lt;&gt;"OK","",MAX(0,-MIN(N443,O443)))</x:f>
      </x:c>
      <x:c r="Q443" s="18" t="str">
        <x:f>IF(A443="",IF(COUNTA(B443:K443)=0,"","Inserisci ID"),IF(COUNTIFS('Diario'!$A$8:$A$507,A443)&lt;&gt;1,"ID assente / duplicato",IF(OR(NOT(ISNUMBER(B443)),B443&lt;1,B443&lt;&gt;INT(B443),COUNTIFS($A$8:$A$1007,A443,$B$8:$B$1007,B443)&lt;&gt;1),"N. esecuzione non valido",IF(OR(NOT(ISNUMBER(C443)),AND(D443&lt;&gt;"Ingresso",D443&lt;&gt;"Uscita"),AND(E443&lt;&gt;"Back",E443&lt;&gt;"Lay")),"Completa data / fase / lato",IF(OR(NOT(ISNUMBER(F443)),F443&lt;=1,NOT(ISNUMBER(G443)),G443&lt;=0),"Correggi quota / stake","OK")))))</x:f>
      </x:c>
    </x:row>
    <x:row r="444" ht="22" customHeight="1">
      <x:c r="A444" s="24"/>
      <x:c r="B444" s="24"/>
      <x:c r="C444" s="26"/>
      <x:c r="D444" s="24"/>
      <x:c r="E444" s="24"/>
      <x:c r="F444" s="28"/>
      <x:c r="G444" s="29"/>
      <x:c r="H444" s="24"/>
      <x:c r="I444" s="24"/>
      <x:c r="J444" s="24"/>
      <x:c r="K444" s="24"/>
      <x:c r="L444" s="20" t="str">
        <x:f>IF(Q444&lt;&gt;"OK","",IF(E444="Back",G444*(F444-1),-G444*(F444-1)))</x:f>
      </x:c>
      <x:c r="M444" s="20" t="str">
        <x:f>IF(Q444&lt;&gt;"OK","",IF(E444="Back",-G444,G444))</x:f>
      </x:c>
      <x:c r="N444" s="20" t="str">
        <x:f>IF(Q444&lt;&gt;"OK","",SUMIFS($L$8:$L$1007,$A$8:$A$1007,A444,$B$8:$B$1007,"&lt;="&amp;B444))</x:f>
      </x:c>
      <x:c r="O444" s="20" t="str">
        <x:f>IF(Q444&lt;&gt;"OK","",SUMIFS($M$8:$M$1007,$A$8:$A$1007,A444,$B$8:$B$1007,"&lt;="&amp;B444))</x:f>
      </x:c>
      <x:c r="P444" s="20" t="str">
        <x:f>IF(Q444&lt;&gt;"OK","",MAX(0,-MIN(N444,O444)))</x:f>
      </x:c>
      <x:c r="Q444" s="18" t="str">
        <x:f>IF(A444="",IF(COUNTA(B444:K444)=0,"","Inserisci ID"),IF(COUNTIFS('Diario'!$A$8:$A$507,A444)&lt;&gt;1,"ID assente / duplicato",IF(OR(NOT(ISNUMBER(B444)),B444&lt;1,B444&lt;&gt;INT(B444),COUNTIFS($A$8:$A$1007,A444,$B$8:$B$1007,B444)&lt;&gt;1),"N. esecuzione non valido",IF(OR(NOT(ISNUMBER(C444)),AND(D444&lt;&gt;"Ingresso",D444&lt;&gt;"Uscita"),AND(E444&lt;&gt;"Back",E444&lt;&gt;"Lay")),"Completa data / fase / lato",IF(OR(NOT(ISNUMBER(F444)),F444&lt;=1,NOT(ISNUMBER(G444)),G444&lt;=0),"Correggi quota / stake","OK")))))</x:f>
      </x:c>
    </x:row>
    <x:row r="445" ht="22" customHeight="1">
      <x:c r="A445" s="24"/>
      <x:c r="B445" s="24"/>
      <x:c r="C445" s="26"/>
      <x:c r="D445" s="24"/>
      <x:c r="E445" s="24"/>
      <x:c r="F445" s="28"/>
      <x:c r="G445" s="29"/>
      <x:c r="H445" s="24"/>
      <x:c r="I445" s="24"/>
      <x:c r="J445" s="24"/>
      <x:c r="K445" s="24"/>
      <x:c r="L445" s="20" t="str">
        <x:f>IF(Q445&lt;&gt;"OK","",IF(E445="Back",G445*(F445-1),-G445*(F445-1)))</x:f>
      </x:c>
      <x:c r="M445" s="20" t="str">
        <x:f>IF(Q445&lt;&gt;"OK","",IF(E445="Back",-G445,G445))</x:f>
      </x:c>
      <x:c r="N445" s="20" t="str">
        <x:f>IF(Q445&lt;&gt;"OK","",SUMIFS($L$8:$L$1007,$A$8:$A$1007,A445,$B$8:$B$1007,"&lt;="&amp;B445))</x:f>
      </x:c>
      <x:c r="O445" s="20" t="str">
        <x:f>IF(Q445&lt;&gt;"OK","",SUMIFS($M$8:$M$1007,$A$8:$A$1007,A445,$B$8:$B$1007,"&lt;="&amp;B445))</x:f>
      </x:c>
      <x:c r="P445" s="20" t="str">
        <x:f>IF(Q445&lt;&gt;"OK","",MAX(0,-MIN(N445,O445)))</x:f>
      </x:c>
      <x:c r="Q445" s="18" t="str">
        <x:f>IF(A445="",IF(COUNTA(B445:K445)=0,"","Inserisci ID"),IF(COUNTIFS('Diario'!$A$8:$A$507,A445)&lt;&gt;1,"ID assente / duplicato",IF(OR(NOT(ISNUMBER(B445)),B445&lt;1,B445&lt;&gt;INT(B445),COUNTIFS($A$8:$A$1007,A445,$B$8:$B$1007,B445)&lt;&gt;1),"N. esecuzione non valido",IF(OR(NOT(ISNUMBER(C445)),AND(D445&lt;&gt;"Ingresso",D445&lt;&gt;"Uscita"),AND(E445&lt;&gt;"Back",E445&lt;&gt;"Lay")),"Completa data / fase / lato",IF(OR(NOT(ISNUMBER(F445)),F445&lt;=1,NOT(ISNUMBER(G445)),G445&lt;=0),"Correggi quota / stake","OK")))))</x:f>
      </x:c>
    </x:row>
    <x:row r="446" ht="22" customHeight="1">
      <x:c r="A446" s="24"/>
      <x:c r="B446" s="24"/>
      <x:c r="C446" s="26"/>
      <x:c r="D446" s="24"/>
      <x:c r="E446" s="24"/>
      <x:c r="F446" s="28"/>
      <x:c r="G446" s="29"/>
      <x:c r="H446" s="24"/>
      <x:c r="I446" s="24"/>
      <x:c r="J446" s="24"/>
      <x:c r="K446" s="24"/>
      <x:c r="L446" s="20" t="str">
        <x:f>IF(Q446&lt;&gt;"OK","",IF(E446="Back",G446*(F446-1),-G446*(F446-1)))</x:f>
      </x:c>
      <x:c r="M446" s="20" t="str">
        <x:f>IF(Q446&lt;&gt;"OK","",IF(E446="Back",-G446,G446))</x:f>
      </x:c>
      <x:c r="N446" s="20" t="str">
        <x:f>IF(Q446&lt;&gt;"OK","",SUMIFS($L$8:$L$1007,$A$8:$A$1007,A446,$B$8:$B$1007,"&lt;="&amp;B446))</x:f>
      </x:c>
      <x:c r="O446" s="20" t="str">
        <x:f>IF(Q446&lt;&gt;"OK","",SUMIFS($M$8:$M$1007,$A$8:$A$1007,A446,$B$8:$B$1007,"&lt;="&amp;B446))</x:f>
      </x:c>
      <x:c r="P446" s="20" t="str">
        <x:f>IF(Q446&lt;&gt;"OK","",MAX(0,-MIN(N446,O446)))</x:f>
      </x:c>
      <x:c r="Q446" s="18" t="str">
        <x:f>IF(A446="",IF(COUNTA(B446:K446)=0,"","Inserisci ID"),IF(COUNTIFS('Diario'!$A$8:$A$507,A446)&lt;&gt;1,"ID assente / duplicato",IF(OR(NOT(ISNUMBER(B446)),B446&lt;1,B446&lt;&gt;INT(B446),COUNTIFS($A$8:$A$1007,A446,$B$8:$B$1007,B446)&lt;&gt;1),"N. esecuzione non valido",IF(OR(NOT(ISNUMBER(C446)),AND(D446&lt;&gt;"Ingresso",D446&lt;&gt;"Uscita"),AND(E446&lt;&gt;"Back",E446&lt;&gt;"Lay")),"Completa data / fase / lato",IF(OR(NOT(ISNUMBER(F446)),F446&lt;=1,NOT(ISNUMBER(G446)),G446&lt;=0),"Correggi quota / stake","OK")))))</x:f>
      </x:c>
    </x:row>
    <x:row r="447" ht="22" customHeight="1">
      <x:c r="A447" s="24"/>
      <x:c r="B447" s="24"/>
      <x:c r="C447" s="26"/>
      <x:c r="D447" s="24"/>
      <x:c r="E447" s="24"/>
      <x:c r="F447" s="28"/>
      <x:c r="G447" s="29"/>
      <x:c r="H447" s="24"/>
      <x:c r="I447" s="24"/>
      <x:c r="J447" s="24"/>
      <x:c r="K447" s="24"/>
      <x:c r="L447" s="20" t="str">
        <x:f>IF(Q447&lt;&gt;"OK","",IF(E447="Back",G447*(F447-1),-G447*(F447-1)))</x:f>
      </x:c>
      <x:c r="M447" s="20" t="str">
        <x:f>IF(Q447&lt;&gt;"OK","",IF(E447="Back",-G447,G447))</x:f>
      </x:c>
      <x:c r="N447" s="20" t="str">
        <x:f>IF(Q447&lt;&gt;"OK","",SUMIFS($L$8:$L$1007,$A$8:$A$1007,A447,$B$8:$B$1007,"&lt;="&amp;B447))</x:f>
      </x:c>
      <x:c r="O447" s="20" t="str">
        <x:f>IF(Q447&lt;&gt;"OK","",SUMIFS($M$8:$M$1007,$A$8:$A$1007,A447,$B$8:$B$1007,"&lt;="&amp;B447))</x:f>
      </x:c>
      <x:c r="P447" s="20" t="str">
        <x:f>IF(Q447&lt;&gt;"OK","",MAX(0,-MIN(N447,O447)))</x:f>
      </x:c>
      <x:c r="Q447" s="18" t="str">
        <x:f>IF(A447="",IF(COUNTA(B447:K447)=0,"","Inserisci ID"),IF(COUNTIFS('Diario'!$A$8:$A$507,A447)&lt;&gt;1,"ID assente / duplicato",IF(OR(NOT(ISNUMBER(B447)),B447&lt;1,B447&lt;&gt;INT(B447),COUNTIFS($A$8:$A$1007,A447,$B$8:$B$1007,B447)&lt;&gt;1),"N. esecuzione non valido",IF(OR(NOT(ISNUMBER(C447)),AND(D447&lt;&gt;"Ingresso",D447&lt;&gt;"Uscita"),AND(E447&lt;&gt;"Back",E447&lt;&gt;"Lay")),"Completa data / fase / lato",IF(OR(NOT(ISNUMBER(F447)),F447&lt;=1,NOT(ISNUMBER(G447)),G447&lt;=0),"Correggi quota / stake","OK")))))</x:f>
      </x:c>
    </x:row>
    <x:row r="448" ht="22" customHeight="1">
      <x:c r="A448" s="24"/>
      <x:c r="B448" s="24"/>
      <x:c r="C448" s="26"/>
      <x:c r="D448" s="24"/>
      <x:c r="E448" s="24"/>
      <x:c r="F448" s="28"/>
      <x:c r="G448" s="29"/>
      <x:c r="H448" s="24"/>
      <x:c r="I448" s="24"/>
      <x:c r="J448" s="24"/>
      <x:c r="K448" s="24"/>
      <x:c r="L448" s="20" t="str">
        <x:f>IF(Q448&lt;&gt;"OK","",IF(E448="Back",G448*(F448-1),-G448*(F448-1)))</x:f>
      </x:c>
      <x:c r="M448" s="20" t="str">
        <x:f>IF(Q448&lt;&gt;"OK","",IF(E448="Back",-G448,G448))</x:f>
      </x:c>
      <x:c r="N448" s="20" t="str">
        <x:f>IF(Q448&lt;&gt;"OK","",SUMIFS($L$8:$L$1007,$A$8:$A$1007,A448,$B$8:$B$1007,"&lt;="&amp;B448))</x:f>
      </x:c>
      <x:c r="O448" s="20" t="str">
        <x:f>IF(Q448&lt;&gt;"OK","",SUMIFS($M$8:$M$1007,$A$8:$A$1007,A448,$B$8:$B$1007,"&lt;="&amp;B448))</x:f>
      </x:c>
      <x:c r="P448" s="20" t="str">
        <x:f>IF(Q448&lt;&gt;"OK","",MAX(0,-MIN(N448,O448)))</x:f>
      </x:c>
      <x:c r="Q448" s="18" t="str">
        <x:f>IF(A448="",IF(COUNTA(B448:K448)=0,"","Inserisci ID"),IF(COUNTIFS('Diario'!$A$8:$A$507,A448)&lt;&gt;1,"ID assente / duplicato",IF(OR(NOT(ISNUMBER(B448)),B448&lt;1,B448&lt;&gt;INT(B448),COUNTIFS($A$8:$A$1007,A448,$B$8:$B$1007,B448)&lt;&gt;1),"N. esecuzione non valido",IF(OR(NOT(ISNUMBER(C448)),AND(D448&lt;&gt;"Ingresso",D448&lt;&gt;"Uscita"),AND(E448&lt;&gt;"Back",E448&lt;&gt;"Lay")),"Completa data / fase / lato",IF(OR(NOT(ISNUMBER(F448)),F448&lt;=1,NOT(ISNUMBER(G448)),G448&lt;=0),"Correggi quota / stake","OK")))))</x:f>
      </x:c>
    </x:row>
    <x:row r="449" ht="22" customHeight="1">
      <x:c r="A449" s="24"/>
      <x:c r="B449" s="24"/>
      <x:c r="C449" s="26"/>
      <x:c r="D449" s="24"/>
      <x:c r="E449" s="24"/>
      <x:c r="F449" s="28"/>
      <x:c r="G449" s="29"/>
      <x:c r="H449" s="24"/>
      <x:c r="I449" s="24"/>
      <x:c r="J449" s="24"/>
      <x:c r="K449" s="24"/>
      <x:c r="L449" s="20" t="str">
        <x:f>IF(Q449&lt;&gt;"OK","",IF(E449="Back",G449*(F449-1),-G449*(F449-1)))</x:f>
      </x:c>
      <x:c r="M449" s="20" t="str">
        <x:f>IF(Q449&lt;&gt;"OK","",IF(E449="Back",-G449,G449))</x:f>
      </x:c>
      <x:c r="N449" s="20" t="str">
        <x:f>IF(Q449&lt;&gt;"OK","",SUMIFS($L$8:$L$1007,$A$8:$A$1007,A449,$B$8:$B$1007,"&lt;="&amp;B449))</x:f>
      </x:c>
      <x:c r="O449" s="20" t="str">
        <x:f>IF(Q449&lt;&gt;"OK","",SUMIFS($M$8:$M$1007,$A$8:$A$1007,A449,$B$8:$B$1007,"&lt;="&amp;B449))</x:f>
      </x:c>
      <x:c r="P449" s="20" t="str">
        <x:f>IF(Q449&lt;&gt;"OK","",MAX(0,-MIN(N449,O449)))</x:f>
      </x:c>
      <x:c r="Q449" s="18" t="str">
        <x:f>IF(A449="",IF(COUNTA(B449:K449)=0,"","Inserisci ID"),IF(COUNTIFS('Diario'!$A$8:$A$507,A449)&lt;&gt;1,"ID assente / duplicato",IF(OR(NOT(ISNUMBER(B449)),B449&lt;1,B449&lt;&gt;INT(B449),COUNTIFS($A$8:$A$1007,A449,$B$8:$B$1007,B449)&lt;&gt;1),"N. esecuzione non valido",IF(OR(NOT(ISNUMBER(C449)),AND(D449&lt;&gt;"Ingresso",D449&lt;&gt;"Uscita"),AND(E449&lt;&gt;"Back",E449&lt;&gt;"Lay")),"Completa data / fase / lato",IF(OR(NOT(ISNUMBER(F449)),F449&lt;=1,NOT(ISNUMBER(G449)),G449&lt;=0),"Correggi quota / stake","OK")))))</x:f>
      </x:c>
    </x:row>
    <x:row r="450" ht="22" customHeight="1">
      <x:c r="A450" s="24"/>
      <x:c r="B450" s="24"/>
      <x:c r="C450" s="26"/>
      <x:c r="D450" s="24"/>
      <x:c r="E450" s="24"/>
      <x:c r="F450" s="28"/>
      <x:c r="G450" s="29"/>
      <x:c r="H450" s="24"/>
      <x:c r="I450" s="24"/>
      <x:c r="J450" s="24"/>
      <x:c r="K450" s="24"/>
      <x:c r="L450" s="20" t="str">
        <x:f>IF(Q450&lt;&gt;"OK","",IF(E450="Back",G450*(F450-1),-G450*(F450-1)))</x:f>
      </x:c>
      <x:c r="M450" s="20" t="str">
        <x:f>IF(Q450&lt;&gt;"OK","",IF(E450="Back",-G450,G450))</x:f>
      </x:c>
      <x:c r="N450" s="20" t="str">
        <x:f>IF(Q450&lt;&gt;"OK","",SUMIFS($L$8:$L$1007,$A$8:$A$1007,A450,$B$8:$B$1007,"&lt;="&amp;B450))</x:f>
      </x:c>
      <x:c r="O450" s="20" t="str">
        <x:f>IF(Q450&lt;&gt;"OK","",SUMIFS($M$8:$M$1007,$A$8:$A$1007,A450,$B$8:$B$1007,"&lt;="&amp;B450))</x:f>
      </x:c>
      <x:c r="P450" s="20" t="str">
        <x:f>IF(Q450&lt;&gt;"OK","",MAX(0,-MIN(N450,O450)))</x:f>
      </x:c>
      <x:c r="Q450" s="18" t="str">
        <x:f>IF(A450="",IF(COUNTA(B450:K450)=0,"","Inserisci ID"),IF(COUNTIFS('Diario'!$A$8:$A$507,A450)&lt;&gt;1,"ID assente / duplicato",IF(OR(NOT(ISNUMBER(B450)),B450&lt;1,B450&lt;&gt;INT(B450),COUNTIFS($A$8:$A$1007,A450,$B$8:$B$1007,B450)&lt;&gt;1),"N. esecuzione non valido",IF(OR(NOT(ISNUMBER(C450)),AND(D450&lt;&gt;"Ingresso",D450&lt;&gt;"Uscita"),AND(E450&lt;&gt;"Back",E450&lt;&gt;"Lay")),"Completa data / fase / lato",IF(OR(NOT(ISNUMBER(F450)),F450&lt;=1,NOT(ISNUMBER(G450)),G450&lt;=0),"Correggi quota / stake","OK")))))</x:f>
      </x:c>
    </x:row>
    <x:row r="451" ht="22" customHeight="1">
      <x:c r="A451" s="24"/>
      <x:c r="B451" s="24"/>
      <x:c r="C451" s="26"/>
      <x:c r="D451" s="24"/>
      <x:c r="E451" s="24"/>
      <x:c r="F451" s="28"/>
      <x:c r="G451" s="29"/>
      <x:c r="H451" s="24"/>
      <x:c r="I451" s="24"/>
      <x:c r="J451" s="24"/>
      <x:c r="K451" s="24"/>
      <x:c r="L451" s="20" t="str">
        <x:f>IF(Q451&lt;&gt;"OK","",IF(E451="Back",G451*(F451-1),-G451*(F451-1)))</x:f>
      </x:c>
      <x:c r="M451" s="20" t="str">
        <x:f>IF(Q451&lt;&gt;"OK","",IF(E451="Back",-G451,G451))</x:f>
      </x:c>
      <x:c r="N451" s="20" t="str">
        <x:f>IF(Q451&lt;&gt;"OK","",SUMIFS($L$8:$L$1007,$A$8:$A$1007,A451,$B$8:$B$1007,"&lt;="&amp;B451))</x:f>
      </x:c>
      <x:c r="O451" s="20" t="str">
        <x:f>IF(Q451&lt;&gt;"OK","",SUMIFS($M$8:$M$1007,$A$8:$A$1007,A451,$B$8:$B$1007,"&lt;="&amp;B451))</x:f>
      </x:c>
      <x:c r="P451" s="20" t="str">
        <x:f>IF(Q451&lt;&gt;"OK","",MAX(0,-MIN(N451,O451)))</x:f>
      </x:c>
      <x:c r="Q451" s="18" t="str">
        <x:f>IF(A451="",IF(COUNTA(B451:K451)=0,"","Inserisci ID"),IF(COUNTIFS('Diario'!$A$8:$A$507,A451)&lt;&gt;1,"ID assente / duplicato",IF(OR(NOT(ISNUMBER(B451)),B451&lt;1,B451&lt;&gt;INT(B451),COUNTIFS($A$8:$A$1007,A451,$B$8:$B$1007,B451)&lt;&gt;1),"N. esecuzione non valido",IF(OR(NOT(ISNUMBER(C451)),AND(D451&lt;&gt;"Ingresso",D451&lt;&gt;"Uscita"),AND(E451&lt;&gt;"Back",E451&lt;&gt;"Lay")),"Completa data / fase / lato",IF(OR(NOT(ISNUMBER(F451)),F451&lt;=1,NOT(ISNUMBER(G451)),G451&lt;=0),"Correggi quota / stake","OK")))))</x:f>
      </x:c>
    </x:row>
    <x:row r="452" ht="22" customHeight="1">
      <x:c r="A452" s="24"/>
      <x:c r="B452" s="24"/>
      <x:c r="C452" s="26"/>
      <x:c r="D452" s="24"/>
      <x:c r="E452" s="24"/>
      <x:c r="F452" s="28"/>
      <x:c r="G452" s="29"/>
      <x:c r="H452" s="24"/>
      <x:c r="I452" s="24"/>
      <x:c r="J452" s="24"/>
      <x:c r="K452" s="24"/>
      <x:c r="L452" s="20" t="str">
        <x:f>IF(Q452&lt;&gt;"OK","",IF(E452="Back",G452*(F452-1),-G452*(F452-1)))</x:f>
      </x:c>
      <x:c r="M452" s="20" t="str">
        <x:f>IF(Q452&lt;&gt;"OK","",IF(E452="Back",-G452,G452))</x:f>
      </x:c>
      <x:c r="N452" s="20" t="str">
        <x:f>IF(Q452&lt;&gt;"OK","",SUMIFS($L$8:$L$1007,$A$8:$A$1007,A452,$B$8:$B$1007,"&lt;="&amp;B452))</x:f>
      </x:c>
      <x:c r="O452" s="20" t="str">
        <x:f>IF(Q452&lt;&gt;"OK","",SUMIFS($M$8:$M$1007,$A$8:$A$1007,A452,$B$8:$B$1007,"&lt;="&amp;B452))</x:f>
      </x:c>
      <x:c r="P452" s="20" t="str">
        <x:f>IF(Q452&lt;&gt;"OK","",MAX(0,-MIN(N452,O452)))</x:f>
      </x:c>
      <x:c r="Q452" s="18" t="str">
        <x:f>IF(A452="",IF(COUNTA(B452:K452)=0,"","Inserisci ID"),IF(COUNTIFS('Diario'!$A$8:$A$507,A452)&lt;&gt;1,"ID assente / duplicato",IF(OR(NOT(ISNUMBER(B452)),B452&lt;1,B452&lt;&gt;INT(B452),COUNTIFS($A$8:$A$1007,A452,$B$8:$B$1007,B452)&lt;&gt;1),"N. esecuzione non valido",IF(OR(NOT(ISNUMBER(C452)),AND(D452&lt;&gt;"Ingresso",D452&lt;&gt;"Uscita"),AND(E452&lt;&gt;"Back",E452&lt;&gt;"Lay")),"Completa data / fase / lato",IF(OR(NOT(ISNUMBER(F452)),F452&lt;=1,NOT(ISNUMBER(G452)),G452&lt;=0),"Correggi quota / stake","OK")))))</x:f>
      </x:c>
    </x:row>
    <x:row r="453" ht="22" customHeight="1">
      <x:c r="A453" s="24"/>
      <x:c r="B453" s="24"/>
      <x:c r="C453" s="26"/>
      <x:c r="D453" s="24"/>
      <x:c r="E453" s="24"/>
      <x:c r="F453" s="28"/>
      <x:c r="G453" s="29"/>
      <x:c r="H453" s="24"/>
      <x:c r="I453" s="24"/>
      <x:c r="J453" s="24"/>
      <x:c r="K453" s="24"/>
      <x:c r="L453" s="20" t="str">
        <x:f>IF(Q453&lt;&gt;"OK","",IF(E453="Back",G453*(F453-1),-G453*(F453-1)))</x:f>
      </x:c>
      <x:c r="M453" s="20" t="str">
        <x:f>IF(Q453&lt;&gt;"OK","",IF(E453="Back",-G453,G453))</x:f>
      </x:c>
      <x:c r="N453" s="20" t="str">
        <x:f>IF(Q453&lt;&gt;"OK","",SUMIFS($L$8:$L$1007,$A$8:$A$1007,A453,$B$8:$B$1007,"&lt;="&amp;B453))</x:f>
      </x:c>
      <x:c r="O453" s="20" t="str">
        <x:f>IF(Q453&lt;&gt;"OK","",SUMIFS($M$8:$M$1007,$A$8:$A$1007,A453,$B$8:$B$1007,"&lt;="&amp;B453))</x:f>
      </x:c>
      <x:c r="P453" s="20" t="str">
        <x:f>IF(Q453&lt;&gt;"OK","",MAX(0,-MIN(N453,O453)))</x:f>
      </x:c>
      <x:c r="Q453" s="18" t="str">
        <x:f>IF(A453="",IF(COUNTA(B453:K453)=0,"","Inserisci ID"),IF(COUNTIFS('Diario'!$A$8:$A$507,A453)&lt;&gt;1,"ID assente / duplicato",IF(OR(NOT(ISNUMBER(B453)),B453&lt;1,B453&lt;&gt;INT(B453),COUNTIFS($A$8:$A$1007,A453,$B$8:$B$1007,B453)&lt;&gt;1),"N. esecuzione non valido",IF(OR(NOT(ISNUMBER(C453)),AND(D453&lt;&gt;"Ingresso",D453&lt;&gt;"Uscita"),AND(E453&lt;&gt;"Back",E453&lt;&gt;"Lay")),"Completa data / fase / lato",IF(OR(NOT(ISNUMBER(F453)),F453&lt;=1,NOT(ISNUMBER(G453)),G453&lt;=0),"Correggi quota / stake","OK")))))</x:f>
      </x:c>
    </x:row>
    <x:row r="454" ht="22" customHeight="1">
      <x:c r="A454" s="24"/>
      <x:c r="B454" s="24"/>
      <x:c r="C454" s="26"/>
      <x:c r="D454" s="24"/>
      <x:c r="E454" s="24"/>
      <x:c r="F454" s="28"/>
      <x:c r="G454" s="29"/>
      <x:c r="H454" s="24"/>
      <x:c r="I454" s="24"/>
      <x:c r="J454" s="24"/>
      <x:c r="K454" s="24"/>
      <x:c r="L454" s="20" t="str">
        <x:f>IF(Q454&lt;&gt;"OK","",IF(E454="Back",G454*(F454-1),-G454*(F454-1)))</x:f>
      </x:c>
      <x:c r="M454" s="20" t="str">
        <x:f>IF(Q454&lt;&gt;"OK","",IF(E454="Back",-G454,G454))</x:f>
      </x:c>
      <x:c r="N454" s="20" t="str">
        <x:f>IF(Q454&lt;&gt;"OK","",SUMIFS($L$8:$L$1007,$A$8:$A$1007,A454,$B$8:$B$1007,"&lt;="&amp;B454))</x:f>
      </x:c>
      <x:c r="O454" s="20" t="str">
        <x:f>IF(Q454&lt;&gt;"OK","",SUMIFS($M$8:$M$1007,$A$8:$A$1007,A454,$B$8:$B$1007,"&lt;="&amp;B454))</x:f>
      </x:c>
      <x:c r="P454" s="20" t="str">
        <x:f>IF(Q454&lt;&gt;"OK","",MAX(0,-MIN(N454,O454)))</x:f>
      </x:c>
      <x:c r="Q454" s="18" t="str">
        <x:f>IF(A454="",IF(COUNTA(B454:K454)=0,"","Inserisci ID"),IF(COUNTIFS('Diario'!$A$8:$A$507,A454)&lt;&gt;1,"ID assente / duplicato",IF(OR(NOT(ISNUMBER(B454)),B454&lt;1,B454&lt;&gt;INT(B454),COUNTIFS($A$8:$A$1007,A454,$B$8:$B$1007,B454)&lt;&gt;1),"N. esecuzione non valido",IF(OR(NOT(ISNUMBER(C454)),AND(D454&lt;&gt;"Ingresso",D454&lt;&gt;"Uscita"),AND(E454&lt;&gt;"Back",E454&lt;&gt;"Lay")),"Completa data / fase / lato",IF(OR(NOT(ISNUMBER(F454)),F454&lt;=1,NOT(ISNUMBER(G454)),G454&lt;=0),"Correggi quota / stake","OK")))))</x:f>
      </x:c>
    </x:row>
    <x:row r="455" ht="22" customHeight="1">
      <x:c r="A455" s="24"/>
      <x:c r="B455" s="24"/>
      <x:c r="C455" s="26"/>
      <x:c r="D455" s="24"/>
      <x:c r="E455" s="24"/>
      <x:c r="F455" s="28"/>
      <x:c r="G455" s="29"/>
      <x:c r="H455" s="24"/>
      <x:c r="I455" s="24"/>
      <x:c r="J455" s="24"/>
      <x:c r="K455" s="24"/>
      <x:c r="L455" s="20" t="str">
        <x:f>IF(Q455&lt;&gt;"OK","",IF(E455="Back",G455*(F455-1),-G455*(F455-1)))</x:f>
      </x:c>
      <x:c r="M455" s="20" t="str">
        <x:f>IF(Q455&lt;&gt;"OK","",IF(E455="Back",-G455,G455))</x:f>
      </x:c>
      <x:c r="N455" s="20" t="str">
        <x:f>IF(Q455&lt;&gt;"OK","",SUMIFS($L$8:$L$1007,$A$8:$A$1007,A455,$B$8:$B$1007,"&lt;="&amp;B455))</x:f>
      </x:c>
      <x:c r="O455" s="20" t="str">
        <x:f>IF(Q455&lt;&gt;"OK","",SUMIFS($M$8:$M$1007,$A$8:$A$1007,A455,$B$8:$B$1007,"&lt;="&amp;B455))</x:f>
      </x:c>
      <x:c r="P455" s="20" t="str">
        <x:f>IF(Q455&lt;&gt;"OK","",MAX(0,-MIN(N455,O455)))</x:f>
      </x:c>
      <x:c r="Q455" s="18" t="str">
        <x:f>IF(A455="",IF(COUNTA(B455:K455)=0,"","Inserisci ID"),IF(COUNTIFS('Diario'!$A$8:$A$507,A455)&lt;&gt;1,"ID assente / duplicato",IF(OR(NOT(ISNUMBER(B455)),B455&lt;1,B455&lt;&gt;INT(B455),COUNTIFS($A$8:$A$1007,A455,$B$8:$B$1007,B455)&lt;&gt;1),"N. esecuzione non valido",IF(OR(NOT(ISNUMBER(C455)),AND(D455&lt;&gt;"Ingresso",D455&lt;&gt;"Uscita"),AND(E455&lt;&gt;"Back",E455&lt;&gt;"Lay")),"Completa data / fase / lato",IF(OR(NOT(ISNUMBER(F455)),F455&lt;=1,NOT(ISNUMBER(G455)),G455&lt;=0),"Correggi quota / stake","OK")))))</x:f>
      </x:c>
    </x:row>
    <x:row r="456" ht="22" customHeight="1">
      <x:c r="A456" s="24"/>
      <x:c r="B456" s="24"/>
      <x:c r="C456" s="26"/>
      <x:c r="D456" s="24"/>
      <x:c r="E456" s="24"/>
      <x:c r="F456" s="28"/>
      <x:c r="G456" s="29"/>
      <x:c r="H456" s="24"/>
      <x:c r="I456" s="24"/>
      <x:c r="J456" s="24"/>
      <x:c r="K456" s="24"/>
      <x:c r="L456" s="20" t="str">
        <x:f>IF(Q456&lt;&gt;"OK","",IF(E456="Back",G456*(F456-1),-G456*(F456-1)))</x:f>
      </x:c>
      <x:c r="M456" s="20" t="str">
        <x:f>IF(Q456&lt;&gt;"OK","",IF(E456="Back",-G456,G456))</x:f>
      </x:c>
      <x:c r="N456" s="20" t="str">
        <x:f>IF(Q456&lt;&gt;"OK","",SUMIFS($L$8:$L$1007,$A$8:$A$1007,A456,$B$8:$B$1007,"&lt;="&amp;B456))</x:f>
      </x:c>
      <x:c r="O456" s="20" t="str">
        <x:f>IF(Q456&lt;&gt;"OK","",SUMIFS($M$8:$M$1007,$A$8:$A$1007,A456,$B$8:$B$1007,"&lt;="&amp;B456))</x:f>
      </x:c>
      <x:c r="P456" s="20" t="str">
        <x:f>IF(Q456&lt;&gt;"OK","",MAX(0,-MIN(N456,O456)))</x:f>
      </x:c>
      <x:c r="Q456" s="18" t="str">
        <x:f>IF(A456="",IF(COUNTA(B456:K456)=0,"","Inserisci ID"),IF(COUNTIFS('Diario'!$A$8:$A$507,A456)&lt;&gt;1,"ID assente / duplicato",IF(OR(NOT(ISNUMBER(B456)),B456&lt;1,B456&lt;&gt;INT(B456),COUNTIFS($A$8:$A$1007,A456,$B$8:$B$1007,B456)&lt;&gt;1),"N. esecuzione non valido",IF(OR(NOT(ISNUMBER(C456)),AND(D456&lt;&gt;"Ingresso",D456&lt;&gt;"Uscita"),AND(E456&lt;&gt;"Back",E456&lt;&gt;"Lay")),"Completa data / fase / lato",IF(OR(NOT(ISNUMBER(F456)),F456&lt;=1,NOT(ISNUMBER(G456)),G456&lt;=0),"Correggi quota / stake","OK")))))</x:f>
      </x:c>
    </x:row>
    <x:row r="457" ht="22" customHeight="1">
      <x:c r="A457" s="24"/>
      <x:c r="B457" s="24"/>
      <x:c r="C457" s="26"/>
      <x:c r="D457" s="24"/>
      <x:c r="E457" s="24"/>
      <x:c r="F457" s="28"/>
      <x:c r="G457" s="29"/>
      <x:c r="H457" s="24"/>
      <x:c r="I457" s="24"/>
      <x:c r="J457" s="24"/>
      <x:c r="K457" s="24"/>
      <x:c r="L457" s="20" t="str">
        <x:f>IF(Q457&lt;&gt;"OK","",IF(E457="Back",G457*(F457-1),-G457*(F457-1)))</x:f>
      </x:c>
      <x:c r="M457" s="20" t="str">
        <x:f>IF(Q457&lt;&gt;"OK","",IF(E457="Back",-G457,G457))</x:f>
      </x:c>
      <x:c r="N457" s="20" t="str">
        <x:f>IF(Q457&lt;&gt;"OK","",SUMIFS($L$8:$L$1007,$A$8:$A$1007,A457,$B$8:$B$1007,"&lt;="&amp;B457))</x:f>
      </x:c>
      <x:c r="O457" s="20" t="str">
        <x:f>IF(Q457&lt;&gt;"OK","",SUMIFS($M$8:$M$1007,$A$8:$A$1007,A457,$B$8:$B$1007,"&lt;="&amp;B457))</x:f>
      </x:c>
      <x:c r="P457" s="20" t="str">
        <x:f>IF(Q457&lt;&gt;"OK","",MAX(0,-MIN(N457,O457)))</x:f>
      </x:c>
      <x:c r="Q457" s="18" t="str">
        <x:f>IF(A457="",IF(COUNTA(B457:K457)=0,"","Inserisci ID"),IF(COUNTIFS('Diario'!$A$8:$A$507,A457)&lt;&gt;1,"ID assente / duplicato",IF(OR(NOT(ISNUMBER(B457)),B457&lt;1,B457&lt;&gt;INT(B457),COUNTIFS($A$8:$A$1007,A457,$B$8:$B$1007,B457)&lt;&gt;1),"N. esecuzione non valido",IF(OR(NOT(ISNUMBER(C457)),AND(D457&lt;&gt;"Ingresso",D457&lt;&gt;"Uscita"),AND(E457&lt;&gt;"Back",E457&lt;&gt;"Lay")),"Completa data / fase / lato",IF(OR(NOT(ISNUMBER(F457)),F457&lt;=1,NOT(ISNUMBER(G457)),G457&lt;=0),"Correggi quota / stake","OK")))))</x:f>
      </x:c>
    </x:row>
    <x:row r="458" ht="22" customHeight="1">
      <x:c r="A458" s="24"/>
      <x:c r="B458" s="24"/>
      <x:c r="C458" s="26"/>
      <x:c r="D458" s="24"/>
      <x:c r="E458" s="24"/>
      <x:c r="F458" s="28"/>
      <x:c r="G458" s="29"/>
      <x:c r="H458" s="24"/>
      <x:c r="I458" s="24"/>
      <x:c r="J458" s="24"/>
      <x:c r="K458" s="24"/>
      <x:c r="L458" s="20" t="str">
        <x:f>IF(Q458&lt;&gt;"OK","",IF(E458="Back",G458*(F458-1),-G458*(F458-1)))</x:f>
      </x:c>
      <x:c r="M458" s="20" t="str">
        <x:f>IF(Q458&lt;&gt;"OK","",IF(E458="Back",-G458,G458))</x:f>
      </x:c>
      <x:c r="N458" s="20" t="str">
        <x:f>IF(Q458&lt;&gt;"OK","",SUMIFS($L$8:$L$1007,$A$8:$A$1007,A458,$B$8:$B$1007,"&lt;="&amp;B458))</x:f>
      </x:c>
      <x:c r="O458" s="20" t="str">
        <x:f>IF(Q458&lt;&gt;"OK","",SUMIFS($M$8:$M$1007,$A$8:$A$1007,A458,$B$8:$B$1007,"&lt;="&amp;B458))</x:f>
      </x:c>
      <x:c r="P458" s="20" t="str">
        <x:f>IF(Q458&lt;&gt;"OK","",MAX(0,-MIN(N458,O458)))</x:f>
      </x:c>
      <x:c r="Q458" s="18" t="str">
        <x:f>IF(A458="",IF(COUNTA(B458:K458)=0,"","Inserisci ID"),IF(COUNTIFS('Diario'!$A$8:$A$507,A458)&lt;&gt;1,"ID assente / duplicato",IF(OR(NOT(ISNUMBER(B458)),B458&lt;1,B458&lt;&gt;INT(B458),COUNTIFS($A$8:$A$1007,A458,$B$8:$B$1007,B458)&lt;&gt;1),"N. esecuzione non valido",IF(OR(NOT(ISNUMBER(C458)),AND(D458&lt;&gt;"Ingresso",D458&lt;&gt;"Uscita"),AND(E458&lt;&gt;"Back",E458&lt;&gt;"Lay")),"Completa data / fase / lato",IF(OR(NOT(ISNUMBER(F458)),F458&lt;=1,NOT(ISNUMBER(G458)),G458&lt;=0),"Correggi quota / stake","OK")))))</x:f>
      </x:c>
    </x:row>
    <x:row r="459" ht="22" customHeight="1">
      <x:c r="A459" s="24"/>
      <x:c r="B459" s="24"/>
      <x:c r="C459" s="26"/>
      <x:c r="D459" s="24"/>
      <x:c r="E459" s="24"/>
      <x:c r="F459" s="28"/>
      <x:c r="G459" s="29"/>
      <x:c r="H459" s="24"/>
      <x:c r="I459" s="24"/>
      <x:c r="J459" s="24"/>
      <x:c r="K459" s="24"/>
      <x:c r="L459" s="20" t="str">
        <x:f>IF(Q459&lt;&gt;"OK","",IF(E459="Back",G459*(F459-1),-G459*(F459-1)))</x:f>
      </x:c>
      <x:c r="M459" s="20" t="str">
        <x:f>IF(Q459&lt;&gt;"OK","",IF(E459="Back",-G459,G459))</x:f>
      </x:c>
      <x:c r="N459" s="20" t="str">
        <x:f>IF(Q459&lt;&gt;"OK","",SUMIFS($L$8:$L$1007,$A$8:$A$1007,A459,$B$8:$B$1007,"&lt;="&amp;B459))</x:f>
      </x:c>
      <x:c r="O459" s="20" t="str">
        <x:f>IF(Q459&lt;&gt;"OK","",SUMIFS($M$8:$M$1007,$A$8:$A$1007,A459,$B$8:$B$1007,"&lt;="&amp;B459))</x:f>
      </x:c>
      <x:c r="P459" s="20" t="str">
        <x:f>IF(Q459&lt;&gt;"OK","",MAX(0,-MIN(N459,O459)))</x:f>
      </x:c>
      <x:c r="Q459" s="18" t="str">
        <x:f>IF(A459="",IF(COUNTA(B459:K459)=0,"","Inserisci ID"),IF(COUNTIFS('Diario'!$A$8:$A$507,A459)&lt;&gt;1,"ID assente / duplicato",IF(OR(NOT(ISNUMBER(B459)),B459&lt;1,B459&lt;&gt;INT(B459),COUNTIFS($A$8:$A$1007,A459,$B$8:$B$1007,B459)&lt;&gt;1),"N. esecuzione non valido",IF(OR(NOT(ISNUMBER(C459)),AND(D459&lt;&gt;"Ingresso",D459&lt;&gt;"Uscita"),AND(E459&lt;&gt;"Back",E459&lt;&gt;"Lay")),"Completa data / fase / lato",IF(OR(NOT(ISNUMBER(F459)),F459&lt;=1,NOT(ISNUMBER(G459)),G459&lt;=0),"Correggi quota / stake","OK")))))</x:f>
      </x:c>
    </x:row>
    <x:row r="460" ht="22" customHeight="1">
      <x:c r="A460" s="24"/>
      <x:c r="B460" s="24"/>
      <x:c r="C460" s="26"/>
      <x:c r="D460" s="24"/>
      <x:c r="E460" s="24"/>
      <x:c r="F460" s="28"/>
      <x:c r="G460" s="29"/>
      <x:c r="H460" s="24"/>
      <x:c r="I460" s="24"/>
      <x:c r="J460" s="24"/>
      <x:c r="K460" s="24"/>
      <x:c r="L460" s="20" t="str">
        <x:f>IF(Q460&lt;&gt;"OK","",IF(E460="Back",G460*(F460-1),-G460*(F460-1)))</x:f>
      </x:c>
      <x:c r="M460" s="20" t="str">
        <x:f>IF(Q460&lt;&gt;"OK","",IF(E460="Back",-G460,G460))</x:f>
      </x:c>
      <x:c r="N460" s="20" t="str">
        <x:f>IF(Q460&lt;&gt;"OK","",SUMIFS($L$8:$L$1007,$A$8:$A$1007,A460,$B$8:$B$1007,"&lt;="&amp;B460))</x:f>
      </x:c>
      <x:c r="O460" s="20" t="str">
        <x:f>IF(Q460&lt;&gt;"OK","",SUMIFS($M$8:$M$1007,$A$8:$A$1007,A460,$B$8:$B$1007,"&lt;="&amp;B460))</x:f>
      </x:c>
      <x:c r="P460" s="20" t="str">
        <x:f>IF(Q460&lt;&gt;"OK","",MAX(0,-MIN(N460,O460)))</x:f>
      </x:c>
      <x:c r="Q460" s="18" t="str">
        <x:f>IF(A460="",IF(COUNTA(B460:K460)=0,"","Inserisci ID"),IF(COUNTIFS('Diario'!$A$8:$A$507,A460)&lt;&gt;1,"ID assente / duplicato",IF(OR(NOT(ISNUMBER(B460)),B460&lt;1,B460&lt;&gt;INT(B460),COUNTIFS($A$8:$A$1007,A460,$B$8:$B$1007,B460)&lt;&gt;1),"N. esecuzione non valido",IF(OR(NOT(ISNUMBER(C460)),AND(D460&lt;&gt;"Ingresso",D460&lt;&gt;"Uscita"),AND(E460&lt;&gt;"Back",E460&lt;&gt;"Lay")),"Completa data / fase / lato",IF(OR(NOT(ISNUMBER(F460)),F460&lt;=1,NOT(ISNUMBER(G460)),G460&lt;=0),"Correggi quota / stake","OK")))))</x:f>
      </x:c>
    </x:row>
    <x:row r="461" ht="22" customHeight="1">
      <x:c r="A461" s="24"/>
      <x:c r="B461" s="24"/>
      <x:c r="C461" s="26"/>
      <x:c r="D461" s="24"/>
      <x:c r="E461" s="24"/>
      <x:c r="F461" s="28"/>
      <x:c r="G461" s="29"/>
      <x:c r="H461" s="24"/>
      <x:c r="I461" s="24"/>
      <x:c r="J461" s="24"/>
      <x:c r="K461" s="24"/>
      <x:c r="L461" s="20" t="str">
        <x:f>IF(Q461&lt;&gt;"OK","",IF(E461="Back",G461*(F461-1),-G461*(F461-1)))</x:f>
      </x:c>
      <x:c r="M461" s="20" t="str">
        <x:f>IF(Q461&lt;&gt;"OK","",IF(E461="Back",-G461,G461))</x:f>
      </x:c>
      <x:c r="N461" s="20" t="str">
        <x:f>IF(Q461&lt;&gt;"OK","",SUMIFS($L$8:$L$1007,$A$8:$A$1007,A461,$B$8:$B$1007,"&lt;="&amp;B461))</x:f>
      </x:c>
      <x:c r="O461" s="20" t="str">
        <x:f>IF(Q461&lt;&gt;"OK","",SUMIFS($M$8:$M$1007,$A$8:$A$1007,A461,$B$8:$B$1007,"&lt;="&amp;B461))</x:f>
      </x:c>
      <x:c r="P461" s="20" t="str">
        <x:f>IF(Q461&lt;&gt;"OK","",MAX(0,-MIN(N461,O461)))</x:f>
      </x:c>
      <x:c r="Q461" s="18" t="str">
        <x:f>IF(A461="",IF(COUNTA(B461:K461)=0,"","Inserisci ID"),IF(COUNTIFS('Diario'!$A$8:$A$507,A461)&lt;&gt;1,"ID assente / duplicato",IF(OR(NOT(ISNUMBER(B461)),B461&lt;1,B461&lt;&gt;INT(B461),COUNTIFS($A$8:$A$1007,A461,$B$8:$B$1007,B461)&lt;&gt;1),"N. esecuzione non valido",IF(OR(NOT(ISNUMBER(C461)),AND(D461&lt;&gt;"Ingresso",D461&lt;&gt;"Uscita"),AND(E461&lt;&gt;"Back",E461&lt;&gt;"Lay")),"Completa data / fase / lato",IF(OR(NOT(ISNUMBER(F461)),F461&lt;=1,NOT(ISNUMBER(G461)),G461&lt;=0),"Correggi quota / stake","OK")))))</x:f>
      </x:c>
    </x:row>
    <x:row r="462" ht="22" customHeight="1">
      <x:c r="A462" s="24"/>
      <x:c r="B462" s="24"/>
      <x:c r="C462" s="26"/>
      <x:c r="D462" s="24"/>
      <x:c r="E462" s="24"/>
      <x:c r="F462" s="28"/>
      <x:c r="G462" s="29"/>
      <x:c r="H462" s="24"/>
      <x:c r="I462" s="24"/>
      <x:c r="J462" s="24"/>
      <x:c r="K462" s="24"/>
      <x:c r="L462" s="20" t="str">
        <x:f>IF(Q462&lt;&gt;"OK","",IF(E462="Back",G462*(F462-1),-G462*(F462-1)))</x:f>
      </x:c>
      <x:c r="M462" s="20" t="str">
        <x:f>IF(Q462&lt;&gt;"OK","",IF(E462="Back",-G462,G462))</x:f>
      </x:c>
      <x:c r="N462" s="20" t="str">
        <x:f>IF(Q462&lt;&gt;"OK","",SUMIFS($L$8:$L$1007,$A$8:$A$1007,A462,$B$8:$B$1007,"&lt;="&amp;B462))</x:f>
      </x:c>
      <x:c r="O462" s="20" t="str">
        <x:f>IF(Q462&lt;&gt;"OK","",SUMIFS($M$8:$M$1007,$A$8:$A$1007,A462,$B$8:$B$1007,"&lt;="&amp;B462))</x:f>
      </x:c>
      <x:c r="P462" s="20" t="str">
        <x:f>IF(Q462&lt;&gt;"OK","",MAX(0,-MIN(N462,O462)))</x:f>
      </x:c>
      <x:c r="Q462" s="18" t="str">
        <x:f>IF(A462="",IF(COUNTA(B462:K462)=0,"","Inserisci ID"),IF(COUNTIFS('Diario'!$A$8:$A$507,A462)&lt;&gt;1,"ID assente / duplicato",IF(OR(NOT(ISNUMBER(B462)),B462&lt;1,B462&lt;&gt;INT(B462),COUNTIFS($A$8:$A$1007,A462,$B$8:$B$1007,B462)&lt;&gt;1),"N. esecuzione non valido",IF(OR(NOT(ISNUMBER(C462)),AND(D462&lt;&gt;"Ingresso",D462&lt;&gt;"Uscita"),AND(E462&lt;&gt;"Back",E462&lt;&gt;"Lay")),"Completa data / fase / lato",IF(OR(NOT(ISNUMBER(F462)),F462&lt;=1,NOT(ISNUMBER(G462)),G462&lt;=0),"Correggi quota / stake","OK")))))</x:f>
      </x:c>
    </x:row>
    <x:row r="463" ht="22" customHeight="1">
      <x:c r="A463" s="24"/>
      <x:c r="B463" s="24"/>
      <x:c r="C463" s="26"/>
      <x:c r="D463" s="24"/>
      <x:c r="E463" s="24"/>
      <x:c r="F463" s="28"/>
      <x:c r="G463" s="29"/>
      <x:c r="H463" s="24"/>
      <x:c r="I463" s="24"/>
      <x:c r="J463" s="24"/>
      <x:c r="K463" s="24"/>
      <x:c r="L463" s="20" t="str">
        <x:f>IF(Q463&lt;&gt;"OK","",IF(E463="Back",G463*(F463-1),-G463*(F463-1)))</x:f>
      </x:c>
      <x:c r="M463" s="20" t="str">
        <x:f>IF(Q463&lt;&gt;"OK","",IF(E463="Back",-G463,G463))</x:f>
      </x:c>
      <x:c r="N463" s="20" t="str">
        <x:f>IF(Q463&lt;&gt;"OK","",SUMIFS($L$8:$L$1007,$A$8:$A$1007,A463,$B$8:$B$1007,"&lt;="&amp;B463))</x:f>
      </x:c>
      <x:c r="O463" s="20" t="str">
        <x:f>IF(Q463&lt;&gt;"OK","",SUMIFS($M$8:$M$1007,$A$8:$A$1007,A463,$B$8:$B$1007,"&lt;="&amp;B463))</x:f>
      </x:c>
      <x:c r="P463" s="20" t="str">
        <x:f>IF(Q463&lt;&gt;"OK","",MAX(0,-MIN(N463,O463)))</x:f>
      </x:c>
      <x:c r="Q463" s="18" t="str">
        <x:f>IF(A463="",IF(COUNTA(B463:K463)=0,"","Inserisci ID"),IF(COUNTIFS('Diario'!$A$8:$A$507,A463)&lt;&gt;1,"ID assente / duplicato",IF(OR(NOT(ISNUMBER(B463)),B463&lt;1,B463&lt;&gt;INT(B463),COUNTIFS($A$8:$A$1007,A463,$B$8:$B$1007,B463)&lt;&gt;1),"N. esecuzione non valido",IF(OR(NOT(ISNUMBER(C463)),AND(D463&lt;&gt;"Ingresso",D463&lt;&gt;"Uscita"),AND(E463&lt;&gt;"Back",E463&lt;&gt;"Lay")),"Completa data / fase / lato",IF(OR(NOT(ISNUMBER(F463)),F463&lt;=1,NOT(ISNUMBER(G463)),G463&lt;=0),"Correggi quota / stake","OK")))))</x:f>
      </x:c>
    </x:row>
    <x:row r="464" ht="22" customHeight="1">
      <x:c r="A464" s="24"/>
      <x:c r="B464" s="24"/>
      <x:c r="C464" s="26"/>
      <x:c r="D464" s="24"/>
      <x:c r="E464" s="24"/>
      <x:c r="F464" s="28"/>
      <x:c r="G464" s="29"/>
      <x:c r="H464" s="24"/>
      <x:c r="I464" s="24"/>
      <x:c r="J464" s="24"/>
      <x:c r="K464" s="24"/>
      <x:c r="L464" s="20" t="str">
        <x:f>IF(Q464&lt;&gt;"OK","",IF(E464="Back",G464*(F464-1),-G464*(F464-1)))</x:f>
      </x:c>
      <x:c r="M464" s="20" t="str">
        <x:f>IF(Q464&lt;&gt;"OK","",IF(E464="Back",-G464,G464))</x:f>
      </x:c>
      <x:c r="N464" s="20" t="str">
        <x:f>IF(Q464&lt;&gt;"OK","",SUMIFS($L$8:$L$1007,$A$8:$A$1007,A464,$B$8:$B$1007,"&lt;="&amp;B464))</x:f>
      </x:c>
      <x:c r="O464" s="20" t="str">
        <x:f>IF(Q464&lt;&gt;"OK","",SUMIFS($M$8:$M$1007,$A$8:$A$1007,A464,$B$8:$B$1007,"&lt;="&amp;B464))</x:f>
      </x:c>
      <x:c r="P464" s="20" t="str">
        <x:f>IF(Q464&lt;&gt;"OK","",MAX(0,-MIN(N464,O464)))</x:f>
      </x:c>
      <x:c r="Q464" s="18" t="str">
        <x:f>IF(A464="",IF(COUNTA(B464:K464)=0,"","Inserisci ID"),IF(COUNTIFS('Diario'!$A$8:$A$507,A464)&lt;&gt;1,"ID assente / duplicato",IF(OR(NOT(ISNUMBER(B464)),B464&lt;1,B464&lt;&gt;INT(B464),COUNTIFS($A$8:$A$1007,A464,$B$8:$B$1007,B464)&lt;&gt;1),"N. esecuzione non valido",IF(OR(NOT(ISNUMBER(C464)),AND(D464&lt;&gt;"Ingresso",D464&lt;&gt;"Uscita"),AND(E464&lt;&gt;"Back",E464&lt;&gt;"Lay")),"Completa data / fase / lato",IF(OR(NOT(ISNUMBER(F464)),F464&lt;=1,NOT(ISNUMBER(G464)),G464&lt;=0),"Correggi quota / stake","OK")))))</x:f>
      </x:c>
    </x:row>
    <x:row r="465" ht="22" customHeight="1">
      <x:c r="A465" s="24"/>
      <x:c r="B465" s="24"/>
      <x:c r="C465" s="26"/>
      <x:c r="D465" s="24"/>
      <x:c r="E465" s="24"/>
      <x:c r="F465" s="28"/>
      <x:c r="G465" s="29"/>
      <x:c r="H465" s="24"/>
      <x:c r="I465" s="24"/>
      <x:c r="J465" s="24"/>
      <x:c r="K465" s="24"/>
      <x:c r="L465" s="20" t="str">
        <x:f>IF(Q465&lt;&gt;"OK","",IF(E465="Back",G465*(F465-1),-G465*(F465-1)))</x:f>
      </x:c>
      <x:c r="M465" s="20" t="str">
        <x:f>IF(Q465&lt;&gt;"OK","",IF(E465="Back",-G465,G465))</x:f>
      </x:c>
      <x:c r="N465" s="20" t="str">
        <x:f>IF(Q465&lt;&gt;"OK","",SUMIFS($L$8:$L$1007,$A$8:$A$1007,A465,$B$8:$B$1007,"&lt;="&amp;B465))</x:f>
      </x:c>
      <x:c r="O465" s="20" t="str">
        <x:f>IF(Q465&lt;&gt;"OK","",SUMIFS($M$8:$M$1007,$A$8:$A$1007,A465,$B$8:$B$1007,"&lt;="&amp;B465))</x:f>
      </x:c>
      <x:c r="P465" s="20" t="str">
        <x:f>IF(Q465&lt;&gt;"OK","",MAX(0,-MIN(N465,O465)))</x:f>
      </x:c>
      <x:c r="Q465" s="18" t="str">
        <x:f>IF(A465="",IF(COUNTA(B465:K465)=0,"","Inserisci ID"),IF(COUNTIFS('Diario'!$A$8:$A$507,A465)&lt;&gt;1,"ID assente / duplicato",IF(OR(NOT(ISNUMBER(B465)),B465&lt;1,B465&lt;&gt;INT(B465),COUNTIFS($A$8:$A$1007,A465,$B$8:$B$1007,B465)&lt;&gt;1),"N. esecuzione non valido",IF(OR(NOT(ISNUMBER(C465)),AND(D465&lt;&gt;"Ingresso",D465&lt;&gt;"Uscita"),AND(E465&lt;&gt;"Back",E465&lt;&gt;"Lay")),"Completa data / fase / lato",IF(OR(NOT(ISNUMBER(F465)),F465&lt;=1,NOT(ISNUMBER(G465)),G465&lt;=0),"Correggi quota / stake","OK")))))</x:f>
      </x:c>
    </x:row>
    <x:row r="466" ht="22" customHeight="1">
      <x:c r="A466" s="24"/>
      <x:c r="B466" s="24"/>
      <x:c r="C466" s="26"/>
      <x:c r="D466" s="24"/>
      <x:c r="E466" s="24"/>
      <x:c r="F466" s="28"/>
      <x:c r="G466" s="29"/>
      <x:c r="H466" s="24"/>
      <x:c r="I466" s="24"/>
      <x:c r="J466" s="24"/>
      <x:c r="K466" s="24"/>
      <x:c r="L466" s="20" t="str">
        <x:f>IF(Q466&lt;&gt;"OK","",IF(E466="Back",G466*(F466-1),-G466*(F466-1)))</x:f>
      </x:c>
      <x:c r="M466" s="20" t="str">
        <x:f>IF(Q466&lt;&gt;"OK","",IF(E466="Back",-G466,G466))</x:f>
      </x:c>
      <x:c r="N466" s="20" t="str">
        <x:f>IF(Q466&lt;&gt;"OK","",SUMIFS($L$8:$L$1007,$A$8:$A$1007,A466,$B$8:$B$1007,"&lt;="&amp;B466))</x:f>
      </x:c>
      <x:c r="O466" s="20" t="str">
        <x:f>IF(Q466&lt;&gt;"OK","",SUMIFS($M$8:$M$1007,$A$8:$A$1007,A466,$B$8:$B$1007,"&lt;="&amp;B466))</x:f>
      </x:c>
      <x:c r="P466" s="20" t="str">
        <x:f>IF(Q466&lt;&gt;"OK","",MAX(0,-MIN(N466,O466)))</x:f>
      </x:c>
      <x:c r="Q466" s="18" t="str">
        <x:f>IF(A466="",IF(COUNTA(B466:K466)=0,"","Inserisci ID"),IF(COUNTIFS('Diario'!$A$8:$A$507,A466)&lt;&gt;1,"ID assente / duplicato",IF(OR(NOT(ISNUMBER(B466)),B466&lt;1,B466&lt;&gt;INT(B466),COUNTIFS($A$8:$A$1007,A466,$B$8:$B$1007,B466)&lt;&gt;1),"N. esecuzione non valido",IF(OR(NOT(ISNUMBER(C466)),AND(D466&lt;&gt;"Ingresso",D466&lt;&gt;"Uscita"),AND(E466&lt;&gt;"Back",E466&lt;&gt;"Lay")),"Completa data / fase / lato",IF(OR(NOT(ISNUMBER(F466)),F466&lt;=1,NOT(ISNUMBER(G466)),G466&lt;=0),"Correggi quota / stake","OK")))))</x:f>
      </x:c>
    </x:row>
    <x:row r="467" ht="22" customHeight="1">
      <x:c r="A467" s="24"/>
      <x:c r="B467" s="24"/>
      <x:c r="C467" s="26"/>
      <x:c r="D467" s="24"/>
      <x:c r="E467" s="24"/>
      <x:c r="F467" s="28"/>
      <x:c r="G467" s="29"/>
      <x:c r="H467" s="24"/>
      <x:c r="I467" s="24"/>
      <x:c r="J467" s="24"/>
      <x:c r="K467" s="24"/>
      <x:c r="L467" s="20" t="str">
        <x:f>IF(Q467&lt;&gt;"OK","",IF(E467="Back",G467*(F467-1),-G467*(F467-1)))</x:f>
      </x:c>
      <x:c r="M467" s="20" t="str">
        <x:f>IF(Q467&lt;&gt;"OK","",IF(E467="Back",-G467,G467))</x:f>
      </x:c>
      <x:c r="N467" s="20" t="str">
        <x:f>IF(Q467&lt;&gt;"OK","",SUMIFS($L$8:$L$1007,$A$8:$A$1007,A467,$B$8:$B$1007,"&lt;="&amp;B467))</x:f>
      </x:c>
      <x:c r="O467" s="20" t="str">
        <x:f>IF(Q467&lt;&gt;"OK","",SUMIFS($M$8:$M$1007,$A$8:$A$1007,A467,$B$8:$B$1007,"&lt;="&amp;B467))</x:f>
      </x:c>
      <x:c r="P467" s="20" t="str">
        <x:f>IF(Q467&lt;&gt;"OK","",MAX(0,-MIN(N467,O467)))</x:f>
      </x:c>
      <x:c r="Q467" s="18" t="str">
        <x:f>IF(A467="",IF(COUNTA(B467:K467)=0,"","Inserisci ID"),IF(COUNTIFS('Diario'!$A$8:$A$507,A467)&lt;&gt;1,"ID assente / duplicato",IF(OR(NOT(ISNUMBER(B467)),B467&lt;1,B467&lt;&gt;INT(B467),COUNTIFS($A$8:$A$1007,A467,$B$8:$B$1007,B467)&lt;&gt;1),"N. esecuzione non valido",IF(OR(NOT(ISNUMBER(C467)),AND(D467&lt;&gt;"Ingresso",D467&lt;&gt;"Uscita"),AND(E467&lt;&gt;"Back",E467&lt;&gt;"Lay")),"Completa data / fase / lato",IF(OR(NOT(ISNUMBER(F467)),F467&lt;=1,NOT(ISNUMBER(G467)),G467&lt;=0),"Correggi quota / stake","OK")))))</x:f>
      </x:c>
    </x:row>
    <x:row r="468" ht="22" customHeight="1">
      <x:c r="A468" s="24"/>
      <x:c r="B468" s="24"/>
      <x:c r="C468" s="26"/>
      <x:c r="D468" s="24"/>
      <x:c r="E468" s="24"/>
      <x:c r="F468" s="28"/>
      <x:c r="G468" s="29"/>
      <x:c r="H468" s="24"/>
      <x:c r="I468" s="24"/>
      <x:c r="J468" s="24"/>
      <x:c r="K468" s="24"/>
      <x:c r="L468" s="20" t="str">
        <x:f>IF(Q468&lt;&gt;"OK","",IF(E468="Back",G468*(F468-1),-G468*(F468-1)))</x:f>
      </x:c>
      <x:c r="M468" s="20" t="str">
        <x:f>IF(Q468&lt;&gt;"OK","",IF(E468="Back",-G468,G468))</x:f>
      </x:c>
      <x:c r="N468" s="20" t="str">
        <x:f>IF(Q468&lt;&gt;"OK","",SUMIFS($L$8:$L$1007,$A$8:$A$1007,A468,$B$8:$B$1007,"&lt;="&amp;B468))</x:f>
      </x:c>
      <x:c r="O468" s="20" t="str">
        <x:f>IF(Q468&lt;&gt;"OK","",SUMIFS($M$8:$M$1007,$A$8:$A$1007,A468,$B$8:$B$1007,"&lt;="&amp;B468))</x:f>
      </x:c>
      <x:c r="P468" s="20" t="str">
        <x:f>IF(Q468&lt;&gt;"OK","",MAX(0,-MIN(N468,O468)))</x:f>
      </x:c>
      <x:c r="Q468" s="18" t="str">
        <x:f>IF(A468="",IF(COUNTA(B468:K468)=0,"","Inserisci ID"),IF(COUNTIFS('Diario'!$A$8:$A$507,A468)&lt;&gt;1,"ID assente / duplicato",IF(OR(NOT(ISNUMBER(B468)),B468&lt;1,B468&lt;&gt;INT(B468),COUNTIFS($A$8:$A$1007,A468,$B$8:$B$1007,B468)&lt;&gt;1),"N. esecuzione non valido",IF(OR(NOT(ISNUMBER(C468)),AND(D468&lt;&gt;"Ingresso",D468&lt;&gt;"Uscita"),AND(E468&lt;&gt;"Back",E468&lt;&gt;"Lay")),"Completa data / fase / lato",IF(OR(NOT(ISNUMBER(F468)),F468&lt;=1,NOT(ISNUMBER(G468)),G468&lt;=0),"Correggi quota / stake","OK")))))</x:f>
      </x:c>
    </x:row>
    <x:row r="469" ht="22" customHeight="1">
      <x:c r="A469" s="24"/>
      <x:c r="B469" s="24"/>
      <x:c r="C469" s="26"/>
      <x:c r="D469" s="24"/>
      <x:c r="E469" s="24"/>
      <x:c r="F469" s="28"/>
      <x:c r="G469" s="29"/>
      <x:c r="H469" s="24"/>
      <x:c r="I469" s="24"/>
      <x:c r="J469" s="24"/>
      <x:c r="K469" s="24"/>
      <x:c r="L469" s="20" t="str">
        <x:f>IF(Q469&lt;&gt;"OK","",IF(E469="Back",G469*(F469-1),-G469*(F469-1)))</x:f>
      </x:c>
      <x:c r="M469" s="20" t="str">
        <x:f>IF(Q469&lt;&gt;"OK","",IF(E469="Back",-G469,G469))</x:f>
      </x:c>
      <x:c r="N469" s="20" t="str">
        <x:f>IF(Q469&lt;&gt;"OK","",SUMIFS($L$8:$L$1007,$A$8:$A$1007,A469,$B$8:$B$1007,"&lt;="&amp;B469))</x:f>
      </x:c>
      <x:c r="O469" s="20" t="str">
        <x:f>IF(Q469&lt;&gt;"OK","",SUMIFS($M$8:$M$1007,$A$8:$A$1007,A469,$B$8:$B$1007,"&lt;="&amp;B469))</x:f>
      </x:c>
      <x:c r="P469" s="20" t="str">
        <x:f>IF(Q469&lt;&gt;"OK","",MAX(0,-MIN(N469,O469)))</x:f>
      </x:c>
      <x:c r="Q469" s="18" t="str">
        <x:f>IF(A469="",IF(COUNTA(B469:K469)=0,"","Inserisci ID"),IF(COUNTIFS('Diario'!$A$8:$A$507,A469)&lt;&gt;1,"ID assente / duplicato",IF(OR(NOT(ISNUMBER(B469)),B469&lt;1,B469&lt;&gt;INT(B469),COUNTIFS($A$8:$A$1007,A469,$B$8:$B$1007,B469)&lt;&gt;1),"N. esecuzione non valido",IF(OR(NOT(ISNUMBER(C469)),AND(D469&lt;&gt;"Ingresso",D469&lt;&gt;"Uscita"),AND(E469&lt;&gt;"Back",E469&lt;&gt;"Lay")),"Completa data / fase / lato",IF(OR(NOT(ISNUMBER(F469)),F469&lt;=1,NOT(ISNUMBER(G469)),G469&lt;=0),"Correggi quota / stake","OK")))))</x:f>
      </x:c>
    </x:row>
    <x:row r="470" ht="22" customHeight="1">
      <x:c r="A470" s="24"/>
      <x:c r="B470" s="24"/>
      <x:c r="C470" s="26"/>
      <x:c r="D470" s="24"/>
      <x:c r="E470" s="24"/>
      <x:c r="F470" s="28"/>
      <x:c r="G470" s="29"/>
      <x:c r="H470" s="24"/>
      <x:c r="I470" s="24"/>
      <x:c r="J470" s="24"/>
      <x:c r="K470" s="24"/>
      <x:c r="L470" s="20" t="str">
        <x:f>IF(Q470&lt;&gt;"OK","",IF(E470="Back",G470*(F470-1),-G470*(F470-1)))</x:f>
      </x:c>
      <x:c r="M470" s="20" t="str">
        <x:f>IF(Q470&lt;&gt;"OK","",IF(E470="Back",-G470,G470))</x:f>
      </x:c>
      <x:c r="N470" s="20" t="str">
        <x:f>IF(Q470&lt;&gt;"OK","",SUMIFS($L$8:$L$1007,$A$8:$A$1007,A470,$B$8:$B$1007,"&lt;="&amp;B470))</x:f>
      </x:c>
      <x:c r="O470" s="20" t="str">
        <x:f>IF(Q470&lt;&gt;"OK","",SUMIFS($M$8:$M$1007,$A$8:$A$1007,A470,$B$8:$B$1007,"&lt;="&amp;B470))</x:f>
      </x:c>
      <x:c r="P470" s="20" t="str">
        <x:f>IF(Q470&lt;&gt;"OK","",MAX(0,-MIN(N470,O470)))</x:f>
      </x:c>
      <x:c r="Q470" s="18" t="str">
        <x:f>IF(A470="",IF(COUNTA(B470:K470)=0,"","Inserisci ID"),IF(COUNTIFS('Diario'!$A$8:$A$507,A470)&lt;&gt;1,"ID assente / duplicato",IF(OR(NOT(ISNUMBER(B470)),B470&lt;1,B470&lt;&gt;INT(B470),COUNTIFS($A$8:$A$1007,A470,$B$8:$B$1007,B470)&lt;&gt;1),"N. esecuzione non valido",IF(OR(NOT(ISNUMBER(C470)),AND(D470&lt;&gt;"Ingresso",D470&lt;&gt;"Uscita"),AND(E470&lt;&gt;"Back",E470&lt;&gt;"Lay")),"Completa data / fase / lato",IF(OR(NOT(ISNUMBER(F470)),F470&lt;=1,NOT(ISNUMBER(G470)),G470&lt;=0),"Correggi quota / stake","OK")))))</x:f>
      </x:c>
    </x:row>
    <x:row r="471" ht="22" customHeight="1">
      <x:c r="A471" s="24"/>
      <x:c r="B471" s="24"/>
      <x:c r="C471" s="26"/>
      <x:c r="D471" s="24"/>
      <x:c r="E471" s="24"/>
      <x:c r="F471" s="28"/>
      <x:c r="G471" s="29"/>
      <x:c r="H471" s="24"/>
      <x:c r="I471" s="24"/>
      <x:c r="J471" s="24"/>
      <x:c r="K471" s="24"/>
      <x:c r="L471" s="20" t="str">
        <x:f>IF(Q471&lt;&gt;"OK","",IF(E471="Back",G471*(F471-1),-G471*(F471-1)))</x:f>
      </x:c>
      <x:c r="M471" s="20" t="str">
        <x:f>IF(Q471&lt;&gt;"OK","",IF(E471="Back",-G471,G471))</x:f>
      </x:c>
      <x:c r="N471" s="20" t="str">
        <x:f>IF(Q471&lt;&gt;"OK","",SUMIFS($L$8:$L$1007,$A$8:$A$1007,A471,$B$8:$B$1007,"&lt;="&amp;B471))</x:f>
      </x:c>
      <x:c r="O471" s="20" t="str">
        <x:f>IF(Q471&lt;&gt;"OK","",SUMIFS($M$8:$M$1007,$A$8:$A$1007,A471,$B$8:$B$1007,"&lt;="&amp;B471))</x:f>
      </x:c>
      <x:c r="P471" s="20" t="str">
        <x:f>IF(Q471&lt;&gt;"OK","",MAX(0,-MIN(N471,O471)))</x:f>
      </x:c>
      <x:c r="Q471" s="18" t="str">
        <x:f>IF(A471="",IF(COUNTA(B471:K471)=0,"","Inserisci ID"),IF(COUNTIFS('Diario'!$A$8:$A$507,A471)&lt;&gt;1,"ID assente / duplicato",IF(OR(NOT(ISNUMBER(B471)),B471&lt;1,B471&lt;&gt;INT(B471),COUNTIFS($A$8:$A$1007,A471,$B$8:$B$1007,B471)&lt;&gt;1),"N. esecuzione non valido",IF(OR(NOT(ISNUMBER(C471)),AND(D471&lt;&gt;"Ingresso",D471&lt;&gt;"Uscita"),AND(E471&lt;&gt;"Back",E471&lt;&gt;"Lay")),"Completa data / fase / lato",IF(OR(NOT(ISNUMBER(F471)),F471&lt;=1,NOT(ISNUMBER(G471)),G471&lt;=0),"Correggi quota / stake","OK")))))</x:f>
      </x:c>
    </x:row>
    <x:row r="472" ht="22" customHeight="1">
      <x:c r="A472" s="24"/>
      <x:c r="B472" s="24"/>
      <x:c r="C472" s="26"/>
      <x:c r="D472" s="24"/>
      <x:c r="E472" s="24"/>
      <x:c r="F472" s="28"/>
      <x:c r="G472" s="29"/>
      <x:c r="H472" s="24"/>
      <x:c r="I472" s="24"/>
      <x:c r="J472" s="24"/>
      <x:c r="K472" s="24"/>
      <x:c r="L472" s="20" t="str">
        <x:f>IF(Q472&lt;&gt;"OK","",IF(E472="Back",G472*(F472-1),-G472*(F472-1)))</x:f>
      </x:c>
      <x:c r="M472" s="20" t="str">
        <x:f>IF(Q472&lt;&gt;"OK","",IF(E472="Back",-G472,G472))</x:f>
      </x:c>
      <x:c r="N472" s="20" t="str">
        <x:f>IF(Q472&lt;&gt;"OK","",SUMIFS($L$8:$L$1007,$A$8:$A$1007,A472,$B$8:$B$1007,"&lt;="&amp;B472))</x:f>
      </x:c>
      <x:c r="O472" s="20" t="str">
        <x:f>IF(Q472&lt;&gt;"OK","",SUMIFS($M$8:$M$1007,$A$8:$A$1007,A472,$B$8:$B$1007,"&lt;="&amp;B472))</x:f>
      </x:c>
      <x:c r="P472" s="20" t="str">
        <x:f>IF(Q472&lt;&gt;"OK","",MAX(0,-MIN(N472,O472)))</x:f>
      </x:c>
      <x:c r="Q472" s="18" t="str">
        <x:f>IF(A472="",IF(COUNTA(B472:K472)=0,"","Inserisci ID"),IF(COUNTIFS('Diario'!$A$8:$A$507,A472)&lt;&gt;1,"ID assente / duplicato",IF(OR(NOT(ISNUMBER(B472)),B472&lt;1,B472&lt;&gt;INT(B472),COUNTIFS($A$8:$A$1007,A472,$B$8:$B$1007,B472)&lt;&gt;1),"N. esecuzione non valido",IF(OR(NOT(ISNUMBER(C472)),AND(D472&lt;&gt;"Ingresso",D472&lt;&gt;"Uscita"),AND(E472&lt;&gt;"Back",E472&lt;&gt;"Lay")),"Completa data / fase / lato",IF(OR(NOT(ISNUMBER(F472)),F472&lt;=1,NOT(ISNUMBER(G472)),G472&lt;=0),"Correggi quota / stake","OK")))))</x:f>
      </x:c>
    </x:row>
    <x:row r="473" ht="22" customHeight="1">
      <x:c r="A473" s="24"/>
      <x:c r="B473" s="24"/>
      <x:c r="C473" s="26"/>
      <x:c r="D473" s="24"/>
      <x:c r="E473" s="24"/>
      <x:c r="F473" s="28"/>
      <x:c r="G473" s="29"/>
      <x:c r="H473" s="24"/>
      <x:c r="I473" s="24"/>
      <x:c r="J473" s="24"/>
      <x:c r="K473" s="24"/>
      <x:c r="L473" s="20" t="str">
        <x:f>IF(Q473&lt;&gt;"OK","",IF(E473="Back",G473*(F473-1),-G473*(F473-1)))</x:f>
      </x:c>
      <x:c r="M473" s="20" t="str">
        <x:f>IF(Q473&lt;&gt;"OK","",IF(E473="Back",-G473,G473))</x:f>
      </x:c>
      <x:c r="N473" s="20" t="str">
        <x:f>IF(Q473&lt;&gt;"OK","",SUMIFS($L$8:$L$1007,$A$8:$A$1007,A473,$B$8:$B$1007,"&lt;="&amp;B473))</x:f>
      </x:c>
      <x:c r="O473" s="20" t="str">
        <x:f>IF(Q473&lt;&gt;"OK","",SUMIFS($M$8:$M$1007,$A$8:$A$1007,A473,$B$8:$B$1007,"&lt;="&amp;B473))</x:f>
      </x:c>
      <x:c r="P473" s="20" t="str">
        <x:f>IF(Q473&lt;&gt;"OK","",MAX(0,-MIN(N473,O473)))</x:f>
      </x:c>
      <x:c r="Q473" s="18" t="str">
        <x:f>IF(A473="",IF(COUNTA(B473:K473)=0,"","Inserisci ID"),IF(COUNTIFS('Diario'!$A$8:$A$507,A473)&lt;&gt;1,"ID assente / duplicato",IF(OR(NOT(ISNUMBER(B473)),B473&lt;1,B473&lt;&gt;INT(B473),COUNTIFS($A$8:$A$1007,A473,$B$8:$B$1007,B473)&lt;&gt;1),"N. esecuzione non valido",IF(OR(NOT(ISNUMBER(C473)),AND(D473&lt;&gt;"Ingresso",D473&lt;&gt;"Uscita"),AND(E473&lt;&gt;"Back",E473&lt;&gt;"Lay")),"Completa data / fase / lato",IF(OR(NOT(ISNUMBER(F473)),F473&lt;=1,NOT(ISNUMBER(G473)),G473&lt;=0),"Correggi quota / stake","OK")))))</x:f>
      </x:c>
    </x:row>
    <x:row r="474" ht="22" customHeight="1">
      <x:c r="A474" s="24"/>
      <x:c r="B474" s="24"/>
      <x:c r="C474" s="26"/>
      <x:c r="D474" s="24"/>
      <x:c r="E474" s="24"/>
      <x:c r="F474" s="28"/>
      <x:c r="G474" s="29"/>
      <x:c r="H474" s="24"/>
      <x:c r="I474" s="24"/>
      <x:c r="J474" s="24"/>
      <x:c r="K474" s="24"/>
      <x:c r="L474" s="20" t="str">
        <x:f>IF(Q474&lt;&gt;"OK","",IF(E474="Back",G474*(F474-1),-G474*(F474-1)))</x:f>
      </x:c>
      <x:c r="M474" s="20" t="str">
        <x:f>IF(Q474&lt;&gt;"OK","",IF(E474="Back",-G474,G474))</x:f>
      </x:c>
      <x:c r="N474" s="20" t="str">
        <x:f>IF(Q474&lt;&gt;"OK","",SUMIFS($L$8:$L$1007,$A$8:$A$1007,A474,$B$8:$B$1007,"&lt;="&amp;B474))</x:f>
      </x:c>
      <x:c r="O474" s="20" t="str">
        <x:f>IF(Q474&lt;&gt;"OK","",SUMIFS($M$8:$M$1007,$A$8:$A$1007,A474,$B$8:$B$1007,"&lt;="&amp;B474))</x:f>
      </x:c>
      <x:c r="P474" s="20" t="str">
        <x:f>IF(Q474&lt;&gt;"OK","",MAX(0,-MIN(N474,O474)))</x:f>
      </x:c>
      <x:c r="Q474" s="18" t="str">
        <x:f>IF(A474="",IF(COUNTA(B474:K474)=0,"","Inserisci ID"),IF(COUNTIFS('Diario'!$A$8:$A$507,A474)&lt;&gt;1,"ID assente / duplicato",IF(OR(NOT(ISNUMBER(B474)),B474&lt;1,B474&lt;&gt;INT(B474),COUNTIFS($A$8:$A$1007,A474,$B$8:$B$1007,B474)&lt;&gt;1),"N. esecuzione non valido",IF(OR(NOT(ISNUMBER(C474)),AND(D474&lt;&gt;"Ingresso",D474&lt;&gt;"Uscita"),AND(E474&lt;&gt;"Back",E474&lt;&gt;"Lay")),"Completa data / fase / lato",IF(OR(NOT(ISNUMBER(F474)),F474&lt;=1,NOT(ISNUMBER(G474)),G474&lt;=0),"Correggi quota / stake","OK")))))</x:f>
      </x:c>
    </x:row>
    <x:row r="475" ht="22" customHeight="1">
      <x:c r="A475" s="24"/>
      <x:c r="B475" s="24"/>
      <x:c r="C475" s="26"/>
      <x:c r="D475" s="24"/>
      <x:c r="E475" s="24"/>
      <x:c r="F475" s="28"/>
      <x:c r="G475" s="29"/>
      <x:c r="H475" s="24"/>
      <x:c r="I475" s="24"/>
      <x:c r="J475" s="24"/>
      <x:c r="K475" s="24"/>
      <x:c r="L475" s="20" t="str">
        <x:f>IF(Q475&lt;&gt;"OK","",IF(E475="Back",G475*(F475-1),-G475*(F475-1)))</x:f>
      </x:c>
      <x:c r="M475" s="20" t="str">
        <x:f>IF(Q475&lt;&gt;"OK","",IF(E475="Back",-G475,G475))</x:f>
      </x:c>
      <x:c r="N475" s="20" t="str">
        <x:f>IF(Q475&lt;&gt;"OK","",SUMIFS($L$8:$L$1007,$A$8:$A$1007,A475,$B$8:$B$1007,"&lt;="&amp;B475))</x:f>
      </x:c>
      <x:c r="O475" s="20" t="str">
        <x:f>IF(Q475&lt;&gt;"OK","",SUMIFS($M$8:$M$1007,$A$8:$A$1007,A475,$B$8:$B$1007,"&lt;="&amp;B475))</x:f>
      </x:c>
      <x:c r="P475" s="20" t="str">
        <x:f>IF(Q475&lt;&gt;"OK","",MAX(0,-MIN(N475,O475)))</x:f>
      </x:c>
      <x:c r="Q475" s="18" t="str">
        <x:f>IF(A475="",IF(COUNTA(B475:K475)=0,"","Inserisci ID"),IF(COUNTIFS('Diario'!$A$8:$A$507,A475)&lt;&gt;1,"ID assente / duplicato",IF(OR(NOT(ISNUMBER(B475)),B475&lt;1,B475&lt;&gt;INT(B475),COUNTIFS($A$8:$A$1007,A475,$B$8:$B$1007,B475)&lt;&gt;1),"N. esecuzione non valido",IF(OR(NOT(ISNUMBER(C475)),AND(D475&lt;&gt;"Ingresso",D475&lt;&gt;"Uscita"),AND(E475&lt;&gt;"Back",E475&lt;&gt;"Lay")),"Completa data / fase / lato",IF(OR(NOT(ISNUMBER(F475)),F475&lt;=1,NOT(ISNUMBER(G475)),G475&lt;=0),"Correggi quota / stake","OK")))))</x:f>
      </x:c>
    </x:row>
    <x:row r="476" ht="22" customHeight="1">
      <x:c r="A476" s="24"/>
      <x:c r="B476" s="24"/>
      <x:c r="C476" s="26"/>
      <x:c r="D476" s="24"/>
      <x:c r="E476" s="24"/>
      <x:c r="F476" s="28"/>
      <x:c r="G476" s="29"/>
      <x:c r="H476" s="24"/>
      <x:c r="I476" s="24"/>
      <x:c r="J476" s="24"/>
      <x:c r="K476" s="24"/>
      <x:c r="L476" s="20" t="str">
        <x:f>IF(Q476&lt;&gt;"OK","",IF(E476="Back",G476*(F476-1),-G476*(F476-1)))</x:f>
      </x:c>
      <x:c r="M476" s="20" t="str">
        <x:f>IF(Q476&lt;&gt;"OK","",IF(E476="Back",-G476,G476))</x:f>
      </x:c>
      <x:c r="N476" s="20" t="str">
        <x:f>IF(Q476&lt;&gt;"OK","",SUMIFS($L$8:$L$1007,$A$8:$A$1007,A476,$B$8:$B$1007,"&lt;="&amp;B476))</x:f>
      </x:c>
      <x:c r="O476" s="20" t="str">
        <x:f>IF(Q476&lt;&gt;"OK","",SUMIFS($M$8:$M$1007,$A$8:$A$1007,A476,$B$8:$B$1007,"&lt;="&amp;B476))</x:f>
      </x:c>
      <x:c r="P476" s="20" t="str">
        <x:f>IF(Q476&lt;&gt;"OK","",MAX(0,-MIN(N476,O476)))</x:f>
      </x:c>
      <x:c r="Q476" s="18" t="str">
        <x:f>IF(A476="",IF(COUNTA(B476:K476)=0,"","Inserisci ID"),IF(COUNTIFS('Diario'!$A$8:$A$507,A476)&lt;&gt;1,"ID assente / duplicato",IF(OR(NOT(ISNUMBER(B476)),B476&lt;1,B476&lt;&gt;INT(B476),COUNTIFS($A$8:$A$1007,A476,$B$8:$B$1007,B476)&lt;&gt;1),"N. esecuzione non valido",IF(OR(NOT(ISNUMBER(C476)),AND(D476&lt;&gt;"Ingresso",D476&lt;&gt;"Uscita"),AND(E476&lt;&gt;"Back",E476&lt;&gt;"Lay")),"Completa data / fase / lato",IF(OR(NOT(ISNUMBER(F476)),F476&lt;=1,NOT(ISNUMBER(G476)),G476&lt;=0),"Correggi quota / stake","OK")))))</x:f>
      </x:c>
    </x:row>
    <x:row r="477" ht="22" customHeight="1">
      <x:c r="A477" s="24"/>
      <x:c r="B477" s="24"/>
      <x:c r="C477" s="26"/>
      <x:c r="D477" s="24"/>
      <x:c r="E477" s="24"/>
      <x:c r="F477" s="28"/>
      <x:c r="G477" s="29"/>
      <x:c r="H477" s="24"/>
      <x:c r="I477" s="24"/>
      <x:c r="J477" s="24"/>
      <x:c r="K477" s="24"/>
      <x:c r="L477" s="20" t="str">
        <x:f>IF(Q477&lt;&gt;"OK","",IF(E477="Back",G477*(F477-1),-G477*(F477-1)))</x:f>
      </x:c>
      <x:c r="M477" s="20" t="str">
        <x:f>IF(Q477&lt;&gt;"OK","",IF(E477="Back",-G477,G477))</x:f>
      </x:c>
      <x:c r="N477" s="20" t="str">
        <x:f>IF(Q477&lt;&gt;"OK","",SUMIFS($L$8:$L$1007,$A$8:$A$1007,A477,$B$8:$B$1007,"&lt;="&amp;B477))</x:f>
      </x:c>
      <x:c r="O477" s="20" t="str">
        <x:f>IF(Q477&lt;&gt;"OK","",SUMIFS($M$8:$M$1007,$A$8:$A$1007,A477,$B$8:$B$1007,"&lt;="&amp;B477))</x:f>
      </x:c>
      <x:c r="P477" s="20" t="str">
        <x:f>IF(Q477&lt;&gt;"OK","",MAX(0,-MIN(N477,O477)))</x:f>
      </x:c>
      <x:c r="Q477" s="18" t="str">
        <x:f>IF(A477="",IF(COUNTA(B477:K477)=0,"","Inserisci ID"),IF(COUNTIFS('Diario'!$A$8:$A$507,A477)&lt;&gt;1,"ID assente / duplicato",IF(OR(NOT(ISNUMBER(B477)),B477&lt;1,B477&lt;&gt;INT(B477),COUNTIFS($A$8:$A$1007,A477,$B$8:$B$1007,B477)&lt;&gt;1),"N. esecuzione non valido",IF(OR(NOT(ISNUMBER(C477)),AND(D477&lt;&gt;"Ingresso",D477&lt;&gt;"Uscita"),AND(E477&lt;&gt;"Back",E477&lt;&gt;"Lay")),"Completa data / fase / lato",IF(OR(NOT(ISNUMBER(F477)),F477&lt;=1,NOT(ISNUMBER(G477)),G477&lt;=0),"Correggi quota / stake","OK")))))</x:f>
      </x:c>
    </x:row>
    <x:row r="478" ht="22" customHeight="1">
      <x:c r="A478" s="24"/>
      <x:c r="B478" s="24"/>
      <x:c r="C478" s="26"/>
      <x:c r="D478" s="24"/>
      <x:c r="E478" s="24"/>
      <x:c r="F478" s="28"/>
      <x:c r="G478" s="29"/>
      <x:c r="H478" s="24"/>
      <x:c r="I478" s="24"/>
      <x:c r="J478" s="24"/>
      <x:c r="K478" s="24"/>
      <x:c r="L478" s="20" t="str">
        <x:f>IF(Q478&lt;&gt;"OK","",IF(E478="Back",G478*(F478-1),-G478*(F478-1)))</x:f>
      </x:c>
      <x:c r="M478" s="20" t="str">
        <x:f>IF(Q478&lt;&gt;"OK","",IF(E478="Back",-G478,G478))</x:f>
      </x:c>
      <x:c r="N478" s="20" t="str">
        <x:f>IF(Q478&lt;&gt;"OK","",SUMIFS($L$8:$L$1007,$A$8:$A$1007,A478,$B$8:$B$1007,"&lt;="&amp;B478))</x:f>
      </x:c>
      <x:c r="O478" s="20" t="str">
        <x:f>IF(Q478&lt;&gt;"OK","",SUMIFS($M$8:$M$1007,$A$8:$A$1007,A478,$B$8:$B$1007,"&lt;="&amp;B478))</x:f>
      </x:c>
      <x:c r="P478" s="20" t="str">
        <x:f>IF(Q478&lt;&gt;"OK","",MAX(0,-MIN(N478,O478)))</x:f>
      </x:c>
      <x:c r="Q478" s="18" t="str">
        <x:f>IF(A478="",IF(COUNTA(B478:K478)=0,"","Inserisci ID"),IF(COUNTIFS('Diario'!$A$8:$A$507,A478)&lt;&gt;1,"ID assente / duplicato",IF(OR(NOT(ISNUMBER(B478)),B478&lt;1,B478&lt;&gt;INT(B478),COUNTIFS($A$8:$A$1007,A478,$B$8:$B$1007,B478)&lt;&gt;1),"N. esecuzione non valido",IF(OR(NOT(ISNUMBER(C478)),AND(D478&lt;&gt;"Ingresso",D478&lt;&gt;"Uscita"),AND(E478&lt;&gt;"Back",E478&lt;&gt;"Lay")),"Completa data / fase / lato",IF(OR(NOT(ISNUMBER(F478)),F478&lt;=1,NOT(ISNUMBER(G478)),G478&lt;=0),"Correggi quota / stake","OK")))))</x:f>
      </x:c>
    </x:row>
    <x:row r="479" ht="22" customHeight="1">
      <x:c r="A479" s="24"/>
      <x:c r="B479" s="24"/>
      <x:c r="C479" s="26"/>
      <x:c r="D479" s="24"/>
      <x:c r="E479" s="24"/>
      <x:c r="F479" s="28"/>
      <x:c r="G479" s="29"/>
      <x:c r="H479" s="24"/>
      <x:c r="I479" s="24"/>
      <x:c r="J479" s="24"/>
      <x:c r="K479" s="24"/>
      <x:c r="L479" s="20" t="str">
        <x:f>IF(Q479&lt;&gt;"OK","",IF(E479="Back",G479*(F479-1),-G479*(F479-1)))</x:f>
      </x:c>
      <x:c r="M479" s="20" t="str">
        <x:f>IF(Q479&lt;&gt;"OK","",IF(E479="Back",-G479,G479))</x:f>
      </x:c>
      <x:c r="N479" s="20" t="str">
        <x:f>IF(Q479&lt;&gt;"OK","",SUMIFS($L$8:$L$1007,$A$8:$A$1007,A479,$B$8:$B$1007,"&lt;="&amp;B479))</x:f>
      </x:c>
      <x:c r="O479" s="20" t="str">
        <x:f>IF(Q479&lt;&gt;"OK","",SUMIFS($M$8:$M$1007,$A$8:$A$1007,A479,$B$8:$B$1007,"&lt;="&amp;B479))</x:f>
      </x:c>
      <x:c r="P479" s="20" t="str">
        <x:f>IF(Q479&lt;&gt;"OK","",MAX(0,-MIN(N479,O479)))</x:f>
      </x:c>
      <x:c r="Q479" s="18" t="str">
        <x:f>IF(A479="",IF(COUNTA(B479:K479)=0,"","Inserisci ID"),IF(COUNTIFS('Diario'!$A$8:$A$507,A479)&lt;&gt;1,"ID assente / duplicato",IF(OR(NOT(ISNUMBER(B479)),B479&lt;1,B479&lt;&gt;INT(B479),COUNTIFS($A$8:$A$1007,A479,$B$8:$B$1007,B479)&lt;&gt;1),"N. esecuzione non valido",IF(OR(NOT(ISNUMBER(C479)),AND(D479&lt;&gt;"Ingresso",D479&lt;&gt;"Uscita"),AND(E479&lt;&gt;"Back",E479&lt;&gt;"Lay")),"Completa data / fase / lato",IF(OR(NOT(ISNUMBER(F479)),F479&lt;=1,NOT(ISNUMBER(G479)),G479&lt;=0),"Correggi quota / stake","OK")))))</x:f>
      </x:c>
    </x:row>
    <x:row r="480" ht="22" customHeight="1">
      <x:c r="A480" s="24"/>
      <x:c r="B480" s="24"/>
      <x:c r="C480" s="26"/>
      <x:c r="D480" s="24"/>
      <x:c r="E480" s="24"/>
      <x:c r="F480" s="28"/>
      <x:c r="G480" s="29"/>
      <x:c r="H480" s="24"/>
      <x:c r="I480" s="24"/>
      <x:c r="J480" s="24"/>
      <x:c r="K480" s="24"/>
      <x:c r="L480" s="20" t="str">
        <x:f>IF(Q480&lt;&gt;"OK","",IF(E480="Back",G480*(F480-1),-G480*(F480-1)))</x:f>
      </x:c>
      <x:c r="M480" s="20" t="str">
        <x:f>IF(Q480&lt;&gt;"OK","",IF(E480="Back",-G480,G480))</x:f>
      </x:c>
      <x:c r="N480" s="20" t="str">
        <x:f>IF(Q480&lt;&gt;"OK","",SUMIFS($L$8:$L$1007,$A$8:$A$1007,A480,$B$8:$B$1007,"&lt;="&amp;B480))</x:f>
      </x:c>
      <x:c r="O480" s="20" t="str">
        <x:f>IF(Q480&lt;&gt;"OK","",SUMIFS($M$8:$M$1007,$A$8:$A$1007,A480,$B$8:$B$1007,"&lt;="&amp;B480))</x:f>
      </x:c>
      <x:c r="P480" s="20" t="str">
        <x:f>IF(Q480&lt;&gt;"OK","",MAX(0,-MIN(N480,O480)))</x:f>
      </x:c>
      <x:c r="Q480" s="18" t="str">
        <x:f>IF(A480="",IF(COUNTA(B480:K480)=0,"","Inserisci ID"),IF(COUNTIFS('Diario'!$A$8:$A$507,A480)&lt;&gt;1,"ID assente / duplicato",IF(OR(NOT(ISNUMBER(B480)),B480&lt;1,B480&lt;&gt;INT(B480),COUNTIFS($A$8:$A$1007,A480,$B$8:$B$1007,B480)&lt;&gt;1),"N. esecuzione non valido",IF(OR(NOT(ISNUMBER(C480)),AND(D480&lt;&gt;"Ingresso",D480&lt;&gt;"Uscita"),AND(E480&lt;&gt;"Back",E480&lt;&gt;"Lay")),"Completa data / fase / lato",IF(OR(NOT(ISNUMBER(F480)),F480&lt;=1,NOT(ISNUMBER(G480)),G480&lt;=0),"Correggi quota / stake","OK")))))</x:f>
      </x:c>
    </x:row>
    <x:row r="481" ht="22" customHeight="1">
      <x:c r="A481" s="24"/>
      <x:c r="B481" s="24"/>
      <x:c r="C481" s="26"/>
      <x:c r="D481" s="24"/>
      <x:c r="E481" s="24"/>
      <x:c r="F481" s="28"/>
      <x:c r="G481" s="29"/>
      <x:c r="H481" s="24"/>
      <x:c r="I481" s="24"/>
      <x:c r="J481" s="24"/>
      <x:c r="K481" s="24"/>
      <x:c r="L481" s="20" t="str">
        <x:f>IF(Q481&lt;&gt;"OK","",IF(E481="Back",G481*(F481-1),-G481*(F481-1)))</x:f>
      </x:c>
      <x:c r="M481" s="20" t="str">
        <x:f>IF(Q481&lt;&gt;"OK","",IF(E481="Back",-G481,G481))</x:f>
      </x:c>
      <x:c r="N481" s="20" t="str">
        <x:f>IF(Q481&lt;&gt;"OK","",SUMIFS($L$8:$L$1007,$A$8:$A$1007,A481,$B$8:$B$1007,"&lt;="&amp;B481))</x:f>
      </x:c>
      <x:c r="O481" s="20" t="str">
        <x:f>IF(Q481&lt;&gt;"OK","",SUMIFS($M$8:$M$1007,$A$8:$A$1007,A481,$B$8:$B$1007,"&lt;="&amp;B481))</x:f>
      </x:c>
      <x:c r="P481" s="20" t="str">
        <x:f>IF(Q481&lt;&gt;"OK","",MAX(0,-MIN(N481,O481)))</x:f>
      </x:c>
      <x:c r="Q481" s="18" t="str">
        <x:f>IF(A481="",IF(COUNTA(B481:K481)=0,"","Inserisci ID"),IF(COUNTIFS('Diario'!$A$8:$A$507,A481)&lt;&gt;1,"ID assente / duplicato",IF(OR(NOT(ISNUMBER(B481)),B481&lt;1,B481&lt;&gt;INT(B481),COUNTIFS($A$8:$A$1007,A481,$B$8:$B$1007,B481)&lt;&gt;1),"N. esecuzione non valido",IF(OR(NOT(ISNUMBER(C481)),AND(D481&lt;&gt;"Ingresso",D481&lt;&gt;"Uscita"),AND(E481&lt;&gt;"Back",E481&lt;&gt;"Lay")),"Completa data / fase / lato",IF(OR(NOT(ISNUMBER(F481)),F481&lt;=1,NOT(ISNUMBER(G481)),G481&lt;=0),"Correggi quota / stake","OK")))))</x:f>
      </x:c>
    </x:row>
    <x:row r="482" ht="22" customHeight="1">
      <x:c r="A482" s="24"/>
      <x:c r="B482" s="24"/>
      <x:c r="C482" s="26"/>
      <x:c r="D482" s="24"/>
      <x:c r="E482" s="24"/>
      <x:c r="F482" s="28"/>
      <x:c r="G482" s="29"/>
      <x:c r="H482" s="24"/>
      <x:c r="I482" s="24"/>
      <x:c r="J482" s="24"/>
      <x:c r="K482" s="24"/>
      <x:c r="L482" s="20" t="str">
        <x:f>IF(Q482&lt;&gt;"OK","",IF(E482="Back",G482*(F482-1),-G482*(F482-1)))</x:f>
      </x:c>
      <x:c r="M482" s="20" t="str">
        <x:f>IF(Q482&lt;&gt;"OK","",IF(E482="Back",-G482,G482))</x:f>
      </x:c>
      <x:c r="N482" s="20" t="str">
        <x:f>IF(Q482&lt;&gt;"OK","",SUMIFS($L$8:$L$1007,$A$8:$A$1007,A482,$B$8:$B$1007,"&lt;="&amp;B482))</x:f>
      </x:c>
      <x:c r="O482" s="20" t="str">
        <x:f>IF(Q482&lt;&gt;"OK","",SUMIFS($M$8:$M$1007,$A$8:$A$1007,A482,$B$8:$B$1007,"&lt;="&amp;B482))</x:f>
      </x:c>
      <x:c r="P482" s="20" t="str">
        <x:f>IF(Q482&lt;&gt;"OK","",MAX(0,-MIN(N482,O482)))</x:f>
      </x:c>
      <x:c r="Q482" s="18" t="str">
        <x:f>IF(A482="",IF(COUNTA(B482:K482)=0,"","Inserisci ID"),IF(COUNTIFS('Diario'!$A$8:$A$507,A482)&lt;&gt;1,"ID assente / duplicato",IF(OR(NOT(ISNUMBER(B482)),B482&lt;1,B482&lt;&gt;INT(B482),COUNTIFS($A$8:$A$1007,A482,$B$8:$B$1007,B482)&lt;&gt;1),"N. esecuzione non valido",IF(OR(NOT(ISNUMBER(C482)),AND(D482&lt;&gt;"Ingresso",D482&lt;&gt;"Uscita"),AND(E482&lt;&gt;"Back",E482&lt;&gt;"Lay")),"Completa data / fase / lato",IF(OR(NOT(ISNUMBER(F482)),F482&lt;=1,NOT(ISNUMBER(G482)),G482&lt;=0),"Correggi quota / stake","OK")))))</x:f>
      </x:c>
    </x:row>
    <x:row r="483" ht="22" customHeight="1">
      <x:c r="A483" s="24"/>
      <x:c r="B483" s="24"/>
      <x:c r="C483" s="26"/>
      <x:c r="D483" s="24"/>
      <x:c r="E483" s="24"/>
      <x:c r="F483" s="28"/>
      <x:c r="G483" s="29"/>
      <x:c r="H483" s="24"/>
      <x:c r="I483" s="24"/>
      <x:c r="J483" s="24"/>
      <x:c r="K483" s="24"/>
      <x:c r="L483" s="20" t="str">
        <x:f>IF(Q483&lt;&gt;"OK","",IF(E483="Back",G483*(F483-1),-G483*(F483-1)))</x:f>
      </x:c>
      <x:c r="M483" s="20" t="str">
        <x:f>IF(Q483&lt;&gt;"OK","",IF(E483="Back",-G483,G483))</x:f>
      </x:c>
      <x:c r="N483" s="20" t="str">
        <x:f>IF(Q483&lt;&gt;"OK","",SUMIFS($L$8:$L$1007,$A$8:$A$1007,A483,$B$8:$B$1007,"&lt;="&amp;B483))</x:f>
      </x:c>
      <x:c r="O483" s="20" t="str">
        <x:f>IF(Q483&lt;&gt;"OK","",SUMIFS($M$8:$M$1007,$A$8:$A$1007,A483,$B$8:$B$1007,"&lt;="&amp;B483))</x:f>
      </x:c>
      <x:c r="P483" s="20" t="str">
        <x:f>IF(Q483&lt;&gt;"OK","",MAX(0,-MIN(N483,O483)))</x:f>
      </x:c>
      <x:c r="Q483" s="18" t="str">
        <x:f>IF(A483="",IF(COUNTA(B483:K483)=0,"","Inserisci ID"),IF(COUNTIFS('Diario'!$A$8:$A$507,A483)&lt;&gt;1,"ID assente / duplicato",IF(OR(NOT(ISNUMBER(B483)),B483&lt;1,B483&lt;&gt;INT(B483),COUNTIFS($A$8:$A$1007,A483,$B$8:$B$1007,B483)&lt;&gt;1),"N. esecuzione non valido",IF(OR(NOT(ISNUMBER(C483)),AND(D483&lt;&gt;"Ingresso",D483&lt;&gt;"Uscita"),AND(E483&lt;&gt;"Back",E483&lt;&gt;"Lay")),"Completa data / fase / lato",IF(OR(NOT(ISNUMBER(F483)),F483&lt;=1,NOT(ISNUMBER(G483)),G483&lt;=0),"Correggi quota / stake","OK")))))</x:f>
      </x:c>
    </x:row>
    <x:row r="484" ht="22" customHeight="1">
      <x:c r="A484" s="24"/>
      <x:c r="B484" s="24"/>
      <x:c r="C484" s="26"/>
      <x:c r="D484" s="24"/>
      <x:c r="E484" s="24"/>
      <x:c r="F484" s="28"/>
      <x:c r="G484" s="29"/>
      <x:c r="H484" s="24"/>
      <x:c r="I484" s="24"/>
      <x:c r="J484" s="24"/>
      <x:c r="K484" s="24"/>
      <x:c r="L484" s="20" t="str">
        <x:f>IF(Q484&lt;&gt;"OK","",IF(E484="Back",G484*(F484-1),-G484*(F484-1)))</x:f>
      </x:c>
      <x:c r="M484" s="20" t="str">
        <x:f>IF(Q484&lt;&gt;"OK","",IF(E484="Back",-G484,G484))</x:f>
      </x:c>
      <x:c r="N484" s="20" t="str">
        <x:f>IF(Q484&lt;&gt;"OK","",SUMIFS($L$8:$L$1007,$A$8:$A$1007,A484,$B$8:$B$1007,"&lt;="&amp;B484))</x:f>
      </x:c>
      <x:c r="O484" s="20" t="str">
        <x:f>IF(Q484&lt;&gt;"OK","",SUMIFS($M$8:$M$1007,$A$8:$A$1007,A484,$B$8:$B$1007,"&lt;="&amp;B484))</x:f>
      </x:c>
      <x:c r="P484" s="20" t="str">
        <x:f>IF(Q484&lt;&gt;"OK","",MAX(0,-MIN(N484,O484)))</x:f>
      </x:c>
      <x:c r="Q484" s="18" t="str">
        <x:f>IF(A484="",IF(COUNTA(B484:K484)=0,"","Inserisci ID"),IF(COUNTIFS('Diario'!$A$8:$A$507,A484)&lt;&gt;1,"ID assente / duplicato",IF(OR(NOT(ISNUMBER(B484)),B484&lt;1,B484&lt;&gt;INT(B484),COUNTIFS($A$8:$A$1007,A484,$B$8:$B$1007,B484)&lt;&gt;1),"N. esecuzione non valido",IF(OR(NOT(ISNUMBER(C484)),AND(D484&lt;&gt;"Ingresso",D484&lt;&gt;"Uscita"),AND(E484&lt;&gt;"Back",E484&lt;&gt;"Lay")),"Completa data / fase / lato",IF(OR(NOT(ISNUMBER(F484)),F484&lt;=1,NOT(ISNUMBER(G484)),G484&lt;=0),"Correggi quota / stake","OK")))))</x:f>
      </x:c>
    </x:row>
    <x:row r="485" ht="22" customHeight="1">
      <x:c r="A485" s="24"/>
      <x:c r="B485" s="24"/>
      <x:c r="C485" s="26"/>
      <x:c r="D485" s="24"/>
      <x:c r="E485" s="24"/>
      <x:c r="F485" s="28"/>
      <x:c r="G485" s="29"/>
      <x:c r="H485" s="24"/>
      <x:c r="I485" s="24"/>
      <x:c r="J485" s="24"/>
      <x:c r="K485" s="24"/>
      <x:c r="L485" s="20" t="str">
        <x:f>IF(Q485&lt;&gt;"OK","",IF(E485="Back",G485*(F485-1),-G485*(F485-1)))</x:f>
      </x:c>
      <x:c r="M485" s="20" t="str">
        <x:f>IF(Q485&lt;&gt;"OK","",IF(E485="Back",-G485,G485))</x:f>
      </x:c>
      <x:c r="N485" s="20" t="str">
        <x:f>IF(Q485&lt;&gt;"OK","",SUMIFS($L$8:$L$1007,$A$8:$A$1007,A485,$B$8:$B$1007,"&lt;="&amp;B485))</x:f>
      </x:c>
      <x:c r="O485" s="20" t="str">
        <x:f>IF(Q485&lt;&gt;"OK","",SUMIFS($M$8:$M$1007,$A$8:$A$1007,A485,$B$8:$B$1007,"&lt;="&amp;B485))</x:f>
      </x:c>
      <x:c r="P485" s="20" t="str">
        <x:f>IF(Q485&lt;&gt;"OK","",MAX(0,-MIN(N485,O485)))</x:f>
      </x:c>
      <x:c r="Q485" s="18" t="str">
        <x:f>IF(A485="",IF(COUNTA(B485:K485)=0,"","Inserisci ID"),IF(COUNTIFS('Diario'!$A$8:$A$507,A485)&lt;&gt;1,"ID assente / duplicato",IF(OR(NOT(ISNUMBER(B485)),B485&lt;1,B485&lt;&gt;INT(B485),COUNTIFS($A$8:$A$1007,A485,$B$8:$B$1007,B485)&lt;&gt;1),"N. esecuzione non valido",IF(OR(NOT(ISNUMBER(C485)),AND(D485&lt;&gt;"Ingresso",D485&lt;&gt;"Uscita"),AND(E485&lt;&gt;"Back",E485&lt;&gt;"Lay")),"Completa data / fase / lato",IF(OR(NOT(ISNUMBER(F485)),F485&lt;=1,NOT(ISNUMBER(G485)),G485&lt;=0),"Correggi quota / stake","OK")))))</x:f>
      </x:c>
    </x:row>
    <x:row r="486" ht="22" customHeight="1">
      <x:c r="A486" s="24"/>
      <x:c r="B486" s="24"/>
      <x:c r="C486" s="26"/>
      <x:c r="D486" s="24"/>
      <x:c r="E486" s="24"/>
      <x:c r="F486" s="28"/>
      <x:c r="G486" s="29"/>
      <x:c r="H486" s="24"/>
      <x:c r="I486" s="24"/>
      <x:c r="J486" s="24"/>
      <x:c r="K486" s="24"/>
      <x:c r="L486" s="20" t="str">
        <x:f>IF(Q486&lt;&gt;"OK","",IF(E486="Back",G486*(F486-1),-G486*(F486-1)))</x:f>
      </x:c>
      <x:c r="M486" s="20" t="str">
        <x:f>IF(Q486&lt;&gt;"OK","",IF(E486="Back",-G486,G486))</x:f>
      </x:c>
      <x:c r="N486" s="20" t="str">
        <x:f>IF(Q486&lt;&gt;"OK","",SUMIFS($L$8:$L$1007,$A$8:$A$1007,A486,$B$8:$B$1007,"&lt;="&amp;B486))</x:f>
      </x:c>
      <x:c r="O486" s="20" t="str">
        <x:f>IF(Q486&lt;&gt;"OK","",SUMIFS($M$8:$M$1007,$A$8:$A$1007,A486,$B$8:$B$1007,"&lt;="&amp;B486))</x:f>
      </x:c>
      <x:c r="P486" s="20" t="str">
        <x:f>IF(Q486&lt;&gt;"OK","",MAX(0,-MIN(N486,O486)))</x:f>
      </x:c>
      <x:c r="Q486" s="18" t="str">
        <x:f>IF(A486="",IF(COUNTA(B486:K486)=0,"","Inserisci ID"),IF(COUNTIFS('Diario'!$A$8:$A$507,A486)&lt;&gt;1,"ID assente / duplicato",IF(OR(NOT(ISNUMBER(B486)),B486&lt;1,B486&lt;&gt;INT(B486),COUNTIFS($A$8:$A$1007,A486,$B$8:$B$1007,B486)&lt;&gt;1),"N. esecuzione non valido",IF(OR(NOT(ISNUMBER(C486)),AND(D486&lt;&gt;"Ingresso",D486&lt;&gt;"Uscita"),AND(E486&lt;&gt;"Back",E486&lt;&gt;"Lay")),"Completa data / fase / lato",IF(OR(NOT(ISNUMBER(F486)),F486&lt;=1,NOT(ISNUMBER(G486)),G486&lt;=0),"Correggi quota / stake","OK")))))</x:f>
      </x:c>
    </x:row>
    <x:row r="487" ht="22" customHeight="1">
      <x:c r="A487" s="24"/>
      <x:c r="B487" s="24"/>
      <x:c r="C487" s="26"/>
      <x:c r="D487" s="24"/>
      <x:c r="E487" s="24"/>
      <x:c r="F487" s="28"/>
      <x:c r="G487" s="29"/>
      <x:c r="H487" s="24"/>
      <x:c r="I487" s="24"/>
      <x:c r="J487" s="24"/>
      <x:c r="K487" s="24"/>
      <x:c r="L487" s="20" t="str">
        <x:f>IF(Q487&lt;&gt;"OK","",IF(E487="Back",G487*(F487-1),-G487*(F487-1)))</x:f>
      </x:c>
      <x:c r="M487" s="20" t="str">
        <x:f>IF(Q487&lt;&gt;"OK","",IF(E487="Back",-G487,G487))</x:f>
      </x:c>
      <x:c r="N487" s="20" t="str">
        <x:f>IF(Q487&lt;&gt;"OK","",SUMIFS($L$8:$L$1007,$A$8:$A$1007,A487,$B$8:$B$1007,"&lt;="&amp;B487))</x:f>
      </x:c>
      <x:c r="O487" s="20" t="str">
        <x:f>IF(Q487&lt;&gt;"OK","",SUMIFS($M$8:$M$1007,$A$8:$A$1007,A487,$B$8:$B$1007,"&lt;="&amp;B487))</x:f>
      </x:c>
      <x:c r="P487" s="20" t="str">
        <x:f>IF(Q487&lt;&gt;"OK","",MAX(0,-MIN(N487,O487)))</x:f>
      </x:c>
      <x:c r="Q487" s="18" t="str">
        <x:f>IF(A487="",IF(COUNTA(B487:K487)=0,"","Inserisci ID"),IF(COUNTIFS('Diario'!$A$8:$A$507,A487)&lt;&gt;1,"ID assente / duplicato",IF(OR(NOT(ISNUMBER(B487)),B487&lt;1,B487&lt;&gt;INT(B487),COUNTIFS($A$8:$A$1007,A487,$B$8:$B$1007,B487)&lt;&gt;1),"N. esecuzione non valido",IF(OR(NOT(ISNUMBER(C487)),AND(D487&lt;&gt;"Ingresso",D487&lt;&gt;"Uscita"),AND(E487&lt;&gt;"Back",E487&lt;&gt;"Lay")),"Completa data / fase / lato",IF(OR(NOT(ISNUMBER(F487)),F487&lt;=1,NOT(ISNUMBER(G487)),G487&lt;=0),"Correggi quota / stake","OK")))))</x:f>
      </x:c>
    </x:row>
    <x:row r="488" ht="22" customHeight="1">
      <x:c r="A488" s="24"/>
      <x:c r="B488" s="24"/>
      <x:c r="C488" s="26"/>
      <x:c r="D488" s="24"/>
      <x:c r="E488" s="24"/>
      <x:c r="F488" s="28"/>
      <x:c r="G488" s="29"/>
      <x:c r="H488" s="24"/>
      <x:c r="I488" s="24"/>
      <x:c r="J488" s="24"/>
      <x:c r="K488" s="24"/>
      <x:c r="L488" s="20" t="str">
        <x:f>IF(Q488&lt;&gt;"OK","",IF(E488="Back",G488*(F488-1),-G488*(F488-1)))</x:f>
      </x:c>
      <x:c r="M488" s="20" t="str">
        <x:f>IF(Q488&lt;&gt;"OK","",IF(E488="Back",-G488,G488))</x:f>
      </x:c>
      <x:c r="N488" s="20" t="str">
        <x:f>IF(Q488&lt;&gt;"OK","",SUMIFS($L$8:$L$1007,$A$8:$A$1007,A488,$B$8:$B$1007,"&lt;="&amp;B488))</x:f>
      </x:c>
      <x:c r="O488" s="20" t="str">
        <x:f>IF(Q488&lt;&gt;"OK","",SUMIFS($M$8:$M$1007,$A$8:$A$1007,A488,$B$8:$B$1007,"&lt;="&amp;B488))</x:f>
      </x:c>
      <x:c r="P488" s="20" t="str">
        <x:f>IF(Q488&lt;&gt;"OK","",MAX(0,-MIN(N488,O488)))</x:f>
      </x:c>
      <x:c r="Q488" s="18" t="str">
        <x:f>IF(A488="",IF(COUNTA(B488:K488)=0,"","Inserisci ID"),IF(COUNTIFS('Diario'!$A$8:$A$507,A488)&lt;&gt;1,"ID assente / duplicato",IF(OR(NOT(ISNUMBER(B488)),B488&lt;1,B488&lt;&gt;INT(B488),COUNTIFS($A$8:$A$1007,A488,$B$8:$B$1007,B488)&lt;&gt;1),"N. esecuzione non valido",IF(OR(NOT(ISNUMBER(C488)),AND(D488&lt;&gt;"Ingresso",D488&lt;&gt;"Uscita"),AND(E488&lt;&gt;"Back",E488&lt;&gt;"Lay")),"Completa data / fase / lato",IF(OR(NOT(ISNUMBER(F488)),F488&lt;=1,NOT(ISNUMBER(G488)),G488&lt;=0),"Correggi quota / stake","OK")))))</x:f>
      </x:c>
    </x:row>
    <x:row r="489" ht="22" customHeight="1">
      <x:c r="A489" s="24"/>
      <x:c r="B489" s="24"/>
      <x:c r="C489" s="26"/>
      <x:c r="D489" s="24"/>
      <x:c r="E489" s="24"/>
      <x:c r="F489" s="28"/>
      <x:c r="G489" s="29"/>
      <x:c r="H489" s="24"/>
      <x:c r="I489" s="24"/>
      <x:c r="J489" s="24"/>
      <x:c r="K489" s="24"/>
      <x:c r="L489" s="20" t="str">
        <x:f>IF(Q489&lt;&gt;"OK","",IF(E489="Back",G489*(F489-1),-G489*(F489-1)))</x:f>
      </x:c>
      <x:c r="M489" s="20" t="str">
        <x:f>IF(Q489&lt;&gt;"OK","",IF(E489="Back",-G489,G489))</x:f>
      </x:c>
      <x:c r="N489" s="20" t="str">
        <x:f>IF(Q489&lt;&gt;"OK","",SUMIFS($L$8:$L$1007,$A$8:$A$1007,A489,$B$8:$B$1007,"&lt;="&amp;B489))</x:f>
      </x:c>
      <x:c r="O489" s="20" t="str">
        <x:f>IF(Q489&lt;&gt;"OK","",SUMIFS($M$8:$M$1007,$A$8:$A$1007,A489,$B$8:$B$1007,"&lt;="&amp;B489))</x:f>
      </x:c>
      <x:c r="P489" s="20" t="str">
        <x:f>IF(Q489&lt;&gt;"OK","",MAX(0,-MIN(N489,O489)))</x:f>
      </x:c>
      <x:c r="Q489" s="18" t="str">
        <x:f>IF(A489="",IF(COUNTA(B489:K489)=0,"","Inserisci ID"),IF(COUNTIFS('Diario'!$A$8:$A$507,A489)&lt;&gt;1,"ID assente / duplicato",IF(OR(NOT(ISNUMBER(B489)),B489&lt;1,B489&lt;&gt;INT(B489),COUNTIFS($A$8:$A$1007,A489,$B$8:$B$1007,B489)&lt;&gt;1),"N. esecuzione non valido",IF(OR(NOT(ISNUMBER(C489)),AND(D489&lt;&gt;"Ingresso",D489&lt;&gt;"Uscita"),AND(E489&lt;&gt;"Back",E489&lt;&gt;"Lay")),"Completa data / fase / lato",IF(OR(NOT(ISNUMBER(F489)),F489&lt;=1,NOT(ISNUMBER(G489)),G489&lt;=0),"Correggi quota / stake","OK")))))</x:f>
      </x:c>
    </x:row>
    <x:row r="490" ht="22" customHeight="1">
      <x:c r="A490" s="24"/>
      <x:c r="B490" s="24"/>
      <x:c r="C490" s="26"/>
      <x:c r="D490" s="24"/>
      <x:c r="E490" s="24"/>
      <x:c r="F490" s="28"/>
      <x:c r="G490" s="29"/>
      <x:c r="H490" s="24"/>
      <x:c r="I490" s="24"/>
      <x:c r="J490" s="24"/>
      <x:c r="K490" s="24"/>
      <x:c r="L490" s="20" t="str">
        <x:f>IF(Q490&lt;&gt;"OK","",IF(E490="Back",G490*(F490-1),-G490*(F490-1)))</x:f>
      </x:c>
      <x:c r="M490" s="20" t="str">
        <x:f>IF(Q490&lt;&gt;"OK","",IF(E490="Back",-G490,G490))</x:f>
      </x:c>
      <x:c r="N490" s="20" t="str">
        <x:f>IF(Q490&lt;&gt;"OK","",SUMIFS($L$8:$L$1007,$A$8:$A$1007,A490,$B$8:$B$1007,"&lt;="&amp;B490))</x:f>
      </x:c>
      <x:c r="O490" s="20" t="str">
        <x:f>IF(Q490&lt;&gt;"OK","",SUMIFS($M$8:$M$1007,$A$8:$A$1007,A490,$B$8:$B$1007,"&lt;="&amp;B490))</x:f>
      </x:c>
      <x:c r="P490" s="20" t="str">
        <x:f>IF(Q490&lt;&gt;"OK","",MAX(0,-MIN(N490,O490)))</x:f>
      </x:c>
      <x:c r="Q490" s="18" t="str">
        <x:f>IF(A490="",IF(COUNTA(B490:K490)=0,"","Inserisci ID"),IF(COUNTIFS('Diario'!$A$8:$A$507,A490)&lt;&gt;1,"ID assente / duplicato",IF(OR(NOT(ISNUMBER(B490)),B490&lt;1,B490&lt;&gt;INT(B490),COUNTIFS($A$8:$A$1007,A490,$B$8:$B$1007,B490)&lt;&gt;1),"N. esecuzione non valido",IF(OR(NOT(ISNUMBER(C490)),AND(D490&lt;&gt;"Ingresso",D490&lt;&gt;"Uscita"),AND(E490&lt;&gt;"Back",E490&lt;&gt;"Lay")),"Completa data / fase / lato",IF(OR(NOT(ISNUMBER(F490)),F490&lt;=1,NOT(ISNUMBER(G490)),G490&lt;=0),"Correggi quota / stake","OK")))))</x:f>
      </x:c>
    </x:row>
    <x:row r="491" ht="22" customHeight="1">
      <x:c r="A491" s="24"/>
      <x:c r="B491" s="24"/>
      <x:c r="C491" s="26"/>
      <x:c r="D491" s="24"/>
      <x:c r="E491" s="24"/>
      <x:c r="F491" s="28"/>
      <x:c r="G491" s="29"/>
      <x:c r="H491" s="24"/>
      <x:c r="I491" s="24"/>
      <x:c r="J491" s="24"/>
      <x:c r="K491" s="24"/>
      <x:c r="L491" s="20" t="str">
        <x:f>IF(Q491&lt;&gt;"OK","",IF(E491="Back",G491*(F491-1),-G491*(F491-1)))</x:f>
      </x:c>
      <x:c r="M491" s="20" t="str">
        <x:f>IF(Q491&lt;&gt;"OK","",IF(E491="Back",-G491,G491))</x:f>
      </x:c>
      <x:c r="N491" s="20" t="str">
        <x:f>IF(Q491&lt;&gt;"OK","",SUMIFS($L$8:$L$1007,$A$8:$A$1007,A491,$B$8:$B$1007,"&lt;="&amp;B491))</x:f>
      </x:c>
      <x:c r="O491" s="20" t="str">
        <x:f>IF(Q491&lt;&gt;"OK","",SUMIFS($M$8:$M$1007,$A$8:$A$1007,A491,$B$8:$B$1007,"&lt;="&amp;B491))</x:f>
      </x:c>
      <x:c r="P491" s="20" t="str">
        <x:f>IF(Q491&lt;&gt;"OK","",MAX(0,-MIN(N491,O491)))</x:f>
      </x:c>
      <x:c r="Q491" s="18" t="str">
        <x:f>IF(A491="",IF(COUNTA(B491:K491)=0,"","Inserisci ID"),IF(COUNTIFS('Diario'!$A$8:$A$507,A491)&lt;&gt;1,"ID assente / duplicato",IF(OR(NOT(ISNUMBER(B491)),B491&lt;1,B491&lt;&gt;INT(B491),COUNTIFS($A$8:$A$1007,A491,$B$8:$B$1007,B491)&lt;&gt;1),"N. esecuzione non valido",IF(OR(NOT(ISNUMBER(C491)),AND(D491&lt;&gt;"Ingresso",D491&lt;&gt;"Uscita"),AND(E491&lt;&gt;"Back",E491&lt;&gt;"Lay")),"Completa data / fase / lato",IF(OR(NOT(ISNUMBER(F491)),F491&lt;=1,NOT(ISNUMBER(G491)),G491&lt;=0),"Correggi quota / stake","OK")))))</x:f>
      </x:c>
    </x:row>
    <x:row r="492" ht="22" customHeight="1">
      <x:c r="A492" s="24"/>
      <x:c r="B492" s="24"/>
      <x:c r="C492" s="26"/>
      <x:c r="D492" s="24"/>
      <x:c r="E492" s="24"/>
      <x:c r="F492" s="28"/>
      <x:c r="G492" s="29"/>
      <x:c r="H492" s="24"/>
      <x:c r="I492" s="24"/>
      <x:c r="J492" s="24"/>
      <x:c r="K492" s="24"/>
      <x:c r="L492" s="20" t="str">
        <x:f>IF(Q492&lt;&gt;"OK","",IF(E492="Back",G492*(F492-1),-G492*(F492-1)))</x:f>
      </x:c>
      <x:c r="M492" s="20" t="str">
        <x:f>IF(Q492&lt;&gt;"OK","",IF(E492="Back",-G492,G492))</x:f>
      </x:c>
      <x:c r="N492" s="20" t="str">
        <x:f>IF(Q492&lt;&gt;"OK","",SUMIFS($L$8:$L$1007,$A$8:$A$1007,A492,$B$8:$B$1007,"&lt;="&amp;B492))</x:f>
      </x:c>
      <x:c r="O492" s="20" t="str">
        <x:f>IF(Q492&lt;&gt;"OK","",SUMIFS($M$8:$M$1007,$A$8:$A$1007,A492,$B$8:$B$1007,"&lt;="&amp;B492))</x:f>
      </x:c>
      <x:c r="P492" s="20" t="str">
        <x:f>IF(Q492&lt;&gt;"OK","",MAX(0,-MIN(N492,O492)))</x:f>
      </x:c>
      <x:c r="Q492" s="18" t="str">
        <x:f>IF(A492="",IF(COUNTA(B492:K492)=0,"","Inserisci ID"),IF(COUNTIFS('Diario'!$A$8:$A$507,A492)&lt;&gt;1,"ID assente / duplicato",IF(OR(NOT(ISNUMBER(B492)),B492&lt;1,B492&lt;&gt;INT(B492),COUNTIFS($A$8:$A$1007,A492,$B$8:$B$1007,B492)&lt;&gt;1),"N. esecuzione non valido",IF(OR(NOT(ISNUMBER(C492)),AND(D492&lt;&gt;"Ingresso",D492&lt;&gt;"Uscita"),AND(E492&lt;&gt;"Back",E492&lt;&gt;"Lay")),"Completa data / fase / lato",IF(OR(NOT(ISNUMBER(F492)),F492&lt;=1,NOT(ISNUMBER(G492)),G492&lt;=0),"Correggi quota / stake","OK")))))</x:f>
      </x:c>
    </x:row>
    <x:row r="493" ht="22" customHeight="1">
      <x:c r="A493" s="24"/>
      <x:c r="B493" s="24"/>
      <x:c r="C493" s="26"/>
      <x:c r="D493" s="24"/>
      <x:c r="E493" s="24"/>
      <x:c r="F493" s="28"/>
      <x:c r="G493" s="29"/>
      <x:c r="H493" s="24"/>
      <x:c r="I493" s="24"/>
      <x:c r="J493" s="24"/>
      <x:c r="K493" s="24"/>
      <x:c r="L493" s="20" t="str">
        <x:f>IF(Q493&lt;&gt;"OK","",IF(E493="Back",G493*(F493-1),-G493*(F493-1)))</x:f>
      </x:c>
      <x:c r="M493" s="20" t="str">
        <x:f>IF(Q493&lt;&gt;"OK","",IF(E493="Back",-G493,G493))</x:f>
      </x:c>
      <x:c r="N493" s="20" t="str">
        <x:f>IF(Q493&lt;&gt;"OK","",SUMIFS($L$8:$L$1007,$A$8:$A$1007,A493,$B$8:$B$1007,"&lt;="&amp;B493))</x:f>
      </x:c>
      <x:c r="O493" s="20" t="str">
        <x:f>IF(Q493&lt;&gt;"OK","",SUMIFS($M$8:$M$1007,$A$8:$A$1007,A493,$B$8:$B$1007,"&lt;="&amp;B493))</x:f>
      </x:c>
      <x:c r="P493" s="20" t="str">
        <x:f>IF(Q493&lt;&gt;"OK","",MAX(0,-MIN(N493,O493)))</x:f>
      </x:c>
      <x:c r="Q493" s="18" t="str">
        <x:f>IF(A493="",IF(COUNTA(B493:K493)=0,"","Inserisci ID"),IF(COUNTIFS('Diario'!$A$8:$A$507,A493)&lt;&gt;1,"ID assente / duplicato",IF(OR(NOT(ISNUMBER(B493)),B493&lt;1,B493&lt;&gt;INT(B493),COUNTIFS($A$8:$A$1007,A493,$B$8:$B$1007,B493)&lt;&gt;1),"N. esecuzione non valido",IF(OR(NOT(ISNUMBER(C493)),AND(D493&lt;&gt;"Ingresso",D493&lt;&gt;"Uscita"),AND(E493&lt;&gt;"Back",E493&lt;&gt;"Lay")),"Completa data / fase / lato",IF(OR(NOT(ISNUMBER(F493)),F493&lt;=1,NOT(ISNUMBER(G493)),G493&lt;=0),"Correggi quota / stake","OK")))))</x:f>
      </x:c>
    </x:row>
    <x:row r="494" ht="22" customHeight="1">
      <x:c r="A494" s="24"/>
      <x:c r="B494" s="24"/>
      <x:c r="C494" s="26"/>
      <x:c r="D494" s="24"/>
      <x:c r="E494" s="24"/>
      <x:c r="F494" s="28"/>
      <x:c r="G494" s="29"/>
      <x:c r="H494" s="24"/>
      <x:c r="I494" s="24"/>
      <x:c r="J494" s="24"/>
      <x:c r="K494" s="24"/>
      <x:c r="L494" s="20" t="str">
        <x:f>IF(Q494&lt;&gt;"OK","",IF(E494="Back",G494*(F494-1),-G494*(F494-1)))</x:f>
      </x:c>
      <x:c r="M494" s="20" t="str">
        <x:f>IF(Q494&lt;&gt;"OK","",IF(E494="Back",-G494,G494))</x:f>
      </x:c>
      <x:c r="N494" s="20" t="str">
        <x:f>IF(Q494&lt;&gt;"OK","",SUMIFS($L$8:$L$1007,$A$8:$A$1007,A494,$B$8:$B$1007,"&lt;="&amp;B494))</x:f>
      </x:c>
      <x:c r="O494" s="20" t="str">
        <x:f>IF(Q494&lt;&gt;"OK","",SUMIFS($M$8:$M$1007,$A$8:$A$1007,A494,$B$8:$B$1007,"&lt;="&amp;B494))</x:f>
      </x:c>
      <x:c r="P494" s="20" t="str">
        <x:f>IF(Q494&lt;&gt;"OK","",MAX(0,-MIN(N494,O494)))</x:f>
      </x:c>
      <x:c r="Q494" s="18" t="str">
        <x:f>IF(A494="",IF(COUNTA(B494:K494)=0,"","Inserisci ID"),IF(COUNTIFS('Diario'!$A$8:$A$507,A494)&lt;&gt;1,"ID assente / duplicato",IF(OR(NOT(ISNUMBER(B494)),B494&lt;1,B494&lt;&gt;INT(B494),COUNTIFS($A$8:$A$1007,A494,$B$8:$B$1007,B494)&lt;&gt;1),"N. esecuzione non valido",IF(OR(NOT(ISNUMBER(C494)),AND(D494&lt;&gt;"Ingresso",D494&lt;&gt;"Uscita"),AND(E494&lt;&gt;"Back",E494&lt;&gt;"Lay")),"Completa data / fase / lato",IF(OR(NOT(ISNUMBER(F494)),F494&lt;=1,NOT(ISNUMBER(G494)),G494&lt;=0),"Correggi quota / stake","OK")))))</x:f>
      </x:c>
    </x:row>
    <x:row r="495" ht="22" customHeight="1">
      <x:c r="A495" s="24"/>
      <x:c r="B495" s="24"/>
      <x:c r="C495" s="26"/>
      <x:c r="D495" s="24"/>
      <x:c r="E495" s="24"/>
      <x:c r="F495" s="28"/>
      <x:c r="G495" s="29"/>
      <x:c r="H495" s="24"/>
      <x:c r="I495" s="24"/>
      <x:c r="J495" s="24"/>
      <x:c r="K495" s="24"/>
      <x:c r="L495" s="20" t="str">
        <x:f>IF(Q495&lt;&gt;"OK","",IF(E495="Back",G495*(F495-1),-G495*(F495-1)))</x:f>
      </x:c>
      <x:c r="M495" s="20" t="str">
        <x:f>IF(Q495&lt;&gt;"OK","",IF(E495="Back",-G495,G495))</x:f>
      </x:c>
      <x:c r="N495" s="20" t="str">
        <x:f>IF(Q495&lt;&gt;"OK","",SUMIFS($L$8:$L$1007,$A$8:$A$1007,A495,$B$8:$B$1007,"&lt;="&amp;B495))</x:f>
      </x:c>
      <x:c r="O495" s="20" t="str">
        <x:f>IF(Q495&lt;&gt;"OK","",SUMIFS($M$8:$M$1007,$A$8:$A$1007,A495,$B$8:$B$1007,"&lt;="&amp;B495))</x:f>
      </x:c>
      <x:c r="P495" s="20" t="str">
        <x:f>IF(Q495&lt;&gt;"OK","",MAX(0,-MIN(N495,O495)))</x:f>
      </x:c>
      <x:c r="Q495" s="18" t="str">
        <x:f>IF(A495="",IF(COUNTA(B495:K495)=0,"","Inserisci ID"),IF(COUNTIFS('Diario'!$A$8:$A$507,A495)&lt;&gt;1,"ID assente / duplicato",IF(OR(NOT(ISNUMBER(B495)),B495&lt;1,B495&lt;&gt;INT(B495),COUNTIFS($A$8:$A$1007,A495,$B$8:$B$1007,B495)&lt;&gt;1),"N. esecuzione non valido",IF(OR(NOT(ISNUMBER(C495)),AND(D495&lt;&gt;"Ingresso",D495&lt;&gt;"Uscita"),AND(E495&lt;&gt;"Back",E495&lt;&gt;"Lay")),"Completa data / fase / lato",IF(OR(NOT(ISNUMBER(F495)),F495&lt;=1,NOT(ISNUMBER(G495)),G495&lt;=0),"Correggi quota / stake","OK")))))</x:f>
      </x:c>
    </x:row>
    <x:row r="496" ht="22" customHeight="1">
      <x:c r="A496" s="24"/>
      <x:c r="B496" s="24"/>
      <x:c r="C496" s="26"/>
      <x:c r="D496" s="24"/>
      <x:c r="E496" s="24"/>
      <x:c r="F496" s="28"/>
      <x:c r="G496" s="29"/>
      <x:c r="H496" s="24"/>
      <x:c r="I496" s="24"/>
      <x:c r="J496" s="24"/>
      <x:c r="K496" s="24"/>
      <x:c r="L496" s="20" t="str">
        <x:f>IF(Q496&lt;&gt;"OK","",IF(E496="Back",G496*(F496-1),-G496*(F496-1)))</x:f>
      </x:c>
      <x:c r="M496" s="20" t="str">
        <x:f>IF(Q496&lt;&gt;"OK","",IF(E496="Back",-G496,G496))</x:f>
      </x:c>
      <x:c r="N496" s="20" t="str">
        <x:f>IF(Q496&lt;&gt;"OK","",SUMIFS($L$8:$L$1007,$A$8:$A$1007,A496,$B$8:$B$1007,"&lt;="&amp;B496))</x:f>
      </x:c>
      <x:c r="O496" s="20" t="str">
        <x:f>IF(Q496&lt;&gt;"OK","",SUMIFS($M$8:$M$1007,$A$8:$A$1007,A496,$B$8:$B$1007,"&lt;="&amp;B496))</x:f>
      </x:c>
      <x:c r="P496" s="20" t="str">
        <x:f>IF(Q496&lt;&gt;"OK","",MAX(0,-MIN(N496,O496)))</x:f>
      </x:c>
      <x:c r="Q496" s="18" t="str">
        <x:f>IF(A496="",IF(COUNTA(B496:K496)=0,"","Inserisci ID"),IF(COUNTIFS('Diario'!$A$8:$A$507,A496)&lt;&gt;1,"ID assente / duplicato",IF(OR(NOT(ISNUMBER(B496)),B496&lt;1,B496&lt;&gt;INT(B496),COUNTIFS($A$8:$A$1007,A496,$B$8:$B$1007,B496)&lt;&gt;1),"N. esecuzione non valido",IF(OR(NOT(ISNUMBER(C496)),AND(D496&lt;&gt;"Ingresso",D496&lt;&gt;"Uscita"),AND(E496&lt;&gt;"Back",E496&lt;&gt;"Lay")),"Completa data / fase / lato",IF(OR(NOT(ISNUMBER(F496)),F496&lt;=1,NOT(ISNUMBER(G496)),G496&lt;=0),"Correggi quota / stake","OK")))))</x:f>
      </x:c>
    </x:row>
    <x:row r="497" ht="22" customHeight="1">
      <x:c r="A497" s="24"/>
      <x:c r="B497" s="24"/>
      <x:c r="C497" s="26"/>
      <x:c r="D497" s="24"/>
      <x:c r="E497" s="24"/>
      <x:c r="F497" s="28"/>
      <x:c r="G497" s="29"/>
      <x:c r="H497" s="24"/>
      <x:c r="I497" s="24"/>
      <x:c r="J497" s="24"/>
      <x:c r="K497" s="24"/>
      <x:c r="L497" s="20" t="str">
        <x:f>IF(Q497&lt;&gt;"OK","",IF(E497="Back",G497*(F497-1),-G497*(F497-1)))</x:f>
      </x:c>
      <x:c r="M497" s="20" t="str">
        <x:f>IF(Q497&lt;&gt;"OK","",IF(E497="Back",-G497,G497))</x:f>
      </x:c>
      <x:c r="N497" s="20" t="str">
        <x:f>IF(Q497&lt;&gt;"OK","",SUMIFS($L$8:$L$1007,$A$8:$A$1007,A497,$B$8:$B$1007,"&lt;="&amp;B497))</x:f>
      </x:c>
      <x:c r="O497" s="20" t="str">
        <x:f>IF(Q497&lt;&gt;"OK","",SUMIFS($M$8:$M$1007,$A$8:$A$1007,A497,$B$8:$B$1007,"&lt;="&amp;B497))</x:f>
      </x:c>
      <x:c r="P497" s="20" t="str">
        <x:f>IF(Q497&lt;&gt;"OK","",MAX(0,-MIN(N497,O497)))</x:f>
      </x:c>
      <x:c r="Q497" s="18" t="str">
        <x:f>IF(A497="",IF(COUNTA(B497:K497)=0,"","Inserisci ID"),IF(COUNTIFS('Diario'!$A$8:$A$507,A497)&lt;&gt;1,"ID assente / duplicato",IF(OR(NOT(ISNUMBER(B497)),B497&lt;1,B497&lt;&gt;INT(B497),COUNTIFS($A$8:$A$1007,A497,$B$8:$B$1007,B497)&lt;&gt;1),"N. esecuzione non valido",IF(OR(NOT(ISNUMBER(C497)),AND(D497&lt;&gt;"Ingresso",D497&lt;&gt;"Uscita"),AND(E497&lt;&gt;"Back",E497&lt;&gt;"Lay")),"Completa data / fase / lato",IF(OR(NOT(ISNUMBER(F497)),F497&lt;=1,NOT(ISNUMBER(G497)),G497&lt;=0),"Correggi quota / stake","OK")))))</x:f>
      </x:c>
    </x:row>
    <x:row r="498" ht="22" customHeight="1">
      <x:c r="A498" s="24"/>
      <x:c r="B498" s="24"/>
      <x:c r="C498" s="26"/>
      <x:c r="D498" s="24"/>
      <x:c r="E498" s="24"/>
      <x:c r="F498" s="28"/>
      <x:c r="G498" s="29"/>
      <x:c r="H498" s="24"/>
      <x:c r="I498" s="24"/>
      <x:c r="J498" s="24"/>
      <x:c r="K498" s="24"/>
      <x:c r="L498" s="20" t="str">
        <x:f>IF(Q498&lt;&gt;"OK","",IF(E498="Back",G498*(F498-1),-G498*(F498-1)))</x:f>
      </x:c>
      <x:c r="M498" s="20" t="str">
        <x:f>IF(Q498&lt;&gt;"OK","",IF(E498="Back",-G498,G498))</x:f>
      </x:c>
      <x:c r="N498" s="20" t="str">
        <x:f>IF(Q498&lt;&gt;"OK","",SUMIFS($L$8:$L$1007,$A$8:$A$1007,A498,$B$8:$B$1007,"&lt;="&amp;B498))</x:f>
      </x:c>
      <x:c r="O498" s="20" t="str">
        <x:f>IF(Q498&lt;&gt;"OK","",SUMIFS($M$8:$M$1007,$A$8:$A$1007,A498,$B$8:$B$1007,"&lt;="&amp;B498))</x:f>
      </x:c>
      <x:c r="P498" s="20" t="str">
        <x:f>IF(Q498&lt;&gt;"OK","",MAX(0,-MIN(N498,O498)))</x:f>
      </x:c>
      <x:c r="Q498" s="18" t="str">
        <x:f>IF(A498="",IF(COUNTA(B498:K498)=0,"","Inserisci ID"),IF(COUNTIFS('Diario'!$A$8:$A$507,A498)&lt;&gt;1,"ID assente / duplicato",IF(OR(NOT(ISNUMBER(B498)),B498&lt;1,B498&lt;&gt;INT(B498),COUNTIFS($A$8:$A$1007,A498,$B$8:$B$1007,B498)&lt;&gt;1),"N. esecuzione non valido",IF(OR(NOT(ISNUMBER(C498)),AND(D498&lt;&gt;"Ingresso",D498&lt;&gt;"Uscita"),AND(E498&lt;&gt;"Back",E498&lt;&gt;"Lay")),"Completa data / fase / lato",IF(OR(NOT(ISNUMBER(F498)),F498&lt;=1,NOT(ISNUMBER(G498)),G498&lt;=0),"Correggi quota / stake","OK")))))</x:f>
      </x:c>
    </x:row>
    <x:row r="499" ht="22" customHeight="1">
      <x:c r="A499" s="24"/>
      <x:c r="B499" s="24"/>
      <x:c r="C499" s="26"/>
      <x:c r="D499" s="24"/>
      <x:c r="E499" s="24"/>
      <x:c r="F499" s="28"/>
      <x:c r="G499" s="29"/>
      <x:c r="H499" s="24"/>
      <x:c r="I499" s="24"/>
      <x:c r="J499" s="24"/>
      <x:c r="K499" s="24"/>
      <x:c r="L499" s="20" t="str">
        <x:f>IF(Q499&lt;&gt;"OK","",IF(E499="Back",G499*(F499-1),-G499*(F499-1)))</x:f>
      </x:c>
      <x:c r="M499" s="20" t="str">
        <x:f>IF(Q499&lt;&gt;"OK","",IF(E499="Back",-G499,G499))</x:f>
      </x:c>
      <x:c r="N499" s="20" t="str">
        <x:f>IF(Q499&lt;&gt;"OK","",SUMIFS($L$8:$L$1007,$A$8:$A$1007,A499,$B$8:$B$1007,"&lt;="&amp;B499))</x:f>
      </x:c>
      <x:c r="O499" s="20" t="str">
        <x:f>IF(Q499&lt;&gt;"OK","",SUMIFS($M$8:$M$1007,$A$8:$A$1007,A499,$B$8:$B$1007,"&lt;="&amp;B499))</x:f>
      </x:c>
      <x:c r="P499" s="20" t="str">
        <x:f>IF(Q499&lt;&gt;"OK","",MAX(0,-MIN(N499,O499)))</x:f>
      </x:c>
      <x:c r="Q499" s="18" t="str">
        <x:f>IF(A499="",IF(COUNTA(B499:K499)=0,"","Inserisci ID"),IF(COUNTIFS('Diario'!$A$8:$A$507,A499)&lt;&gt;1,"ID assente / duplicato",IF(OR(NOT(ISNUMBER(B499)),B499&lt;1,B499&lt;&gt;INT(B499),COUNTIFS($A$8:$A$1007,A499,$B$8:$B$1007,B499)&lt;&gt;1),"N. esecuzione non valido",IF(OR(NOT(ISNUMBER(C499)),AND(D499&lt;&gt;"Ingresso",D499&lt;&gt;"Uscita"),AND(E499&lt;&gt;"Back",E499&lt;&gt;"Lay")),"Completa data / fase / lato",IF(OR(NOT(ISNUMBER(F499)),F499&lt;=1,NOT(ISNUMBER(G499)),G499&lt;=0),"Correggi quota / stake","OK")))))</x:f>
      </x:c>
    </x:row>
    <x:row r="500" ht="22" customHeight="1">
      <x:c r="A500" s="24"/>
      <x:c r="B500" s="24"/>
      <x:c r="C500" s="26"/>
      <x:c r="D500" s="24"/>
      <x:c r="E500" s="24"/>
      <x:c r="F500" s="28"/>
      <x:c r="G500" s="29"/>
      <x:c r="H500" s="24"/>
      <x:c r="I500" s="24"/>
      <x:c r="J500" s="24"/>
      <x:c r="K500" s="24"/>
      <x:c r="L500" s="20" t="str">
        <x:f>IF(Q500&lt;&gt;"OK","",IF(E500="Back",G500*(F500-1),-G500*(F500-1)))</x:f>
      </x:c>
      <x:c r="M500" s="20" t="str">
        <x:f>IF(Q500&lt;&gt;"OK","",IF(E500="Back",-G500,G500))</x:f>
      </x:c>
      <x:c r="N500" s="20" t="str">
        <x:f>IF(Q500&lt;&gt;"OK","",SUMIFS($L$8:$L$1007,$A$8:$A$1007,A500,$B$8:$B$1007,"&lt;="&amp;B500))</x:f>
      </x:c>
      <x:c r="O500" s="20" t="str">
        <x:f>IF(Q500&lt;&gt;"OK","",SUMIFS($M$8:$M$1007,$A$8:$A$1007,A500,$B$8:$B$1007,"&lt;="&amp;B500))</x:f>
      </x:c>
      <x:c r="P500" s="20" t="str">
        <x:f>IF(Q500&lt;&gt;"OK","",MAX(0,-MIN(N500,O500)))</x:f>
      </x:c>
      <x:c r="Q500" s="18" t="str">
        <x:f>IF(A500="",IF(COUNTA(B500:K500)=0,"","Inserisci ID"),IF(COUNTIFS('Diario'!$A$8:$A$507,A500)&lt;&gt;1,"ID assente / duplicato",IF(OR(NOT(ISNUMBER(B500)),B500&lt;1,B500&lt;&gt;INT(B500),COUNTIFS($A$8:$A$1007,A500,$B$8:$B$1007,B500)&lt;&gt;1),"N. esecuzione non valido",IF(OR(NOT(ISNUMBER(C500)),AND(D500&lt;&gt;"Ingresso",D500&lt;&gt;"Uscita"),AND(E500&lt;&gt;"Back",E500&lt;&gt;"Lay")),"Completa data / fase / lato",IF(OR(NOT(ISNUMBER(F500)),F500&lt;=1,NOT(ISNUMBER(G500)),G500&lt;=0),"Correggi quota / stake","OK")))))</x:f>
      </x:c>
    </x:row>
    <x:row r="501" ht="22" customHeight="1">
      <x:c r="A501" s="24"/>
      <x:c r="B501" s="24"/>
      <x:c r="C501" s="26"/>
      <x:c r="D501" s="24"/>
      <x:c r="E501" s="24"/>
      <x:c r="F501" s="28"/>
      <x:c r="G501" s="29"/>
      <x:c r="H501" s="24"/>
      <x:c r="I501" s="24"/>
      <x:c r="J501" s="24"/>
      <x:c r="K501" s="24"/>
      <x:c r="L501" s="20" t="str">
        <x:f>IF(Q501&lt;&gt;"OK","",IF(E501="Back",G501*(F501-1),-G501*(F501-1)))</x:f>
      </x:c>
      <x:c r="M501" s="20" t="str">
        <x:f>IF(Q501&lt;&gt;"OK","",IF(E501="Back",-G501,G501))</x:f>
      </x:c>
      <x:c r="N501" s="20" t="str">
        <x:f>IF(Q501&lt;&gt;"OK","",SUMIFS($L$8:$L$1007,$A$8:$A$1007,A501,$B$8:$B$1007,"&lt;="&amp;B501))</x:f>
      </x:c>
      <x:c r="O501" s="20" t="str">
        <x:f>IF(Q501&lt;&gt;"OK","",SUMIFS($M$8:$M$1007,$A$8:$A$1007,A501,$B$8:$B$1007,"&lt;="&amp;B501))</x:f>
      </x:c>
      <x:c r="P501" s="20" t="str">
        <x:f>IF(Q501&lt;&gt;"OK","",MAX(0,-MIN(N501,O501)))</x:f>
      </x:c>
      <x:c r="Q501" s="18" t="str">
        <x:f>IF(A501="",IF(COUNTA(B501:K501)=0,"","Inserisci ID"),IF(COUNTIFS('Diario'!$A$8:$A$507,A501)&lt;&gt;1,"ID assente / duplicato",IF(OR(NOT(ISNUMBER(B501)),B501&lt;1,B501&lt;&gt;INT(B501),COUNTIFS($A$8:$A$1007,A501,$B$8:$B$1007,B501)&lt;&gt;1),"N. esecuzione non valido",IF(OR(NOT(ISNUMBER(C501)),AND(D501&lt;&gt;"Ingresso",D501&lt;&gt;"Uscita"),AND(E501&lt;&gt;"Back",E501&lt;&gt;"Lay")),"Completa data / fase / lato",IF(OR(NOT(ISNUMBER(F501)),F501&lt;=1,NOT(ISNUMBER(G501)),G501&lt;=0),"Correggi quota / stake","OK")))))</x:f>
      </x:c>
    </x:row>
    <x:row r="502" ht="22" customHeight="1">
      <x:c r="A502" s="24"/>
      <x:c r="B502" s="24"/>
      <x:c r="C502" s="26"/>
      <x:c r="D502" s="24"/>
      <x:c r="E502" s="24"/>
      <x:c r="F502" s="28"/>
      <x:c r="G502" s="29"/>
      <x:c r="H502" s="24"/>
      <x:c r="I502" s="24"/>
      <x:c r="J502" s="24"/>
      <x:c r="K502" s="24"/>
      <x:c r="L502" s="20" t="str">
        <x:f>IF(Q502&lt;&gt;"OK","",IF(E502="Back",G502*(F502-1),-G502*(F502-1)))</x:f>
      </x:c>
      <x:c r="M502" s="20" t="str">
        <x:f>IF(Q502&lt;&gt;"OK","",IF(E502="Back",-G502,G502))</x:f>
      </x:c>
      <x:c r="N502" s="20" t="str">
        <x:f>IF(Q502&lt;&gt;"OK","",SUMIFS($L$8:$L$1007,$A$8:$A$1007,A502,$B$8:$B$1007,"&lt;="&amp;B502))</x:f>
      </x:c>
      <x:c r="O502" s="20" t="str">
        <x:f>IF(Q502&lt;&gt;"OK","",SUMIFS($M$8:$M$1007,$A$8:$A$1007,A502,$B$8:$B$1007,"&lt;="&amp;B502))</x:f>
      </x:c>
      <x:c r="P502" s="20" t="str">
        <x:f>IF(Q502&lt;&gt;"OK","",MAX(0,-MIN(N502,O502)))</x:f>
      </x:c>
      <x:c r="Q502" s="18" t="str">
        <x:f>IF(A502="",IF(COUNTA(B502:K502)=0,"","Inserisci ID"),IF(COUNTIFS('Diario'!$A$8:$A$507,A502)&lt;&gt;1,"ID assente / duplicato",IF(OR(NOT(ISNUMBER(B502)),B502&lt;1,B502&lt;&gt;INT(B502),COUNTIFS($A$8:$A$1007,A502,$B$8:$B$1007,B502)&lt;&gt;1),"N. esecuzione non valido",IF(OR(NOT(ISNUMBER(C502)),AND(D502&lt;&gt;"Ingresso",D502&lt;&gt;"Uscita"),AND(E502&lt;&gt;"Back",E502&lt;&gt;"Lay")),"Completa data / fase / lato",IF(OR(NOT(ISNUMBER(F502)),F502&lt;=1,NOT(ISNUMBER(G502)),G502&lt;=0),"Correggi quota / stake","OK")))))</x:f>
      </x:c>
    </x:row>
    <x:row r="503" ht="22" customHeight="1">
      <x:c r="A503" s="24"/>
      <x:c r="B503" s="24"/>
      <x:c r="C503" s="26"/>
      <x:c r="D503" s="24"/>
      <x:c r="E503" s="24"/>
      <x:c r="F503" s="28"/>
      <x:c r="G503" s="29"/>
      <x:c r="H503" s="24"/>
      <x:c r="I503" s="24"/>
      <x:c r="J503" s="24"/>
      <x:c r="K503" s="24"/>
      <x:c r="L503" s="20" t="str">
        <x:f>IF(Q503&lt;&gt;"OK","",IF(E503="Back",G503*(F503-1),-G503*(F503-1)))</x:f>
      </x:c>
      <x:c r="M503" s="20" t="str">
        <x:f>IF(Q503&lt;&gt;"OK","",IF(E503="Back",-G503,G503))</x:f>
      </x:c>
      <x:c r="N503" s="20" t="str">
        <x:f>IF(Q503&lt;&gt;"OK","",SUMIFS($L$8:$L$1007,$A$8:$A$1007,A503,$B$8:$B$1007,"&lt;="&amp;B503))</x:f>
      </x:c>
      <x:c r="O503" s="20" t="str">
        <x:f>IF(Q503&lt;&gt;"OK","",SUMIFS($M$8:$M$1007,$A$8:$A$1007,A503,$B$8:$B$1007,"&lt;="&amp;B503))</x:f>
      </x:c>
      <x:c r="P503" s="20" t="str">
        <x:f>IF(Q503&lt;&gt;"OK","",MAX(0,-MIN(N503,O503)))</x:f>
      </x:c>
      <x:c r="Q503" s="18" t="str">
        <x:f>IF(A503="",IF(COUNTA(B503:K503)=0,"","Inserisci ID"),IF(COUNTIFS('Diario'!$A$8:$A$507,A503)&lt;&gt;1,"ID assente / duplicato",IF(OR(NOT(ISNUMBER(B503)),B503&lt;1,B503&lt;&gt;INT(B503),COUNTIFS($A$8:$A$1007,A503,$B$8:$B$1007,B503)&lt;&gt;1),"N. esecuzione non valido",IF(OR(NOT(ISNUMBER(C503)),AND(D503&lt;&gt;"Ingresso",D503&lt;&gt;"Uscita"),AND(E503&lt;&gt;"Back",E503&lt;&gt;"Lay")),"Completa data / fase / lato",IF(OR(NOT(ISNUMBER(F503)),F503&lt;=1,NOT(ISNUMBER(G503)),G503&lt;=0),"Correggi quota / stake","OK")))))</x:f>
      </x:c>
    </x:row>
    <x:row r="504" ht="22" customHeight="1">
      <x:c r="A504" s="24"/>
      <x:c r="B504" s="24"/>
      <x:c r="C504" s="26"/>
      <x:c r="D504" s="24"/>
      <x:c r="E504" s="24"/>
      <x:c r="F504" s="28"/>
      <x:c r="G504" s="29"/>
      <x:c r="H504" s="24"/>
      <x:c r="I504" s="24"/>
      <x:c r="J504" s="24"/>
      <x:c r="K504" s="24"/>
      <x:c r="L504" s="20" t="str">
        <x:f>IF(Q504&lt;&gt;"OK","",IF(E504="Back",G504*(F504-1),-G504*(F504-1)))</x:f>
      </x:c>
      <x:c r="M504" s="20" t="str">
        <x:f>IF(Q504&lt;&gt;"OK","",IF(E504="Back",-G504,G504))</x:f>
      </x:c>
      <x:c r="N504" s="20" t="str">
        <x:f>IF(Q504&lt;&gt;"OK","",SUMIFS($L$8:$L$1007,$A$8:$A$1007,A504,$B$8:$B$1007,"&lt;="&amp;B504))</x:f>
      </x:c>
      <x:c r="O504" s="20" t="str">
        <x:f>IF(Q504&lt;&gt;"OK","",SUMIFS($M$8:$M$1007,$A$8:$A$1007,A504,$B$8:$B$1007,"&lt;="&amp;B504))</x:f>
      </x:c>
      <x:c r="P504" s="20" t="str">
        <x:f>IF(Q504&lt;&gt;"OK","",MAX(0,-MIN(N504,O504)))</x:f>
      </x:c>
      <x:c r="Q504" s="18" t="str">
        <x:f>IF(A504="",IF(COUNTA(B504:K504)=0,"","Inserisci ID"),IF(COUNTIFS('Diario'!$A$8:$A$507,A504)&lt;&gt;1,"ID assente / duplicato",IF(OR(NOT(ISNUMBER(B504)),B504&lt;1,B504&lt;&gt;INT(B504),COUNTIFS($A$8:$A$1007,A504,$B$8:$B$1007,B504)&lt;&gt;1),"N. esecuzione non valido",IF(OR(NOT(ISNUMBER(C504)),AND(D504&lt;&gt;"Ingresso",D504&lt;&gt;"Uscita"),AND(E504&lt;&gt;"Back",E504&lt;&gt;"Lay")),"Completa data / fase / lato",IF(OR(NOT(ISNUMBER(F504)),F504&lt;=1,NOT(ISNUMBER(G504)),G504&lt;=0),"Correggi quota / stake","OK")))))</x:f>
      </x:c>
    </x:row>
    <x:row r="505" ht="22" customHeight="1">
      <x:c r="A505" s="24"/>
      <x:c r="B505" s="24"/>
      <x:c r="C505" s="26"/>
      <x:c r="D505" s="24"/>
      <x:c r="E505" s="24"/>
      <x:c r="F505" s="28"/>
      <x:c r="G505" s="29"/>
      <x:c r="H505" s="24"/>
      <x:c r="I505" s="24"/>
      <x:c r="J505" s="24"/>
      <x:c r="K505" s="24"/>
      <x:c r="L505" s="20" t="str">
        <x:f>IF(Q505&lt;&gt;"OK","",IF(E505="Back",G505*(F505-1),-G505*(F505-1)))</x:f>
      </x:c>
      <x:c r="M505" s="20" t="str">
        <x:f>IF(Q505&lt;&gt;"OK","",IF(E505="Back",-G505,G505))</x:f>
      </x:c>
      <x:c r="N505" s="20" t="str">
        <x:f>IF(Q505&lt;&gt;"OK","",SUMIFS($L$8:$L$1007,$A$8:$A$1007,A505,$B$8:$B$1007,"&lt;="&amp;B505))</x:f>
      </x:c>
      <x:c r="O505" s="20" t="str">
        <x:f>IF(Q505&lt;&gt;"OK","",SUMIFS($M$8:$M$1007,$A$8:$A$1007,A505,$B$8:$B$1007,"&lt;="&amp;B505))</x:f>
      </x:c>
      <x:c r="P505" s="20" t="str">
        <x:f>IF(Q505&lt;&gt;"OK","",MAX(0,-MIN(N505,O505)))</x:f>
      </x:c>
      <x:c r="Q505" s="18" t="str">
        <x:f>IF(A505="",IF(COUNTA(B505:K505)=0,"","Inserisci ID"),IF(COUNTIFS('Diario'!$A$8:$A$507,A505)&lt;&gt;1,"ID assente / duplicato",IF(OR(NOT(ISNUMBER(B505)),B505&lt;1,B505&lt;&gt;INT(B505),COUNTIFS($A$8:$A$1007,A505,$B$8:$B$1007,B505)&lt;&gt;1),"N. esecuzione non valido",IF(OR(NOT(ISNUMBER(C505)),AND(D505&lt;&gt;"Ingresso",D505&lt;&gt;"Uscita"),AND(E505&lt;&gt;"Back",E505&lt;&gt;"Lay")),"Completa data / fase / lato",IF(OR(NOT(ISNUMBER(F505)),F505&lt;=1,NOT(ISNUMBER(G505)),G505&lt;=0),"Correggi quota / stake","OK")))))</x:f>
      </x:c>
    </x:row>
    <x:row r="506" ht="22" customHeight="1">
      <x:c r="A506" s="24"/>
      <x:c r="B506" s="24"/>
      <x:c r="C506" s="26"/>
      <x:c r="D506" s="24"/>
      <x:c r="E506" s="24"/>
      <x:c r="F506" s="28"/>
      <x:c r="G506" s="29"/>
      <x:c r="H506" s="24"/>
      <x:c r="I506" s="24"/>
      <x:c r="J506" s="24"/>
      <x:c r="K506" s="24"/>
      <x:c r="L506" s="20" t="str">
        <x:f>IF(Q506&lt;&gt;"OK","",IF(E506="Back",G506*(F506-1),-G506*(F506-1)))</x:f>
      </x:c>
      <x:c r="M506" s="20" t="str">
        <x:f>IF(Q506&lt;&gt;"OK","",IF(E506="Back",-G506,G506))</x:f>
      </x:c>
      <x:c r="N506" s="20" t="str">
        <x:f>IF(Q506&lt;&gt;"OK","",SUMIFS($L$8:$L$1007,$A$8:$A$1007,A506,$B$8:$B$1007,"&lt;="&amp;B506))</x:f>
      </x:c>
      <x:c r="O506" s="20" t="str">
        <x:f>IF(Q506&lt;&gt;"OK","",SUMIFS($M$8:$M$1007,$A$8:$A$1007,A506,$B$8:$B$1007,"&lt;="&amp;B506))</x:f>
      </x:c>
      <x:c r="P506" s="20" t="str">
        <x:f>IF(Q506&lt;&gt;"OK","",MAX(0,-MIN(N506,O506)))</x:f>
      </x:c>
      <x:c r="Q506" s="18" t="str">
        <x:f>IF(A506="",IF(COUNTA(B506:K506)=0,"","Inserisci ID"),IF(COUNTIFS('Diario'!$A$8:$A$507,A506)&lt;&gt;1,"ID assente / duplicato",IF(OR(NOT(ISNUMBER(B506)),B506&lt;1,B506&lt;&gt;INT(B506),COUNTIFS($A$8:$A$1007,A506,$B$8:$B$1007,B506)&lt;&gt;1),"N. esecuzione non valido",IF(OR(NOT(ISNUMBER(C506)),AND(D506&lt;&gt;"Ingresso",D506&lt;&gt;"Uscita"),AND(E506&lt;&gt;"Back",E506&lt;&gt;"Lay")),"Completa data / fase / lato",IF(OR(NOT(ISNUMBER(F506)),F506&lt;=1,NOT(ISNUMBER(G506)),G506&lt;=0),"Correggi quota / stake","OK")))))</x:f>
      </x:c>
    </x:row>
    <x:row r="507" ht="22" customHeight="1">
      <x:c r="A507" s="24"/>
      <x:c r="B507" s="24"/>
      <x:c r="C507" s="26"/>
      <x:c r="D507" s="24"/>
      <x:c r="E507" s="24"/>
      <x:c r="F507" s="28"/>
      <x:c r="G507" s="29"/>
      <x:c r="H507" s="24"/>
      <x:c r="I507" s="24"/>
      <x:c r="J507" s="24"/>
      <x:c r="K507" s="24"/>
      <x:c r="L507" s="20" t="str">
        <x:f>IF(Q507&lt;&gt;"OK","",IF(E507="Back",G507*(F507-1),-G507*(F507-1)))</x:f>
      </x:c>
      <x:c r="M507" s="20" t="str">
        <x:f>IF(Q507&lt;&gt;"OK","",IF(E507="Back",-G507,G507))</x:f>
      </x:c>
      <x:c r="N507" s="20" t="str">
        <x:f>IF(Q507&lt;&gt;"OK","",SUMIFS($L$8:$L$1007,$A$8:$A$1007,A507,$B$8:$B$1007,"&lt;="&amp;B507))</x:f>
      </x:c>
      <x:c r="O507" s="20" t="str">
        <x:f>IF(Q507&lt;&gt;"OK","",SUMIFS($M$8:$M$1007,$A$8:$A$1007,A507,$B$8:$B$1007,"&lt;="&amp;B507))</x:f>
      </x:c>
      <x:c r="P507" s="20" t="str">
        <x:f>IF(Q507&lt;&gt;"OK","",MAX(0,-MIN(N507,O507)))</x:f>
      </x:c>
      <x:c r="Q507" s="18" t="str">
        <x:f>IF(A507="",IF(COUNTA(B507:K507)=0,"","Inserisci ID"),IF(COUNTIFS('Diario'!$A$8:$A$507,A507)&lt;&gt;1,"ID assente / duplicato",IF(OR(NOT(ISNUMBER(B507)),B507&lt;1,B507&lt;&gt;INT(B507),COUNTIFS($A$8:$A$1007,A507,$B$8:$B$1007,B507)&lt;&gt;1),"N. esecuzione non valido",IF(OR(NOT(ISNUMBER(C507)),AND(D507&lt;&gt;"Ingresso",D507&lt;&gt;"Uscita"),AND(E507&lt;&gt;"Back",E507&lt;&gt;"Lay")),"Completa data / fase / lato",IF(OR(NOT(ISNUMBER(F507)),F507&lt;=1,NOT(ISNUMBER(G507)),G507&lt;=0),"Correggi quota / stake","OK")))))</x:f>
      </x:c>
    </x:row>
    <x:row r="508" ht="22" customHeight="1">
      <x:c r="A508" s="24"/>
      <x:c r="B508" s="24"/>
      <x:c r="C508" s="26"/>
      <x:c r="D508" s="24"/>
      <x:c r="E508" s="24"/>
      <x:c r="F508" s="28"/>
      <x:c r="G508" s="29"/>
      <x:c r="H508" s="24"/>
      <x:c r="I508" s="24"/>
      <x:c r="J508" s="24"/>
      <x:c r="K508" s="24"/>
      <x:c r="L508" s="20" t="str">
        <x:f>IF(Q508&lt;&gt;"OK","",IF(E508="Back",G508*(F508-1),-G508*(F508-1)))</x:f>
      </x:c>
      <x:c r="M508" s="20" t="str">
        <x:f>IF(Q508&lt;&gt;"OK","",IF(E508="Back",-G508,G508))</x:f>
      </x:c>
      <x:c r="N508" s="20" t="str">
        <x:f>IF(Q508&lt;&gt;"OK","",SUMIFS($L$8:$L$1007,$A$8:$A$1007,A508,$B$8:$B$1007,"&lt;="&amp;B508))</x:f>
      </x:c>
      <x:c r="O508" s="20" t="str">
        <x:f>IF(Q508&lt;&gt;"OK","",SUMIFS($M$8:$M$1007,$A$8:$A$1007,A508,$B$8:$B$1007,"&lt;="&amp;B508))</x:f>
      </x:c>
      <x:c r="P508" s="20" t="str">
        <x:f>IF(Q508&lt;&gt;"OK","",MAX(0,-MIN(N508,O508)))</x:f>
      </x:c>
      <x:c r="Q508" s="18" t="str">
        <x:f>IF(A508="",IF(COUNTA(B508:K508)=0,"","Inserisci ID"),IF(COUNTIFS('Diario'!$A$8:$A$507,A508)&lt;&gt;1,"ID assente / duplicato",IF(OR(NOT(ISNUMBER(B508)),B508&lt;1,B508&lt;&gt;INT(B508),COUNTIFS($A$8:$A$1007,A508,$B$8:$B$1007,B508)&lt;&gt;1),"N. esecuzione non valido",IF(OR(NOT(ISNUMBER(C508)),AND(D508&lt;&gt;"Ingresso",D508&lt;&gt;"Uscita"),AND(E508&lt;&gt;"Back",E508&lt;&gt;"Lay")),"Completa data / fase / lato",IF(OR(NOT(ISNUMBER(F508)),F508&lt;=1,NOT(ISNUMBER(G508)),G508&lt;=0),"Correggi quota / stake","OK")))))</x:f>
      </x:c>
    </x:row>
    <x:row r="509" ht="22" customHeight="1">
      <x:c r="A509" s="24"/>
      <x:c r="B509" s="24"/>
      <x:c r="C509" s="26"/>
      <x:c r="D509" s="24"/>
      <x:c r="E509" s="24"/>
      <x:c r="F509" s="28"/>
      <x:c r="G509" s="29"/>
      <x:c r="H509" s="24"/>
      <x:c r="I509" s="24"/>
      <x:c r="J509" s="24"/>
      <x:c r="K509" s="24"/>
      <x:c r="L509" s="20" t="str">
        <x:f>IF(Q509&lt;&gt;"OK","",IF(E509="Back",G509*(F509-1),-G509*(F509-1)))</x:f>
      </x:c>
      <x:c r="M509" s="20" t="str">
        <x:f>IF(Q509&lt;&gt;"OK","",IF(E509="Back",-G509,G509))</x:f>
      </x:c>
      <x:c r="N509" s="20" t="str">
        <x:f>IF(Q509&lt;&gt;"OK","",SUMIFS($L$8:$L$1007,$A$8:$A$1007,A509,$B$8:$B$1007,"&lt;="&amp;B509))</x:f>
      </x:c>
      <x:c r="O509" s="20" t="str">
        <x:f>IF(Q509&lt;&gt;"OK","",SUMIFS($M$8:$M$1007,$A$8:$A$1007,A509,$B$8:$B$1007,"&lt;="&amp;B509))</x:f>
      </x:c>
      <x:c r="P509" s="20" t="str">
        <x:f>IF(Q509&lt;&gt;"OK","",MAX(0,-MIN(N509,O509)))</x:f>
      </x:c>
      <x:c r="Q509" s="18" t="str">
        <x:f>IF(A509="",IF(COUNTA(B509:K509)=0,"","Inserisci ID"),IF(COUNTIFS('Diario'!$A$8:$A$507,A509)&lt;&gt;1,"ID assente / duplicato",IF(OR(NOT(ISNUMBER(B509)),B509&lt;1,B509&lt;&gt;INT(B509),COUNTIFS($A$8:$A$1007,A509,$B$8:$B$1007,B509)&lt;&gt;1),"N. esecuzione non valido",IF(OR(NOT(ISNUMBER(C509)),AND(D509&lt;&gt;"Ingresso",D509&lt;&gt;"Uscita"),AND(E509&lt;&gt;"Back",E509&lt;&gt;"Lay")),"Completa data / fase / lato",IF(OR(NOT(ISNUMBER(F509)),F509&lt;=1,NOT(ISNUMBER(G509)),G509&lt;=0),"Correggi quota / stake","OK")))))</x:f>
      </x:c>
    </x:row>
    <x:row r="510" ht="22" customHeight="1">
      <x:c r="A510" s="24"/>
      <x:c r="B510" s="24"/>
      <x:c r="C510" s="26"/>
      <x:c r="D510" s="24"/>
      <x:c r="E510" s="24"/>
      <x:c r="F510" s="28"/>
      <x:c r="G510" s="29"/>
      <x:c r="H510" s="24"/>
      <x:c r="I510" s="24"/>
      <x:c r="J510" s="24"/>
      <x:c r="K510" s="24"/>
      <x:c r="L510" s="20" t="str">
        <x:f>IF(Q510&lt;&gt;"OK","",IF(E510="Back",G510*(F510-1),-G510*(F510-1)))</x:f>
      </x:c>
      <x:c r="M510" s="20" t="str">
        <x:f>IF(Q510&lt;&gt;"OK","",IF(E510="Back",-G510,G510))</x:f>
      </x:c>
      <x:c r="N510" s="20" t="str">
        <x:f>IF(Q510&lt;&gt;"OK","",SUMIFS($L$8:$L$1007,$A$8:$A$1007,A510,$B$8:$B$1007,"&lt;="&amp;B510))</x:f>
      </x:c>
      <x:c r="O510" s="20" t="str">
        <x:f>IF(Q510&lt;&gt;"OK","",SUMIFS($M$8:$M$1007,$A$8:$A$1007,A510,$B$8:$B$1007,"&lt;="&amp;B510))</x:f>
      </x:c>
      <x:c r="P510" s="20" t="str">
        <x:f>IF(Q510&lt;&gt;"OK","",MAX(0,-MIN(N510,O510)))</x:f>
      </x:c>
      <x:c r="Q510" s="18" t="str">
        <x:f>IF(A510="",IF(COUNTA(B510:K510)=0,"","Inserisci ID"),IF(COUNTIFS('Diario'!$A$8:$A$507,A510)&lt;&gt;1,"ID assente / duplicato",IF(OR(NOT(ISNUMBER(B510)),B510&lt;1,B510&lt;&gt;INT(B510),COUNTIFS($A$8:$A$1007,A510,$B$8:$B$1007,B510)&lt;&gt;1),"N. esecuzione non valido",IF(OR(NOT(ISNUMBER(C510)),AND(D510&lt;&gt;"Ingresso",D510&lt;&gt;"Uscita"),AND(E510&lt;&gt;"Back",E510&lt;&gt;"Lay")),"Completa data / fase / lato",IF(OR(NOT(ISNUMBER(F510)),F510&lt;=1,NOT(ISNUMBER(G510)),G510&lt;=0),"Correggi quota / stake","OK")))))</x:f>
      </x:c>
    </x:row>
    <x:row r="511" ht="22" customHeight="1">
      <x:c r="A511" s="24"/>
      <x:c r="B511" s="24"/>
      <x:c r="C511" s="26"/>
      <x:c r="D511" s="24"/>
      <x:c r="E511" s="24"/>
      <x:c r="F511" s="28"/>
      <x:c r="G511" s="29"/>
      <x:c r="H511" s="24"/>
      <x:c r="I511" s="24"/>
      <x:c r="J511" s="24"/>
      <x:c r="K511" s="24"/>
      <x:c r="L511" s="20" t="str">
        <x:f>IF(Q511&lt;&gt;"OK","",IF(E511="Back",G511*(F511-1),-G511*(F511-1)))</x:f>
      </x:c>
      <x:c r="M511" s="20" t="str">
        <x:f>IF(Q511&lt;&gt;"OK","",IF(E511="Back",-G511,G511))</x:f>
      </x:c>
      <x:c r="N511" s="20" t="str">
        <x:f>IF(Q511&lt;&gt;"OK","",SUMIFS($L$8:$L$1007,$A$8:$A$1007,A511,$B$8:$B$1007,"&lt;="&amp;B511))</x:f>
      </x:c>
      <x:c r="O511" s="20" t="str">
        <x:f>IF(Q511&lt;&gt;"OK","",SUMIFS($M$8:$M$1007,$A$8:$A$1007,A511,$B$8:$B$1007,"&lt;="&amp;B511))</x:f>
      </x:c>
      <x:c r="P511" s="20" t="str">
        <x:f>IF(Q511&lt;&gt;"OK","",MAX(0,-MIN(N511,O511)))</x:f>
      </x:c>
      <x:c r="Q511" s="18" t="str">
        <x:f>IF(A511="",IF(COUNTA(B511:K511)=0,"","Inserisci ID"),IF(COUNTIFS('Diario'!$A$8:$A$507,A511)&lt;&gt;1,"ID assente / duplicato",IF(OR(NOT(ISNUMBER(B511)),B511&lt;1,B511&lt;&gt;INT(B511),COUNTIFS($A$8:$A$1007,A511,$B$8:$B$1007,B511)&lt;&gt;1),"N. esecuzione non valido",IF(OR(NOT(ISNUMBER(C511)),AND(D511&lt;&gt;"Ingresso",D511&lt;&gt;"Uscita"),AND(E511&lt;&gt;"Back",E511&lt;&gt;"Lay")),"Completa data / fase / lato",IF(OR(NOT(ISNUMBER(F511)),F511&lt;=1,NOT(ISNUMBER(G511)),G511&lt;=0),"Correggi quota / stake","OK")))))</x:f>
      </x:c>
    </x:row>
    <x:row r="512" ht="22" customHeight="1">
      <x:c r="A512" s="24"/>
      <x:c r="B512" s="24"/>
      <x:c r="C512" s="26"/>
      <x:c r="D512" s="24"/>
      <x:c r="E512" s="24"/>
      <x:c r="F512" s="28"/>
      <x:c r="G512" s="29"/>
      <x:c r="H512" s="24"/>
      <x:c r="I512" s="24"/>
      <x:c r="J512" s="24"/>
      <x:c r="K512" s="24"/>
      <x:c r="L512" s="20" t="str">
        <x:f>IF(Q512&lt;&gt;"OK","",IF(E512="Back",G512*(F512-1),-G512*(F512-1)))</x:f>
      </x:c>
      <x:c r="M512" s="20" t="str">
        <x:f>IF(Q512&lt;&gt;"OK","",IF(E512="Back",-G512,G512))</x:f>
      </x:c>
      <x:c r="N512" s="20" t="str">
        <x:f>IF(Q512&lt;&gt;"OK","",SUMIFS($L$8:$L$1007,$A$8:$A$1007,A512,$B$8:$B$1007,"&lt;="&amp;B512))</x:f>
      </x:c>
      <x:c r="O512" s="20" t="str">
        <x:f>IF(Q512&lt;&gt;"OK","",SUMIFS($M$8:$M$1007,$A$8:$A$1007,A512,$B$8:$B$1007,"&lt;="&amp;B512))</x:f>
      </x:c>
      <x:c r="P512" s="20" t="str">
        <x:f>IF(Q512&lt;&gt;"OK","",MAX(0,-MIN(N512,O512)))</x:f>
      </x:c>
      <x:c r="Q512" s="18" t="str">
        <x:f>IF(A512="",IF(COUNTA(B512:K512)=0,"","Inserisci ID"),IF(COUNTIFS('Diario'!$A$8:$A$507,A512)&lt;&gt;1,"ID assente / duplicato",IF(OR(NOT(ISNUMBER(B512)),B512&lt;1,B512&lt;&gt;INT(B512),COUNTIFS($A$8:$A$1007,A512,$B$8:$B$1007,B512)&lt;&gt;1),"N. esecuzione non valido",IF(OR(NOT(ISNUMBER(C512)),AND(D512&lt;&gt;"Ingresso",D512&lt;&gt;"Uscita"),AND(E512&lt;&gt;"Back",E512&lt;&gt;"Lay")),"Completa data / fase / lato",IF(OR(NOT(ISNUMBER(F512)),F512&lt;=1,NOT(ISNUMBER(G512)),G512&lt;=0),"Correggi quota / stake","OK")))))</x:f>
      </x:c>
    </x:row>
    <x:row r="513" ht="22" customHeight="1">
      <x:c r="A513" s="24"/>
      <x:c r="B513" s="24"/>
      <x:c r="C513" s="26"/>
      <x:c r="D513" s="24"/>
      <x:c r="E513" s="24"/>
      <x:c r="F513" s="28"/>
      <x:c r="G513" s="29"/>
      <x:c r="H513" s="24"/>
      <x:c r="I513" s="24"/>
      <x:c r="J513" s="24"/>
      <x:c r="K513" s="24"/>
      <x:c r="L513" s="20" t="str">
        <x:f>IF(Q513&lt;&gt;"OK","",IF(E513="Back",G513*(F513-1),-G513*(F513-1)))</x:f>
      </x:c>
      <x:c r="M513" s="20" t="str">
        <x:f>IF(Q513&lt;&gt;"OK","",IF(E513="Back",-G513,G513))</x:f>
      </x:c>
      <x:c r="N513" s="20" t="str">
        <x:f>IF(Q513&lt;&gt;"OK","",SUMIFS($L$8:$L$1007,$A$8:$A$1007,A513,$B$8:$B$1007,"&lt;="&amp;B513))</x:f>
      </x:c>
      <x:c r="O513" s="20" t="str">
        <x:f>IF(Q513&lt;&gt;"OK","",SUMIFS($M$8:$M$1007,$A$8:$A$1007,A513,$B$8:$B$1007,"&lt;="&amp;B513))</x:f>
      </x:c>
      <x:c r="P513" s="20" t="str">
        <x:f>IF(Q513&lt;&gt;"OK","",MAX(0,-MIN(N513,O513)))</x:f>
      </x:c>
      <x:c r="Q513" s="18" t="str">
        <x:f>IF(A513="",IF(COUNTA(B513:K513)=0,"","Inserisci ID"),IF(COUNTIFS('Diario'!$A$8:$A$507,A513)&lt;&gt;1,"ID assente / duplicato",IF(OR(NOT(ISNUMBER(B513)),B513&lt;1,B513&lt;&gt;INT(B513),COUNTIFS($A$8:$A$1007,A513,$B$8:$B$1007,B513)&lt;&gt;1),"N. esecuzione non valido",IF(OR(NOT(ISNUMBER(C513)),AND(D513&lt;&gt;"Ingresso",D513&lt;&gt;"Uscita"),AND(E513&lt;&gt;"Back",E513&lt;&gt;"Lay")),"Completa data / fase / lato",IF(OR(NOT(ISNUMBER(F513)),F513&lt;=1,NOT(ISNUMBER(G513)),G513&lt;=0),"Correggi quota / stake","OK")))))</x:f>
      </x:c>
    </x:row>
    <x:row r="514" ht="22" customHeight="1">
      <x:c r="A514" s="24"/>
      <x:c r="B514" s="24"/>
      <x:c r="C514" s="26"/>
      <x:c r="D514" s="24"/>
      <x:c r="E514" s="24"/>
      <x:c r="F514" s="28"/>
      <x:c r="G514" s="29"/>
      <x:c r="H514" s="24"/>
      <x:c r="I514" s="24"/>
      <x:c r="J514" s="24"/>
      <x:c r="K514" s="24"/>
      <x:c r="L514" s="20" t="str">
        <x:f>IF(Q514&lt;&gt;"OK","",IF(E514="Back",G514*(F514-1),-G514*(F514-1)))</x:f>
      </x:c>
      <x:c r="M514" s="20" t="str">
        <x:f>IF(Q514&lt;&gt;"OK","",IF(E514="Back",-G514,G514))</x:f>
      </x:c>
      <x:c r="N514" s="20" t="str">
        <x:f>IF(Q514&lt;&gt;"OK","",SUMIFS($L$8:$L$1007,$A$8:$A$1007,A514,$B$8:$B$1007,"&lt;="&amp;B514))</x:f>
      </x:c>
      <x:c r="O514" s="20" t="str">
        <x:f>IF(Q514&lt;&gt;"OK","",SUMIFS($M$8:$M$1007,$A$8:$A$1007,A514,$B$8:$B$1007,"&lt;="&amp;B514))</x:f>
      </x:c>
      <x:c r="P514" s="20" t="str">
        <x:f>IF(Q514&lt;&gt;"OK","",MAX(0,-MIN(N514,O514)))</x:f>
      </x:c>
      <x:c r="Q514" s="18" t="str">
        <x:f>IF(A514="",IF(COUNTA(B514:K514)=0,"","Inserisci ID"),IF(COUNTIFS('Diario'!$A$8:$A$507,A514)&lt;&gt;1,"ID assente / duplicato",IF(OR(NOT(ISNUMBER(B514)),B514&lt;1,B514&lt;&gt;INT(B514),COUNTIFS($A$8:$A$1007,A514,$B$8:$B$1007,B514)&lt;&gt;1),"N. esecuzione non valido",IF(OR(NOT(ISNUMBER(C514)),AND(D514&lt;&gt;"Ingresso",D514&lt;&gt;"Uscita"),AND(E514&lt;&gt;"Back",E514&lt;&gt;"Lay")),"Completa data / fase / lato",IF(OR(NOT(ISNUMBER(F514)),F514&lt;=1,NOT(ISNUMBER(G514)),G514&lt;=0),"Correggi quota / stake","OK")))))</x:f>
      </x:c>
    </x:row>
    <x:row r="515" ht="22" customHeight="1">
      <x:c r="A515" s="24"/>
      <x:c r="B515" s="24"/>
      <x:c r="C515" s="26"/>
      <x:c r="D515" s="24"/>
      <x:c r="E515" s="24"/>
      <x:c r="F515" s="28"/>
      <x:c r="G515" s="29"/>
      <x:c r="H515" s="24"/>
      <x:c r="I515" s="24"/>
      <x:c r="J515" s="24"/>
      <x:c r="K515" s="24"/>
      <x:c r="L515" s="20" t="str">
        <x:f>IF(Q515&lt;&gt;"OK","",IF(E515="Back",G515*(F515-1),-G515*(F515-1)))</x:f>
      </x:c>
      <x:c r="M515" s="20" t="str">
        <x:f>IF(Q515&lt;&gt;"OK","",IF(E515="Back",-G515,G515))</x:f>
      </x:c>
      <x:c r="N515" s="20" t="str">
        <x:f>IF(Q515&lt;&gt;"OK","",SUMIFS($L$8:$L$1007,$A$8:$A$1007,A515,$B$8:$B$1007,"&lt;="&amp;B515))</x:f>
      </x:c>
      <x:c r="O515" s="20" t="str">
        <x:f>IF(Q515&lt;&gt;"OK","",SUMIFS($M$8:$M$1007,$A$8:$A$1007,A515,$B$8:$B$1007,"&lt;="&amp;B515))</x:f>
      </x:c>
      <x:c r="P515" s="20" t="str">
        <x:f>IF(Q515&lt;&gt;"OK","",MAX(0,-MIN(N515,O515)))</x:f>
      </x:c>
      <x:c r="Q515" s="18" t="str">
        <x:f>IF(A515="",IF(COUNTA(B515:K515)=0,"","Inserisci ID"),IF(COUNTIFS('Diario'!$A$8:$A$507,A515)&lt;&gt;1,"ID assente / duplicato",IF(OR(NOT(ISNUMBER(B515)),B515&lt;1,B515&lt;&gt;INT(B515),COUNTIFS($A$8:$A$1007,A515,$B$8:$B$1007,B515)&lt;&gt;1),"N. esecuzione non valido",IF(OR(NOT(ISNUMBER(C515)),AND(D515&lt;&gt;"Ingresso",D515&lt;&gt;"Uscita"),AND(E515&lt;&gt;"Back",E515&lt;&gt;"Lay")),"Completa data / fase / lato",IF(OR(NOT(ISNUMBER(F515)),F515&lt;=1,NOT(ISNUMBER(G515)),G515&lt;=0),"Correggi quota / stake","OK")))))</x:f>
      </x:c>
    </x:row>
    <x:row r="516" ht="22" customHeight="1">
      <x:c r="A516" s="24"/>
      <x:c r="B516" s="24"/>
      <x:c r="C516" s="26"/>
      <x:c r="D516" s="24"/>
      <x:c r="E516" s="24"/>
      <x:c r="F516" s="28"/>
      <x:c r="G516" s="29"/>
      <x:c r="H516" s="24"/>
      <x:c r="I516" s="24"/>
      <x:c r="J516" s="24"/>
      <x:c r="K516" s="24"/>
      <x:c r="L516" s="20" t="str">
        <x:f>IF(Q516&lt;&gt;"OK","",IF(E516="Back",G516*(F516-1),-G516*(F516-1)))</x:f>
      </x:c>
      <x:c r="M516" s="20" t="str">
        <x:f>IF(Q516&lt;&gt;"OK","",IF(E516="Back",-G516,G516))</x:f>
      </x:c>
      <x:c r="N516" s="20" t="str">
        <x:f>IF(Q516&lt;&gt;"OK","",SUMIFS($L$8:$L$1007,$A$8:$A$1007,A516,$B$8:$B$1007,"&lt;="&amp;B516))</x:f>
      </x:c>
      <x:c r="O516" s="20" t="str">
        <x:f>IF(Q516&lt;&gt;"OK","",SUMIFS($M$8:$M$1007,$A$8:$A$1007,A516,$B$8:$B$1007,"&lt;="&amp;B516))</x:f>
      </x:c>
      <x:c r="P516" s="20" t="str">
        <x:f>IF(Q516&lt;&gt;"OK","",MAX(0,-MIN(N516,O516)))</x:f>
      </x:c>
      <x:c r="Q516" s="18" t="str">
        <x:f>IF(A516="",IF(COUNTA(B516:K516)=0,"","Inserisci ID"),IF(COUNTIFS('Diario'!$A$8:$A$507,A516)&lt;&gt;1,"ID assente / duplicato",IF(OR(NOT(ISNUMBER(B516)),B516&lt;1,B516&lt;&gt;INT(B516),COUNTIFS($A$8:$A$1007,A516,$B$8:$B$1007,B516)&lt;&gt;1),"N. esecuzione non valido",IF(OR(NOT(ISNUMBER(C516)),AND(D516&lt;&gt;"Ingresso",D516&lt;&gt;"Uscita"),AND(E516&lt;&gt;"Back",E516&lt;&gt;"Lay")),"Completa data / fase / lato",IF(OR(NOT(ISNUMBER(F516)),F516&lt;=1,NOT(ISNUMBER(G516)),G516&lt;=0),"Correggi quota / stake","OK")))))</x:f>
      </x:c>
    </x:row>
    <x:row r="517" ht="22" customHeight="1">
      <x:c r="A517" s="24"/>
      <x:c r="B517" s="24"/>
      <x:c r="C517" s="26"/>
      <x:c r="D517" s="24"/>
      <x:c r="E517" s="24"/>
      <x:c r="F517" s="28"/>
      <x:c r="G517" s="29"/>
      <x:c r="H517" s="24"/>
      <x:c r="I517" s="24"/>
      <x:c r="J517" s="24"/>
      <x:c r="K517" s="24"/>
      <x:c r="L517" s="20" t="str">
        <x:f>IF(Q517&lt;&gt;"OK","",IF(E517="Back",G517*(F517-1),-G517*(F517-1)))</x:f>
      </x:c>
      <x:c r="M517" s="20" t="str">
        <x:f>IF(Q517&lt;&gt;"OK","",IF(E517="Back",-G517,G517))</x:f>
      </x:c>
      <x:c r="N517" s="20" t="str">
        <x:f>IF(Q517&lt;&gt;"OK","",SUMIFS($L$8:$L$1007,$A$8:$A$1007,A517,$B$8:$B$1007,"&lt;="&amp;B517))</x:f>
      </x:c>
      <x:c r="O517" s="20" t="str">
        <x:f>IF(Q517&lt;&gt;"OK","",SUMIFS($M$8:$M$1007,$A$8:$A$1007,A517,$B$8:$B$1007,"&lt;="&amp;B517))</x:f>
      </x:c>
      <x:c r="P517" s="20" t="str">
        <x:f>IF(Q517&lt;&gt;"OK","",MAX(0,-MIN(N517,O517)))</x:f>
      </x:c>
      <x:c r="Q517" s="18" t="str">
        <x:f>IF(A517="",IF(COUNTA(B517:K517)=0,"","Inserisci ID"),IF(COUNTIFS('Diario'!$A$8:$A$507,A517)&lt;&gt;1,"ID assente / duplicato",IF(OR(NOT(ISNUMBER(B517)),B517&lt;1,B517&lt;&gt;INT(B517),COUNTIFS($A$8:$A$1007,A517,$B$8:$B$1007,B517)&lt;&gt;1),"N. esecuzione non valido",IF(OR(NOT(ISNUMBER(C517)),AND(D517&lt;&gt;"Ingresso",D517&lt;&gt;"Uscita"),AND(E517&lt;&gt;"Back",E517&lt;&gt;"Lay")),"Completa data / fase / lato",IF(OR(NOT(ISNUMBER(F517)),F517&lt;=1,NOT(ISNUMBER(G517)),G517&lt;=0),"Correggi quota / stake","OK")))))</x:f>
      </x:c>
    </x:row>
    <x:row r="518" ht="22" customHeight="1">
      <x:c r="A518" s="24"/>
      <x:c r="B518" s="24"/>
      <x:c r="C518" s="26"/>
      <x:c r="D518" s="24"/>
      <x:c r="E518" s="24"/>
      <x:c r="F518" s="28"/>
      <x:c r="G518" s="29"/>
      <x:c r="H518" s="24"/>
      <x:c r="I518" s="24"/>
      <x:c r="J518" s="24"/>
      <x:c r="K518" s="24"/>
      <x:c r="L518" s="20" t="str">
        <x:f>IF(Q518&lt;&gt;"OK","",IF(E518="Back",G518*(F518-1),-G518*(F518-1)))</x:f>
      </x:c>
      <x:c r="M518" s="20" t="str">
        <x:f>IF(Q518&lt;&gt;"OK","",IF(E518="Back",-G518,G518))</x:f>
      </x:c>
      <x:c r="N518" s="20" t="str">
        <x:f>IF(Q518&lt;&gt;"OK","",SUMIFS($L$8:$L$1007,$A$8:$A$1007,A518,$B$8:$B$1007,"&lt;="&amp;B518))</x:f>
      </x:c>
      <x:c r="O518" s="20" t="str">
        <x:f>IF(Q518&lt;&gt;"OK","",SUMIFS($M$8:$M$1007,$A$8:$A$1007,A518,$B$8:$B$1007,"&lt;="&amp;B518))</x:f>
      </x:c>
      <x:c r="P518" s="20" t="str">
        <x:f>IF(Q518&lt;&gt;"OK","",MAX(0,-MIN(N518,O518)))</x:f>
      </x:c>
      <x:c r="Q518" s="18" t="str">
        <x:f>IF(A518="",IF(COUNTA(B518:K518)=0,"","Inserisci ID"),IF(COUNTIFS('Diario'!$A$8:$A$507,A518)&lt;&gt;1,"ID assente / duplicato",IF(OR(NOT(ISNUMBER(B518)),B518&lt;1,B518&lt;&gt;INT(B518),COUNTIFS($A$8:$A$1007,A518,$B$8:$B$1007,B518)&lt;&gt;1),"N. esecuzione non valido",IF(OR(NOT(ISNUMBER(C518)),AND(D518&lt;&gt;"Ingresso",D518&lt;&gt;"Uscita"),AND(E518&lt;&gt;"Back",E518&lt;&gt;"Lay")),"Completa data / fase / lato",IF(OR(NOT(ISNUMBER(F518)),F518&lt;=1,NOT(ISNUMBER(G518)),G518&lt;=0),"Correggi quota / stake","OK")))))</x:f>
      </x:c>
    </x:row>
    <x:row r="519" ht="22" customHeight="1">
      <x:c r="A519" s="24"/>
      <x:c r="B519" s="24"/>
      <x:c r="C519" s="26"/>
      <x:c r="D519" s="24"/>
      <x:c r="E519" s="24"/>
      <x:c r="F519" s="28"/>
      <x:c r="G519" s="29"/>
      <x:c r="H519" s="24"/>
      <x:c r="I519" s="24"/>
      <x:c r="J519" s="24"/>
      <x:c r="K519" s="24"/>
      <x:c r="L519" s="20" t="str">
        <x:f>IF(Q519&lt;&gt;"OK","",IF(E519="Back",G519*(F519-1),-G519*(F519-1)))</x:f>
      </x:c>
      <x:c r="M519" s="20" t="str">
        <x:f>IF(Q519&lt;&gt;"OK","",IF(E519="Back",-G519,G519))</x:f>
      </x:c>
      <x:c r="N519" s="20" t="str">
        <x:f>IF(Q519&lt;&gt;"OK","",SUMIFS($L$8:$L$1007,$A$8:$A$1007,A519,$B$8:$B$1007,"&lt;="&amp;B519))</x:f>
      </x:c>
      <x:c r="O519" s="20" t="str">
        <x:f>IF(Q519&lt;&gt;"OK","",SUMIFS($M$8:$M$1007,$A$8:$A$1007,A519,$B$8:$B$1007,"&lt;="&amp;B519))</x:f>
      </x:c>
      <x:c r="P519" s="20" t="str">
        <x:f>IF(Q519&lt;&gt;"OK","",MAX(0,-MIN(N519,O519)))</x:f>
      </x:c>
      <x:c r="Q519" s="18" t="str">
        <x:f>IF(A519="",IF(COUNTA(B519:K519)=0,"","Inserisci ID"),IF(COUNTIFS('Diario'!$A$8:$A$507,A519)&lt;&gt;1,"ID assente / duplicato",IF(OR(NOT(ISNUMBER(B519)),B519&lt;1,B519&lt;&gt;INT(B519),COUNTIFS($A$8:$A$1007,A519,$B$8:$B$1007,B519)&lt;&gt;1),"N. esecuzione non valido",IF(OR(NOT(ISNUMBER(C519)),AND(D519&lt;&gt;"Ingresso",D519&lt;&gt;"Uscita"),AND(E519&lt;&gt;"Back",E519&lt;&gt;"Lay")),"Completa data / fase / lato",IF(OR(NOT(ISNUMBER(F519)),F519&lt;=1,NOT(ISNUMBER(G519)),G519&lt;=0),"Correggi quota / stake","OK")))))</x:f>
      </x:c>
    </x:row>
    <x:row r="520" ht="22" customHeight="1">
      <x:c r="A520" s="24"/>
      <x:c r="B520" s="24"/>
      <x:c r="C520" s="26"/>
      <x:c r="D520" s="24"/>
      <x:c r="E520" s="24"/>
      <x:c r="F520" s="28"/>
      <x:c r="G520" s="29"/>
      <x:c r="H520" s="24"/>
      <x:c r="I520" s="24"/>
      <x:c r="J520" s="24"/>
      <x:c r="K520" s="24"/>
      <x:c r="L520" s="20" t="str">
        <x:f>IF(Q520&lt;&gt;"OK","",IF(E520="Back",G520*(F520-1),-G520*(F520-1)))</x:f>
      </x:c>
      <x:c r="M520" s="20" t="str">
        <x:f>IF(Q520&lt;&gt;"OK","",IF(E520="Back",-G520,G520))</x:f>
      </x:c>
      <x:c r="N520" s="20" t="str">
        <x:f>IF(Q520&lt;&gt;"OK","",SUMIFS($L$8:$L$1007,$A$8:$A$1007,A520,$B$8:$B$1007,"&lt;="&amp;B520))</x:f>
      </x:c>
      <x:c r="O520" s="20" t="str">
        <x:f>IF(Q520&lt;&gt;"OK","",SUMIFS($M$8:$M$1007,$A$8:$A$1007,A520,$B$8:$B$1007,"&lt;="&amp;B520))</x:f>
      </x:c>
      <x:c r="P520" s="20" t="str">
        <x:f>IF(Q520&lt;&gt;"OK","",MAX(0,-MIN(N520,O520)))</x:f>
      </x:c>
      <x:c r="Q520" s="18" t="str">
        <x:f>IF(A520="",IF(COUNTA(B520:K520)=0,"","Inserisci ID"),IF(COUNTIFS('Diario'!$A$8:$A$507,A520)&lt;&gt;1,"ID assente / duplicato",IF(OR(NOT(ISNUMBER(B520)),B520&lt;1,B520&lt;&gt;INT(B520),COUNTIFS($A$8:$A$1007,A520,$B$8:$B$1007,B520)&lt;&gt;1),"N. esecuzione non valido",IF(OR(NOT(ISNUMBER(C520)),AND(D520&lt;&gt;"Ingresso",D520&lt;&gt;"Uscita"),AND(E520&lt;&gt;"Back",E520&lt;&gt;"Lay")),"Completa data / fase / lato",IF(OR(NOT(ISNUMBER(F520)),F520&lt;=1,NOT(ISNUMBER(G520)),G520&lt;=0),"Correggi quota / stake","OK")))))</x:f>
      </x:c>
    </x:row>
    <x:row r="521" ht="22" customHeight="1">
      <x:c r="A521" s="24"/>
      <x:c r="B521" s="24"/>
      <x:c r="C521" s="26"/>
      <x:c r="D521" s="24"/>
      <x:c r="E521" s="24"/>
      <x:c r="F521" s="28"/>
      <x:c r="G521" s="29"/>
      <x:c r="H521" s="24"/>
      <x:c r="I521" s="24"/>
      <x:c r="J521" s="24"/>
      <x:c r="K521" s="24"/>
      <x:c r="L521" s="20" t="str">
        <x:f>IF(Q521&lt;&gt;"OK","",IF(E521="Back",G521*(F521-1),-G521*(F521-1)))</x:f>
      </x:c>
      <x:c r="M521" s="20" t="str">
        <x:f>IF(Q521&lt;&gt;"OK","",IF(E521="Back",-G521,G521))</x:f>
      </x:c>
      <x:c r="N521" s="20" t="str">
        <x:f>IF(Q521&lt;&gt;"OK","",SUMIFS($L$8:$L$1007,$A$8:$A$1007,A521,$B$8:$B$1007,"&lt;="&amp;B521))</x:f>
      </x:c>
      <x:c r="O521" s="20" t="str">
        <x:f>IF(Q521&lt;&gt;"OK","",SUMIFS($M$8:$M$1007,$A$8:$A$1007,A521,$B$8:$B$1007,"&lt;="&amp;B521))</x:f>
      </x:c>
      <x:c r="P521" s="20" t="str">
        <x:f>IF(Q521&lt;&gt;"OK","",MAX(0,-MIN(N521,O521)))</x:f>
      </x:c>
      <x:c r="Q521" s="18" t="str">
        <x:f>IF(A521="",IF(COUNTA(B521:K521)=0,"","Inserisci ID"),IF(COUNTIFS('Diario'!$A$8:$A$507,A521)&lt;&gt;1,"ID assente / duplicato",IF(OR(NOT(ISNUMBER(B521)),B521&lt;1,B521&lt;&gt;INT(B521),COUNTIFS($A$8:$A$1007,A521,$B$8:$B$1007,B521)&lt;&gt;1),"N. esecuzione non valido",IF(OR(NOT(ISNUMBER(C521)),AND(D521&lt;&gt;"Ingresso",D521&lt;&gt;"Uscita"),AND(E521&lt;&gt;"Back",E521&lt;&gt;"Lay")),"Completa data / fase / lato",IF(OR(NOT(ISNUMBER(F521)),F521&lt;=1,NOT(ISNUMBER(G521)),G521&lt;=0),"Correggi quota / stake","OK")))))</x:f>
      </x:c>
    </x:row>
    <x:row r="522" ht="22" customHeight="1">
      <x:c r="A522" s="24"/>
      <x:c r="B522" s="24"/>
      <x:c r="C522" s="26"/>
      <x:c r="D522" s="24"/>
      <x:c r="E522" s="24"/>
      <x:c r="F522" s="28"/>
      <x:c r="G522" s="29"/>
      <x:c r="H522" s="24"/>
      <x:c r="I522" s="24"/>
      <x:c r="J522" s="24"/>
      <x:c r="K522" s="24"/>
      <x:c r="L522" s="20" t="str">
        <x:f>IF(Q522&lt;&gt;"OK","",IF(E522="Back",G522*(F522-1),-G522*(F522-1)))</x:f>
      </x:c>
      <x:c r="M522" s="20" t="str">
        <x:f>IF(Q522&lt;&gt;"OK","",IF(E522="Back",-G522,G522))</x:f>
      </x:c>
      <x:c r="N522" s="20" t="str">
        <x:f>IF(Q522&lt;&gt;"OK","",SUMIFS($L$8:$L$1007,$A$8:$A$1007,A522,$B$8:$B$1007,"&lt;="&amp;B522))</x:f>
      </x:c>
      <x:c r="O522" s="20" t="str">
        <x:f>IF(Q522&lt;&gt;"OK","",SUMIFS($M$8:$M$1007,$A$8:$A$1007,A522,$B$8:$B$1007,"&lt;="&amp;B522))</x:f>
      </x:c>
      <x:c r="P522" s="20" t="str">
        <x:f>IF(Q522&lt;&gt;"OK","",MAX(0,-MIN(N522,O522)))</x:f>
      </x:c>
      <x:c r="Q522" s="18" t="str">
        <x:f>IF(A522="",IF(COUNTA(B522:K522)=0,"","Inserisci ID"),IF(COUNTIFS('Diario'!$A$8:$A$507,A522)&lt;&gt;1,"ID assente / duplicato",IF(OR(NOT(ISNUMBER(B522)),B522&lt;1,B522&lt;&gt;INT(B522),COUNTIFS($A$8:$A$1007,A522,$B$8:$B$1007,B522)&lt;&gt;1),"N. esecuzione non valido",IF(OR(NOT(ISNUMBER(C522)),AND(D522&lt;&gt;"Ingresso",D522&lt;&gt;"Uscita"),AND(E522&lt;&gt;"Back",E522&lt;&gt;"Lay")),"Completa data / fase / lato",IF(OR(NOT(ISNUMBER(F522)),F522&lt;=1,NOT(ISNUMBER(G522)),G522&lt;=0),"Correggi quota / stake","OK")))))</x:f>
      </x:c>
    </x:row>
    <x:row r="523" ht="22" customHeight="1">
      <x:c r="A523" s="24"/>
      <x:c r="B523" s="24"/>
      <x:c r="C523" s="26"/>
      <x:c r="D523" s="24"/>
      <x:c r="E523" s="24"/>
      <x:c r="F523" s="28"/>
      <x:c r="G523" s="29"/>
      <x:c r="H523" s="24"/>
      <x:c r="I523" s="24"/>
      <x:c r="J523" s="24"/>
      <x:c r="K523" s="24"/>
      <x:c r="L523" s="20" t="str">
        <x:f>IF(Q523&lt;&gt;"OK","",IF(E523="Back",G523*(F523-1),-G523*(F523-1)))</x:f>
      </x:c>
      <x:c r="M523" s="20" t="str">
        <x:f>IF(Q523&lt;&gt;"OK","",IF(E523="Back",-G523,G523))</x:f>
      </x:c>
      <x:c r="N523" s="20" t="str">
        <x:f>IF(Q523&lt;&gt;"OK","",SUMIFS($L$8:$L$1007,$A$8:$A$1007,A523,$B$8:$B$1007,"&lt;="&amp;B523))</x:f>
      </x:c>
      <x:c r="O523" s="20" t="str">
        <x:f>IF(Q523&lt;&gt;"OK","",SUMIFS($M$8:$M$1007,$A$8:$A$1007,A523,$B$8:$B$1007,"&lt;="&amp;B523))</x:f>
      </x:c>
      <x:c r="P523" s="20" t="str">
        <x:f>IF(Q523&lt;&gt;"OK","",MAX(0,-MIN(N523,O523)))</x:f>
      </x:c>
      <x:c r="Q523" s="18" t="str">
        <x:f>IF(A523="",IF(COUNTA(B523:K523)=0,"","Inserisci ID"),IF(COUNTIFS('Diario'!$A$8:$A$507,A523)&lt;&gt;1,"ID assente / duplicato",IF(OR(NOT(ISNUMBER(B523)),B523&lt;1,B523&lt;&gt;INT(B523),COUNTIFS($A$8:$A$1007,A523,$B$8:$B$1007,B523)&lt;&gt;1),"N. esecuzione non valido",IF(OR(NOT(ISNUMBER(C523)),AND(D523&lt;&gt;"Ingresso",D523&lt;&gt;"Uscita"),AND(E523&lt;&gt;"Back",E523&lt;&gt;"Lay")),"Completa data / fase / lato",IF(OR(NOT(ISNUMBER(F523)),F523&lt;=1,NOT(ISNUMBER(G523)),G523&lt;=0),"Correggi quota / stake","OK")))))</x:f>
      </x:c>
    </x:row>
    <x:row r="524" ht="22" customHeight="1">
      <x:c r="A524" s="24"/>
      <x:c r="B524" s="24"/>
      <x:c r="C524" s="26"/>
      <x:c r="D524" s="24"/>
      <x:c r="E524" s="24"/>
      <x:c r="F524" s="28"/>
      <x:c r="G524" s="29"/>
      <x:c r="H524" s="24"/>
      <x:c r="I524" s="24"/>
      <x:c r="J524" s="24"/>
      <x:c r="K524" s="24"/>
      <x:c r="L524" s="20" t="str">
        <x:f>IF(Q524&lt;&gt;"OK","",IF(E524="Back",G524*(F524-1),-G524*(F524-1)))</x:f>
      </x:c>
      <x:c r="M524" s="20" t="str">
        <x:f>IF(Q524&lt;&gt;"OK","",IF(E524="Back",-G524,G524))</x:f>
      </x:c>
      <x:c r="N524" s="20" t="str">
        <x:f>IF(Q524&lt;&gt;"OK","",SUMIFS($L$8:$L$1007,$A$8:$A$1007,A524,$B$8:$B$1007,"&lt;="&amp;B524))</x:f>
      </x:c>
      <x:c r="O524" s="20" t="str">
        <x:f>IF(Q524&lt;&gt;"OK","",SUMIFS($M$8:$M$1007,$A$8:$A$1007,A524,$B$8:$B$1007,"&lt;="&amp;B524))</x:f>
      </x:c>
      <x:c r="P524" s="20" t="str">
        <x:f>IF(Q524&lt;&gt;"OK","",MAX(0,-MIN(N524,O524)))</x:f>
      </x:c>
      <x:c r="Q524" s="18" t="str">
        <x:f>IF(A524="",IF(COUNTA(B524:K524)=0,"","Inserisci ID"),IF(COUNTIFS('Diario'!$A$8:$A$507,A524)&lt;&gt;1,"ID assente / duplicato",IF(OR(NOT(ISNUMBER(B524)),B524&lt;1,B524&lt;&gt;INT(B524),COUNTIFS($A$8:$A$1007,A524,$B$8:$B$1007,B524)&lt;&gt;1),"N. esecuzione non valido",IF(OR(NOT(ISNUMBER(C524)),AND(D524&lt;&gt;"Ingresso",D524&lt;&gt;"Uscita"),AND(E524&lt;&gt;"Back",E524&lt;&gt;"Lay")),"Completa data / fase / lato",IF(OR(NOT(ISNUMBER(F524)),F524&lt;=1,NOT(ISNUMBER(G524)),G524&lt;=0),"Correggi quota / stake","OK")))))</x:f>
      </x:c>
    </x:row>
    <x:row r="525" ht="22" customHeight="1">
      <x:c r="A525" s="24"/>
      <x:c r="B525" s="24"/>
      <x:c r="C525" s="26"/>
      <x:c r="D525" s="24"/>
      <x:c r="E525" s="24"/>
      <x:c r="F525" s="28"/>
      <x:c r="G525" s="29"/>
      <x:c r="H525" s="24"/>
      <x:c r="I525" s="24"/>
      <x:c r="J525" s="24"/>
      <x:c r="K525" s="24"/>
      <x:c r="L525" s="20" t="str">
        <x:f>IF(Q525&lt;&gt;"OK","",IF(E525="Back",G525*(F525-1),-G525*(F525-1)))</x:f>
      </x:c>
      <x:c r="M525" s="20" t="str">
        <x:f>IF(Q525&lt;&gt;"OK","",IF(E525="Back",-G525,G525))</x:f>
      </x:c>
      <x:c r="N525" s="20" t="str">
        <x:f>IF(Q525&lt;&gt;"OK","",SUMIFS($L$8:$L$1007,$A$8:$A$1007,A525,$B$8:$B$1007,"&lt;="&amp;B525))</x:f>
      </x:c>
      <x:c r="O525" s="20" t="str">
        <x:f>IF(Q525&lt;&gt;"OK","",SUMIFS($M$8:$M$1007,$A$8:$A$1007,A525,$B$8:$B$1007,"&lt;="&amp;B525))</x:f>
      </x:c>
      <x:c r="P525" s="20" t="str">
        <x:f>IF(Q525&lt;&gt;"OK","",MAX(0,-MIN(N525,O525)))</x:f>
      </x:c>
      <x:c r="Q525" s="18" t="str">
        <x:f>IF(A525="",IF(COUNTA(B525:K525)=0,"","Inserisci ID"),IF(COUNTIFS('Diario'!$A$8:$A$507,A525)&lt;&gt;1,"ID assente / duplicato",IF(OR(NOT(ISNUMBER(B525)),B525&lt;1,B525&lt;&gt;INT(B525),COUNTIFS($A$8:$A$1007,A525,$B$8:$B$1007,B525)&lt;&gt;1),"N. esecuzione non valido",IF(OR(NOT(ISNUMBER(C525)),AND(D525&lt;&gt;"Ingresso",D525&lt;&gt;"Uscita"),AND(E525&lt;&gt;"Back",E525&lt;&gt;"Lay")),"Completa data / fase / lato",IF(OR(NOT(ISNUMBER(F525)),F525&lt;=1,NOT(ISNUMBER(G525)),G525&lt;=0),"Correggi quota / stake","OK")))))</x:f>
      </x:c>
    </x:row>
    <x:row r="526" ht="22" customHeight="1">
      <x:c r="A526" s="24"/>
      <x:c r="B526" s="24"/>
      <x:c r="C526" s="26"/>
      <x:c r="D526" s="24"/>
      <x:c r="E526" s="24"/>
      <x:c r="F526" s="28"/>
      <x:c r="G526" s="29"/>
      <x:c r="H526" s="24"/>
      <x:c r="I526" s="24"/>
      <x:c r="J526" s="24"/>
      <x:c r="K526" s="24"/>
      <x:c r="L526" s="20" t="str">
        <x:f>IF(Q526&lt;&gt;"OK","",IF(E526="Back",G526*(F526-1),-G526*(F526-1)))</x:f>
      </x:c>
      <x:c r="M526" s="20" t="str">
        <x:f>IF(Q526&lt;&gt;"OK","",IF(E526="Back",-G526,G526))</x:f>
      </x:c>
      <x:c r="N526" s="20" t="str">
        <x:f>IF(Q526&lt;&gt;"OK","",SUMIFS($L$8:$L$1007,$A$8:$A$1007,A526,$B$8:$B$1007,"&lt;="&amp;B526))</x:f>
      </x:c>
      <x:c r="O526" s="20" t="str">
        <x:f>IF(Q526&lt;&gt;"OK","",SUMIFS($M$8:$M$1007,$A$8:$A$1007,A526,$B$8:$B$1007,"&lt;="&amp;B526))</x:f>
      </x:c>
      <x:c r="P526" s="20" t="str">
        <x:f>IF(Q526&lt;&gt;"OK","",MAX(0,-MIN(N526,O526)))</x:f>
      </x:c>
      <x:c r="Q526" s="18" t="str">
        <x:f>IF(A526="",IF(COUNTA(B526:K526)=0,"","Inserisci ID"),IF(COUNTIFS('Diario'!$A$8:$A$507,A526)&lt;&gt;1,"ID assente / duplicato",IF(OR(NOT(ISNUMBER(B526)),B526&lt;1,B526&lt;&gt;INT(B526),COUNTIFS($A$8:$A$1007,A526,$B$8:$B$1007,B526)&lt;&gt;1),"N. esecuzione non valido",IF(OR(NOT(ISNUMBER(C526)),AND(D526&lt;&gt;"Ingresso",D526&lt;&gt;"Uscita"),AND(E526&lt;&gt;"Back",E526&lt;&gt;"Lay")),"Completa data / fase / lato",IF(OR(NOT(ISNUMBER(F526)),F526&lt;=1,NOT(ISNUMBER(G526)),G526&lt;=0),"Correggi quota / stake","OK")))))</x:f>
      </x:c>
    </x:row>
    <x:row r="527" ht="22" customHeight="1">
      <x:c r="A527" s="24"/>
      <x:c r="B527" s="24"/>
      <x:c r="C527" s="26"/>
      <x:c r="D527" s="24"/>
      <x:c r="E527" s="24"/>
      <x:c r="F527" s="28"/>
      <x:c r="G527" s="29"/>
      <x:c r="H527" s="24"/>
      <x:c r="I527" s="24"/>
      <x:c r="J527" s="24"/>
      <x:c r="K527" s="24"/>
      <x:c r="L527" s="20" t="str">
        <x:f>IF(Q527&lt;&gt;"OK","",IF(E527="Back",G527*(F527-1),-G527*(F527-1)))</x:f>
      </x:c>
      <x:c r="M527" s="20" t="str">
        <x:f>IF(Q527&lt;&gt;"OK","",IF(E527="Back",-G527,G527))</x:f>
      </x:c>
      <x:c r="N527" s="20" t="str">
        <x:f>IF(Q527&lt;&gt;"OK","",SUMIFS($L$8:$L$1007,$A$8:$A$1007,A527,$B$8:$B$1007,"&lt;="&amp;B527))</x:f>
      </x:c>
      <x:c r="O527" s="20" t="str">
        <x:f>IF(Q527&lt;&gt;"OK","",SUMIFS($M$8:$M$1007,$A$8:$A$1007,A527,$B$8:$B$1007,"&lt;="&amp;B527))</x:f>
      </x:c>
      <x:c r="P527" s="20" t="str">
        <x:f>IF(Q527&lt;&gt;"OK","",MAX(0,-MIN(N527,O527)))</x:f>
      </x:c>
      <x:c r="Q527" s="18" t="str">
        <x:f>IF(A527="",IF(COUNTA(B527:K527)=0,"","Inserisci ID"),IF(COUNTIFS('Diario'!$A$8:$A$507,A527)&lt;&gt;1,"ID assente / duplicato",IF(OR(NOT(ISNUMBER(B527)),B527&lt;1,B527&lt;&gt;INT(B527),COUNTIFS($A$8:$A$1007,A527,$B$8:$B$1007,B527)&lt;&gt;1),"N. esecuzione non valido",IF(OR(NOT(ISNUMBER(C527)),AND(D527&lt;&gt;"Ingresso",D527&lt;&gt;"Uscita"),AND(E527&lt;&gt;"Back",E527&lt;&gt;"Lay")),"Completa data / fase / lato",IF(OR(NOT(ISNUMBER(F527)),F527&lt;=1,NOT(ISNUMBER(G527)),G527&lt;=0),"Correggi quota / stake","OK")))))</x:f>
      </x:c>
    </x:row>
    <x:row r="528" ht="22" customHeight="1">
      <x:c r="A528" s="24"/>
      <x:c r="B528" s="24"/>
      <x:c r="C528" s="26"/>
      <x:c r="D528" s="24"/>
      <x:c r="E528" s="24"/>
      <x:c r="F528" s="28"/>
      <x:c r="G528" s="29"/>
      <x:c r="H528" s="24"/>
      <x:c r="I528" s="24"/>
      <x:c r="J528" s="24"/>
      <x:c r="K528" s="24"/>
      <x:c r="L528" s="20" t="str">
        <x:f>IF(Q528&lt;&gt;"OK","",IF(E528="Back",G528*(F528-1),-G528*(F528-1)))</x:f>
      </x:c>
      <x:c r="M528" s="20" t="str">
        <x:f>IF(Q528&lt;&gt;"OK","",IF(E528="Back",-G528,G528))</x:f>
      </x:c>
      <x:c r="N528" s="20" t="str">
        <x:f>IF(Q528&lt;&gt;"OK","",SUMIFS($L$8:$L$1007,$A$8:$A$1007,A528,$B$8:$B$1007,"&lt;="&amp;B528))</x:f>
      </x:c>
      <x:c r="O528" s="20" t="str">
        <x:f>IF(Q528&lt;&gt;"OK","",SUMIFS($M$8:$M$1007,$A$8:$A$1007,A528,$B$8:$B$1007,"&lt;="&amp;B528))</x:f>
      </x:c>
      <x:c r="P528" s="20" t="str">
        <x:f>IF(Q528&lt;&gt;"OK","",MAX(0,-MIN(N528,O528)))</x:f>
      </x:c>
      <x:c r="Q528" s="18" t="str">
        <x:f>IF(A528="",IF(COUNTA(B528:K528)=0,"","Inserisci ID"),IF(COUNTIFS('Diario'!$A$8:$A$507,A528)&lt;&gt;1,"ID assente / duplicato",IF(OR(NOT(ISNUMBER(B528)),B528&lt;1,B528&lt;&gt;INT(B528),COUNTIFS($A$8:$A$1007,A528,$B$8:$B$1007,B528)&lt;&gt;1),"N. esecuzione non valido",IF(OR(NOT(ISNUMBER(C528)),AND(D528&lt;&gt;"Ingresso",D528&lt;&gt;"Uscita"),AND(E528&lt;&gt;"Back",E528&lt;&gt;"Lay")),"Completa data / fase / lato",IF(OR(NOT(ISNUMBER(F528)),F528&lt;=1,NOT(ISNUMBER(G528)),G528&lt;=0),"Correggi quota / stake","OK")))))</x:f>
      </x:c>
    </x:row>
    <x:row r="529" ht="22" customHeight="1">
      <x:c r="A529" s="24"/>
      <x:c r="B529" s="24"/>
      <x:c r="C529" s="26"/>
      <x:c r="D529" s="24"/>
      <x:c r="E529" s="24"/>
      <x:c r="F529" s="28"/>
      <x:c r="G529" s="29"/>
      <x:c r="H529" s="24"/>
      <x:c r="I529" s="24"/>
      <x:c r="J529" s="24"/>
      <x:c r="K529" s="24"/>
      <x:c r="L529" s="20" t="str">
        <x:f>IF(Q529&lt;&gt;"OK","",IF(E529="Back",G529*(F529-1),-G529*(F529-1)))</x:f>
      </x:c>
      <x:c r="M529" s="20" t="str">
        <x:f>IF(Q529&lt;&gt;"OK","",IF(E529="Back",-G529,G529))</x:f>
      </x:c>
      <x:c r="N529" s="20" t="str">
        <x:f>IF(Q529&lt;&gt;"OK","",SUMIFS($L$8:$L$1007,$A$8:$A$1007,A529,$B$8:$B$1007,"&lt;="&amp;B529))</x:f>
      </x:c>
      <x:c r="O529" s="20" t="str">
        <x:f>IF(Q529&lt;&gt;"OK","",SUMIFS($M$8:$M$1007,$A$8:$A$1007,A529,$B$8:$B$1007,"&lt;="&amp;B529))</x:f>
      </x:c>
      <x:c r="P529" s="20" t="str">
        <x:f>IF(Q529&lt;&gt;"OK","",MAX(0,-MIN(N529,O529)))</x:f>
      </x:c>
      <x:c r="Q529" s="18" t="str">
        <x:f>IF(A529="",IF(COUNTA(B529:K529)=0,"","Inserisci ID"),IF(COUNTIFS('Diario'!$A$8:$A$507,A529)&lt;&gt;1,"ID assente / duplicato",IF(OR(NOT(ISNUMBER(B529)),B529&lt;1,B529&lt;&gt;INT(B529),COUNTIFS($A$8:$A$1007,A529,$B$8:$B$1007,B529)&lt;&gt;1),"N. esecuzione non valido",IF(OR(NOT(ISNUMBER(C529)),AND(D529&lt;&gt;"Ingresso",D529&lt;&gt;"Uscita"),AND(E529&lt;&gt;"Back",E529&lt;&gt;"Lay")),"Completa data / fase / lato",IF(OR(NOT(ISNUMBER(F529)),F529&lt;=1,NOT(ISNUMBER(G529)),G529&lt;=0),"Correggi quota / stake","OK")))))</x:f>
      </x:c>
    </x:row>
    <x:row r="530" ht="22" customHeight="1">
      <x:c r="A530" s="24"/>
      <x:c r="B530" s="24"/>
      <x:c r="C530" s="26"/>
      <x:c r="D530" s="24"/>
      <x:c r="E530" s="24"/>
      <x:c r="F530" s="28"/>
      <x:c r="G530" s="29"/>
      <x:c r="H530" s="24"/>
      <x:c r="I530" s="24"/>
      <x:c r="J530" s="24"/>
      <x:c r="K530" s="24"/>
      <x:c r="L530" s="20" t="str">
        <x:f>IF(Q530&lt;&gt;"OK","",IF(E530="Back",G530*(F530-1),-G530*(F530-1)))</x:f>
      </x:c>
      <x:c r="M530" s="20" t="str">
        <x:f>IF(Q530&lt;&gt;"OK","",IF(E530="Back",-G530,G530))</x:f>
      </x:c>
      <x:c r="N530" s="20" t="str">
        <x:f>IF(Q530&lt;&gt;"OK","",SUMIFS($L$8:$L$1007,$A$8:$A$1007,A530,$B$8:$B$1007,"&lt;="&amp;B530))</x:f>
      </x:c>
      <x:c r="O530" s="20" t="str">
        <x:f>IF(Q530&lt;&gt;"OK","",SUMIFS($M$8:$M$1007,$A$8:$A$1007,A530,$B$8:$B$1007,"&lt;="&amp;B530))</x:f>
      </x:c>
      <x:c r="P530" s="20" t="str">
        <x:f>IF(Q530&lt;&gt;"OK","",MAX(0,-MIN(N530,O530)))</x:f>
      </x:c>
      <x:c r="Q530" s="18" t="str">
        <x:f>IF(A530="",IF(COUNTA(B530:K530)=0,"","Inserisci ID"),IF(COUNTIFS('Diario'!$A$8:$A$507,A530)&lt;&gt;1,"ID assente / duplicato",IF(OR(NOT(ISNUMBER(B530)),B530&lt;1,B530&lt;&gt;INT(B530),COUNTIFS($A$8:$A$1007,A530,$B$8:$B$1007,B530)&lt;&gt;1),"N. esecuzione non valido",IF(OR(NOT(ISNUMBER(C530)),AND(D530&lt;&gt;"Ingresso",D530&lt;&gt;"Uscita"),AND(E530&lt;&gt;"Back",E530&lt;&gt;"Lay")),"Completa data / fase / lato",IF(OR(NOT(ISNUMBER(F530)),F530&lt;=1,NOT(ISNUMBER(G530)),G530&lt;=0),"Correggi quota / stake","OK")))))</x:f>
      </x:c>
    </x:row>
    <x:row r="531" ht="22" customHeight="1">
      <x:c r="A531" s="24"/>
      <x:c r="B531" s="24"/>
      <x:c r="C531" s="26"/>
      <x:c r="D531" s="24"/>
      <x:c r="E531" s="24"/>
      <x:c r="F531" s="28"/>
      <x:c r="G531" s="29"/>
      <x:c r="H531" s="24"/>
      <x:c r="I531" s="24"/>
      <x:c r="J531" s="24"/>
      <x:c r="K531" s="24"/>
      <x:c r="L531" s="20" t="str">
        <x:f>IF(Q531&lt;&gt;"OK","",IF(E531="Back",G531*(F531-1),-G531*(F531-1)))</x:f>
      </x:c>
      <x:c r="M531" s="20" t="str">
        <x:f>IF(Q531&lt;&gt;"OK","",IF(E531="Back",-G531,G531))</x:f>
      </x:c>
      <x:c r="N531" s="20" t="str">
        <x:f>IF(Q531&lt;&gt;"OK","",SUMIFS($L$8:$L$1007,$A$8:$A$1007,A531,$B$8:$B$1007,"&lt;="&amp;B531))</x:f>
      </x:c>
      <x:c r="O531" s="20" t="str">
        <x:f>IF(Q531&lt;&gt;"OK","",SUMIFS($M$8:$M$1007,$A$8:$A$1007,A531,$B$8:$B$1007,"&lt;="&amp;B531))</x:f>
      </x:c>
      <x:c r="P531" s="20" t="str">
        <x:f>IF(Q531&lt;&gt;"OK","",MAX(0,-MIN(N531,O531)))</x:f>
      </x:c>
      <x:c r="Q531" s="18" t="str">
        <x:f>IF(A531="",IF(COUNTA(B531:K531)=0,"","Inserisci ID"),IF(COUNTIFS('Diario'!$A$8:$A$507,A531)&lt;&gt;1,"ID assente / duplicato",IF(OR(NOT(ISNUMBER(B531)),B531&lt;1,B531&lt;&gt;INT(B531),COUNTIFS($A$8:$A$1007,A531,$B$8:$B$1007,B531)&lt;&gt;1),"N. esecuzione non valido",IF(OR(NOT(ISNUMBER(C531)),AND(D531&lt;&gt;"Ingresso",D531&lt;&gt;"Uscita"),AND(E531&lt;&gt;"Back",E531&lt;&gt;"Lay")),"Completa data / fase / lato",IF(OR(NOT(ISNUMBER(F531)),F531&lt;=1,NOT(ISNUMBER(G531)),G531&lt;=0),"Correggi quota / stake","OK")))))</x:f>
      </x:c>
    </x:row>
    <x:row r="532" ht="22" customHeight="1">
      <x:c r="A532" s="24"/>
      <x:c r="B532" s="24"/>
      <x:c r="C532" s="26"/>
      <x:c r="D532" s="24"/>
      <x:c r="E532" s="24"/>
      <x:c r="F532" s="28"/>
      <x:c r="G532" s="29"/>
      <x:c r="H532" s="24"/>
      <x:c r="I532" s="24"/>
      <x:c r="J532" s="24"/>
      <x:c r="K532" s="24"/>
      <x:c r="L532" s="20" t="str">
        <x:f>IF(Q532&lt;&gt;"OK","",IF(E532="Back",G532*(F532-1),-G532*(F532-1)))</x:f>
      </x:c>
      <x:c r="M532" s="20" t="str">
        <x:f>IF(Q532&lt;&gt;"OK","",IF(E532="Back",-G532,G532))</x:f>
      </x:c>
      <x:c r="N532" s="20" t="str">
        <x:f>IF(Q532&lt;&gt;"OK","",SUMIFS($L$8:$L$1007,$A$8:$A$1007,A532,$B$8:$B$1007,"&lt;="&amp;B532))</x:f>
      </x:c>
      <x:c r="O532" s="20" t="str">
        <x:f>IF(Q532&lt;&gt;"OK","",SUMIFS($M$8:$M$1007,$A$8:$A$1007,A532,$B$8:$B$1007,"&lt;="&amp;B532))</x:f>
      </x:c>
      <x:c r="P532" s="20" t="str">
        <x:f>IF(Q532&lt;&gt;"OK","",MAX(0,-MIN(N532,O532)))</x:f>
      </x:c>
      <x:c r="Q532" s="18" t="str">
        <x:f>IF(A532="",IF(COUNTA(B532:K532)=0,"","Inserisci ID"),IF(COUNTIFS('Diario'!$A$8:$A$507,A532)&lt;&gt;1,"ID assente / duplicato",IF(OR(NOT(ISNUMBER(B532)),B532&lt;1,B532&lt;&gt;INT(B532),COUNTIFS($A$8:$A$1007,A532,$B$8:$B$1007,B532)&lt;&gt;1),"N. esecuzione non valido",IF(OR(NOT(ISNUMBER(C532)),AND(D532&lt;&gt;"Ingresso",D532&lt;&gt;"Uscita"),AND(E532&lt;&gt;"Back",E532&lt;&gt;"Lay")),"Completa data / fase / lato",IF(OR(NOT(ISNUMBER(F532)),F532&lt;=1,NOT(ISNUMBER(G532)),G532&lt;=0),"Correggi quota / stake","OK")))))</x:f>
      </x:c>
    </x:row>
    <x:row r="533" ht="22" customHeight="1">
      <x:c r="A533" s="24"/>
      <x:c r="B533" s="24"/>
      <x:c r="C533" s="26"/>
      <x:c r="D533" s="24"/>
      <x:c r="E533" s="24"/>
      <x:c r="F533" s="28"/>
      <x:c r="G533" s="29"/>
      <x:c r="H533" s="24"/>
      <x:c r="I533" s="24"/>
      <x:c r="J533" s="24"/>
      <x:c r="K533" s="24"/>
      <x:c r="L533" s="20" t="str">
        <x:f>IF(Q533&lt;&gt;"OK","",IF(E533="Back",G533*(F533-1),-G533*(F533-1)))</x:f>
      </x:c>
      <x:c r="M533" s="20" t="str">
        <x:f>IF(Q533&lt;&gt;"OK","",IF(E533="Back",-G533,G533))</x:f>
      </x:c>
      <x:c r="N533" s="20" t="str">
        <x:f>IF(Q533&lt;&gt;"OK","",SUMIFS($L$8:$L$1007,$A$8:$A$1007,A533,$B$8:$B$1007,"&lt;="&amp;B533))</x:f>
      </x:c>
      <x:c r="O533" s="20" t="str">
        <x:f>IF(Q533&lt;&gt;"OK","",SUMIFS($M$8:$M$1007,$A$8:$A$1007,A533,$B$8:$B$1007,"&lt;="&amp;B533))</x:f>
      </x:c>
      <x:c r="P533" s="20" t="str">
        <x:f>IF(Q533&lt;&gt;"OK","",MAX(0,-MIN(N533,O533)))</x:f>
      </x:c>
      <x:c r="Q533" s="18" t="str">
        <x:f>IF(A533="",IF(COUNTA(B533:K533)=0,"","Inserisci ID"),IF(COUNTIFS('Diario'!$A$8:$A$507,A533)&lt;&gt;1,"ID assente / duplicato",IF(OR(NOT(ISNUMBER(B533)),B533&lt;1,B533&lt;&gt;INT(B533),COUNTIFS($A$8:$A$1007,A533,$B$8:$B$1007,B533)&lt;&gt;1),"N. esecuzione non valido",IF(OR(NOT(ISNUMBER(C533)),AND(D533&lt;&gt;"Ingresso",D533&lt;&gt;"Uscita"),AND(E533&lt;&gt;"Back",E533&lt;&gt;"Lay")),"Completa data / fase / lato",IF(OR(NOT(ISNUMBER(F533)),F533&lt;=1,NOT(ISNUMBER(G533)),G533&lt;=0),"Correggi quota / stake","OK")))))</x:f>
      </x:c>
    </x:row>
    <x:row r="534" ht="22" customHeight="1">
      <x:c r="A534" s="24"/>
      <x:c r="B534" s="24"/>
      <x:c r="C534" s="26"/>
      <x:c r="D534" s="24"/>
      <x:c r="E534" s="24"/>
      <x:c r="F534" s="28"/>
      <x:c r="G534" s="29"/>
      <x:c r="H534" s="24"/>
      <x:c r="I534" s="24"/>
      <x:c r="J534" s="24"/>
      <x:c r="K534" s="24"/>
      <x:c r="L534" s="20" t="str">
        <x:f>IF(Q534&lt;&gt;"OK","",IF(E534="Back",G534*(F534-1),-G534*(F534-1)))</x:f>
      </x:c>
      <x:c r="M534" s="20" t="str">
        <x:f>IF(Q534&lt;&gt;"OK","",IF(E534="Back",-G534,G534))</x:f>
      </x:c>
      <x:c r="N534" s="20" t="str">
        <x:f>IF(Q534&lt;&gt;"OK","",SUMIFS($L$8:$L$1007,$A$8:$A$1007,A534,$B$8:$B$1007,"&lt;="&amp;B534))</x:f>
      </x:c>
      <x:c r="O534" s="20" t="str">
        <x:f>IF(Q534&lt;&gt;"OK","",SUMIFS($M$8:$M$1007,$A$8:$A$1007,A534,$B$8:$B$1007,"&lt;="&amp;B534))</x:f>
      </x:c>
      <x:c r="P534" s="20" t="str">
        <x:f>IF(Q534&lt;&gt;"OK","",MAX(0,-MIN(N534,O534)))</x:f>
      </x:c>
      <x:c r="Q534" s="18" t="str">
        <x:f>IF(A534="",IF(COUNTA(B534:K534)=0,"","Inserisci ID"),IF(COUNTIFS('Diario'!$A$8:$A$507,A534)&lt;&gt;1,"ID assente / duplicato",IF(OR(NOT(ISNUMBER(B534)),B534&lt;1,B534&lt;&gt;INT(B534),COUNTIFS($A$8:$A$1007,A534,$B$8:$B$1007,B534)&lt;&gt;1),"N. esecuzione non valido",IF(OR(NOT(ISNUMBER(C534)),AND(D534&lt;&gt;"Ingresso",D534&lt;&gt;"Uscita"),AND(E534&lt;&gt;"Back",E534&lt;&gt;"Lay")),"Completa data / fase / lato",IF(OR(NOT(ISNUMBER(F534)),F534&lt;=1,NOT(ISNUMBER(G534)),G534&lt;=0),"Correggi quota / stake","OK")))))</x:f>
      </x:c>
    </x:row>
    <x:row r="535" ht="22" customHeight="1">
      <x:c r="A535" s="24"/>
      <x:c r="B535" s="24"/>
      <x:c r="C535" s="26"/>
      <x:c r="D535" s="24"/>
      <x:c r="E535" s="24"/>
      <x:c r="F535" s="28"/>
      <x:c r="G535" s="29"/>
      <x:c r="H535" s="24"/>
      <x:c r="I535" s="24"/>
      <x:c r="J535" s="24"/>
      <x:c r="K535" s="24"/>
      <x:c r="L535" s="20" t="str">
        <x:f>IF(Q535&lt;&gt;"OK","",IF(E535="Back",G535*(F535-1),-G535*(F535-1)))</x:f>
      </x:c>
      <x:c r="M535" s="20" t="str">
        <x:f>IF(Q535&lt;&gt;"OK","",IF(E535="Back",-G535,G535))</x:f>
      </x:c>
      <x:c r="N535" s="20" t="str">
        <x:f>IF(Q535&lt;&gt;"OK","",SUMIFS($L$8:$L$1007,$A$8:$A$1007,A535,$B$8:$B$1007,"&lt;="&amp;B535))</x:f>
      </x:c>
      <x:c r="O535" s="20" t="str">
        <x:f>IF(Q535&lt;&gt;"OK","",SUMIFS($M$8:$M$1007,$A$8:$A$1007,A535,$B$8:$B$1007,"&lt;="&amp;B535))</x:f>
      </x:c>
      <x:c r="P535" s="20" t="str">
        <x:f>IF(Q535&lt;&gt;"OK","",MAX(0,-MIN(N535,O535)))</x:f>
      </x:c>
      <x:c r="Q535" s="18" t="str">
        <x:f>IF(A535="",IF(COUNTA(B535:K535)=0,"","Inserisci ID"),IF(COUNTIFS('Diario'!$A$8:$A$507,A535)&lt;&gt;1,"ID assente / duplicato",IF(OR(NOT(ISNUMBER(B535)),B535&lt;1,B535&lt;&gt;INT(B535),COUNTIFS($A$8:$A$1007,A535,$B$8:$B$1007,B535)&lt;&gt;1),"N. esecuzione non valido",IF(OR(NOT(ISNUMBER(C535)),AND(D535&lt;&gt;"Ingresso",D535&lt;&gt;"Uscita"),AND(E535&lt;&gt;"Back",E535&lt;&gt;"Lay")),"Completa data / fase / lato",IF(OR(NOT(ISNUMBER(F535)),F535&lt;=1,NOT(ISNUMBER(G535)),G535&lt;=0),"Correggi quota / stake","OK")))))</x:f>
      </x:c>
    </x:row>
    <x:row r="536" ht="22" customHeight="1">
      <x:c r="A536" s="24"/>
      <x:c r="B536" s="24"/>
      <x:c r="C536" s="26"/>
      <x:c r="D536" s="24"/>
      <x:c r="E536" s="24"/>
      <x:c r="F536" s="28"/>
      <x:c r="G536" s="29"/>
      <x:c r="H536" s="24"/>
      <x:c r="I536" s="24"/>
      <x:c r="J536" s="24"/>
      <x:c r="K536" s="24"/>
      <x:c r="L536" s="20" t="str">
        <x:f>IF(Q536&lt;&gt;"OK","",IF(E536="Back",G536*(F536-1),-G536*(F536-1)))</x:f>
      </x:c>
      <x:c r="M536" s="20" t="str">
        <x:f>IF(Q536&lt;&gt;"OK","",IF(E536="Back",-G536,G536))</x:f>
      </x:c>
      <x:c r="N536" s="20" t="str">
        <x:f>IF(Q536&lt;&gt;"OK","",SUMIFS($L$8:$L$1007,$A$8:$A$1007,A536,$B$8:$B$1007,"&lt;="&amp;B536))</x:f>
      </x:c>
      <x:c r="O536" s="20" t="str">
        <x:f>IF(Q536&lt;&gt;"OK","",SUMIFS($M$8:$M$1007,$A$8:$A$1007,A536,$B$8:$B$1007,"&lt;="&amp;B536))</x:f>
      </x:c>
      <x:c r="P536" s="20" t="str">
        <x:f>IF(Q536&lt;&gt;"OK","",MAX(0,-MIN(N536,O536)))</x:f>
      </x:c>
      <x:c r="Q536" s="18" t="str">
        <x:f>IF(A536="",IF(COUNTA(B536:K536)=0,"","Inserisci ID"),IF(COUNTIFS('Diario'!$A$8:$A$507,A536)&lt;&gt;1,"ID assente / duplicato",IF(OR(NOT(ISNUMBER(B536)),B536&lt;1,B536&lt;&gt;INT(B536),COUNTIFS($A$8:$A$1007,A536,$B$8:$B$1007,B536)&lt;&gt;1),"N. esecuzione non valido",IF(OR(NOT(ISNUMBER(C536)),AND(D536&lt;&gt;"Ingresso",D536&lt;&gt;"Uscita"),AND(E536&lt;&gt;"Back",E536&lt;&gt;"Lay")),"Completa data / fase / lato",IF(OR(NOT(ISNUMBER(F536)),F536&lt;=1,NOT(ISNUMBER(G536)),G536&lt;=0),"Correggi quota / stake","OK")))))</x:f>
      </x:c>
    </x:row>
    <x:row r="537" ht="22" customHeight="1">
      <x:c r="A537" s="24"/>
      <x:c r="B537" s="24"/>
      <x:c r="C537" s="26"/>
      <x:c r="D537" s="24"/>
      <x:c r="E537" s="24"/>
      <x:c r="F537" s="28"/>
      <x:c r="G537" s="29"/>
      <x:c r="H537" s="24"/>
      <x:c r="I537" s="24"/>
      <x:c r="J537" s="24"/>
      <x:c r="K537" s="24"/>
      <x:c r="L537" s="20" t="str">
        <x:f>IF(Q537&lt;&gt;"OK","",IF(E537="Back",G537*(F537-1),-G537*(F537-1)))</x:f>
      </x:c>
      <x:c r="M537" s="20" t="str">
        <x:f>IF(Q537&lt;&gt;"OK","",IF(E537="Back",-G537,G537))</x:f>
      </x:c>
      <x:c r="N537" s="20" t="str">
        <x:f>IF(Q537&lt;&gt;"OK","",SUMIFS($L$8:$L$1007,$A$8:$A$1007,A537,$B$8:$B$1007,"&lt;="&amp;B537))</x:f>
      </x:c>
      <x:c r="O537" s="20" t="str">
        <x:f>IF(Q537&lt;&gt;"OK","",SUMIFS($M$8:$M$1007,$A$8:$A$1007,A537,$B$8:$B$1007,"&lt;="&amp;B537))</x:f>
      </x:c>
      <x:c r="P537" s="20" t="str">
        <x:f>IF(Q537&lt;&gt;"OK","",MAX(0,-MIN(N537,O537)))</x:f>
      </x:c>
      <x:c r="Q537" s="18" t="str">
        <x:f>IF(A537="",IF(COUNTA(B537:K537)=0,"","Inserisci ID"),IF(COUNTIFS('Diario'!$A$8:$A$507,A537)&lt;&gt;1,"ID assente / duplicato",IF(OR(NOT(ISNUMBER(B537)),B537&lt;1,B537&lt;&gt;INT(B537),COUNTIFS($A$8:$A$1007,A537,$B$8:$B$1007,B537)&lt;&gt;1),"N. esecuzione non valido",IF(OR(NOT(ISNUMBER(C537)),AND(D537&lt;&gt;"Ingresso",D537&lt;&gt;"Uscita"),AND(E537&lt;&gt;"Back",E537&lt;&gt;"Lay")),"Completa data / fase / lato",IF(OR(NOT(ISNUMBER(F537)),F537&lt;=1,NOT(ISNUMBER(G537)),G537&lt;=0),"Correggi quota / stake","OK")))))</x:f>
      </x:c>
    </x:row>
    <x:row r="538" ht="22" customHeight="1">
      <x:c r="A538" s="24"/>
      <x:c r="B538" s="24"/>
      <x:c r="C538" s="26"/>
      <x:c r="D538" s="24"/>
      <x:c r="E538" s="24"/>
      <x:c r="F538" s="28"/>
      <x:c r="G538" s="29"/>
      <x:c r="H538" s="24"/>
      <x:c r="I538" s="24"/>
      <x:c r="J538" s="24"/>
      <x:c r="K538" s="24"/>
      <x:c r="L538" s="20" t="str">
        <x:f>IF(Q538&lt;&gt;"OK","",IF(E538="Back",G538*(F538-1),-G538*(F538-1)))</x:f>
      </x:c>
      <x:c r="M538" s="20" t="str">
        <x:f>IF(Q538&lt;&gt;"OK","",IF(E538="Back",-G538,G538))</x:f>
      </x:c>
      <x:c r="N538" s="20" t="str">
        <x:f>IF(Q538&lt;&gt;"OK","",SUMIFS($L$8:$L$1007,$A$8:$A$1007,A538,$B$8:$B$1007,"&lt;="&amp;B538))</x:f>
      </x:c>
      <x:c r="O538" s="20" t="str">
        <x:f>IF(Q538&lt;&gt;"OK","",SUMIFS($M$8:$M$1007,$A$8:$A$1007,A538,$B$8:$B$1007,"&lt;="&amp;B538))</x:f>
      </x:c>
      <x:c r="P538" s="20" t="str">
        <x:f>IF(Q538&lt;&gt;"OK","",MAX(0,-MIN(N538,O538)))</x:f>
      </x:c>
      <x:c r="Q538" s="18" t="str">
        <x:f>IF(A538="",IF(COUNTA(B538:K538)=0,"","Inserisci ID"),IF(COUNTIFS('Diario'!$A$8:$A$507,A538)&lt;&gt;1,"ID assente / duplicato",IF(OR(NOT(ISNUMBER(B538)),B538&lt;1,B538&lt;&gt;INT(B538),COUNTIFS($A$8:$A$1007,A538,$B$8:$B$1007,B538)&lt;&gt;1),"N. esecuzione non valido",IF(OR(NOT(ISNUMBER(C538)),AND(D538&lt;&gt;"Ingresso",D538&lt;&gt;"Uscita"),AND(E538&lt;&gt;"Back",E538&lt;&gt;"Lay")),"Completa data / fase / lato",IF(OR(NOT(ISNUMBER(F538)),F538&lt;=1,NOT(ISNUMBER(G538)),G538&lt;=0),"Correggi quota / stake","OK")))))</x:f>
      </x:c>
    </x:row>
    <x:row r="539" ht="22" customHeight="1">
      <x:c r="A539" s="24"/>
      <x:c r="B539" s="24"/>
      <x:c r="C539" s="26"/>
      <x:c r="D539" s="24"/>
      <x:c r="E539" s="24"/>
      <x:c r="F539" s="28"/>
      <x:c r="G539" s="29"/>
      <x:c r="H539" s="24"/>
      <x:c r="I539" s="24"/>
      <x:c r="J539" s="24"/>
      <x:c r="K539" s="24"/>
      <x:c r="L539" s="20" t="str">
        <x:f>IF(Q539&lt;&gt;"OK","",IF(E539="Back",G539*(F539-1),-G539*(F539-1)))</x:f>
      </x:c>
      <x:c r="M539" s="20" t="str">
        <x:f>IF(Q539&lt;&gt;"OK","",IF(E539="Back",-G539,G539))</x:f>
      </x:c>
      <x:c r="N539" s="20" t="str">
        <x:f>IF(Q539&lt;&gt;"OK","",SUMIFS($L$8:$L$1007,$A$8:$A$1007,A539,$B$8:$B$1007,"&lt;="&amp;B539))</x:f>
      </x:c>
      <x:c r="O539" s="20" t="str">
        <x:f>IF(Q539&lt;&gt;"OK","",SUMIFS($M$8:$M$1007,$A$8:$A$1007,A539,$B$8:$B$1007,"&lt;="&amp;B539))</x:f>
      </x:c>
      <x:c r="P539" s="20" t="str">
        <x:f>IF(Q539&lt;&gt;"OK","",MAX(0,-MIN(N539,O539)))</x:f>
      </x:c>
      <x:c r="Q539" s="18" t="str">
        <x:f>IF(A539="",IF(COUNTA(B539:K539)=0,"","Inserisci ID"),IF(COUNTIFS('Diario'!$A$8:$A$507,A539)&lt;&gt;1,"ID assente / duplicato",IF(OR(NOT(ISNUMBER(B539)),B539&lt;1,B539&lt;&gt;INT(B539),COUNTIFS($A$8:$A$1007,A539,$B$8:$B$1007,B539)&lt;&gt;1),"N. esecuzione non valido",IF(OR(NOT(ISNUMBER(C539)),AND(D539&lt;&gt;"Ingresso",D539&lt;&gt;"Uscita"),AND(E539&lt;&gt;"Back",E539&lt;&gt;"Lay")),"Completa data / fase / lato",IF(OR(NOT(ISNUMBER(F539)),F539&lt;=1,NOT(ISNUMBER(G539)),G539&lt;=0),"Correggi quota / stake","OK")))))</x:f>
      </x:c>
    </x:row>
    <x:row r="540" ht="22" customHeight="1">
      <x:c r="A540" s="24"/>
      <x:c r="B540" s="24"/>
      <x:c r="C540" s="26"/>
      <x:c r="D540" s="24"/>
      <x:c r="E540" s="24"/>
      <x:c r="F540" s="28"/>
      <x:c r="G540" s="29"/>
      <x:c r="H540" s="24"/>
      <x:c r="I540" s="24"/>
      <x:c r="J540" s="24"/>
      <x:c r="K540" s="24"/>
      <x:c r="L540" s="20" t="str">
        <x:f>IF(Q540&lt;&gt;"OK","",IF(E540="Back",G540*(F540-1),-G540*(F540-1)))</x:f>
      </x:c>
      <x:c r="M540" s="20" t="str">
        <x:f>IF(Q540&lt;&gt;"OK","",IF(E540="Back",-G540,G540))</x:f>
      </x:c>
      <x:c r="N540" s="20" t="str">
        <x:f>IF(Q540&lt;&gt;"OK","",SUMIFS($L$8:$L$1007,$A$8:$A$1007,A540,$B$8:$B$1007,"&lt;="&amp;B540))</x:f>
      </x:c>
      <x:c r="O540" s="20" t="str">
        <x:f>IF(Q540&lt;&gt;"OK","",SUMIFS($M$8:$M$1007,$A$8:$A$1007,A540,$B$8:$B$1007,"&lt;="&amp;B540))</x:f>
      </x:c>
      <x:c r="P540" s="20" t="str">
        <x:f>IF(Q540&lt;&gt;"OK","",MAX(0,-MIN(N540,O540)))</x:f>
      </x:c>
      <x:c r="Q540" s="18" t="str">
        <x:f>IF(A540="",IF(COUNTA(B540:K540)=0,"","Inserisci ID"),IF(COUNTIFS('Diario'!$A$8:$A$507,A540)&lt;&gt;1,"ID assente / duplicato",IF(OR(NOT(ISNUMBER(B540)),B540&lt;1,B540&lt;&gt;INT(B540),COUNTIFS($A$8:$A$1007,A540,$B$8:$B$1007,B540)&lt;&gt;1),"N. esecuzione non valido",IF(OR(NOT(ISNUMBER(C540)),AND(D540&lt;&gt;"Ingresso",D540&lt;&gt;"Uscita"),AND(E540&lt;&gt;"Back",E540&lt;&gt;"Lay")),"Completa data / fase / lato",IF(OR(NOT(ISNUMBER(F540)),F540&lt;=1,NOT(ISNUMBER(G540)),G540&lt;=0),"Correggi quota / stake","OK")))))</x:f>
      </x:c>
    </x:row>
    <x:row r="541" ht="22" customHeight="1">
      <x:c r="A541" s="24"/>
      <x:c r="B541" s="24"/>
      <x:c r="C541" s="26"/>
      <x:c r="D541" s="24"/>
      <x:c r="E541" s="24"/>
      <x:c r="F541" s="28"/>
      <x:c r="G541" s="29"/>
      <x:c r="H541" s="24"/>
      <x:c r="I541" s="24"/>
      <x:c r="J541" s="24"/>
      <x:c r="K541" s="24"/>
      <x:c r="L541" s="20" t="str">
        <x:f>IF(Q541&lt;&gt;"OK","",IF(E541="Back",G541*(F541-1),-G541*(F541-1)))</x:f>
      </x:c>
      <x:c r="M541" s="20" t="str">
        <x:f>IF(Q541&lt;&gt;"OK","",IF(E541="Back",-G541,G541))</x:f>
      </x:c>
      <x:c r="N541" s="20" t="str">
        <x:f>IF(Q541&lt;&gt;"OK","",SUMIFS($L$8:$L$1007,$A$8:$A$1007,A541,$B$8:$B$1007,"&lt;="&amp;B541))</x:f>
      </x:c>
      <x:c r="O541" s="20" t="str">
        <x:f>IF(Q541&lt;&gt;"OK","",SUMIFS($M$8:$M$1007,$A$8:$A$1007,A541,$B$8:$B$1007,"&lt;="&amp;B541))</x:f>
      </x:c>
      <x:c r="P541" s="20" t="str">
        <x:f>IF(Q541&lt;&gt;"OK","",MAX(0,-MIN(N541,O541)))</x:f>
      </x:c>
      <x:c r="Q541" s="18" t="str">
        <x:f>IF(A541="",IF(COUNTA(B541:K541)=0,"","Inserisci ID"),IF(COUNTIFS('Diario'!$A$8:$A$507,A541)&lt;&gt;1,"ID assente / duplicato",IF(OR(NOT(ISNUMBER(B541)),B541&lt;1,B541&lt;&gt;INT(B541),COUNTIFS($A$8:$A$1007,A541,$B$8:$B$1007,B541)&lt;&gt;1),"N. esecuzione non valido",IF(OR(NOT(ISNUMBER(C541)),AND(D541&lt;&gt;"Ingresso",D541&lt;&gt;"Uscita"),AND(E541&lt;&gt;"Back",E541&lt;&gt;"Lay")),"Completa data / fase / lato",IF(OR(NOT(ISNUMBER(F541)),F541&lt;=1,NOT(ISNUMBER(G541)),G541&lt;=0),"Correggi quota / stake","OK")))))</x:f>
      </x:c>
    </x:row>
    <x:row r="542" ht="22" customHeight="1">
      <x:c r="A542" s="24"/>
      <x:c r="B542" s="24"/>
      <x:c r="C542" s="26"/>
      <x:c r="D542" s="24"/>
      <x:c r="E542" s="24"/>
      <x:c r="F542" s="28"/>
      <x:c r="G542" s="29"/>
      <x:c r="H542" s="24"/>
      <x:c r="I542" s="24"/>
      <x:c r="J542" s="24"/>
      <x:c r="K542" s="24"/>
      <x:c r="L542" s="20" t="str">
        <x:f>IF(Q542&lt;&gt;"OK","",IF(E542="Back",G542*(F542-1),-G542*(F542-1)))</x:f>
      </x:c>
      <x:c r="M542" s="20" t="str">
        <x:f>IF(Q542&lt;&gt;"OK","",IF(E542="Back",-G542,G542))</x:f>
      </x:c>
      <x:c r="N542" s="20" t="str">
        <x:f>IF(Q542&lt;&gt;"OK","",SUMIFS($L$8:$L$1007,$A$8:$A$1007,A542,$B$8:$B$1007,"&lt;="&amp;B542))</x:f>
      </x:c>
      <x:c r="O542" s="20" t="str">
        <x:f>IF(Q542&lt;&gt;"OK","",SUMIFS($M$8:$M$1007,$A$8:$A$1007,A542,$B$8:$B$1007,"&lt;="&amp;B542))</x:f>
      </x:c>
      <x:c r="P542" s="20" t="str">
        <x:f>IF(Q542&lt;&gt;"OK","",MAX(0,-MIN(N542,O542)))</x:f>
      </x:c>
      <x:c r="Q542" s="18" t="str">
        <x:f>IF(A542="",IF(COUNTA(B542:K542)=0,"","Inserisci ID"),IF(COUNTIFS('Diario'!$A$8:$A$507,A542)&lt;&gt;1,"ID assente / duplicato",IF(OR(NOT(ISNUMBER(B542)),B542&lt;1,B542&lt;&gt;INT(B542),COUNTIFS($A$8:$A$1007,A542,$B$8:$B$1007,B542)&lt;&gt;1),"N. esecuzione non valido",IF(OR(NOT(ISNUMBER(C542)),AND(D542&lt;&gt;"Ingresso",D542&lt;&gt;"Uscita"),AND(E542&lt;&gt;"Back",E542&lt;&gt;"Lay")),"Completa data / fase / lato",IF(OR(NOT(ISNUMBER(F542)),F542&lt;=1,NOT(ISNUMBER(G542)),G542&lt;=0),"Correggi quota / stake","OK")))))</x:f>
      </x:c>
    </x:row>
    <x:row r="543" ht="22" customHeight="1">
      <x:c r="A543" s="24"/>
      <x:c r="B543" s="24"/>
      <x:c r="C543" s="26"/>
      <x:c r="D543" s="24"/>
      <x:c r="E543" s="24"/>
      <x:c r="F543" s="28"/>
      <x:c r="G543" s="29"/>
      <x:c r="H543" s="24"/>
      <x:c r="I543" s="24"/>
      <x:c r="J543" s="24"/>
      <x:c r="K543" s="24"/>
      <x:c r="L543" s="20" t="str">
        <x:f>IF(Q543&lt;&gt;"OK","",IF(E543="Back",G543*(F543-1),-G543*(F543-1)))</x:f>
      </x:c>
      <x:c r="M543" s="20" t="str">
        <x:f>IF(Q543&lt;&gt;"OK","",IF(E543="Back",-G543,G543))</x:f>
      </x:c>
      <x:c r="N543" s="20" t="str">
        <x:f>IF(Q543&lt;&gt;"OK","",SUMIFS($L$8:$L$1007,$A$8:$A$1007,A543,$B$8:$B$1007,"&lt;="&amp;B543))</x:f>
      </x:c>
      <x:c r="O543" s="20" t="str">
        <x:f>IF(Q543&lt;&gt;"OK","",SUMIFS($M$8:$M$1007,$A$8:$A$1007,A543,$B$8:$B$1007,"&lt;="&amp;B543))</x:f>
      </x:c>
      <x:c r="P543" s="20" t="str">
        <x:f>IF(Q543&lt;&gt;"OK","",MAX(0,-MIN(N543,O543)))</x:f>
      </x:c>
      <x:c r="Q543" s="18" t="str">
        <x:f>IF(A543="",IF(COUNTA(B543:K543)=0,"","Inserisci ID"),IF(COUNTIFS('Diario'!$A$8:$A$507,A543)&lt;&gt;1,"ID assente / duplicato",IF(OR(NOT(ISNUMBER(B543)),B543&lt;1,B543&lt;&gt;INT(B543),COUNTIFS($A$8:$A$1007,A543,$B$8:$B$1007,B543)&lt;&gt;1),"N. esecuzione non valido",IF(OR(NOT(ISNUMBER(C543)),AND(D543&lt;&gt;"Ingresso",D543&lt;&gt;"Uscita"),AND(E543&lt;&gt;"Back",E543&lt;&gt;"Lay")),"Completa data / fase / lato",IF(OR(NOT(ISNUMBER(F543)),F543&lt;=1,NOT(ISNUMBER(G543)),G543&lt;=0),"Correggi quota / stake","OK")))))</x:f>
      </x:c>
    </x:row>
    <x:row r="544" ht="22" customHeight="1">
      <x:c r="A544" s="24"/>
      <x:c r="B544" s="24"/>
      <x:c r="C544" s="26"/>
      <x:c r="D544" s="24"/>
      <x:c r="E544" s="24"/>
      <x:c r="F544" s="28"/>
      <x:c r="G544" s="29"/>
      <x:c r="H544" s="24"/>
      <x:c r="I544" s="24"/>
      <x:c r="J544" s="24"/>
      <x:c r="K544" s="24"/>
      <x:c r="L544" s="20" t="str">
        <x:f>IF(Q544&lt;&gt;"OK","",IF(E544="Back",G544*(F544-1),-G544*(F544-1)))</x:f>
      </x:c>
      <x:c r="M544" s="20" t="str">
        <x:f>IF(Q544&lt;&gt;"OK","",IF(E544="Back",-G544,G544))</x:f>
      </x:c>
      <x:c r="N544" s="20" t="str">
        <x:f>IF(Q544&lt;&gt;"OK","",SUMIFS($L$8:$L$1007,$A$8:$A$1007,A544,$B$8:$B$1007,"&lt;="&amp;B544))</x:f>
      </x:c>
      <x:c r="O544" s="20" t="str">
        <x:f>IF(Q544&lt;&gt;"OK","",SUMIFS($M$8:$M$1007,$A$8:$A$1007,A544,$B$8:$B$1007,"&lt;="&amp;B544))</x:f>
      </x:c>
      <x:c r="P544" s="20" t="str">
        <x:f>IF(Q544&lt;&gt;"OK","",MAX(0,-MIN(N544,O544)))</x:f>
      </x:c>
      <x:c r="Q544" s="18" t="str">
        <x:f>IF(A544="",IF(COUNTA(B544:K544)=0,"","Inserisci ID"),IF(COUNTIFS('Diario'!$A$8:$A$507,A544)&lt;&gt;1,"ID assente / duplicato",IF(OR(NOT(ISNUMBER(B544)),B544&lt;1,B544&lt;&gt;INT(B544),COUNTIFS($A$8:$A$1007,A544,$B$8:$B$1007,B544)&lt;&gt;1),"N. esecuzione non valido",IF(OR(NOT(ISNUMBER(C544)),AND(D544&lt;&gt;"Ingresso",D544&lt;&gt;"Uscita"),AND(E544&lt;&gt;"Back",E544&lt;&gt;"Lay")),"Completa data / fase / lato",IF(OR(NOT(ISNUMBER(F544)),F544&lt;=1,NOT(ISNUMBER(G544)),G544&lt;=0),"Correggi quota / stake","OK")))))</x:f>
      </x:c>
    </x:row>
    <x:row r="545" ht="22" customHeight="1">
      <x:c r="A545" s="24"/>
      <x:c r="B545" s="24"/>
      <x:c r="C545" s="26"/>
      <x:c r="D545" s="24"/>
      <x:c r="E545" s="24"/>
      <x:c r="F545" s="28"/>
      <x:c r="G545" s="29"/>
      <x:c r="H545" s="24"/>
      <x:c r="I545" s="24"/>
      <x:c r="J545" s="24"/>
      <x:c r="K545" s="24"/>
      <x:c r="L545" s="20" t="str">
        <x:f>IF(Q545&lt;&gt;"OK","",IF(E545="Back",G545*(F545-1),-G545*(F545-1)))</x:f>
      </x:c>
      <x:c r="M545" s="20" t="str">
        <x:f>IF(Q545&lt;&gt;"OK","",IF(E545="Back",-G545,G545))</x:f>
      </x:c>
      <x:c r="N545" s="20" t="str">
        <x:f>IF(Q545&lt;&gt;"OK","",SUMIFS($L$8:$L$1007,$A$8:$A$1007,A545,$B$8:$B$1007,"&lt;="&amp;B545))</x:f>
      </x:c>
      <x:c r="O545" s="20" t="str">
        <x:f>IF(Q545&lt;&gt;"OK","",SUMIFS($M$8:$M$1007,$A$8:$A$1007,A545,$B$8:$B$1007,"&lt;="&amp;B545))</x:f>
      </x:c>
      <x:c r="P545" s="20" t="str">
        <x:f>IF(Q545&lt;&gt;"OK","",MAX(0,-MIN(N545,O545)))</x:f>
      </x:c>
      <x:c r="Q545" s="18" t="str">
        <x:f>IF(A545="",IF(COUNTA(B545:K545)=0,"","Inserisci ID"),IF(COUNTIFS('Diario'!$A$8:$A$507,A545)&lt;&gt;1,"ID assente / duplicato",IF(OR(NOT(ISNUMBER(B545)),B545&lt;1,B545&lt;&gt;INT(B545),COUNTIFS($A$8:$A$1007,A545,$B$8:$B$1007,B545)&lt;&gt;1),"N. esecuzione non valido",IF(OR(NOT(ISNUMBER(C545)),AND(D545&lt;&gt;"Ingresso",D545&lt;&gt;"Uscita"),AND(E545&lt;&gt;"Back",E545&lt;&gt;"Lay")),"Completa data / fase / lato",IF(OR(NOT(ISNUMBER(F545)),F545&lt;=1,NOT(ISNUMBER(G545)),G545&lt;=0),"Correggi quota / stake","OK")))))</x:f>
      </x:c>
    </x:row>
    <x:row r="546" ht="22" customHeight="1">
      <x:c r="A546" s="24"/>
      <x:c r="B546" s="24"/>
      <x:c r="C546" s="26"/>
      <x:c r="D546" s="24"/>
      <x:c r="E546" s="24"/>
      <x:c r="F546" s="28"/>
      <x:c r="G546" s="29"/>
      <x:c r="H546" s="24"/>
      <x:c r="I546" s="24"/>
      <x:c r="J546" s="24"/>
      <x:c r="K546" s="24"/>
      <x:c r="L546" s="20" t="str">
        <x:f>IF(Q546&lt;&gt;"OK","",IF(E546="Back",G546*(F546-1),-G546*(F546-1)))</x:f>
      </x:c>
      <x:c r="M546" s="20" t="str">
        <x:f>IF(Q546&lt;&gt;"OK","",IF(E546="Back",-G546,G546))</x:f>
      </x:c>
      <x:c r="N546" s="20" t="str">
        <x:f>IF(Q546&lt;&gt;"OK","",SUMIFS($L$8:$L$1007,$A$8:$A$1007,A546,$B$8:$B$1007,"&lt;="&amp;B546))</x:f>
      </x:c>
      <x:c r="O546" s="20" t="str">
        <x:f>IF(Q546&lt;&gt;"OK","",SUMIFS($M$8:$M$1007,$A$8:$A$1007,A546,$B$8:$B$1007,"&lt;="&amp;B546))</x:f>
      </x:c>
      <x:c r="P546" s="20" t="str">
        <x:f>IF(Q546&lt;&gt;"OK","",MAX(0,-MIN(N546,O546)))</x:f>
      </x:c>
      <x:c r="Q546" s="18" t="str">
        <x:f>IF(A546="",IF(COUNTA(B546:K546)=0,"","Inserisci ID"),IF(COUNTIFS('Diario'!$A$8:$A$507,A546)&lt;&gt;1,"ID assente / duplicato",IF(OR(NOT(ISNUMBER(B546)),B546&lt;1,B546&lt;&gt;INT(B546),COUNTIFS($A$8:$A$1007,A546,$B$8:$B$1007,B546)&lt;&gt;1),"N. esecuzione non valido",IF(OR(NOT(ISNUMBER(C546)),AND(D546&lt;&gt;"Ingresso",D546&lt;&gt;"Uscita"),AND(E546&lt;&gt;"Back",E546&lt;&gt;"Lay")),"Completa data / fase / lato",IF(OR(NOT(ISNUMBER(F546)),F546&lt;=1,NOT(ISNUMBER(G546)),G546&lt;=0),"Correggi quota / stake","OK")))))</x:f>
      </x:c>
    </x:row>
    <x:row r="547" ht="22" customHeight="1">
      <x:c r="A547" s="24"/>
      <x:c r="B547" s="24"/>
      <x:c r="C547" s="26"/>
      <x:c r="D547" s="24"/>
      <x:c r="E547" s="24"/>
      <x:c r="F547" s="28"/>
      <x:c r="G547" s="29"/>
      <x:c r="H547" s="24"/>
      <x:c r="I547" s="24"/>
      <x:c r="J547" s="24"/>
      <x:c r="K547" s="24"/>
      <x:c r="L547" s="20" t="str">
        <x:f>IF(Q547&lt;&gt;"OK","",IF(E547="Back",G547*(F547-1),-G547*(F547-1)))</x:f>
      </x:c>
      <x:c r="M547" s="20" t="str">
        <x:f>IF(Q547&lt;&gt;"OK","",IF(E547="Back",-G547,G547))</x:f>
      </x:c>
      <x:c r="N547" s="20" t="str">
        <x:f>IF(Q547&lt;&gt;"OK","",SUMIFS($L$8:$L$1007,$A$8:$A$1007,A547,$B$8:$B$1007,"&lt;="&amp;B547))</x:f>
      </x:c>
      <x:c r="O547" s="20" t="str">
        <x:f>IF(Q547&lt;&gt;"OK","",SUMIFS($M$8:$M$1007,$A$8:$A$1007,A547,$B$8:$B$1007,"&lt;="&amp;B547))</x:f>
      </x:c>
      <x:c r="P547" s="20" t="str">
        <x:f>IF(Q547&lt;&gt;"OK","",MAX(0,-MIN(N547,O547)))</x:f>
      </x:c>
      <x:c r="Q547" s="18" t="str">
        <x:f>IF(A547="",IF(COUNTA(B547:K547)=0,"","Inserisci ID"),IF(COUNTIFS('Diario'!$A$8:$A$507,A547)&lt;&gt;1,"ID assente / duplicato",IF(OR(NOT(ISNUMBER(B547)),B547&lt;1,B547&lt;&gt;INT(B547),COUNTIFS($A$8:$A$1007,A547,$B$8:$B$1007,B547)&lt;&gt;1),"N. esecuzione non valido",IF(OR(NOT(ISNUMBER(C547)),AND(D547&lt;&gt;"Ingresso",D547&lt;&gt;"Uscita"),AND(E547&lt;&gt;"Back",E547&lt;&gt;"Lay")),"Completa data / fase / lato",IF(OR(NOT(ISNUMBER(F547)),F547&lt;=1,NOT(ISNUMBER(G547)),G547&lt;=0),"Correggi quota / stake","OK")))))</x:f>
      </x:c>
    </x:row>
    <x:row r="548" ht="22" customHeight="1">
      <x:c r="A548" s="24"/>
      <x:c r="B548" s="24"/>
      <x:c r="C548" s="26"/>
      <x:c r="D548" s="24"/>
      <x:c r="E548" s="24"/>
      <x:c r="F548" s="28"/>
      <x:c r="G548" s="29"/>
      <x:c r="H548" s="24"/>
      <x:c r="I548" s="24"/>
      <x:c r="J548" s="24"/>
      <x:c r="K548" s="24"/>
      <x:c r="L548" s="20" t="str">
        <x:f>IF(Q548&lt;&gt;"OK","",IF(E548="Back",G548*(F548-1),-G548*(F548-1)))</x:f>
      </x:c>
      <x:c r="M548" s="20" t="str">
        <x:f>IF(Q548&lt;&gt;"OK","",IF(E548="Back",-G548,G548))</x:f>
      </x:c>
      <x:c r="N548" s="20" t="str">
        <x:f>IF(Q548&lt;&gt;"OK","",SUMIFS($L$8:$L$1007,$A$8:$A$1007,A548,$B$8:$B$1007,"&lt;="&amp;B548))</x:f>
      </x:c>
      <x:c r="O548" s="20" t="str">
        <x:f>IF(Q548&lt;&gt;"OK","",SUMIFS($M$8:$M$1007,$A$8:$A$1007,A548,$B$8:$B$1007,"&lt;="&amp;B548))</x:f>
      </x:c>
      <x:c r="P548" s="20" t="str">
        <x:f>IF(Q548&lt;&gt;"OK","",MAX(0,-MIN(N548,O548)))</x:f>
      </x:c>
      <x:c r="Q548" s="18" t="str">
        <x:f>IF(A548="",IF(COUNTA(B548:K548)=0,"","Inserisci ID"),IF(COUNTIFS('Diario'!$A$8:$A$507,A548)&lt;&gt;1,"ID assente / duplicato",IF(OR(NOT(ISNUMBER(B548)),B548&lt;1,B548&lt;&gt;INT(B548),COUNTIFS($A$8:$A$1007,A548,$B$8:$B$1007,B548)&lt;&gt;1),"N. esecuzione non valido",IF(OR(NOT(ISNUMBER(C548)),AND(D548&lt;&gt;"Ingresso",D548&lt;&gt;"Uscita"),AND(E548&lt;&gt;"Back",E548&lt;&gt;"Lay")),"Completa data / fase / lato",IF(OR(NOT(ISNUMBER(F548)),F548&lt;=1,NOT(ISNUMBER(G548)),G548&lt;=0),"Correggi quota / stake","OK")))))</x:f>
      </x:c>
    </x:row>
    <x:row r="549" ht="22" customHeight="1">
      <x:c r="A549" s="24"/>
      <x:c r="B549" s="24"/>
      <x:c r="C549" s="26"/>
      <x:c r="D549" s="24"/>
      <x:c r="E549" s="24"/>
      <x:c r="F549" s="28"/>
      <x:c r="G549" s="29"/>
      <x:c r="H549" s="24"/>
      <x:c r="I549" s="24"/>
      <x:c r="J549" s="24"/>
      <x:c r="K549" s="24"/>
      <x:c r="L549" s="20" t="str">
        <x:f>IF(Q549&lt;&gt;"OK","",IF(E549="Back",G549*(F549-1),-G549*(F549-1)))</x:f>
      </x:c>
      <x:c r="M549" s="20" t="str">
        <x:f>IF(Q549&lt;&gt;"OK","",IF(E549="Back",-G549,G549))</x:f>
      </x:c>
      <x:c r="N549" s="20" t="str">
        <x:f>IF(Q549&lt;&gt;"OK","",SUMIFS($L$8:$L$1007,$A$8:$A$1007,A549,$B$8:$B$1007,"&lt;="&amp;B549))</x:f>
      </x:c>
      <x:c r="O549" s="20" t="str">
        <x:f>IF(Q549&lt;&gt;"OK","",SUMIFS($M$8:$M$1007,$A$8:$A$1007,A549,$B$8:$B$1007,"&lt;="&amp;B549))</x:f>
      </x:c>
      <x:c r="P549" s="20" t="str">
        <x:f>IF(Q549&lt;&gt;"OK","",MAX(0,-MIN(N549,O549)))</x:f>
      </x:c>
      <x:c r="Q549" s="18" t="str">
        <x:f>IF(A549="",IF(COUNTA(B549:K549)=0,"","Inserisci ID"),IF(COUNTIFS('Diario'!$A$8:$A$507,A549)&lt;&gt;1,"ID assente / duplicato",IF(OR(NOT(ISNUMBER(B549)),B549&lt;1,B549&lt;&gt;INT(B549),COUNTIFS($A$8:$A$1007,A549,$B$8:$B$1007,B549)&lt;&gt;1),"N. esecuzione non valido",IF(OR(NOT(ISNUMBER(C549)),AND(D549&lt;&gt;"Ingresso",D549&lt;&gt;"Uscita"),AND(E549&lt;&gt;"Back",E549&lt;&gt;"Lay")),"Completa data / fase / lato",IF(OR(NOT(ISNUMBER(F549)),F549&lt;=1,NOT(ISNUMBER(G549)),G549&lt;=0),"Correggi quota / stake","OK")))))</x:f>
      </x:c>
    </x:row>
    <x:row r="550" ht="22" customHeight="1">
      <x:c r="A550" s="24"/>
      <x:c r="B550" s="24"/>
      <x:c r="C550" s="26"/>
      <x:c r="D550" s="24"/>
      <x:c r="E550" s="24"/>
      <x:c r="F550" s="28"/>
      <x:c r="G550" s="29"/>
      <x:c r="H550" s="24"/>
      <x:c r="I550" s="24"/>
      <x:c r="J550" s="24"/>
      <x:c r="K550" s="24"/>
      <x:c r="L550" s="20" t="str">
        <x:f>IF(Q550&lt;&gt;"OK","",IF(E550="Back",G550*(F550-1),-G550*(F550-1)))</x:f>
      </x:c>
      <x:c r="M550" s="20" t="str">
        <x:f>IF(Q550&lt;&gt;"OK","",IF(E550="Back",-G550,G550))</x:f>
      </x:c>
      <x:c r="N550" s="20" t="str">
        <x:f>IF(Q550&lt;&gt;"OK","",SUMIFS($L$8:$L$1007,$A$8:$A$1007,A550,$B$8:$B$1007,"&lt;="&amp;B550))</x:f>
      </x:c>
      <x:c r="O550" s="20" t="str">
        <x:f>IF(Q550&lt;&gt;"OK","",SUMIFS($M$8:$M$1007,$A$8:$A$1007,A550,$B$8:$B$1007,"&lt;="&amp;B550))</x:f>
      </x:c>
      <x:c r="P550" s="20" t="str">
        <x:f>IF(Q550&lt;&gt;"OK","",MAX(0,-MIN(N550,O550)))</x:f>
      </x:c>
      <x:c r="Q550" s="18" t="str">
        <x:f>IF(A550="",IF(COUNTA(B550:K550)=0,"","Inserisci ID"),IF(COUNTIFS('Diario'!$A$8:$A$507,A550)&lt;&gt;1,"ID assente / duplicato",IF(OR(NOT(ISNUMBER(B550)),B550&lt;1,B550&lt;&gt;INT(B550),COUNTIFS($A$8:$A$1007,A550,$B$8:$B$1007,B550)&lt;&gt;1),"N. esecuzione non valido",IF(OR(NOT(ISNUMBER(C550)),AND(D550&lt;&gt;"Ingresso",D550&lt;&gt;"Uscita"),AND(E550&lt;&gt;"Back",E550&lt;&gt;"Lay")),"Completa data / fase / lato",IF(OR(NOT(ISNUMBER(F550)),F550&lt;=1,NOT(ISNUMBER(G550)),G550&lt;=0),"Correggi quota / stake","OK")))))</x:f>
      </x:c>
    </x:row>
    <x:row r="551" ht="22" customHeight="1">
      <x:c r="A551" s="24"/>
      <x:c r="B551" s="24"/>
      <x:c r="C551" s="26"/>
      <x:c r="D551" s="24"/>
      <x:c r="E551" s="24"/>
      <x:c r="F551" s="28"/>
      <x:c r="G551" s="29"/>
      <x:c r="H551" s="24"/>
      <x:c r="I551" s="24"/>
      <x:c r="J551" s="24"/>
      <x:c r="K551" s="24"/>
      <x:c r="L551" s="20" t="str">
        <x:f>IF(Q551&lt;&gt;"OK","",IF(E551="Back",G551*(F551-1),-G551*(F551-1)))</x:f>
      </x:c>
      <x:c r="M551" s="20" t="str">
        <x:f>IF(Q551&lt;&gt;"OK","",IF(E551="Back",-G551,G551))</x:f>
      </x:c>
      <x:c r="N551" s="20" t="str">
        <x:f>IF(Q551&lt;&gt;"OK","",SUMIFS($L$8:$L$1007,$A$8:$A$1007,A551,$B$8:$B$1007,"&lt;="&amp;B551))</x:f>
      </x:c>
      <x:c r="O551" s="20" t="str">
        <x:f>IF(Q551&lt;&gt;"OK","",SUMIFS($M$8:$M$1007,$A$8:$A$1007,A551,$B$8:$B$1007,"&lt;="&amp;B551))</x:f>
      </x:c>
      <x:c r="P551" s="20" t="str">
        <x:f>IF(Q551&lt;&gt;"OK","",MAX(0,-MIN(N551,O551)))</x:f>
      </x:c>
      <x:c r="Q551" s="18" t="str">
        <x:f>IF(A551="",IF(COUNTA(B551:K551)=0,"","Inserisci ID"),IF(COUNTIFS('Diario'!$A$8:$A$507,A551)&lt;&gt;1,"ID assente / duplicato",IF(OR(NOT(ISNUMBER(B551)),B551&lt;1,B551&lt;&gt;INT(B551),COUNTIFS($A$8:$A$1007,A551,$B$8:$B$1007,B551)&lt;&gt;1),"N. esecuzione non valido",IF(OR(NOT(ISNUMBER(C551)),AND(D551&lt;&gt;"Ingresso",D551&lt;&gt;"Uscita"),AND(E551&lt;&gt;"Back",E551&lt;&gt;"Lay")),"Completa data / fase / lato",IF(OR(NOT(ISNUMBER(F551)),F551&lt;=1,NOT(ISNUMBER(G551)),G551&lt;=0),"Correggi quota / stake","OK")))))</x:f>
      </x:c>
    </x:row>
    <x:row r="552" ht="22" customHeight="1">
      <x:c r="A552" s="24"/>
      <x:c r="B552" s="24"/>
      <x:c r="C552" s="26"/>
      <x:c r="D552" s="24"/>
      <x:c r="E552" s="24"/>
      <x:c r="F552" s="28"/>
      <x:c r="G552" s="29"/>
      <x:c r="H552" s="24"/>
      <x:c r="I552" s="24"/>
      <x:c r="J552" s="24"/>
      <x:c r="K552" s="24"/>
      <x:c r="L552" s="20" t="str">
        <x:f>IF(Q552&lt;&gt;"OK","",IF(E552="Back",G552*(F552-1),-G552*(F552-1)))</x:f>
      </x:c>
      <x:c r="M552" s="20" t="str">
        <x:f>IF(Q552&lt;&gt;"OK","",IF(E552="Back",-G552,G552))</x:f>
      </x:c>
      <x:c r="N552" s="20" t="str">
        <x:f>IF(Q552&lt;&gt;"OK","",SUMIFS($L$8:$L$1007,$A$8:$A$1007,A552,$B$8:$B$1007,"&lt;="&amp;B552))</x:f>
      </x:c>
      <x:c r="O552" s="20" t="str">
        <x:f>IF(Q552&lt;&gt;"OK","",SUMIFS($M$8:$M$1007,$A$8:$A$1007,A552,$B$8:$B$1007,"&lt;="&amp;B552))</x:f>
      </x:c>
      <x:c r="P552" s="20" t="str">
        <x:f>IF(Q552&lt;&gt;"OK","",MAX(0,-MIN(N552,O552)))</x:f>
      </x:c>
      <x:c r="Q552" s="18" t="str">
        <x:f>IF(A552="",IF(COUNTA(B552:K552)=0,"","Inserisci ID"),IF(COUNTIFS('Diario'!$A$8:$A$507,A552)&lt;&gt;1,"ID assente / duplicato",IF(OR(NOT(ISNUMBER(B552)),B552&lt;1,B552&lt;&gt;INT(B552),COUNTIFS($A$8:$A$1007,A552,$B$8:$B$1007,B552)&lt;&gt;1),"N. esecuzione non valido",IF(OR(NOT(ISNUMBER(C552)),AND(D552&lt;&gt;"Ingresso",D552&lt;&gt;"Uscita"),AND(E552&lt;&gt;"Back",E552&lt;&gt;"Lay")),"Completa data / fase / lato",IF(OR(NOT(ISNUMBER(F552)),F552&lt;=1,NOT(ISNUMBER(G552)),G552&lt;=0),"Correggi quota / stake","OK")))))</x:f>
      </x:c>
    </x:row>
    <x:row r="553" ht="22" customHeight="1">
      <x:c r="A553" s="24"/>
      <x:c r="B553" s="24"/>
      <x:c r="C553" s="26"/>
      <x:c r="D553" s="24"/>
      <x:c r="E553" s="24"/>
      <x:c r="F553" s="28"/>
      <x:c r="G553" s="29"/>
      <x:c r="H553" s="24"/>
      <x:c r="I553" s="24"/>
      <x:c r="J553" s="24"/>
      <x:c r="K553" s="24"/>
      <x:c r="L553" s="20" t="str">
        <x:f>IF(Q553&lt;&gt;"OK","",IF(E553="Back",G553*(F553-1),-G553*(F553-1)))</x:f>
      </x:c>
      <x:c r="M553" s="20" t="str">
        <x:f>IF(Q553&lt;&gt;"OK","",IF(E553="Back",-G553,G553))</x:f>
      </x:c>
      <x:c r="N553" s="20" t="str">
        <x:f>IF(Q553&lt;&gt;"OK","",SUMIFS($L$8:$L$1007,$A$8:$A$1007,A553,$B$8:$B$1007,"&lt;="&amp;B553))</x:f>
      </x:c>
      <x:c r="O553" s="20" t="str">
        <x:f>IF(Q553&lt;&gt;"OK","",SUMIFS($M$8:$M$1007,$A$8:$A$1007,A553,$B$8:$B$1007,"&lt;="&amp;B553))</x:f>
      </x:c>
      <x:c r="P553" s="20" t="str">
        <x:f>IF(Q553&lt;&gt;"OK","",MAX(0,-MIN(N553,O553)))</x:f>
      </x:c>
      <x:c r="Q553" s="18" t="str">
        <x:f>IF(A553="",IF(COUNTA(B553:K553)=0,"","Inserisci ID"),IF(COUNTIFS('Diario'!$A$8:$A$507,A553)&lt;&gt;1,"ID assente / duplicato",IF(OR(NOT(ISNUMBER(B553)),B553&lt;1,B553&lt;&gt;INT(B553),COUNTIFS($A$8:$A$1007,A553,$B$8:$B$1007,B553)&lt;&gt;1),"N. esecuzione non valido",IF(OR(NOT(ISNUMBER(C553)),AND(D553&lt;&gt;"Ingresso",D553&lt;&gt;"Uscita"),AND(E553&lt;&gt;"Back",E553&lt;&gt;"Lay")),"Completa data / fase / lato",IF(OR(NOT(ISNUMBER(F553)),F553&lt;=1,NOT(ISNUMBER(G553)),G553&lt;=0),"Correggi quota / stake","OK")))))</x:f>
      </x:c>
    </x:row>
    <x:row r="554" ht="22" customHeight="1">
      <x:c r="A554" s="24"/>
      <x:c r="B554" s="24"/>
      <x:c r="C554" s="26"/>
      <x:c r="D554" s="24"/>
      <x:c r="E554" s="24"/>
      <x:c r="F554" s="28"/>
      <x:c r="G554" s="29"/>
      <x:c r="H554" s="24"/>
      <x:c r="I554" s="24"/>
      <x:c r="J554" s="24"/>
      <x:c r="K554" s="24"/>
      <x:c r="L554" s="20" t="str">
        <x:f>IF(Q554&lt;&gt;"OK","",IF(E554="Back",G554*(F554-1),-G554*(F554-1)))</x:f>
      </x:c>
      <x:c r="M554" s="20" t="str">
        <x:f>IF(Q554&lt;&gt;"OK","",IF(E554="Back",-G554,G554))</x:f>
      </x:c>
      <x:c r="N554" s="20" t="str">
        <x:f>IF(Q554&lt;&gt;"OK","",SUMIFS($L$8:$L$1007,$A$8:$A$1007,A554,$B$8:$B$1007,"&lt;="&amp;B554))</x:f>
      </x:c>
      <x:c r="O554" s="20" t="str">
        <x:f>IF(Q554&lt;&gt;"OK","",SUMIFS($M$8:$M$1007,$A$8:$A$1007,A554,$B$8:$B$1007,"&lt;="&amp;B554))</x:f>
      </x:c>
      <x:c r="P554" s="20" t="str">
        <x:f>IF(Q554&lt;&gt;"OK","",MAX(0,-MIN(N554,O554)))</x:f>
      </x:c>
      <x:c r="Q554" s="18" t="str">
        <x:f>IF(A554="",IF(COUNTA(B554:K554)=0,"","Inserisci ID"),IF(COUNTIFS('Diario'!$A$8:$A$507,A554)&lt;&gt;1,"ID assente / duplicato",IF(OR(NOT(ISNUMBER(B554)),B554&lt;1,B554&lt;&gt;INT(B554),COUNTIFS($A$8:$A$1007,A554,$B$8:$B$1007,B554)&lt;&gt;1),"N. esecuzione non valido",IF(OR(NOT(ISNUMBER(C554)),AND(D554&lt;&gt;"Ingresso",D554&lt;&gt;"Uscita"),AND(E554&lt;&gt;"Back",E554&lt;&gt;"Lay")),"Completa data / fase / lato",IF(OR(NOT(ISNUMBER(F554)),F554&lt;=1,NOT(ISNUMBER(G554)),G554&lt;=0),"Correggi quota / stake","OK")))))</x:f>
      </x:c>
    </x:row>
    <x:row r="555" ht="22" customHeight="1">
      <x:c r="A555" s="24"/>
      <x:c r="B555" s="24"/>
      <x:c r="C555" s="26"/>
      <x:c r="D555" s="24"/>
      <x:c r="E555" s="24"/>
      <x:c r="F555" s="28"/>
      <x:c r="G555" s="29"/>
      <x:c r="H555" s="24"/>
      <x:c r="I555" s="24"/>
      <x:c r="J555" s="24"/>
      <x:c r="K555" s="24"/>
      <x:c r="L555" s="20" t="str">
        <x:f>IF(Q555&lt;&gt;"OK","",IF(E555="Back",G555*(F555-1),-G555*(F555-1)))</x:f>
      </x:c>
      <x:c r="M555" s="20" t="str">
        <x:f>IF(Q555&lt;&gt;"OK","",IF(E555="Back",-G555,G555))</x:f>
      </x:c>
      <x:c r="N555" s="20" t="str">
        <x:f>IF(Q555&lt;&gt;"OK","",SUMIFS($L$8:$L$1007,$A$8:$A$1007,A555,$B$8:$B$1007,"&lt;="&amp;B555))</x:f>
      </x:c>
      <x:c r="O555" s="20" t="str">
        <x:f>IF(Q555&lt;&gt;"OK","",SUMIFS($M$8:$M$1007,$A$8:$A$1007,A555,$B$8:$B$1007,"&lt;="&amp;B555))</x:f>
      </x:c>
      <x:c r="P555" s="20" t="str">
        <x:f>IF(Q555&lt;&gt;"OK","",MAX(0,-MIN(N555,O555)))</x:f>
      </x:c>
      <x:c r="Q555" s="18" t="str">
        <x:f>IF(A555="",IF(COUNTA(B555:K555)=0,"","Inserisci ID"),IF(COUNTIFS('Diario'!$A$8:$A$507,A555)&lt;&gt;1,"ID assente / duplicato",IF(OR(NOT(ISNUMBER(B555)),B555&lt;1,B555&lt;&gt;INT(B555),COUNTIFS($A$8:$A$1007,A555,$B$8:$B$1007,B555)&lt;&gt;1),"N. esecuzione non valido",IF(OR(NOT(ISNUMBER(C555)),AND(D555&lt;&gt;"Ingresso",D555&lt;&gt;"Uscita"),AND(E555&lt;&gt;"Back",E555&lt;&gt;"Lay")),"Completa data / fase / lato",IF(OR(NOT(ISNUMBER(F555)),F555&lt;=1,NOT(ISNUMBER(G555)),G555&lt;=0),"Correggi quota / stake","OK")))))</x:f>
      </x:c>
    </x:row>
    <x:row r="556" ht="22" customHeight="1">
      <x:c r="A556" s="24"/>
      <x:c r="B556" s="24"/>
      <x:c r="C556" s="26"/>
      <x:c r="D556" s="24"/>
      <x:c r="E556" s="24"/>
      <x:c r="F556" s="28"/>
      <x:c r="G556" s="29"/>
      <x:c r="H556" s="24"/>
      <x:c r="I556" s="24"/>
      <x:c r="J556" s="24"/>
      <x:c r="K556" s="24"/>
      <x:c r="L556" s="20" t="str">
        <x:f>IF(Q556&lt;&gt;"OK","",IF(E556="Back",G556*(F556-1),-G556*(F556-1)))</x:f>
      </x:c>
      <x:c r="M556" s="20" t="str">
        <x:f>IF(Q556&lt;&gt;"OK","",IF(E556="Back",-G556,G556))</x:f>
      </x:c>
      <x:c r="N556" s="20" t="str">
        <x:f>IF(Q556&lt;&gt;"OK","",SUMIFS($L$8:$L$1007,$A$8:$A$1007,A556,$B$8:$B$1007,"&lt;="&amp;B556))</x:f>
      </x:c>
      <x:c r="O556" s="20" t="str">
        <x:f>IF(Q556&lt;&gt;"OK","",SUMIFS($M$8:$M$1007,$A$8:$A$1007,A556,$B$8:$B$1007,"&lt;="&amp;B556))</x:f>
      </x:c>
      <x:c r="P556" s="20" t="str">
        <x:f>IF(Q556&lt;&gt;"OK","",MAX(0,-MIN(N556,O556)))</x:f>
      </x:c>
      <x:c r="Q556" s="18" t="str">
        <x:f>IF(A556="",IF(COUNTA(B556:K556)=0,"","Inserisci ID"),IF(COUNTIFS('Diario'!$A$8:$A$507,A556)&lt;&gt;1,"ID assente / duplicato",IF(OR(NOT(ISNUMBER(B556)),B556&lt;1,B556&lt;&gt;INT(B556),COUNTIFS($A$8:$A$1007,A556,$B$8:$B$1007,B556)&lt;&gt;1),"N. esecuzione non valido",IF(OR(NOT(ISNUMBER(C556)),AND(D556&lt;&gt;"Ingresso",D556&lt;&gt;"Uscita"),AND(E556&lt;&gt;"Back",E556&lt;&gt;"Lay")),"Completa data / fase / lato",IF(OR(NOT(ISNUMBER(F556)),F556&lt;=1,NOT(ISNUMBER(G556)),G556&lt;=0),"Correggi quota / stake","OK")))))</x:f>
      </x:c>
    </x:row>
    <x:row r="557" ht="22" customHeight="1">
      <x:c r="A557" s="24"/>
      <x:c r="B557" s="24"/>
      <x:c r="C557" s="26"/>
      <x:c r="D557" s="24"/>
      <x:c r="E557" s="24"/>
      <x:c r="F557" s="28"/>
      <x:c r="G557" s="29"/>
      <x:c r="H557" s="24"/>
      <x:c r="I557" s="24"/>
      <x:c r="J557" s="24"/>
      <x:c r="K557" s="24"/>
      <x:c r="L557" s="20" t="str">
        <x:f>IF(Q557&lt;&gt;"OK","",IF(E557="Back",G557*(F557-1),-G557*(F557-1)))</x:f>
      </x:c>
      <x:c r="M557" s="20" t="str">
        <x:f>IF(Q557&lt;&gt;"OK","",IF(E557="Back",-G557,G557))</x:f>
      </x:c>
      <x:c r="N557" s="20" t="str">
        <x:f>IF(Q557&lt;&gt;"OK","",SUMIFS($L$8:$L$1007,$A$8:$A$1007,A557,$B$8:$B$1007,"&lt;="&amp;B557))</x:f>
      </x:c>
      <x:c r="O557" s="20" t="str">
        <x:f>IF(Q557&lt;&gt;"OK","",SUMIFS($M$8:$M$1007,$A$8:$A$1007,A557,$B$8:$B$1007,"&lt;="&amp;B557))</x:f>
      </x:c>
      <x:c r="P557" s="20" t="str">
        <x:f>IF(Q557&lt;&gt;"OK","",MAX(0,-MIN(N557,O557)))</x:f>
      </x:c>
      <x:c r="Q557" s="18" t="str">
        <x:f>IF(A557="",IF(COUNTA(B557:K557)=0,"","Inserisci ID"),IF(COUNTIFS('Diario'!$A$8:$A$507,A557)&lt;&gt;1,"ID assente / duplicato",IF(OR(NOT(ISNUMBER(B557)),B557&lt;1,B557&lt;&gt;INT(B557),COUNTIFS($A$8:$A$1007,A557,$B$8:$B$1007,B557)&lt;&gt;1),"N. esecuzione non valido",IF(OR(NOT(ISNUMBER(C557)),AND(D557&lt;&gt;"Ingresso",D557&lt;&gt;"Uscita"),AND(E557&lt;&gt;"Back",E557&lt;&gt;"Lay")),"Completa data / fase / lato",IF(OR(NOT(ISNUMBER(F557)),F557&lt;=1,NOT(ISNUMBER(G557)),G557&lt;=0),"Correggi quota / stake","OK")))))</x:f>
      </x:c>
    </x:row>
    <x:row r="558" ht="22" customHeight="1">
      <x:c r="A558" s="24"/>
      <x:c r="B558" s="24"/>
      <x:c r="C558" s="26"/>
      <x:c r="D558" s="24"/>
      <x:c r="E558" s="24"/>
      <x:c r="F558" s="28"/>
      <x:c r="G558" s="29"/>
      <x:c r="H558" s="24"/>
      <x:c r="I558" s="24"/>
      <x:c r="J558" s="24"/>
      <x:c r="K558" s="24"/>
      <x:c r="L558" s="20" t="str">
        <x:f>IF(Q558&lt;&gt;"OK","",IF(E558="Back",G558*(F558-1),-G558*(F558-1)))</x:f>
      </x:c>
      <x:c r="M558" s="20" t="str">
        <x:f>IF(Q558&lt;&gt;"OK","",IF(E558="Back",-G558,G558))</x:f>
      </x:c>
      <x:c r="N558" s="20" t="str">
        <x:f>IF(Q558&lt;&gt;"OK","",SUMIFS($L$8:$L$1007,$A$8:$A$1007,A558,$B$8:$B$1007,"&lt;="&amp;B558))</x:f>
      </x:c>
      <x:c r="O558" s="20" t="str">
        <x:f>IF(Q558&lt;&gt;"OK","",SUMIFS($M$8:$M$1007,$A$8:$A$1007,A558,$B$8:$B$1007,"&lt;="&amp;B558))</x:f>
      </x:c>
      <x:c r="P558" s="20" t="str">
        <x:f>IF(Q558&lt;&gt;"OK","",MAX(0,-MIN(N558,O558)))</x:f>
      </x:c>
      <x:c r="Q558" s="18" t="str">
        <x:f>IF(A558="",IF(COUNTA(B558:K558)=0,"","Inserisci ID"),IF(COUNTIFS('Diario'!$A$8:$A$507,A558)&lt;&gt;1,"ID assente / duplicato",IF(OR(NOT(ISNUMBER(B558)),B558&lt;1,B558&lt;&gt;INT(B558),COUNTIFS($A$8:$A$1007,A558,$B$8:$B$1007,B558)&lt;&gt;1),"N. esecuzione non valido",IF(OR(NOT(ISNUMBER(C558)),AND(D558&lt;&gt;"Ingresso",D558&lt;&gt;"Uscita"),AND(E558&lt;&gt;"Back",E558&lt;&gt;"Lay")),"Completa data / fase / lato",IF(OR(NOT(ISNUMBER(F558)),F558&lt;=1,NOT(ISNUMBER(G558)),G558&lt;=0),"Correggi quota / stake","OK")))))</x:f>
      </x:c>
    </x:row>
    <x:row r="559" ht="22" customHeight="1">
      <x:c r="A559" s="24"/>
      <x:c r="B559" s="24"/>
      <x:c r="C559" s="26"/>
      <x:c r="D559" s="24"/>
      <x:c r="E559" s="24"/>
      <x:c r="F559" s="28"/>
      <x:c r="G559" s="29"/>
      <x:c r="H559" s="24"/>
      <x:c r="I559" s="24"/>
      <x:c r="J559" s="24"/>
      <x:c r="K559" s="24"/>
      <x:c r="L559" s="20" t="str">
        <x:f>IF(Q559&lt;&gt;"OK","",IF(E559="Back",G559*(F559-1),-G559*(F559-1)))</x:f>
      </x:c>
      <x:c r="M559" s="20" t="str">
        <x:f>IF(Q559&lt;&gt;"OK","",IF(E559="Back",-G559,G559))</x:f>
      </x:c>
      <x:c r="N559" s="20" t="str">
        <x:f>IF(Q559&lt;&gt;"OK","",SUMIFS($L$8:$L$1007,$A$8:$A$1007,A559,$B$8:$B$1007,"&lt;="&amp;B559))</x:f>
      </x:c>
      <x:c r="O559" s="20" t="str">
        <x:f>IF(Q559&lt;&gt;"OK","",SUMIFS($M$8:$M$1007,$A$8:$A$1007,A559,$B$8:$B$1007,"&lt;="&amp;B559))</x:f>
      </x:c>
      <x:c r="P559" s="20" t="str">
        <x:f>IF(Q559&lt;&gt;"OK","",MAX(0,-MIN(N559,O559)))</x:f>
      </x:c>
      <x:c r="Q559" s="18" t="str">
        <x:f>IF(A559="",IF(COUNTA(B559:K559)=0,"","Inserisci ID"),IF(COUNTIFS('Diario'!$A$8:$A$507,A559)&lt;&gt;1,"ID assente / duplicato",IF(OR(NOT(ISNUMBER(B559)),B559&lt;1,B559&lt;&gt;INT(B559),COUNTIFS($A$8:$A$1007,A559,$B$8:$B$1007,B559)&lt;&gt;1),"N. esecuzione non valido",IF(OR(NOT(ISNUMBER(C559)),AND(D559&lt;&gt;"Ingresso",D559&lt;&gt;"Uscita"),AND(E559&lt;&gt;"Back",E559&lt;&gt;"Lay")),"Completa data / fase / lato",IF(OR(NOT(ISNUMBER(F559)),F559&lt;=1,NOT(ISNUMBER(G559)),G559&lt;=0),"Correggi quota / stake","OK")))))</x:f>
      </x:c>
    </x:row>
    <x:row r="560" ht="22" customHeight="1">
      <x:c r="A560" s="24"/>
      <x:c r="B560" s="24"/>
      <x:c r="C560" s="26"/>
      <x:c r="D560" s="24"/>
      <x:c r="E560" s="24"/>
      <x:c r="F560" s="28"/>
      <x:c r="G560" s="29"/>
      <x:c r="H560" s="24"/>
      <x:c r="I560" s="24"/>
      <x:c r="J560" s="24"/>
      <x:c r="K560" s="24"/>
      <x:c r="L560" s="20" t="str">
        <x:f>IF(Q560&lt;&gt;"OK","",IF(E560="Back",G560*(F560-1),-G560*(F560-1)))</x:f>
      </x:c>
      <x:c r="M560" s="20" t="str">
        <x:f>IF(Q560&lt;&gt;"OK","",IF(E560="Back",-G560,G560))</x:f>
      </x:c>
      <x:c r="N560" s="20" t="str">
        <x:f>IF(Q560&lt;&gt;"OK","",SUMIFS($L$8:$L$1007,$A$8:$A$1007,A560,$B$8:$B$1007,"&lt;="&amp;B560))</x:f>
      </x:c>
      <x:c r="O560" s="20" t="str">
        <x:f>IF(Q560&lt;&gt;"OK","",SUMIFS($M$8:$M$1007,$A$8:$A$1007,A560,$B$8:$B$1007,"&lt;="&amp;B560))</x:f>
      </x:c>
      <x:c r="P560" s="20" t="str">
        <x:f>IF(Q560&lt;&gt;"OK","",MAX(0,-MIN(N560,O560)))</x:f>
      </x:c>
      <x:c r="Q560" s="18" t="str">
        <x:f>IF(A560="",IF(COUNTA(B560:K560)=0,"","Inserisci ID"),IF(COUNTIFS('Diario'!$A$8:$A$507,A560)&lt;&gt;1,"ID assente / duplicato",IF(OR(NOT(ISNUMBER(B560)),B560&lt;1,B560&lt;&gt;INT(B560),COUNTIFS($A$8:$A$1007,A560,$B$8:$B$1007,B560)&lt;&gt;1),"N. esecuzione non valido",IF(OR(NOT(ISNUMBER(C560)),AND(D560&lt;&gt;"Ingresso",D560&lt;&gt;"Uscita"),AND(E560&lt;&gt;"Back",E560&lt;&gt;"Lay")),"Completa data / fase / lato",IF(OR(NOT(ISNUMBER(F560)),F560&lt;=1,NOT(ISNUMBER(G560)),G560&lt;=0),"Correggi quota / stake","OK")))))</x:f>
      </x:c>
    </x:row>
    <x:row r="561" ht="22" customHeight="1">
      <x:c r="A561" s="24"/>
      <x:c r="B561" s="24"/>
      <x:c r="C561" s="26"/>
      <x:c r="D561" s="24"/>
      <x:c r="E561" s="24"/>
      <x:c r="F561" s="28"/>
      <x:c r="G561" s="29"/>
      <x:c r="H561" s="24"/>
      <x:c r="I561" s="24"/>
      <x:c r="J561" s="24"/>
      <x:c r="K561" s="24"/>
      <x:c r="L561" s="20" t="str">
        <x:f>IF(Q561&lt;&gt;"OK","",IF(E561="Back",G561*(F561-1),-G561*(F561-1)))</x:f>
      </x:c>
      <x:c r="M561" s="20" t="str">
        <x:f>IF(Q561&lt;&gt;"OK","",IF(E561="Back",-G561,G561))</x:f>
      </x:c>
      <x:c r="N561" s="20" t="str">
        <x:f>IF(Q561&lt;&gt;"OK","",SUMIFS($L$8:$L$1007,$A$8:$A$1007,A561,$B$8:$B$1007,"&lt;="&amp;B561))</x:f>
      </x:c>
      <x:c r="O561" s="20" t="str">
        <x:f>IF(Q561&lt;&gt;"OK","",SUMIFS($M$8:$M$1007,$A$8:$A$1007,A561,$B$8:$B$1007,"&lt;="&amp;B561))</x:f>
      </x:c>
      <x:c r="P561" s="20" t="str">
        <x:f>IF(Q561&lt;&gt;"OK","",MAX(0,-MIN(N561,O561)))</x:f>
      </x:c>
      <x:c r="Q561" s="18" t="str">
        <x:f>IF(A561="",IF(COUNTA(B561:K561)=0,"","Inserisci ID"),IF(COUNTIFS('Diario'!$A$8:$A$507,A561)&lt;&gt;1,"ID assente / duplicato",IF(OR(NOT(ISNUMBER(B561)),B561&lt;1,B561&lt;&gt;INT(B561),COUNTIFS($A$8:$A$1007,A561,$B$8:$B$1007,B561)&lt;&gt;1),"N. esecuzione non valido",IF(OR(NOT(ISNUMBER(C561)),AND(D561&lt;&gt;"Ingresso",D561&lt;&gt;"Uscita"),AND(E561&lt;&gt;"Back",E561&lt;&gt;"Lay")),"Completa data / fase / lato",IF(OR(NOT(ISNUMBER(F561)),F561&lt;=1,NOT(ISNUMBER(G561)),G561&lt;=0),"Correggi quota / stake","OK")))))</x:f>
      </x:c>
    </x:row>
    <x:row r="562" ht="22" customHeight="1">
      <x:c r="A562" s="24"/>
      <x:c r="B562" s="24"/>
      <x:c r="C562" s="26"/>
      <x:c r="D562" s="24"/>
      <x:c r="E562" s="24"/>
      <x:c r="F562" s="28"/>
      <x:c r="G562" s="29"/>
      <x:c r="H562" s="24"/>
      <x:c r="I562" s="24"/>
      <x:c r="J562" s="24"/>
      <x:c r="K562" s="24"/>
      <x:c r="L562" s="20" t="str">
        <x:f>IF(Q562&lt;&gt;"OK","",IF(E562="Back",G562*(F562-1),-G562*(F562-1)))</x:f>
      </x:c>
      <x:c r="M562" s="20" t="str">
        <x:f>IF(Q562&lt;&gt;"OK","",IF(E562="Back",-G562,G562))</x:f>
      </x:c>
      <x:c r="N562" s="20" t="str">
        <x:f>IF(Q562&lt;&gt;"OK","",SUMIFS($L$8:$L$1007,$A$8:$A$1007,A562,$B$8:$B$1007,"&lt;="&amp;B562))</x:f>
      </x:c>
      <x:c r="O562" s="20" t="str">
        <x:f>IF(Q562&lt;&gt;"OK","",SUMIFS($M$8:$M$1007,$A$8:$A$1007,A562,$B$8:$B$1007,"&lt;="&amp;B562))</x:f>
      </x:c>
      <x:c r="P562" s="20" t="str">
        <x:f>IF(Q562&lt;&gt;"OK","",MAX(0,-MIN(N562,O562)))</x:f>
      </x:c>
      <x:c r="Q562" s="18" t="str">
        <x:f>IF(A562="",IF(COUNTA(B562:K562)=0,"","Inserisci ID"),IF(COUNTIFS('Diario'!$A$8:$A$507,A562)&lt;&gt;1,"ID assente / duplicato",IF(OR(NOT(ISNUMBER(B562)),B562&lt;1,B562&lt;&gt;INT(B562),COUNTIFS($A$8:$A$1007,A562,$B$8:$B$1007,B562)&lt;&gt;1),"N. esecuzione non valido",IF(OR(NOT(ISNUMBER(C562)),AND(D562&lt;&gt;"Ingresso",D562&lt;&gt;"Uscita"),AND(E562&lt;&gt;"Back",E562&lt;&gt;"Lay")),"Completa data / fase / lato",IF(OR(NOT(ISNUMBER(F562)),F562&lt;=1,NOT(ISNUMBER(G562)),G562&lt;=0),"Correggi quota / stake","OK")))))</x:f>
      </x:c>
    </x:row>
    <x:row r="563" ht="22" customHeight="1">
      <x:c r="A563" s="24"/>
      <x:c r="B563" s="24"/>
      <x:c r="C563" s="26"/>
      <x:c r="D563" s="24"/>
      <x:c r="E563" s="24"/>
      <x:c r="F563" s="28"/>
      <x:c r="G563" s="29"/>
      <x:c r="H563" s="24"/>
      <x:c r="I563" s="24"/>
      <x:c r="J563" s="24"/>
      <x:c r="K563" s="24"/>
      <x:c r="L563" s="20" t="str">
        <x:f>IF(Q563&lt;&gt;"OK","",IF(E563="Back",G563*(F563-1),-G563*(F563-1)))</x:f>
      </x:c>
      <x:c r="M563" s="20" t="str">
        <x:f>IF(Q563&lt;&gt;"OK","",IF(E563="Back",-G563,G563))</x:f>
      </x:c>
      <x:c r="N563" s="20" t="str">
        <x:f>IF(Q563&lt;&gt;"OK","",SUMIFS($L$8:$L$1007,$A$8:$A$1007,A563,$B$8:$B$1007,"&lt;="&amp;B563))</x:f>
      </x:c>
      <x:c r="O563" s="20" t="str">
        <x:f>IF(Q563&lt;&gt;"OK","",SUMIFS($M$8:$M$1007,$A$8:$A$1007,A563,$B$8:$B$1007,"&lt;="&amp;B563))</x:f>
      </x:c>
      <x:c r="P563" s="20" t="str">
        <x:f>IF(Q563&lt;&gt;"OK","",MAX(0,-MIN(N563,O563)))</x:f>
      </x:c>
      <x:c r="Q563" s="18" t="str">
        <x:f>IF(A563="",IF(COUNTA(B563:K563)=0,"","Inserisci ID"),IF(COUNTIFS('Diario'!$A$8:$A$507,A563)&lt;&gt;1,"ID assente / duplicato",IF(OR(NOT(ISNUMBER(B563)),B563&lt;1,B563&lt;&gt;INT(B563),COUNTIFS($A$8:$A$1007,A563,$B$8:$B$1007,B563)&lt;&gt;1),"N. esecuzione non valido",IF(OR(NOT(ISNUMBER(C563)),AND(D563&lt;&gt;"Ingresso",D563&lt;&gt;"Uscita"),AND(E563&lt;&gt;"Back",E563&lt;&gt;"Lay")),"Completa data / fase / lato",IF(OR(NOT(ISNUMBER(F563)),F563&lt;=1,NOT(ISNUMBER(G563)),G563&lt;=0),"Correggi quota / stake","OK")))))</x:f>
      </x:c>
    </x:row>
    <x:row r="564" ht="22" customHeight="1">
      <x:c r="A564" s="24"/>
      <x:c r="B564" s="24"/>
      <x:c r="C564" s="26"/>
      <x:c r="D564" s="24"/>
      <x:c r="E564" s="24"/>
      <x:c r="F564" s="28"/>
      <x:c r="G564" s="29"/>
      <x:c r="H564" s="24"/>
      <x:c r="I564" s="24"/>
      <x:c r="J564" s="24"/>
      <x:c r="K564" s="24"/>
      <x:c r="L564" s="20" t="str">
        <x:f>IF(Q564&lt;&gt;"OK","",IF(E564="Back",G564*(F564-1),-G564*(F564-1)))</x:f>
      </x:c>
      <x:c r="M564" s="20" t="str">
        <x:f>IF(Q564&lt;&gt;"OK","",IF(E564="Back",-G564,G564))</x:f>
      </x:c>
      <x:c r="N564" s="20" t="str">
        <x:f>IF(Q564&lt;&gt;"OK","",SUMIFS($L$8:$L$1007,$A$8:$A$1007,A564,$B$8:$B$1007,"&lt;="&amp;B564))</x:f>
      </x:c>
      <x:c r="O564" s="20" t="str">
        <x:f>IF(Q564&lt;&gt;"OK","",SUMIFS($M$8:$M$1007,$A$8:$A$1007,A564,$B$8:$B$1007,"&lt;="&amp;B564))</x:f>
      </x:c>
      <x:c r="P564" s="20" t="str">
        <x:f>IF(Q564&lt;&gt;"OK","",MAX(0,-MIN(N564,O564)))</x:f>
      </x:c>
      <x:c r="Q564" s="18" t="str">
        <x:f>IF(A564="",IF(COUNTA(B564:K564)=0,"","Inserisci ID"),IF(COUNTIFS('Diario'!$A$8:$A$507,A564)&lt;&gt;1,"ID assente / duplicato",IF(OR(NOT(ISNUMBER(B564)),B564&lt;1,B564&lt;&gt;INT(B564),COUNTIFS($A$8:$A$1007,A564,$B$8:$B$1007,B564)&lt;&gt;1),"N. esecuzione non valido",IF(OR(NOT(ISNUMBER(C564)),AND(D564&lt;&gt;"Ingresso",D564&lt;&gt;"Uscita"),AND(E564&lt;&gt;"Back",E564&lt;&gt;"Lay")),"Completa data / fase / lato",IF(OR(NOT(ISNUMBER(F564)),F564&lt;=1,NOT(ISNUMBER(G564)),G564&lt;=0),"Correggi quota / stake","OK")))))</x:f>
      </x:c>
    </x:row>
    <x:row r="565" ht="22" customHeight="1">
      <x:c r="A565" s="24"/>
      <x:c r="B565" s="24"/>
      <x:c r="C565" s="26"/>
      <x:c r="D565" s="24"/>
      <x:c r="E565" s="24"/>
      <x:c r="F565" s="28"/>
      <x:c r="G565" s="29"/>
      <x:c r="H565" s="24"/>
      <x:c r="I565" s="24"/>
      <x:c r="J565" s="24"/>
      <x:c r="K565" s="24"/>
      <x:c r="L565" s="20" t="str">
        <x:f>IF(Q565&lt;&gt;"OK","",IF(E565="Back",G565*(F565-1),-G565*(F565-1)))</x:f>
      </x:c>
      <x:c r="M565" s="20" t="str">
        <x:f>IF(Q565&lt;&gt;"OK","",IF(E565="Back",-G565,G565))</x:f>
      </x:c>
      <x:c r="N565" s="20" t="str">
        <x:f>IF(Q565&lt;&gt;"OK","",SUMIFS($L$8:$L$1007,$A$8:$A$1007,A565,$B$8:$B$1007,"&lt;="&amp;B565))</x:f>
      </x:c>
      <x:c r="O565" s="20" t="str">
        <x:f>IF(Q565&lt;&gt;"OK","",SUMIFS($M$8:$M$1007,$A$8:$A$1007,A565,$B$8:$B$1007,"&lt;="&amp;B565))</x:f>
      </x:c>
      <x:c r="P565" s="20" t="str">
        <x:f>IF(Q565&lt;&gt;"OK","",MAX(0,-MIN(N565,O565)))</x:f>
      </x:c>
      <x:c r="Q565" s="18" t="str">
        <x:f>IF(A565="",IF(COUNTA(B565:K565)=0,"","Inserisci ID"),IF(COUNTIFS('Diario'!$A$8:$A$507,A565)&lt;&gt;1,"ID assente / duplicato",IF(OR(NOT(ISNUMBER(B565)),B565&lt;1,B565&lt;&gt;INT(B565),COUNTIFS($A$8:$A$1007,A565,$B$8:$B$1007,B565)&lt;&gt;1),"N. esecuzione non valido",IF(OR(NOT(ISNUMBER(C565)),AND(D565&lt;&gt;"Ingresso",D565&lt;&gt;"Uscita"),AND(E565&lt;&gt;"Back",E565&lt;&gt;"Lay")),"Completa data / fase / lato",IF(OR(NOT(ISNUMBER(F565)),F565&lt;=1,NOT(ISNUMBER(G565)),G565&lt;=0),"Correggi quota / stake","OK")))))</x:f>
      </x:c>
    </x:row>
    <x:row r="566" ht="22" customHeight="1">
      <x:c r="A566" s="24"/>
      <x:c r="B566" s="24"/>
      <x:c r="C566" s="26"/>
      <x:c r="D566" s="24"/>
      <x:c r="E566" s="24"/>
      <x:c r="F566" s="28"/>
      <x:c r="G566" s="29"/>
      <x:c r="H566" s="24"/>
      <x:c r="I566" s="24"/>
      <x:c r="J566" s="24"/>
      <x:c r="K566" s="24"/>
      <x:c r="L566" s="20" t="str">
        <x:f>IF(Q566&lt;&gt;"OK","",IF(E566="Back",G566*(F566-1),-G566*(F566-1)))</x:f>
      </x:c>
      <x:c r="M566" s="20" t="str">
        <x:f>IF(Q566&lt;&gt;"OK","",IF(E566="Back",-G566,G566))</x:f>
      </x:c>
      <x:c r="N566" s="20" t="str">
        <x:f>IF(Q566&lt;&gt;"OK","",SUMIFS($L$8:$L$1007,$A$8:$A$1007,A566,$B$8:$B$1007,"&lt;="&amp;B566))</x:f>
      </x:c>
      <x:c r="O566" s="20" t="str">
        <x:f>IF(Q566&lt;&gt;"OK","",SUMIFS($M$8:$M$1007,$A$8:$A$1007,A566,$B$8:$B$1007,"&lt;="&amp;B566))</x:f>
      </x:c>
      <x:c r="P566" s="20" t="str">
        <x:f>IF(Q566&lt;&gt;"OK","",MAX(0,-MIN(N566,O566)))</x:f>
      </x:c>
      <x:c r="Q566" s="18" t="str">
        <x:f>IF(A566="",IF(COUNTA(B566:K566)=0,"","Inserisci ID"),IF(COUNTIFS('Diario'!$A$8:$A$507,A566)&lt;&gt;1,"ID assente / duplicato",IF(OR(NOT(ISNUMBER(B566)),B566&lt;1,B566&lt;&gt;INT(B566),COUNTIFS($A$8:$A$1007,A566,$B$8:$B$1007,B566)&lt;&gt;1),"N. esecuzione non valido",IF(OR(NOT(ISNUMBER(C566)),AND(D566&lt;&gt;"Ingresso",D566&lt;&gt;"Uscita"),AND(E566&lt;&gt;"Back",E566&lt;&gt;"Lay")),"Completa data / fase / lato",IF(OR(NOT(ISNUMBER(F566)),F566&lt;=1,NOT(ISNUMBER(G566)),G566&lt;=0),"Correggi quota / stake","OK")))))</x:f>
      </x:c>
    </x:row>
    <x:row r="567" ht="22" customHeight="1">
      <x:c r="A567" s="24"/>
      <x:c r="B567" s="24"/>
      <x:c r="C567" s="26"/>
      <x:c r="D567" s="24"/>
      <x:c r="E567" s="24"/>
      <x:c r="F567" s="28"/>
      <x:c r="G567" s="29"/>
      <x:c r="H567" s="24"/>
      <x:c r="I567" s="24"/>
      <x:c r="J567" s="24"/>
      <x:c r="K567" s="24"/>
      <x:c r="L567" s="20" t="str">
        <x:f>IF(Q567&lt;&gt;"OK","",IF(E567="Back",G567*(F567-1),-G567*(F567-1)))</x:f>
      </x:c>
      <x:c r="M567" s="20" t="str">
        <x:f>IF(Q567&lt;&gt;"OK","",IF(E567="Back",-G567,G567))</x:f>
      </x:c>
      <x:c r="N567" s="20" t="str">
        <x:f>IF(Q567&lt;&gt;"OK","",SUMIFS($L$8:$L$1007,$A$8:$A$1007,A567,$B$8:$B$1007,"&lt;="&amp;B567))</x:f>
      </x:c>
      <x:c r="O567" s="20" t="str">
        <x:f>IF(Q567&lt;&gt;"OK","",SUMIFS($M$8:$M$1007,$A$8:$A$1007,A567,$B$8:$B$1007,"&lt;="&amp;B567))</x:f>
      </x:c>
      <x:c r="P567" s="20" t="str">
        <x:f>IF(Q567&lt;&gt;"OK","",MAX(0,-MIN(N567,O567)))</x:f>
      </x:c>
      <x:c r="Q567" s="18" t="str">
        <x:f>IF(A567="",IF(COUNTA(B567:K567)=0,"","Inserisci ID"),IF(COUNTIFS('Diario'!$A$8:$A$507,A567)&lt;&gt;1,"ID assente / duplicato",IF(OR(NOT(ISNUMBER(B567)),B567&lt;1,B567&lt;&gt;INT(B567),COUNTIFS($A$8:$A$1007,A567,$B$8:$B$1007,B567)&lt;&gt;1),"N. esecuzione non valido",IF(OR(NOT(ISNUMBER(C567)),AND(D567&lt;&gt;"Ingresso",D567&lt;&gt;"Uscita"),AND(E567&lt;&gt;"Back",E567&lt;&gt;"Lay")),"Completa data / fase / lato",IF(OR(NOT(ISNUMBER(F567)),F567&lt;=1,NOT(ISNUMBER(G567)),G567&lt;=0),"Correggi quota / stake","OK")))))</x:f>
      </x:c>
    </x:row>
    <x:row r="568" ht="22" customHeight="1">
      <x:c r="A568" s="24"/>
      <x:c r="B568" s="24"/>
      <x:c r="C568" s="26"/>
      <x:c r="D568" s="24"/>
      <x:c r="E568" s="24"/>
      <x:c r="F568" s="28"/>
      <x:c r="G568" s="29"/>
      <x:c r="H568" s="24"/>
      <x:c r="I568" s="24"/>
      <x:c r="J568" s="24"/>
      <x:c r="K568" s="24"/>
      <x:c r="L568" s="20" t="str">
        <x:f>IF(Q568&lt;&gt;"OK","",IF(E568="Back",G568*(F568-1),-G568*(F568-1)))</x:f>
      </x:c>
      <x:c r="M568" s="20" t="str">
        <x:f>IF(Q568&lt;&gt;"OK","",IF(E568="Back",-G568,G568))</x:f>
      </x:c>
      <x:c r="N568" s="20" t="str">
        <x:f>IF(Q568&lt;&gt;"OK","",SUMIFS($L$8:$L$1007,$A$8:$A$1007,A568,$B$8:$B$1007,"&lt;="&amp;B568))</x:f>
      </x:c>
      <x:c r="O568" s="20" t="str">
        <x:f>IF(Q568&lt;&gt;"OK","",SUMIFS($M$8:$M$1007,$A$8:$A$1007,A568,$B$8:$B$1007,"&lt;="&amp;B568))</x:f>
      </x:c>
      <x:c r="P568" s="20" t="str">
        <x:f>IF(Q568&lt;&gt;"OK","",MAX(0,-MIN(N568,O568)))</x:f>
      </x:c>
      <x:c r="Q568" s="18" t="str">
        <x:f>IF(A568="",IF(COUNTA(B568:K568)=0,"","Inserisci ID"),IF(COUNTIFS('Diario'!$A$8:$A$507,A568)&lt;&gt;1,"ID assente / duplicato",IF(OR(NOT(ISNUMBER(B568)),B568&lt;1,B568&lt;&gt;INT(B568),COUNTIFS($A$8:$A$1007,A568,$B$8:$B$1007,B568)&lt;&gt;1),"N. esecuzione non valido",IF(OR(NOT(ISNUMBER(C568)),AND(D568&lt;&gt;"Ingresso",D568&lt;&gt;"Uscita"),AND(E568&lt;&gt;"Back",E568&lt;&gt;"Lay")),"Completa data / fase / lato",IF(OR(NOT(ISNUMBER(F568)),F568&lt;=1,NOT(ISNUMBER(G568)),G568&lt;=0),"Correggi quota / stake","OK")))))</x:f>
      </x:c>
    </x:row>
    <x:row r="569" ht="22" customHeight="1">
      <x:c r="A569" s="24"/>
      <x:c r="B569" s="24"/>
      <x:c r="C569" s="26"/>
      <x:c r="D569" s="24"/>
      <x:c r="E569" s="24"/>
      <x:c r="F569" s="28"/>
      <x:c r="G569" s="29"/>
      <x:c r="H569" s="24"/>
      <x:c r="I569" s="24"/>
      <x:c r="J569" s="24"/>
      <x:c r="K569" s="24"/>
      <x:c r="L569" s="20" t="str">
        <x:f>IF(Q569&lt;&gt;"OK","",IF(E569="Back",G569*(F569-1),-G569*(F569-1)))</x:f>
      </x:c>
      <x:c r="M569" s="20" t="str">
        <x:f>IF(Q569&lt;&gt;"OK","",IF(E569="Back",-G569,G569))</x:f>
      </x:c>
      <x:c r="N569" s="20" t="str">
        <x:f>IF(Q569&lt;&gt;"OK","",SUMIFS($L$8:$L$1007,$A$8:$A$1007,A569,$B$8:$B$1007,"&lt;="&amp;B569))</x:f>
      </x:c>
      <x:c r="O569" s="20" t="str">
        <x:f>IF(Q569&lt;&gt;"OK","",SUMIFS($M$8:$M$1007,$A$8:$A$1007,A569,$B$8:$B$1007,"&lt;="&amp;B569))</x:f>
      </x:c>
      <x:c r="P569" s="20" t="str">
        <x:f>IF(Q569&lt;&gt;"OK","",MAX(0,-MIN(N569,O569)))</x:f>
      </x:c>
      <x:c r="Q569" s="18" t="str">
        <x:f>IF(A569="",IF(COUNTA(B569:K569)=0,"","Inserisci ID"),IF(COUNTIFS('Diario'!$A$8:$A$507,A569)&lt;&gt;1,"ID assente / duplicato",IF(OR(NOT(ISNUMBER(B569)),B569&lt;1,B569&lt;&gt;INT(B569),COUNTIFS($A$8:$A$1007,A569,$B$8:$B$1007,B569)&lt;&gt;1),"N. esecuzione non valido",IF(OR(NOT(ISNUMBER(C569)),AND(D569&lt;&gt;"Ingresso",D569&lt;&gt;"Uscita"),AND(E569&lt;&gt;"Back",E569&lt;&gt;"Lay")),"Completa data / fase / lato",IF(OR(NOT(ISNUMBER(F569)),F569&lt;=1,NOT(ISNUMBER(G569)),G569&lt;=0),"Correggi quota / stake","OK")))))</x:f>
      </x:c>
    </x:row>
    <x:row r="570" ht="22" customHeight="1">
      <x:c r="A570" s="24"/>
      <x:c r="B570" s="24"/>
      <x:c r="C570" s="26"/>
      <x:c r="D570" s="24"/>
      <x:c r="E570" s="24"/>
      <x:c r="F570" s="28"/>
      <x:c r="G570" s="29"/>
      <x:c r="H570" s="24"/>
      <x:c r="I570" s="24"/>
      <x:c r="J570" s="24"/>
      <x:c r="K570" s="24"/>
      <x:c r="L570" s="20" t="str">
        <x:f>IF(Q570&lt;&gt;"OK","",IF(E570="Back",G570*(F570-1),-G570*(F570-1)))</x:f>
      </x:c>
      <x:c r="M570" s="20" t="str">
        <x:f>IF(Q570&lt;&gt;"OK","",IF(E570="Back",-G570,G570))</x:f>
      </x:c>
      <x:c r="N570" s="20" t="str">
        <x:f>IF(Q570&lt;&gt;"OK","",SUMIFS($L$8:$L$1007,$A$8:$A$1007,A570,$B$8:$B$1007,"&lt;="&amp;B570))</x:f>
      </x:c>
      <x:c r="O570" s="20" t="str">
        <x:f>IF(Q570&lt;&gt;"OK","",SUMIFS($M$8:$M$1007,$A$8:$A$1007,A570,$B$8:$B$1007,"&lt;="&amp;B570))</x:f>
      </x:c>
      <x:c r="P570" s="20" t="str">
        <x:f>IF(Q570&lt;&gt;"OK","",MAX(0,-MIN(N570,O570)))</x:f>
      </x:c>
      <x:c r="Q570" s="18" t="str">
        <x:f>IF(A570="",IF(COUNTA(B570:K570)=0,"","Inserisci ID"),IF(COUNTIFS('Diario'!$A$8:$A$507,A570)&lt;&gt;1,"ID assente / duplicato",IF(OR(NOT(ISNUMBER(B570)),B570&lt;1,B570&lt;&gt;INT(B570),COUNTIFS($A$8:$A$1007,A570,$B$8:$B$1007,B570)&lt;&gt;1),"N. esecuzione non valido",IF(OR(NOT(ISNUMBER(C570)),AND(D570&lt;&gt;"Ingresso",D570&lt;&gt;"Uscita"),AND(E570&lt;&gt;"Back",E570&lt;&gt;"Lay")),"Completa data / fase / lato",IF(OR(NOT(ISNUMBER(F570)),F570&lt;=1,NOT(ISNUMBER(G570)),G570&lt;=0),"Correggi quota / stake","OK")))))</x:f>
      </x:c>
    </x:row>
    <x:row r="571" ht="22" customHeight="1">
      <x:c r="A571" s="24"/>
      <x:c r="B571" s="24"/>
      <x:c r="C571" s="26"/>
      <x:c r="D571" s="24"/>
      <x:c r="E571" s="24"/>
      <x:c r="F571" s="28"/>
      <x:c r="G571" s="29"/>
      <x:c r="H571" s="24"/>
      <x:c r="I571" s="24"/>
      <x:c r="J571" s="24"/>
      <x:c r="K571" s="24"/>
      <x:c r="L571" s="20" t="str">
        <x:f>IF(Q571&lt;&gt;"OK","",IF(E571="Back",G571*(F571-1),-G571*(F571-1)))</x:f>
      </x:c>
      <x:c r="M571" s="20" t="str">
        <x:f>IF(Q571&lt;&gt;"OK","",IF(E571="Back",-G571,G571))</x:f>
      </x:c>
      <x:c r="N571" s="20" t="str">
        <x:f>IF(Q571&lt;&gt;"OK","",SUMIFS($L$8:$L$1007,$A$8:$A$1007,A571,$B$8:$B$1007,"&lt;="&amp;B571))</x:f>
      </x:c>
      <x:c r="O571" s="20" t="str">
        <x:f>IF(Q571&lt;&gt;"OK","",SUMIFS($M$8:$M$1007,$A$8:$A$1007,A571,$B$8:$B$1007,"&lt;="&amp;B571))</x:f>
      </x:c>
      <x:c r="P571" s="20" t="str">
        <x:f>IF(Q571&lt;&gt;"OK","",MAX(0,-MIN(N571,O571)))</x:f>
      </x:c>
      <x:c r="Q571" s="18" t="str">
        <x:f>IF(A571="",IF(COUNTA(B571:K571)=0,"","Inserisci ID"),IF(COUNTIFS('Diario'!$A$8:$A$507,A571)&lt;&gt;1,"ID assente / duplicato",IF(OR(NOT(ISNUMBER(B571)),B571&lt;1,B571&lt;&gt;INT(B571),COUNTIFS($A$8:$A$1007,A571,$B$8:$B$1007,B571)&lt;&gt;1),"N. esecuzione non valido",IF(OR(NOT(ISNUMBER(C571)),AND(D571&lt;&gt;"Ingresso",D571&lt;&gt;"Uscita"),AND(E571&lt;&gt;"Back",E571&lt;&gt;"Lay")),"Completa data / fase / lato",IF(OR(NOT(ISNUMBER(F571)),F571&lt;=1,NOT(ISNUMBER(G571)),G571&lt;=0),"Correggi quota / stake","OK")))))</x:f>
      </x:c>
    </x:row>
    <x:row r="572" ht="22" customHeight="1">
      <x:c r="A572" s="24"/>
      <x:c r="B572" s="24"/>
      <x:c r="C572" s="26"/>
      <x:c r="D572" s="24"/>
      <x:c r="E572" s="24"/>
      <x:c r="F572" s="28"/>
      <x:c r="G572" s="29"/>
      <x:c r="H572" s="24"/>
      <x:c r="I572" s="24"/>
      <x:c r="J572" s="24"/>
      <x:c r="K572" s="24"/>
      <x:c r="L572" s="20" t="str">
        <x:f>IF(Q572&lt;&gt;"OK","",IF(E572="Back",G572*(F572-1),-G572*(F572-1)))</x:f>
      </x:c>
      <x:c r="M572" s="20" t="str">
        <x:f>IF(Q572&lt;&gt;"OK","",IF(E572="Back",-G572,G572))</x:f>
      </x:c>
      <x:c r="N572" s="20" t="str">
        <x:f>IF(Q572&lt;&gt;"OK","",SUMIFS($L$8:$L$1007,$A$8:$A$1007,A572,$B$8:$B$1007,"&lt;="&amp;B572))</x:f>
      </x:c>
      <x:c r="O572" s="20" t="str">
        <x:f>IF(Q572&lt;&gt;"OK","",SUMIFS($M$8:$M$1007,$A$8:$A$1007,A572,$B$8:$B$1007,"&lt;="&amp;B572))</x:f>
      </x:c>
      <x:c r="P572" s="20" t="str">
        <x:f>IF(Q572&lt;&gt;"OK","",MAX(0,-MIN(N572,O572)))</x:f>
      </x:c>
      <x:c r="Q572" s="18" t="str">
        <x:f>IF(A572="",IF(COUNTA(B572:K572)=0,"","Inserisci ID"),IF(COUNTIFS('Diario'!$A$8:$A$507,A572)&lt;&gt;1,"ID assente / duplicato",IF(OR(NOT(ISNUMBER(B572)),B572&lt;1,B572&lt;&gt;INT(B572),COUNTIFS($A$8:$A$1007,A572,$B$8:$B$1007,B572)&lt;&gt;1),"N. esecuzione non valido",IF(OR(NOT(ISNUMBER(C572)),AND(D572&lt;&gt;"Ingresso",D572&lt;&gt;"Uscita"),AND(E572&lt;&gt;"Back",E572&lt;&gt;"Lay")),"Completa data / fase / lato",IF(OR(NOT(ISNUMBER(F572)),F572&lt;=1,NOT(ISNUMBER(G572)),G572&lt;=0),"Correggi quota / stake","OK")))))</x:f>
      </x:c>
    </x:row>
    <x:row r="573" ht="22" customHeight="1">
      <x:c r="A573" s="24"/>
      <x:c r="B573" s="24"/>
      <x:c r="C573" s="26"/>
      <x:c r="D573" s="24"/>
      <x:c r="E573" s="24"/>
      <x:c r="F573" s="28"/>
      <x:c r="G573" s="29"/>
      <x:c r="H573" s="24"/>
      <x:c r="I573" s="24"/>
      <x:c r="J573" s="24"/>
      <x:c r="K573" s="24"/>
      <x:c r="L573" s="20" t="str">
        <x:f>IF(Q573&lt;&gt;"OK","",IF(E573="Back",G573*(F573-1),-G573*(F573-1)))</x:f>
      </x:c>
      <x:c r="M573" s="20" t="str">
        <x:f>IF(Q573&lt;&gt;"OK","",IF(E573="Back",-G573,G573))</x:f>
      </x:c>
      <x:c r="N573" s="20" t="str">
        <x:f>IF(Q573&lt;&gt;"OK","",SUMIFS($L$8:$L$1007,$A$8:$A$1007,A573,$B$8:$B$1007,"&lt;="&amp;B573))</x:f>
      </x:c>
      <x:c r="O573" s="20" t="str">
        <x:f>IF(Q573&lt;&gt;"OK","",SUMIFS($M$8:$M$1007,$A$8:$A$1007,A573,$B$8:$B$1007,"&lt;="&amp;B573))</x:f>
      </x:c>
      <x:c r="P573" s="20" t="str">
        <x:f>IF(Q573&lt;&gt;"OK","",MAX(0,-MIN(N573,O573)))</x:f>
      </x:c>
      <x:c r="Q573" s="18" t="str">
        <x:f>IF(A573="",IF(COUNTA(B573:K573)=0,"","Inserisci ID"),IF(COUNTIFS('Diario'!$A$8:$A$507,A573)&lt;&gt;1,"ID assente / duplicato",IF(OR(NOT(ISNUMBER(B573)),B573&lt;1,B573&lt;&gt;INT(B573),COUNTIFS($A$8:$A$1007,A573,$B$8:$B$1007,B573)&lt;&gt;1),"N. esecuzione non valido",IF(OR(NOT(ISNUMBER(C573)),AND(D573&lt;&gt;"Ingresso",D573&lt;&gt;"Uscita"),AND(E573&lt;&gt;"Back",E573&lt;&gt;"Lay")),"Completa data / fase / lato",IF(OR(NOT(ISNUMBER(F573)),F573&lt;=1,NOT(ISNUMBER(G573)),G573&lt;=0),"Correggi quota / stake","OK")))))</x:f>
      </x:c>
    </x:row>
    <x:row r="574" ht="22" customHeight="1">
      <x:c r="A574" s="24"/>
      <x:c r="B574" s="24"/>
      <x:c r="C574" s="26"/>
      <x:c r="D574" s="24"/>
      <x:c r="E574" s="24"/>
      <x:c r="F574" s="28"/>
      <x:c r="G574" s="29"/>
      <x:c r="H574" s="24"/>
      <x:c r="I574" s="24"/>
      <x:c r="J574" s="24"/>
      <x:c r="K574" s="24"/>
      <x:c r="L574" s="20" t="str">
        <x:f>IF(Q574&lt;&gt;"OK","",IF(E574="Back",G574*(F574-1),-G574*(F574-1)))</x:f>
      </x:c>
      <x:c r="M574" s="20" t="str">
        <x:f>IF(Q574&lt;&gt;"OK","",IF(E574="Back",-G574,G574))</x:f>
      </x:c>
      <x:c r="N574" s="20" t="str">
        <x:f>IF(Q574&lt;&gt;"OK","",SUMIFS($L$8:$L$1007,$A$8:$A$1007,A574,$B$8:$B$1007,"&lt;="&amp;B574))</x:f>
      </x:c>
      <x:c r="O574" s="20" t="str">
        <x:f>IF(Q574&lt;&gt;"OK","",SUMIFS($M$8:$M$1007,$A$8:$A$1007,A574,$B$8:$B$1007,"&lt;="&amp;B574))</x:f>
      </x:c>
      <x:c r="P574" s="20" t="str">
        <x:f>IF(Q574&lt;&gt;"OK","",MAX(0,-MIN(N574,O574)))</x:f>
      </x:c>
      <x:c r="Q574" s="18" t="str">
        <x:f>IF(A574="",IF(COUNTA(B574:K574)=0,"","Inserisci ID"),IF(COUNTIFS('Diario'!$A$8:$A$507,A574)&lt;&gt;1,"ID assente / duplicato",IF(OR(NOT(ISNUMBER(B574)),B574&lt;1,B574&lt;&gt;INT(B574),COUNTIFS($A$8:$A$1007,A574,$B$8:$B$1007,B574)&lt;&gt;1),"N. esecuzione non valido",IF(OR(NOT(ISNUMBER(C574)),AND(D574&lt;&gt;"Ingresso",D574&lt;&gt;"Uscita"),AND(E574&lt;&gt;"Back",E574&lt;&gt;"Lay")),"Completa data / fase / lato",IF(OR(NOT(ISNUMBER(F574)),F574&lt;=1,NOT(ISNUMBER(G574)),G574&lt;=0),"Correggi quota / stake","OK")))))</x:f>
      </x:c>
    </x:row>
    <x:row r="575" ht="22" customHeight="1">
      <x:c r="A575" s="24"/>
      <x:c r="B575" s="24"/>
      <x:c r="C575" s="26"/>
      <x:c r="D575" s="24"/>
      <x:c r="E575" s="24"/>
      <x:c r="F575" s="28"/>
      <x:c r="G575" s="29"/>
      <x:c r="H575" s="24"/>
      <x:c r="I575" s="24"/>
      <x:c r="J575" s="24"/>
      <x:c r="K575" s="24"/>
      <x:c r="L575" s="20" t="str">
        <x:f>IF(Q575&lt;&gt;"OK","",IF(E575="Back",G575*(F575-1),-G575*(F575-1)))</x:f>
      </x:c>
      <x:c r="M575" s="20" t="str">
        <x:f>IF(Q575&lt;&gt;"OK","",IF(E575="Back",-G575,G575))</x:f>
      </x:c>
      <x:c r="N575" s="20" t="str">
        <x:f>IF(Q575&lt;&gt;"OK","",SUMIFS($L$8:$L$1007,$A$8:$A$1007,A575,$B$8:$B$1007,"&lt;="&amp;B575))</x:f>
      </x:c>
      <x:c r="O575" s="20" t="str">
        <x:f>IF(Q575&lt;&gt;"OK","",SUMIFS($M$8:$M$1007,$A$8:$A$1007,A575,$B$8:$B$1007,"&lt;="&amp;B575))</x:f>
      </x:c>
      <x:c r="P575" s="20" t="str">
        <x:f>IF(Q575&lt;&gt;"OK","",MAX(0,-MIN(N575,O575)))</x:f>
      </x:c>
      <x:c r="Q575" s="18" t="str">
        <x:f>IF(A575="",IF(COUNTA(B575:K575)=0,"","Inserisci ID"),IF(COUNTIFS('Diario'!$A$8:$A$507,A575)&lt;&gt;1,"ID assente / duplicato",IF(OR(NOT(ISNUMBER(B575)),B575&lt;1,B575&lt;&gt;INT(B575),COUNTIFS($A$8:$A$1007,A575,$B$8:$B$1007,B575)&lt;&gt;1),"N. esecuzione non valido",IF(OR(NOT(ISNUMBER(C575)),AND(D575&lt;&gt;"Ingresso",D575&lt;&gt;"Uscita"),AND(E575&lt;&gt;"Back",E575&lt;&gt;"Lay")),"Completa data / fase / lato",IF(OR(NOT(ISNUMBER(F575)),F575&lt;=1,NOT(ISNUMBER(G575)),G575&lt;=0),"Correggi quota / stake","OK")))))</x:f>
      </x:c>
    </x:row>
    <x:row r="576" ht="22" customHeight="1">
      <x:c r="A576" s="24"/>
      <x:c r="B576" s="24"/>
      <x:c r="C576" s="26"/>
      <x:c r="D576" s="24"/>
      <x:c r="E576" s="24"/>
      <x:c r="F576" s="28"/>
      <x:c r="G576" s="29"/>
      <x:c r="H576" s="24"/>
      <x:c r="I576" s="24"/>
      <x:c r="J576" s="24"/>
      <x:c r="K576" s="24"/>
      <x:c r="L576" s="20" t="str">
        <x:f>IF(Q576&lt;&gt;"OK","",IF(E576="Back",G576*(F576-1),-G576*(F576-1)))</x:f>
      </x:c>
      <x:c r="M576" s="20" t="str">
        <x:f>IF(Q576&lt;&gt;"OK","",IF(E576="Back",-G576,G576))</x:f>
      </x:c>
      <x:c r="N576" s="20" t="str">
        <x:f>IF(Q576&lt;&gt;"OK","",SUMIFS($L$8:$L$1007,$A$8:$A$1007,A576,$B$8:$B$1007,"&lt;="&amp;B576))</x:f>
      </x:c>
      <x:c r="O576" s="20" t="str">
        <x:f>IF(Q576&lt;&gt;"OK","",SUMIFS($M$8:$M$1007,$A$8:$A$1007,A576,$B$8:$B$1007,"&lt;="&amp;B576))</x:f>
      </x:c>
      <x:c r="P576" s="20" t="str">
        <x:f>IF(Q576&lt;&gt;"OK","",MAX(0,-MIN(N576,O576)))</x:f>
      </x:c>
      <x:c r="Q576" s="18" t="str">
        <x:f>IF(A576="",IF(COUNTA(B576:K576)=0,"","Inserisci ID"),IF(COUNTIFS('Diario'!$A$8:$A$507,A576)&lt;&gt;1,"ID assente / duplicato",IF(OR(NOT(ISNUMBER(B576)),B576&lt;1,B576&lt;&gt;INT(B576),COUNTIFS($A$8:$A$1007,A576,$B$8:$B$1007,B576)&lt;&gt;1),"N. esecuzione non valido",IF(OR(NOT(ISNUMBER(C576)),AND(D576&lt;&gt;"Ingresso",D576&lt;&gt;"Uscita"),AND(E576&lt;&gt;"Back",E576&lt;&gt;"Lay")),"Completa data / fase / lato",IF(OR(NOT(ISNUMBER(F576)),F576&lt;=1,NOT(ISNUMBER(G576)),G576&lt;=0),"Correggi quota / stake","OK")))))</x:f>
      </x:c>
    </x:row>
    <x:row r="577" ht="22" customHeight="1">
      <x:c r="A577" s="24"/>
      <x:c r="B577" s="24"/>
      <x:c r="C577" s="26"/>
      <x:c r="D577" s="24"/>
      <x:c r="E577" s="24"/>
      <x:c r="F577" s="28"/>
      <x:c r="G577" s="29"/>
      <x:c r="H577" s="24"/>
      <x:c r="I577" s="24"/>
      <x:c r="J577" s="24"/>
      <x:c r="K577" s="24"/>
      <x:c r="L577" s="20" t="str">
        <x:f>IF(Q577&lt;&gt;"OK","",IF(E577="Back",G577*(F577-1),-G577*(F577-1)))</x:f>
      </x:c>
      <x:c r="M577" s="20" t="str">
        <x:f>IF(Q577&lt;&gt;"OK","",IF(E577="Back",-G577,G577))</x:f>
      </x:c>
      <x:c r="N577" s="20" t="str">
        <x:f>IF(Q577&lt;&gt;"OK","",SUMIFS($L$8:$L$1007,$A$8:$A$1007,A577,$B$8:$B$1007,"&lt;="&amp;B577))</x:f>
      </x:c>
      <x:c r="O577" s="20" t="str">
        <x:f>IF(Q577&lt;&gt;"OK","",SUMIFS($M$8:$M$1007,$A$8:$A$1007,A577,$B$8:$B$1007,"&lt;="&amp;B577))</x:f>
      </x:c>
      <x:c r="P577" s="20" t="str">
        <x:f>IF(Q577&lt;&gt;"OK","",MAX(0,-MIN(N577,O577)))</x:f>
      </x:c>
      <x:c r="Q577" s="18" t="str">
        <x:f>IF(A577="",IF(COUNTA(B577:K577)=0,"","Inserisci ID"),IF(COUNTIFS('Diario'!$A$8:$A$507,A577)&lt;&gt;1,"ID assente / duplicato",IF(OR(NOT(ISNUMBER(B577)),B577&lt;1,B577&lt;&gt;INT(B577),COUNTIFS($A$8:$A$1007,A577,$B$8:$B$1007,B577)&lt;&gt;1),"N. esecuzione non valido",IF(OR(NOT(ISNUMBER(C577)),AND(D577&lt;&gt;"Ingresso",D577&lt;&gt;"Uscita"),AND(E577&lt;&gt;"Back",E577&lt;&gt;"Lay")),"Completa data / fase / lato",IF(OR(NOT(ISNUMBER(F577)),F577&lt;=1,NOT(ISNUMBER(G577)),G577&lt;=0),"Correggi quota / stake","OK")))))</x:f>
      </x:c>
    </x:row>
    <x:row r="578" ht="22" customHeight="1">
      <x:c r="A578" s="24"/>
      <x:c r="B578" s="24"/>
      <x:c r="C578" s="26"/>
      <x:c r="D578" s="24"/>
      <x:c r="E578" s="24"/>
      <x:c r="F578" s="28"/>
      <x:c r="G578" s="29"/>
      <x:c r="H578" s="24"/>
      <x:c r="I578" s="24"/>
      <x:c r="J578" s="24"/>
      <x:c r="K578" s="24"/>
      <x:c r="L578" s="20" t="str">
        <x:f>IF(Q578&lt;&gt;"OK","",IF(E578="Back",G578*(F578-1),-G578*(F578-1)))</x:f>
      </x:c>
      <x:c r="M578" s="20" t="str">
        <x:f>IF(Q578&lt;&gt;"OK","",IF(E578="Back",-G578,G578))</x:f>
      </x:c>
      <x:c r="N578" s="20" t="str">
        <x:f>IF(Q578&lt;&gt;"OK","",SUMIFS($L$8:$L$1007,$A$8:$A$1007,A578,$B$8:$B$1007,"&lt;="&amp;B578))</x:f>
      </x:c>
      <x:c r="O578" s="20" t="str">
        <x:f>IF(Q578&lt;&gt;"OK","",SUMIFS($M$8:$M$1007,$A$8:$A$1007,A578,$B$8:$B$1007,"&lt;="&amp;B578))</x:f>
      </x:c>
      <x:c r="P578" s="20" t="str">
        <x:f>IF(Q578&lt;&gt;"OK","",MAX(0,-MIN(N578,O578)))</x:f>
      </x:c>
      <x:c r="Q578" s="18" t="str">
        <x:f>IF(A578="",IF(COUNTA(B578:K578)=0,"","Inserisci ID"),IF(COUNTIFS('Diario'!$A$8:$A$507,A578)&lt;&gt;1,"ID assente / duplicato",IF(OR(NOT(ISNUMBER(B578)),B578&lt;1,B578&lt;&gt;INT(B578),COUNTIFS($A$8:$A$1007,A578,$B$8:$B$1007,B578)&lt;&gt;1),"N. esecuzione non valido",IF(OR(NOT(ISNUMBER(C578)),AND(D578&lt;&gt;"Ingresso",D578&lt;&gt;"Uscita"),AND(E578&lt;&gt;"Back",E578&lt;&gt;"Lay")),"Completa data / fase / lato",IF(OR(NOT(ISNUMBER(F578)),F578&lt;=1,NOT(ISNUMBER(G578)),G578&lt;=0),"Correggi quota / stake","OK")))))</x:f>
      </x:c>
    </x:row>
    <x:row r="579" ht="22" customHeight="1">
      <x:c r="A579" s="24"/>
      <x:c r="B579" s="24"/>
      <x:c r="C579" s="26"/>
      <x:c r="D579" s="24"/>
      <x:c r="E579" s="24"/>
      <x:c r="F579" s="28"/>
      <x:c r="G579" s="29"/>
      <x:c r="H579" s="24"/>
      <x:c r="I579" s="24"/>
      <x:c r="J579" s="24"/>
      <x:c r="K579" s="24"/>
      <x:c r="L579" s="20" t="str">
        <x:f>IF(Q579&lt;&gt;"OK","",IF(E579="Back",G579*(F579-1),-G579*(F579-1)))</x:f>
      </x:c>
      <x:c r="M579" s="20" t="str">
        <x:f>IF(Q579&lt;&gt;"OK","",IF(E579="Back",-G579,G579))</x:f>
      </x:c>
      <x:c r="N579" s="20" t="str">
        <x:f>IF(Q579&lt;&gt;"OK","",SUMIFS($L$8:$L$1007,$A$8:$A$1007,A579,$B$8:$B$1007,"&lt;="&amp;B579))</x:f>
      </x:c>
      <x:c r="O579" s="20" t="str">
        <x:f>IF(Q579&lt;&gt;"OK","",SUMIFS($M$8:$M$1007,$A$8:$A$1007,A579,$B$8:$B$1007,"&lt;="&amp;B579))</x:f>
      </x:c>
      <x:c r="P579" s="20" t="str">
        <x:f>IF(Q579&lt;&gt;"OK","",MAX(0,-MIN(N579,O579)))</x:f>
      </x:c>
      <x:c r="Q579" s="18" t="str">
        <x:f>IF(A579="",IF(COUNTA(B579:K579)=0,"","Inserisci ID"),IF(COUNTIFS('Diario'!$A$8:$A$507,A579)&lt;&gt;1,"ID assente / duplicato",IF(OR(NOT(ISNUMBER(B579)),B579&lt;1,B579&lt;&gt;INT(B579),COUNTIFS($A$8:$A$1007,A579,$B$8:$B$1007,B579)&lt;&gt;1),"N. esecuzione non valido",IF(OR(NOT(ISNUMBER(C579)),AND(D579&lt;&gt;"Ingresso",D579&lt;&gt;"Uscita"),AND(E579&lt;&gt;"Back",E579&lt;&gt;"Lay")),"Completa data / fase / lato",IF(OR(NOT(ISNUMBER(F579)),F579&lt;=1,NOT(ISNUMBER(G579)),G579&lt;=0),"Correggi quota / stake","OK")))))</x:f>
      </x:c>
    </x:row>
    <x:row r="580" ht="22" customHeight="1">
      <x:c r="A580" s="24"/>
      <x:c r="B580" s="24"/>
      <x:c r="C580" s="26"/>
      <x:c r="D580" s="24"/>
      <x:c r="E580" s="24"/>
      <x:c r="F580" s="28"/>
      <x:c r="G580" s="29"/>
      <x:c r="H580" s="24"/>
      <x:c r="I580" s="24"/>
      <x:c r="J580" s="24"/>
      <x:c r="K580" s="24"/>
      <x:c r="L580" s="20" t="str">
        <x:f>IF(Q580&lt;&gt;"OK","",IF(E580="Back",G580*(F580-1),-G580*(F580-1)))</x:f>
      </x:c>
      <x:c r="M580" s="20" t="str">
        <x:f>IF(Q580&lt;&gt;"OK","",IF(E580="Back",-G580,G580))</x:f>
      </x:c>
      <x:c r="N580" s="20" t="str">
        <x:f>IF(Q580&lt;&gt;"OK","",SUMIFS($L$8:$L$1007,$A$8:$A$1007,A580,$B$8:$B$1007,"&lt;="&amp;B580))</x:f>
      </x:c>
      <x:c r="O580" s="20" t="str">
        <x:f>IF(Q580&lt;&gt;"OK","",SUMIFS($M$8:$M$1007,$A$8:$A$1007,A580,$B$8:$B$1007,"&lt;="&amp;B580))</x:f>
      </x:c>
      <x:c r="P580" s="20" t="str">
        <x:f>IF(Q580&lt;&gt;"OK","",MAX(0,-MIN(N580,O580)))</x:f>
      </x:c>
      <x:c r="Q580" s="18" t="str">
        <x:f>IF(A580="",IF(COUNTA(B580:K580)=0,"","Inserisci ID"),IF(COUNTIFS('Diario'!$A$8:$A$507,A580)&lt;&gt;1,"ID assente / duplicato",IF(OR(NOT(ISNUMBER(B580)),B580&lt;1,B580&lt;&gt;INT(B580),COUNTIFS($A$8:$A$1007,A580,$B$8:$B$1007,B580)&lt;&gt;1),"N. esecuzione non valido",IF(OR(NOT(ISNUMBER(C580)),AND(D580&lt;&gt;"Ingresso",D580&lt;&gt;"Uscita"),AND(E580&lt;&gt;"Back",E580&lt;&gt;"Lay")),"Completa data / fase / lato",IF(OR(NOT(ISNUMBER(F580)),F580&lt;=1,NOT(ISNUMBER(G580)),G580&lt;=0),"Correggi quota / stake","OK")))))</x:f>
      </x:c>
    </x:row>
    <x:row r="581" ht="22" customHeight="1">
      <x:c r="A581" s="24"/>
      <x:c r="B581" s="24"/>
      <x:c r="C581" s="26"/>
      <x:c r="D581" s="24"/>
      <x:c r="E581" s="24"/>
      <x:c r="F581" s="28"/>
      <x:c r="G581" s="29"/>
      <x:c r="H581" s="24"/>
      <x:c r="I581" s="24"/>
      <x:c r="J581" s="24"/>
      <x:c r="K581" s="24"/>
      <x:c r="L581" s="20" t="str">
        <x:f>IF(Q581&lt;&gt;"OK","",IF(E581="Back",G581*(F581-1),-G581*(F581-1)))</x:f>
      </x:c>
      <x:c r="M581" s="20" t="str">
        <x:f>IF(Q581&lt;&gt;"OK","",IF(E581="Back",-G581,G581))</x:f>
      </x:c>
      <x:c r="N581" s="20" t="str">
        <x:f>IF(Q581&lt;&gt;"OK","",SUMIFS($L$8:$L$1007,$A$8:$A$1007,A581,$B$8:$B$1007,"&lt;="&amp;B581))</x:f>
      </x:c>
      <x:c r="O581" s="20" t="str">
        <x:f>IF(Q581&lt;&gt;"OK","",SUMIFS($M$8:$M$1007,$A$8:$A$1007,A581,$B$8:$B$1007,"&lt;="&amp;B581))</x:f>
      </x:c>
      <x:c r="P581" s="20" t="str">
        <x:f>IF(Q581&lt;&gt;"OK","",MAX(0,-MIN(N581,O581)))</x:f>
      </x:c>
      <x:c r="Q581" s="18" t="str">
        <x:f>IF(A581="",IF(COUNTA(B581:K581)=0,"","Inserisci ID"),IF(COUNTIFS('Diario'!$A$8:$A$507,A581)&lt;&gt;1,"ID assente / duplicato",IF(OR(NOT(ISNUMBER(B581)),B581&lt;1,B581&lt;&gt;INT(B581),COUNTIFS($A$8:$A$1007,A581,$B$8:$B$1007,B581)&lt;&gt;1),"N. esecuzione non valido",IF(OR(NOT(ISNUMBER(C581)),AND(D581&lt;&gt;"Ingresso",D581&lt;&gt;"Uscita"),AND(E581&lt;&gt;"Back",E581&lt;&gt;"Lay")),"Completa data / fase / lato",IF(OR(NOT(ISNUMBER(F581)),F581&lt;=1,NOT(ISNUMBER(G581)),G581&lt;=0),"Correggi quota / stake","OK")))))</x:f>
      </x:c>
    </x:row>
    <x:row r="582" ht="22" customHeight="1">
      <x:c r="A582" s="24"/>
      <x:c r="B582" s="24"/>
      <x:c r="C582" s="26"/>
      <x:c r="D582" s="24"/>
      <x:c r="E582" s="24"/>
      <x:c r="F582" s="28"/>
      <x:c r="G582" s="29"/>
      <x:c r="H582" s="24"/>
      <x:c r="I582" s="24"/>
      <x:c r="J582" s="24"/>
      <x:c r="K582" s="24"/>
      <x:c r="L582" s="20" t="str">
        <x:f>IF(Q582&lt;&gt;"OK","",IF(E582="Back",G582*(F582-1),-G582*(F582-1)))</x:f>
      </x:c>
      <x:c r="M582" s="20" t="str">
        <x:f>IF(Q582&lt;&gt;"OK","",IF(E582="Back",-G582,G582))</x:f>
      </x:c>
      <x:c r="N582" s="20" t="str">
        <x:f>IF(Q582&lt;&gt;"OK","",SUMIFS($L$8:$L$1007,$A$8:$A$1007,A582,$B$8:$B$1007,"&lt;="&amp;B582))</x:f>
      </x:c>
      <x:c r="O582" s="20" t="str">
        <x:f>IF(Q582&lt;&gt;"OK","",SUMIFS($M$8:$M$1007,$A$8:$A$1007,A582,$B$8:$B$1007,"&lt;="&amp;B582))</x:f>
      </x:c>
      <x:c r="P582" s="20" t="str">
        <x:f>IF(Q582&lt;&gt;"OK","",MAX(0,-MIN(N582,O582)))</x:f>
      </x:c>
      <x:c r="Q582" s="18" t="str">
        <x:f>IF(A582="",IF(COUNTA(B582:K582)=0,"","Inserisci ID"),IF(COUNTIFS('Diario'!$A$8:$A$507,A582)&lt;&gt;1,"ID assente / duplicato",IF(OR(NOT(ISNUMBER(B582)),B582&lt;1,B582&lt;&gt;INT(B582),COUNTIFS($A$8:$A$1007,A582,$B$8:$B$1007,B582)&lt;&gt;1),"N. esecuzione non valido",IF(OR(NOT(ISNUMBER(C582)),AND(D582&lt;&gt;"Ingresso",D582&lt;&gt;"Uscita"),AND(E582&lt;&gt;"Back",E582&lt;&gt;"Lay")),"Completa data / fase / lato",IF(OR(NOT(ISNUMBER(F582)),F582&lt;=1,NOT(ISNUMBER(G582)),G582&lt;=0),"Correggi quota / stake","OK")))))</x:f>
      </x:c>
    </x:row>
    <x:row r="583" ht="22" customHeight="1">
      <x:c r="A583" s="24"/>
      <x:c r="B583" s="24"/>
      <x:c r="C583" s="26"/>
      <x:c r="D583" s="24"/>
      <x:c r="E583" s="24"/>
      <x:c r="F583" s="28"/>
      <x:c r="G583" s="29"/>
      <x:c r="H583" s="24"/>
      <x:c r="I583" s="24"/>
      <x:c r="J583" s="24"/>
      <x:c r="K583" s="24"/>
      <x:c r="L583" s="20" t="str">
        <x:f>IF(Q583&lt;&gt;"OK","",IF(E583="Back",G583*(F583-1),-G583*(F583-1)))</x:f>
      </x:c>
      <x:c r="M583" s="20" t="str">
        <x:f>IF(Q583&lt;&gt;"OK","",IF(E583="Back",-G583,G583))</x:f>
      </x:c>
      <x:c r="N583" s="20" t="str">
        <x:f>IF(Q583&lt;&gt;"OK","",SUMIFS($L$8:$L$1007,$A$8:$A$1007,A583,$B$8:$B$1007,"&lt;="&amp;B583))</x:f>
      </x:c>
      <x:c r="O583" s="20" t="str">
        <x:f>IF(Q583&lt;&gt;"OK","",SUMIFS($M$8:$M$1007,$A$8:$A$1007,A583,$B$8:$B$1007,"&lt;="&amp;B583))</x:f>
      </x:c>
      <x:c r="P583" s="20" t="str">
        <x:f>IF(Q583&lt;&gt;"OK","",MAX(0,-MIN(N583,O583)))</x:f>
      </x:c>
      <x:c r="Q583" s="18" t="str">
        <x:f>IF(A583="",IF(COUNTA(B583:K583)=0,"","Inserisci ID"),IF(COUNTIFS('Diario'!$A$8:$A$507,A583)&lt;&gt;1,"ID assente / duplicato",IF(OR(NOT(ISNUMBER(B583)),B583&lt;1,B583&lt;&gt;INT(B583),COUNTIFS($A$8:$A$1007,A583,$B$8:$B$1007,B583)&lt;&gt;1),"N. esecuzione non valido",IF(OR(NOT(ISNUMBER(C583)),AND(D583&lt;&gt;"Ingresso",D583&lt;&gt;"Uscita"),AND(E583&lt;&gt;"Back",E583&lt;&gt;"Lay")),"Completa data / fase / lato",IF(OR(NOT(ISNUMBER(F583)),F583&lt;=1,NOT(ISNUMBER(G583)),G583&lt;=0),"Correggi quota / stake","OK")))))</x:f>
      </x:c>
    </x:row>
    <x:row r="584" ht="22" customHeight="1">
      <x:c r="A584" s="24"/>
      <x:c r="B584" s="24"/>
      <x:c r="C584" s="26"/>
      <x:c r="D584" s="24"/>
      <x:c r="E584" s="24"/>
      <x:c r="F584" s="28"/>
      <x:c r="G584" s="29"/>
      <x:c r="H584" s="24"/>
      <x:c r="I584" s="24"/>
      <x:c r="J584" s="24"/>
      <x:c r="K584" s="24"/>
      <x:c r="L584" s="20" t="str">
        <x:f>IF(Q584&lt;&gt;"OK","",IF(E584="Back",G584*(F584-1),-G584*(F584-1)))</x:f>
      </x:c>
      <x:c r="M584" s="20" t="str">
        <x:f>IF(Q584&lt;&gt;"OK","",IF(E584="Back",-G584,G584))</x:f>
      </x:c>
      <x:c r="N584" s="20" t="str">
        <x:f>IF(Q584&lt;&gt;"OK","",SUMIFS($L$8:$L$1007,$A$8:$A$1007,A584,$B$8:$B$1007,"&lt;="&amp;B584))</x:f>
      </x:c>
      <x:c r="O584" s="20" t="str">
        <x:f>IF(Q584&lt;&gt;"OK","",SUMIFS($M$8:$M$1007,$A$8:$A$1007,A584,$B$8:$B$1007,"&lt;="&amp;B584))</x:f>
      </x:c>
      <x:c r="P584" s="20" t="str">
        <x:f>IF(Q584&lt;&gt;"OK","",MAX(0,-MIN(N584,O584)))</x:f>
      </x:c>
      <x:c r="Q584" s="18" t="str">
        <x:f>IF(A584="",IF(COUNTA(B584:K584)=0,"","Inserisci ID"),IF(COUNTIFS('Diario'!$A$8:$A$507,A584)&lt;&gt;1,"ID assente / duplicato",IF(OR(NOT(ISNUMBER(B584)),B584&lt;1,B584&lt;&gt;INT(B584),COUNTIFS($A$8:$A$1007,A584,$B$8:$B$1007,B584)&lt;&gt;1),"N. esecuzione non valido",IF(OR(NOT(ISNUMBER(C584)),AND(D584&lt;&gt;"Ingresso",D584&lt;&gt;"Uscita"),AND(E584&lt;&gt;"Back",E584&lt;&gt;"Lay")),"Completa data / fase / lato",IF(OR(NOT(ISNUMBER(F584)),F584&lt;=1,NOT(ISNUMBER(G584)),G584&lt;=0),"Correggi quota / stake","OK")))))</x:f>
      </x:c>
    </x:row>
    <x:row r="585" ht="22" customHeight="1">
      <x:c r="A585" s="24"/>
      <x:c r="B585" s="24"/>
      <x:c r="C585" s="26"/>
      <x:c r="D585" s="24"/>
      <x:c r="E585" s="24"/>
      <x:c r="F585" s="28"/>
      <x:c r="G585" s="29"/>
      <x:c r="H585" s="24"/>
      <x:c r="I585" s="24"/>
      <x:c r="J585" s="24"/>
      <x:c r="K585" s="24"/>
      <x:c r="L585" s="20" t="str">
        <x:f>IF(Q585&lt;&gt;"OK","",IF(E585="Back",G585*(F585-1),-G585*(F585-1)))</x:f>
      </x:c>
      <x:c r="M585" s="20" t="str">
        <x:f>IF(Q585&lt;&gt;"OK","",IF(E585="Back",-G585,G585))</x:f>
      </x:c>
      <x:c r="N585" s="20" t="str">
        <x:f>IF(Q585&lt;&gt;"OK","",SUMIFS($L$8:$L$1007,$A$8:$A$1007,A585,$B$8:$B$1007,"&lt;="&amp;B585))</x:f>
      </x:c>
      <x:c r="O585" s="20" t="str">
        <x:f>IF(Q585&lt;&gt;"OK","",SUMIFS($M$8:$M$1007,$A$8:$A$1007,A585,$B$8:$B$1007,"&lt;="&amp;B585))</x:f>
      </x:c>
      <x:c r="P585" s="20" t="str">
        <x:f>IF(Q585&lt;&gt;"OK","",MAX(0,-MIN(N585,O585)))</x:f>
      </x:c>
      <x:c r="Q585" s="18" t="str">
        <x:f>IF(A585="",IF(COUNTA(B585:K585)=0,"","Inserisci ID"),IF(COUNTIFS('Diario'!$A$8:$A$507,A585)&lt;&gt;1,"ID assente / duplicato",IF(OR(NOT(ISNUMBER(B585)),B585&lt;1,B585&lt;&gt;INT(B585),COUNTIFS($A$8:$A$1007,A585,$B$8:$B$1007,B585)&lt;&gt;1),"N. esecuzione non valido",IF(OR(NOT(ISNUMBER(C585)),AND(D585&lt;&gt;"Ingresso",D585&lt;&gt;"Uscita"),AND(E585&lt;&gt;"Back",E585&lt;&gt;"Lay")),"Completa data / fase / lato",IF(OR(NOT(ISNUMBER(F585)),F585&lt;=1,NOT(ISNUMBER(G585)),G585&lt;=0),"Correggi quota / stake","OK")))))</x:f>
      </x:c>
    </x:row>
    <x:row r="586" ht="22" customHeight="1">
      <x:c r="A586" s="24"/>
      <x:c r="B586" s="24"/>
      <x:c r="C586" s="26"/>
      <x:c r="D586" s="24"/>
      <x:c r="E586" s="24"/>
      <x:c r="F586" s="28"/>
      <x:c r="G586" s="29"/>
      <x:c r="H586" s="24"/>
      <x:c r="I586" s="24"/>
      <x:c r="J586" s="24"/>
      <x:c r="K586" s="24"/>
      <x:c r="L586" s="20" t="str">
        <x:f>IF(Q586&lt;&gt;"OK","",IF(E586="Back",G586*(F586-1),-G586*(F586-1)))</x:f>
      </x:c>
      <x:c r="M586" s="20" t="str">
        <x:f>IF(Q586&lt;&gt;"OK","",IF(E586="Back",-G586,G586))</x:f>
      </x:c>
      <x:c r="N586" s="20" t="str">
        <x:f>IF(Q586&lt;&gt;"OK","",SUMIFS($L$8:$L$1007,$A$8:$A$1007,A586,$B$8:$B$1007,"&lt;="&amp;B586))</x:f>
      </x:c>
      <x:c r="O586" s="20" t="str">
        <x:f>IF(Q586&lt;&gt;"OK","",SUMIFS($M$8:$M$1007,$A$8:$A$1007,A586,$B$8:$B$1007,"&lt;="&amp;B586))</x:f>
      </x:c>
      <x:c r="P586" s="20" t="str">
        <x:f>IF(Q586&lt;&gt;"OK","",MAX(0,-MIN(N586,O586)))</x:f>
      </x:c>
      <x:c r="Q586" s="18" t="str">
        <x:f>IF(A586="",IF(COUNTA(B586:K586)=0,"","Inserisci ID"),IF(COUNTIFS('Diario'!$A$8:$A$507,A586)&lt;&gt;1,"ID assente / duplicato",IF(OR(NOT(ISNUMBER(B586)),B586&lt;1,B586&lt;&gt;INT(B586),COUNTIFS($A$8:$A$1007,A586,$B$8:$B$1007,B586)&lt;&gt;1),"N. esecuzione non valido",IF(OR(NOT(ISNUMBER(C586)),AND(D586&lt;&gt;"Ingresso",D586&lt;&gt;"Uscita"),AND(E586&lt;&gt;"Back",E586&lt;&gt;"Lay")),"Completa data / fase / lato",IF(OR(NOT(ISNUMBER(F586)),F586&lt;=1,NOT(ISNUMBER(G586)),G586&lt;=0),"Correggi quota / stake","OK")))))</x:f>
      </x:c>
    </x:row>
    <x:row r="587" ht="22" customHeight="1">
      <x:c r="A587" s="24"/>
      <x:c r="B587" s="24"/>
      <x:c r="C587" s="26"/>
      <x:c r="D587" s="24"/>
      <x:c r="E587" s="24"/>
      <x:c r="F587" s="28"/>
      <x:c r="G587" s="29"/>
      <x:c r="H587" s="24"/>
      <x:c r="I587" s="24"/>
      <x:c r="J587" s="24"/>
      <x:c r="K587" s="24"/>
      <x:c r="L587" s="20" t="str">
        <x:f>IF(Q587&lt;&gt;"OK","",IF(E587="Back",G587*(F587-1),-G587*(F587-1)))</x:f>
      </x:c>
      <x:c r="M587" s="20" t="str">
        <x:f>IF(Q587&lt;&gt;"OK","",IF(E587="Back",-G587,G587))</x:f>
      </x:c>
      <x:c r="N587" s="20" t="str">
        <x:f>IF(Q587&lt;&gt;"OK","",SUMIFS($L$8:$L$1007,$A$8:$A$1007,A587,$B$8:$B$1007,"&lt;="&amp;B587))</x:f>
      </x:c>
      <x:c r="O587" s="20" t="str">
        <x:f>IF(Q587&lt;&gt;"OK","",SUMIFS($M$8:$M$1007,$A$8:$A$1007,A587,$B$8:$B$1007,"&lt;="&amp;B587))</x:f>
      </x:c>
      <x:c r="P587" s="20" t="str">
        <x:f>IF(Q587&lt;&gt;"OK","",MAX(0,-MIN(N587,O587)))</x:f>
      </x:c>
      <x:c r="Q587" s="18" t="str">
        <x:f>IF(A587="",IF(COUNTA(B587:K587)=0,"","Inserisci ID"),IF(COUNTIFS('Diario'!$A$8:$A$507,A587)&lt;&gt;1,"ID assente / duplicato",IF(OR(NOT(ISNUMBER(B587)),B587&lt;1,B587&lt;&gt;INT(B587),COUNTIFS($A$8:$A$1007,A587,$B$8:$B$1007,B587)&lt;&gt;1),"N. esecuzione non valido",IF(OR(NOT(ISNUMBER(C587)),AND(D587&lt;&gt;"Ingresso",D587&lt;&gt;"Uscita"),AND(E587&lt;&gt;"Back",E587&lt;&gt;"Lay")),"Completa data / fase / lato",IF(OR(NOT(ISNUMBER(F587)),F587&lt;=1,NOT(ISNUMBER(G587)),G587&lt;=0),"Correggi quota / stake","OK")))))</x:f>
      </x:c>
    </x:row>
    <x:row r="588" ht="22" customHeight="1">
      <x:c r="A588" s="24"/>
      <x:c r="B588" s="24"/>
      <x:c r="C588" s="26"/>
      <x:c r="D588" s="24"/>
      <x:c r="E588" s="24"/>
      <x:c r="F588" s="28"/>
      <x:c r="G588" s="29"/>
      <x:c r="H588" s="24"/>
      <x:c r="I588" s="24"/>
      <x:c r="J588" s="24"/>
      <x:c r="K588" s="24"/>
      <x:c r="L588" s="20" t="str">
        <x:f>IF(Q588&lt;&gt;"OK","",IF(E588="Back",G588*(F588-1),-G588*(F588-1)))</x:f>
      </x:c>
      <x:c r="M588" s="20" t="str">
        <x:f>IF(Q588&lt;&gt;"OK","",IF(E588="Back",-G588,G588))</x:f>
      </x:c>
      <x:c r="N588" s="20" t="str">
        <x:f>IF(Q588&lt;&gt;"OK","",SUMIFS($L$8:$L$1007,$A$8:$A$1007,A588,$B$8:$B$1007,"&lt;="&amp;B588))</x:f>
      </x:c>
      <x:c r="O588" s="20" t="str">
        <x:f>IF(Q588&lt;&gt;"OK","",SUMIFS($M$8:$M$1007,$A$8:$A$1007,A588,$B$8:$B$1007,"&lt;="&amp;B588))</x:f>
      </x:c>
      <x:c r="P588" s="20" t="str">
        <x:f>IF(Q588&lt;&gt;"OK","",MAX(0,-MIN(N588,O588)))</x:f>
      </x:c>
      <x:c r="Q588" s="18" t="str">
        <x:f>IF(A588="",IF(COUNTA(B588:K588)=0,"","Inserisci ID"),IF(COUNTIFS('Diario'!$A$8:$A$507,A588)&lt;&gt;1,"ID assente / duplicato",IF(OR(NOT(ISNUMBER(B588)),B588&lt;1,B588&lt;&gt;INT(B588),COUNTIFS($A$8:$A$1007,A588,$B$8:$B$1007,B588)&lt;&gt;1),"N. esecuzione non valido",IF(OR(NOT(ISNUMBER(C588)),AND(D588&lt;&gt;"Ingresso",D588&lt;&gt;"Uscita"),AND(E588&lt;&gt;"Back",E588&lt;&gt;"Lay")),"Completa data / fase / lato",IF(OR(NOT(ISNUMBER(F588)),F588&lt;=1,NOT(ISNUMBER(G588)),G588&lt;=0),"Correggi quota / stake","OK")))))</x:f>
      </x:c>
    </x:row>
    <x:row r="589" ht="22" customHeight="1">
      <x:c r="A589" s="24"/>
      <x:c r="B589" s="24"/>
      <x:c r="C589" s="26"/>
      <x:c r="D589" s="24"/>
      <x:c r="E589" s="24"/>
      <x:c r="F589" s="28"/>
      <x:c r="G589" s="29"/>
      <x:c r="H589" s="24"/>
      <x:c r="I589" s="24"/>
      <x:c r="J589" s="24"/>
      <x:c r="K589" s="24"/>
      <x:c r="L589" s="20" t="str">
        <x:f>IF(Q589&lt;&gt;"OK","",IF(E589="Back",G589*(F589-1),-G589*(F589-1)))</x:f>
      </x:c>
      <x:c r="M589" s="20" t="str">
        <x:f>IF(Q589&lt;&gt;"OK","",IF(E589="Back",-G589,G589))</x:f>
      </x:c>
      <x:c r="N589" s="20" t="str">
        <x:f>IF(Q589&lt;&gt;"OK","",SUMIFS($L$8:$L$1007,$A$8:$A$1007,A589,$B$8:$B$1007,"&lt;="&amp;B589))</x:f>
      </x:c>
      <x:c r="O589" s="20" t="str">
        <x:f>IF(Q589&lt;&gt;"OK","",SUMIFS($M$8:$M$1007,$A$8:$A$1007,A589,$B$8:$B$1007,"&lt;="&amp;B589))</x:f>
      </x:c>
      <x:c r="P589" s="20" t="str">
        <x:f>IF(Q589&lt;&gt;"OK","",MAX(0,-MIN(N589,O589)))</x:f>
      </x:c>
      <x:c r="Q589" s="18" t="str">
        <x:f>IF(A589="",IF(COUNTA(B589:K589)=0,"","Inserisci ID"),IF(COUNTIFS('Diario'!$A$8:$A$507,A589)&lt;&gt;1,"ID assente / duplicato",IF(OR(NOT(ISNUMBER(B589)),B589&lt;1,B589&lt;&gt;INT(B589),COUNTIFS($A$8:$A$1007,A589,$B$8:$B$1007,B589)&lt;&gt;1),"N. esecuzione non valido",IF(OR(NOT(ISNUMBER(C589)),AND(D589&lt;&gt;"Ingresso",D589&lt;&gt;"Uscita"),AND(E589&lt;&gt;"Back",E589&lt;&gt;"Lay")),"Completa data / fase / lato",IF(OR(NOT(ISNUMBER(F589)),F589&lt;=1,NOT(ISNUMBER(G589)),G589&lt;=0),"Correggi quota / stake","OK")))))</x:f>
      </x:c>
    </x:row>
    <x:row r="590" ht="22" customHeight="1">
      <x:c r="A590" s="24"/>
      <x:c r="B590" s="24"/>
      <x:c r="C590" s="26"/>
      <x:c r="D590" s="24"/>
      <x:c r="E590" s="24"/>
      <x:c r="F590" s="28"/>
      <x:c r="G590" s="29"/>
      <x:c r="H590" s="24"/>
      <x:c r="I590" s="24"/>
      <x:c r="J590" s="24"/>
      <x:c r="K590" s="24"/>
      <x:c r="L590" s="20" t="str">
        <x:f>IF(Q590&lt;&gt;"OK","",IF(E590="Back",G590*(F590-1),-G590*(F590-1)))</x:f>
      </x:c>
      <x:c r="M590" s="20" t="str">
        <x:f>IF(Q590&lt;&gt;"OK","",IF(E590="Back",-G590,G590))</x:f>
      </x:c>
      <x:c r="N590" s="20" t="str">
        <x:f>IF(Q590&lt;&gt;"OK","",SUMIFS($L$8:$L$1007,$A$8:$A$1007,A590,$B$8:$B$1007,"&lt;="&amp;B590))</x:f>
      </x:c>
      <x:c r="O590" s="20" t="str">
        <x:f>IF(Q590&lt;&gt;"OK","",SUMIFS($M$8:$M$1007,$A$8:$A$1007,A590,$B$8:$B$1007,"&lt;="&amp;B590))</x:f>
      </x:c>
      <x:c r="P590" s="20" t="str">
        <x:f>IF(Q590&lt;&gt;"OK","",MAX(0,-MIN(N590,O590)))</x:f>
      </x:c>
      <x:c r="Q590" s="18" t="str">
        <x:f>IF(A590="",IF(COUNTA(B590:K590)=0,"","Inserisci ID"),IF(COUNTIFS('Diario'!$A$8:$A$507,A590)&lt;&gt;1,"ID assente / duplicato",IF(OR(NOT(ISNUMBER(B590)),B590&lt;1,B590&lt;&gt;INT(B590),COUNTIFS($A$8:$A$1007,A590,$B$8:$B$1007,B590)&lt;&gt;1),"N. esecuzione non valido",IF(OR(NOT(ISNUMBER(C590)),AND(D590&lt;&gt;"Ingresso",D590&lt;&gt;"Uscita"),AND(E590&lt;&gt;"Back",E590&lt;&gt;"Lay")),"Completa data / fase / lato",IF(OR(NOT(ISNUMBER(F590)),F590&lt;=1,NOT(ISNUMBER(G590)),G590&lt;=0),"Correggi quota / stake","OK")))))</x:f>
      </x:c>
    </x:row>
    <x:row r="591" ht="22" customHeight="1">
      <x:c r="A591" s="24"/>
      <x:c r="B591" s="24"/>
      <x:c r="C591" s="26"/>
      <x:c r="D591" s="24"/>
      <x:c r="E591" s="24"/>
      <x:c r="F591" s="28"/>
      <x:c r="G591" s="29"/>
      <x:c r="H591" s="24"/>
      <x:c r="I591" s="24"/>
      <x:c r="J591" s="24"/>
      <x:c r="K591" s="24"/>
      <x:c r="L591" s="20" t="str">
        <x:f>IF(Q591&lt;&gt;"OK","",IF(E591="Back",G591*(F591-1),-G591*(F591-1)))</x:f>
      </x:c>
      <x:c r="M591" s="20" t="str">
        <x:f>IF(Q591&lt;&gt;"OK","",IF(E591="Back",-G591,G591))</x:f>
      </x:c>
      <x:c r="N591" s="20" t="str">
        <x:f>IF(Q591&lt;&gt;"OK","",SUMIFS($L$8:$L$1007,$A$8:$A$1007,A591,$B$8:$B$1007,"&lt;="&amp;B591))</x:f>
      </x:c>
      <x:c r="O591" s="20" t="str">
        <x:f>IF(Q591&lt;&gt;"OK","",SUMIFS($M$8:$M$1007,$A$8:$A$1007,A591,$B$8:$B$1007,"&lt;="&amp;B591))</x:f>
      </x:c>
      <x:c r="P591" s="20" t="str">
        <x:f>IF(Q591&lt;&gt;"OK","",MAX(0,-MIN(N591,O591)))</x:f>
      </x:c>
      <x:c r="Q591" s="18" t="str">
        <x:f>IF(A591="",IF(COUNTA(B591:K591)=0,"","Inserisci ID"),IF(COUNTIFS('Diario'!$A$8:$A$507,A591)&lt;&gt;1,"ID assente / duplicato",IF(OR(NOT(ISNUMBER(B591)),B591&lt;1,B591&lt;&gt;INT(B591),COUNTIFS($A$8:$A$1007,A591,$B$8:$B$1007,B591)&lt;&gt;1),"N. esecuzione non valido",IF(OR(NOT(ISNUMBER(C591)),AND(D591&lt;&gt;"Ingresso",D591&lt;&gt;"Uscita"),AND(E591&lt;&gt;"Back",E591&lt;&gt;"Lay")),"Completa data / fase / lato",IF(OR(NOT(ISNUMBER(F591)),F591&lt;=1,NOT(ISNUMBER(G591)),G591&lt;=0),"Correggi quota / stake","OK")))))</x:f>
      </x:c>
    </x:row>
    <x:row r="592" ht="22" customHeight="1">
      <x:c r="A592" s="24"/>
      <x:c r="B592" s="24"/>
      <x:c r="C592" s="26"/>
      <x:c r="D592" s="24"/>
      <x:c r="E592" s="24"/>
      <x:c r="F592" s="28"/>
      <x:c r="G592" s="29"/>
      <x:c r="H592" s="24"/>
      <x:c r="I592" s="24"/>
      <x:c r="J592" s="24"/>
      <x:c r="K592" s="24"/>
      <x:c r="L592" s="20" t="str">
        <x:f>IF(Q592&lt;&gt;"OK","",IF(E592="Back",G592*(F592-1),-G592*(F592-1)))</x:f>
      </x:c>
      <x:c r="M592" s="20" t="str">
        <x:f>IF(Q592&lt;&gt;"OK","",IF(E592="Back",-G592,G592))</x:f>
      </x:c>
      <x:c r="N592" s="20" t="str">
        <x:f>IF(Q592&lt;&gt;"OK","",SUMIFS($L$8:$L$1007,$A$8:$A$1007,A592,$B$8:$B$1007,"&lt;="&amp;B592))</x:f>
      </x:c>
      <x:c r="O592" s="20" t="str">
        <x:f>IF(Q592&lt;&gt;"OK","",SUMIFS($M$8:$M$1007,$A$8:$A$1007,A592,$B$8:$B$1007,"&lt;="&amp;B592))</x:f>
      </x:c>
      <x:c r="P592" s="20" t="str">
        <x:f>IF(Q592&lt;&gt;"OK","",MAX(0,-MIN(N592,O592)))</x:f>
      </x:c>
      <x:c r="Q592" s="18" t="str">
        <x:f>IF(A592="",IF(COUNTA(B592:K592)=0,"","Inserisci ID"),IF(COUNTIFS('Diario'!$A$8:$A$507,A592)&lt;&gt;1,"ID assente / duplicato",IF(OR(NOT(ISNUMBER(B592)),B592&lt;1,B592&lt;&gt;INT(B592),COUNTIFS($A$8:$A$1007,A592,$B$8:$B$1007,B592)&lt;&gt;1),"N. esecuzione non valido",IF(OR(NOT(ISNUMBER(C592)),AND(D592&lt;&gt;"Ingresso",D592&lt;&gt;"Uscita"),AND(E592&lt;&gt;"Back",E592&lt;&gt;"Lay")),"Completa data / fase / lato",IF(OR(NOT(ISNUMBER(F592)),F592&lt;=1,NOT(ISNUMBER(G592)),G592&lt;=0),"Correggi quota / stake","OK")))))</x:f>
      </x:c>
    </x:row>
    <x:row r="593" ht="22" customHeight="1">
      <x:c r="A593" s="24"/>
      <x:c r="B593" s="24"/>
      <x:c r="C593" s="26"/>
      <x:c r="D593" s="24"/>
      <x:c r="E593" s="24"/>
      <x:c r="F593" s="28"/>
      <x:c r="G593" s="29"/>
      <x:c r="H593" s="24"/>
      <x:c r="I593" s="24"/>
      <x:c r="J593" s="24"/>
      <x:c r="K593" s="24"/>
      <x:c r="L593" s="20" t="str">
        <x:f>IF(Q593&lt;&gt;"OK","",IF(E593="Back",G593*(F593-1),-G593*(F593-1)))</x:f>
      </x:c>
      <x:c r="M593" s="20" t="str">
        <x:f>IF(Q593&lt;&gt;"OK","",IF(E593="Back",-G593,G593))</x:f>
      </x:c>
      <x:c r="N593" s="20" t="str">
        <x:f>IF(Q593&lt;&gt;"OK","",SUMIFS($L$8:$L$1007,$A$8:$A$1007,A593,$B$8:$B$1007,"&lt;="&amp;B593))</x:f>
      </x:c>
      <x:c r="O593" s="20" t="str">
        <x:f>IF(Q593&lt;&gt;"OK","",SUMIFS($M$8:$M$1007,$A$8:$A$1007,A593,$B$8:$B$1007,"&lt;="&amp;B593))</x:f>
      </x:c>
      <x:c r="P593" s="20" t="str">
        <x:f>IF(Q593&lt;&gt;"OK","",MAX(0,-MIN(N593,O593)))</x:f>
      </x:c>
      <x:c r="Q593" s="18" t="str">
        <x:f>IF(A593="",IF(COUNTA(B593:K593)=0,"","Inserisci ID"),IF(COUNTIFS('Diario'!$A$8:$A$507,A593)&lt;&gt;1,"ID assente / duplicato",IF(OR(NOT(ISNUMBER(B593)),B593&lt;1,B593&lt;&gt;INT(B593),COUNTIFS($A$8:$A$1007,A593,$B$8:$B$1007,B593)&lt;&gt;1),"N. esecuzione non valido",IF(OR(NOT(ISNUMBER(C593)),AND(D593&lt;&gt;"Ingresso",D593&lt;&gt;"Uscita"),AND(E593&lt;&gt;"Back",E593&lt;&gt;"Lay")),"Completa data / fase / lato",IF(OR(NOT(ISNUMBER(F593)),F593&lt;=1,NOT(ISNUMBER(G593)),G593&lt;=0),"Correggi quota / stake","OK")))))</x:f>
      </x:c>
    </x:row>
    <x:row r="594" ht="22" customHeight="1">
      <x:c r="A594" s="24"/>
      <x:c r="B594" s="24"/>
      <x:c r="C594" s="26"/>
      <x:c r="D594" s="24"/>
      <x:c r="E594" s="24"/>
      <x:c r="F594" s="28"/>
      <x:c r="G594" s="29"/>
      <x:c r="H594" s="24"/>
      <x:c r="I594" s="24"/>
      <x:c r="J594" s="24"/>
      <x:c r="K594" s="24"/>
      <x:c r="L594" s="20" t="str">
        <x:f>IF(Q594&lt;&gt;"OK","",IF(E594="Back",G594*(F594-1),-G594*(F594-1)))</x:f>
      </x:c>
      <x:c r="M594" s="20" t="str">
        <x:f>IF(Q594&lt;&gt;"OK","",IF(E594="Back",-G594,G594))</x:f>
      </x:c>
      <x:c r="N594" s="20" t="str">
        <x:f>IF(Q594&lt;&gt;"OK","",SUMIFS($L$8:$L$1007,$A$8:$A$1007,A594,$B$8:$B$1007,"&lt;="&amp;B594))</x:f>
      </x:c>
      <x:c r="O594" s="20" t="str">
        <x:f>IF(Q594&lt;&gt;"OK","",SUMIFS($M$8:$M$1007,$A$8:$A$1007,A594,$B$8:$B$1007,"&lt;="&amp;B594))</x:f>
      </x:c>
      <x:c r="P594" s="20" t="str">
        <x:f>IF(Q594&lt;&gt;"OK","",MAX(0,-MIN(N594,O594)))</x:f>
      </x:c>
      <x:c r="Q594" s="18" t="str">
        <x:f>IF(A594="",IF(COUNTA(B594:K594)=0,"","Inserisci ID"),IF(COUNTIFS('Diario'!$A$8:$A$507,A594)&lt;&gt;1,"ID assente / duplicato",IF(OR(NOT(ISNUMBER(B594)),B594&lt;1,B594&lt;&gt;INT(B594),COUNTIFS($A$8:$A$1007,A594,$B$8:$B$1007,B594)&lt;&gt;1),"N. esecuzione non valido",IF(OR(NOT(ISNUMBER(C594)),AND(D594&lt;&gt;"Ingresso",D594&lt;&gt;"Uscita"),AND(E594&lt;&gt;"Back",E594&lt;&gt;"Lay")),"Completa data / fase / lato",IF(OR(NOT(ISNUMBER(F594)),F594&lt;=1,NOT(ISNUMBER(G594)),G594&lt;=0),"Correggi quota / stake","OK")))))</x:f>
      </x:c>
    </x:row>
    <x:row r="595" ht="22" customHeight="1">
      <x:c r="A595" s="24"/>
      <x:c r="B595" s="24"/>
      <x:c r="C595" s="26"/>
      <x:c r="D595" s="24"/>
      <x:c r="E595" s="24"/>
      <x:c r="F595" s="28"/>
      <x:c r="G595" s="29"/>
      <x:c r="H595" s="24"/>
      <x:c r="I595" s="24"/>
      <x:c r="J595" s="24"/>
      <x:c r="K595" s="24"/>
      <x:c r="L595" s="20" t="str">
        <x:f>IF(Q595&lt;&gt;"OK","",IF(E595="Back",G595*(F595-1),-G595*(F595-1)))</x:f>
      </x:c>
      <x:c r="M595" s="20" t="str">
        <x:f>IF(Q595&lt;&gt;"OK","",IF(E595="Back",-G595,G595))</x:f>
      </x:c>
      <x:c r="N595" s="20" t="str">
        <x:f>IF(Q595&lt;&gt;"OK","",SUMIFS($L$8:$L$1007,$A$8:$A$1007,A595,$B$8:$B$1007,"&lt;="&amp;B595))</x:f>
      </x:c>
      <x:c r="O595" s="20" t="str">
        <x:f>IF(Q595&lt;&gt;"OK","",SUMIFS($M$8:$M$1007,$A$8:$A$1007,A595,$B$8:$B$1007,"&lt;="&amp;B595))</x:f>
      </x:c>
      <x:c r="P595" s="20" t="str">
        <x:f>IF(Q595&lt;&gt;"OK","",MAX(0,-MIN(N595,O595)))</x:f>
      </x:c>
      <x:c r="Q595" s="18" t="str">
        <x:f>IF(A595="",IF(COUNTA(B595:K595)=0,"","Inserisci ID"),IF(COUNTIFS('Diario'!$A$8:$A$507,A595)&lt;&gt;1,"ID assente / duplicato",IF(OR(NOT(ISNUMBER(B595)),B595&lt;1,B595&lt;&gt;INT(B595),COUNTIFS($A$8:$A$1007,A595,$B$8:$B$1007,B595)&lt;&gt;1),"N. esecuzione non valido",IF(OR(NOT(ISNUMBER(C595)),AND(D595&lt;&gt;"Ingresso",D595&lt;&gt;"Uscita"),AND(E595&lt;&gt;"Back",E595&lt;&gt;"Lay")),"Completa data / fase / lato",IF(OR(NOT(ISNUMBER(F595)),F595&lt;=1,NOT(ISNUMBER(G595)),G595&lt;=0),"Correggi quota / stake","OK")))))</x:f>
      </x:c>
    </x:row>
    <x:row r="596" ht="22" customHeight="1">
      <x:c r="A596" s="24"/>
      <x:c r="B596" s="24"/>
      <x:c r="C596" s="26"/>
      <x:c r="D596" s="24"/>
      <x:c r="E596" s="24"/>
      <x:c r="F596" s="28"/>
      <x:c r="G596" s="29"/>
      <x:c r="H596" s="24"/>
      <x:c r="I596" s="24"/>
      <x:c r="J596" s="24"/>
      <x:c r="K596" s="24"/>
      <x:c r="L596" s="20" t="str">
        <x:f>IF(Q596&lt;&gt;"OK","",IF(E596="Back",G596*(F596-1),-G596*(F596-1)))</x:f>
      </x:c>
      <x:c r="M596" s="20" t="str">
        <x:f>IF(Q596&lt;&gt;"OK","",IF(E596="Back",-G596,G596))</x:f>
      </x:c>
      <x:c r="N596" s="20" t="str">
        <x:f>IF(Q596&lt;&gt;"OK","",SUMIFS($L$8:$L$1007,$A$8:$A$1007,A596,$B$8:$B$1007,"&lt;="&amp;B596))</x:f>
      </x:c>
      <x:c r="O596" s="20" t="str">
        <x:f>IF(Q596&lt;&gt;"OK","",SUMIFS($M$8:$M$1007,$A$8:$A$1007,A596,$B$8:$B$1007,"&lt;="&amp;B596))</x:f>
      </x:c>
      <x:c r="P596" s="20" t="str">
        <x:f>IF(Q596&lt;&gt;"OK","",MAX(0,-MIN(N596,O596)))</x:f>
      </x:c>
      <x:c r="Q596" s="18" t="str">
        <x:f>IF(A596="",IF(COUNTA(B596:K596)=0,"","Inserisci ID"),IF(COUNTIFS('Diario'!$A$8:$A$507,A596)&lt;&gt;1,"ID assente / duplicato",IF(OR(NOT(ISNUMBER(B596)),B596&lt;1,B596&lt;&gt;INT(B596),COUNTIFS($A$8:$A$1007,A596,$B$8:$B$1007,B596)&lt;&gt;1),"N. esecuzione non valido",IF(OR(NOT(ISNUMBER(C596)),AND(D596&lt;&gt;"Ingresso",D596&lt;&gt;"Uscita"),AND(E596&lt;&gt;"Back",E596&lt;&gt;"Lay")),"Completa data / fase / lato",IF(OR(NOT(ISNUMBER(F596)),F596&lt;=1,NOT(ISNUMBER(G596)),G596&lt;=0),"Correggi quota / stake","OK")))))</x:f>
      </x:c>
    </x:row>
    <x:row r="597" ht="22" customHeight="1">
      <x:c r="A597" s="24"/>
      <x:c r="B597" s="24"/>
      <x:c r="C597" s="26"/>
      <x:c r="D597" s="24"/>
      <x:c r="E597" s="24"/>
      <x:c r="F597" s="28"/>
      <x:c r="G597" s="29"/>
      <x:c r="H597" s="24"/>
      <x:c r="I597" s="24"/>
      <x:c r="J597" s="24"/>
      <x:c r="K597" s="24"/>
      <x:c r="L597" s="20" t="str">
        <x:f>IF(Q597&lt;&gt;"OK","",IF(E597="Back",G597*(F597-1),-G597*(F597-1)))</x:f>
      </x:c>
      <x:c r="M597" s="20" t="str">
        <x:f>IF(Q597&lt;&gt;"OK","",IF(E597="Back",-G597,G597))</x:f>
      </x:c>
      <x:c r="N597" s="20" t="str">
        <x:f>IF(Q597&lt;&gt;"OK","",SUMIFS($L$8:$L$1007,$A$8:$A$1007,A597,$B$8:$B$1007,"&lt;="&amp;B597))</x:f>
      </x:c>
      <x:c r="O597" s="20" t="str">
        <x:f>IF(Q597&lt;&gt;"OK","",SUMIFS($M$8:$M$1007,$A$8:$A$1007,A597,$B$8:$B$1007,"&lt;="&amp;B597))</x:f>
      </x:c>
      <x:c r="P597" s="20" t="str">
        <x:f>IF(Q597&lt;&gt;"OK","",MAX(0,-MIN(N597,O597)))</x:f>
      </x:c>
      <x:c r="Q597" s="18" t="str">
        <x:f>IF(A597="",IF(COUNTA(B597:K597)=0,"","Inserisci ID"),IF(COUNTIFS('Diario'!$A$8:$A$507,A597)&lt;&gt;1,"ID assente / duplicato",IF(OR(NOT(ISNUMBER(B597)),B597&lt;1,B597&lt;&gt;INT(B597),COUNTIFS($A$8:$A$1007,A597,$B$8:$B$1007,B597)&lt;&gt;1),"N. esecuzione non valido",IF(OR(NOT(ISNUMBER(C597)),AND(D597&lt;&gt;"Ingresso",D597&lt;&gt;"Uscita"),AND(E597&lt;&gt;"Back",E597&lt;&gt;"Lay")),"Completa data / fase / lato",IF(OR(NOT(ISNUMBER(F597)),F597&lt;=1,NOT(ISNUMBER(G597)),G597&lt;=0),"Correggi quota / stake","OK")))))</x:f>
      </x:c>
    </x:row>
    <x:row r="598" ht="22" customHeight="1">
      <x:c r="A598" s="24"/>
      <x:c r="B598" s="24"/>
      <x:c r="C598" s="26"/>
      <x:c r="D598" s="24"/>
      <x:c r="E598" s="24"/>
      <x:c r="F598" s="28"/>
      <x:c r="G598" s="29"/>
      <x:c r="H598" s="24"/>
      <x:c r="I598" s="24"/>
      <x:c r="J598" s="24"/>
      <x:c r="K598" s="24"/>
      <x:c r="L598" s="20" t="str">
        <x:f>IF(Q598&lt;&gt;"OK","",IF(E598="Back",G598*(F598-1),-G598*(F598-1)))</x:f>
      </x:c>
      <x:c r="M598" s="20" t="str">
        <x:f>IF(Q598&lt;&gt;"OK","",IF(E598="Back",-G598,G598))</x:f>
      </x:c>
      <x:c r="N598" s="20" t="str">
        <x:f>IF(Q598&lt;&gt;"OK","",SUMIFS($L$8:$L$1007,$A$8:$A$1007,A598,$B$8:$B$1007,"&lt;="&amp;B598))</x:f>
      </x:c>
      <x:c r="O598" s="20" t="str">
        <x:f>IF(Q598&lt;&gt;"OK","",SUMIFS($M$8:$M$1007,$A$8:$A$1007,A598,$B$8:$B$1007,"&lt;="&amp;B598))</x:f>
      </x:c>
      <x:c r="P598" s="20" t="str">
        <x:f>IF(Q598&lt;&gt;"OK","",MAX(0,-MIN(N598,O598)))</x:f>
      </x:c>
      <x:c r="Q598" s="18" t="str">
        <x:f>IF(A598="",IF(COUNTA(B598:K598)=0,"","Inserisci ID"),IF(COUNTIFS('Diario'!$A$8:$A$507,A598)&lt;&gt;1,"ID assente / duplicato",IF(OR(NOT(ISNUMBER(B598)),B598&lt;1,B598&lt;&gt;INT(B598),COUNTIFS($A$8:$A$1007,A598,$B$8:$B$1007,B598)&lt;&gt;1),"N. esecuzione non valido",IF(OR(NOT(ISNUMBER(C598)),AND(D598&lt;&gt;"Ingresso",D598&lt;&gt;"Uscita"),AND(E598&lt;&gt;"Back",E598&lt;&gt;"Lay")),"Completa data / fase / lato",IF(OR(NOT(ISNUMBER(F598)),F598&lt;=1,NOT(ISNUMBER(G598)),G598&lt;=0),"Correggi quota / stake","OK")))))</x:f>
      </x:c>
    </x:row>
    <x:row r="599" ht="22" customHeight="1">
      <x:c r="A599" s="24"/>
      <x:c r="B599" s="24"/>
      <x:c r="C599" s="26"/>
      <x:c r="D599" s="24"/>
      <x:c r="E599" s="24"/>
      <x:c r="F599" s="28"/>
      <x:c r="G599" s="29"/>
      <x:c r="H599" s="24"/>
      <x:c r="I599" s="24"/>
      <x:c r="J599" s="24"/>
      <x:c r="K599" s="24"/>
      <x:c r="L599" s="20" t="str">
        <x:f>IF(Q599&lt;&gt;"OK","",IF(E599="Back",G599*(F599-1),-G599*(F599-1)))</x:f>
      </x:c>
      <x:c r="M599" s="20" t="str">
        <x:f>IF(Q599&lt;&gt;"OK","",IF(E599="Back",-G599,G599))</x:f>
      </x:c>
      <x:c r="N599" s="20" t="str">
        <x:f>IF(Q599&lt;&gt;"OK","",SUMIFS($L$8:$L$1007,$A$8:$A$1007,A599,$B$8:$B$1007,"&lt;="&amp;B599))</x:f>
      </x:c>
      <x:c r="O599" s="20" t="str">
        <x:f>IF(Q599&lt;&gt;"OK","",SUMIFS($M$8:$M$1007,$A$8:$A$1007,A599,$B$8:$B$1007,"&lt;="&amp;B599))</x:f>
      </x:c>
      <x:c r="P599" s="20" t="str">
        <x:f>IF(Q599&lt;&gt;"OK","",MAX(0,-MIN(N599,O599)))</x:f>
      </x:c>
      <x:c r="Q599" s="18" t="str">
        <x:f>IF(A599="",IF(COUNTA(B599:K599)=0,"","Inserisci ID"),IF(COUNTIFS('Diario'!$A$8:$A$507,A599)&lt;&gt;1,"ID assente / duplicato",IF(OR(NOT(ISNUMBER(B599)),B599&lt;1,B599&lt;&gt;INT(B599),COUNTIFS($A$8:$A$1007,A599,$B$8:$B$1007,B599)&lt;&gt;1),"N. esecuzione non valido",IF(OR(NOT(ISNUMBER(C599)),AND(D599&lt;&gt;"Ingresso",D599&lt;&gt;"Uscita"),AND(E599&lt;&gt;"Back",E599&lt;&gt;"Lay")),"Completa data / fase / lato",IF(OR(NOT(ISNUMBER(F599)),F599&lt;=1,NOT(ISNUMBER(G599)),G599&lt;=0),"Correggi quota / stake","OK")))))</x:f>
      </x:c>
    </x:row>
    <x:row r="600" ht="22" customHeight="1">
      <x:c r="A600" s="24"/>
      <x:c r="B600" s="24"/>
      <x:c r="C600" s="26"/>
      <x:c r="D600" s="24"/>
      <x:c r="E600" s="24"/>
      <x:c r="F600" s="28"/>
      <x:c r="G600" s="29"/>
      <x:c r="H600" s="24"/>
      <x:c r="I600" s="24"/>
      <x:c r="J600" s="24"/>
      <x:c r="K600" s="24"/>
      <x:c r="L600" s="20" t="str">
        <x:f>IF(Q600&lt;&gt;"OK","",IF(E600="Back",G600*(F600-1),-G600*(F600-1)))</x:f>
      </x:c>
      <x:c r="M600" s="20" t="str">
        <x:f>IF(Q600&lt;&gt;"OK","",IF(E600="Back",-G600,G600))</x:f>
      </x:c>
      <x:c r="N600" s="20" t="str">
        <x:f>IF(Q600&lt;&gt;"OK","",SUMIFS($L$8:$L$1007,$A$8:$A$1007,A600,$B$8:$B$1007,"&lt;="&amp;B600))</x:f>
      </x:c>
      <x:c r="O600" s="20" t="str">
        <x:f>IF(Q600&lt;&gt;"OK","",SUMIFS($M$8:$M$1007,$A$8:$A$1007,A600,$B$8:$B$1007,"&lt;="&amp;B600))</x:f>
      </x:c>
      <x:c r="P600" s="20" t="str">
        <x:f>IF(Q600&lt;&gt;"OK","",MAX(0,-MIN(N600,O600)))</x:f>
      </x:c>
      <x:c r="Q600" s="18" t="str">
        <x:f>IF(A600="",IF(COUNTA(B600:K600)=0,"","Inserisci ID"),IF(COUNTIFS('Diario'!$A$8:$A$507,A600)&lt;&gt;1,"ID assente / duplicato",IF(OR(NOT(ISNUMBER(B600)),B600&lt;1,B600&lt;&gt;INT(B600),COUNTIFS($A$8:$A$1007,A600,$B$8:$B$1007,B600)&lt;&gt;1),"N. esecuzione non valido",IF(OR(NOT(ISNUMBER(C600)),AND(D600&lt;&gt;"Ingresso",D600&lt;&gt;"Uscita"),AND(E600&lt;&gt;"Back",E600&lt;&gt;"Lay")),"Completa data / fase / lato",IF(OR(NOT(ISNUMBER(F600)),F600&lt;=1,NOT(ISNUMBER(G600)),G600&lt;=0),"Correggi quota / stake","OK")))))</x:f>
      </x:c>
    </x:row>
    <x:row r="601" ht="22" customHeight="1">
      <x:c r="A601" s="24"/>
      <x:c r="B601" s="24"/>
      <x:c r="C601" s="26"/>
      <x:c r="D601" s="24"/>
      <x:c r="E601" s="24"/>
      <x:c r="F601" s="28"/>
      <x:c r="G601" s="29"/>
      <x:c r="H601" s="24"/>
      <x:c r="I601" s="24"/>
      <x:c r="J601" s="24"/>
      <x:c r="K601" s="24"/>
      <x:c r="L601" s="20" t="str">
        <x:f>IF(Q601&lt;&gt;"OK","",IF(E601="Back",G601*(F601-1),-G601*(F601-1)))</x:f>
      </x:c>
      <x:c r="M601" s="20" t="str">
        <x:f>IF(Q601&lt;&gt;"OK","",IF(E601="Back",-G601,G601))</x:f>
      </x:c>
      <x:c r="N601" s="20" t="str">
        <x:f>IF(Q601&lt;&gt;"OK","",SUMIFS($L$8:$L$1007,$A$8:$A$1007,A601,$B$8:$B$1007,"&lt;="&amp;B601))</x:f>
      </x:c>
      <x:c r="O601" s="20" t="str">
        <x:f>IF(Q601&lt;&gt;"OK","",SUMIFS($M$8:$M$1007,$A$8:$A$1007,A601,$B$8:$B$1007,"&lt;="&amp;B601))</x:f>
      </x:c>
      <x:c r="P601" s="20" t="str">
        <x:f>IF(Q601&lt;&gt;"OK","",MAX(0,-MIN(N601,O601)))</x:f>
      </x:c>
      <x:c r="Q601" s="18" t="str">
        <x:f>IF(A601="",IF(COUNTA(B601:K601)=0,"","Inserisci ID"),IF(COUNTIFS('Diario'!$A$8:$A$507,A601)&lt;&gt;1,"ID assente / duplicato",IF(OR(NOT(ISNUMBER(B601)),B601&lt;1,B601&lt;&gt;INT(B601),COUNTIFS($A$8:$A$1007,A601,$B$8:$B$1007,B601)&lt;&gt;1),"N. esecuzione non valido",IF(OR(NOT(ISNUMBER(C601)),AND(D601&lt;&gt;"Ingresso",D601&lt;&gt;"Uscita"),AND(E601&lt;&gt;"Back",E601&lt;&gt;"Lay")),"Completa data / fase / lato",IF(OR(NOT(ISNUMBER(F601)),F601&lt;=1,NOT(ISNUMBER(G601)),G601&lt;=0),"Correggi quota / stake","OK")))))</x:f>
      </x:c>
    </x:row>
    <x:row r="602" ht="22" customHeight="1">
      <x:c r="A602" s="24"/>
      <x:c r="B602" s="24"/>
      <x:c r="C602" s="26"/>
      <x:c r="D602" s="24"/>
      <x:c r="E602" s="24"/>
      <x:c r="F602" s="28"/>
      <x:c r="G602" s="29"/>
      <x:c r="H602" s="24"/>
      <x:c r="I602" s="24"/>
      <x:c r="J602" s="24"/>
      <x:c r="K602" s="24"/>
      <x:c r="L602" s="20" t="str">
        <x:f>IF(Q602&lt;&gt;"OK","",IF(E602="Back",G602*(F602-1),-G602*(F602-1)))</x:f>
      </x:c>
      <x:c r="M602" s="20" t="str">
        <x:f>IF(Q602&lt;&gt;"OK","",IF(E602="Back",-G602,G602))</x:f>
      </x:c>
      <x:c r="N602" s="20" t="str">
        <x:f>IF(Q602&lt;&gt;"OK","",SUMIFS($L$8:$L$1007,$A$8:$A$1007,A602,$B$8:$B$1007,"&lt;="&amp;B602))</x:f>
      </x:c>
      <x:c r="O602" s="20" t="str">
        <x:f>IF(Q602&lt;&gt;"OK","",SUMIFS($M$8:$M$1007,$A$8:$A$1007,A602,$B$8:$B$1007,"&lt;="&amp;B602))</x:f>
      </x:c>
      <x:c r="P602" s="20" t="str">
        <x:f>IF(Q602&lt;&gt;"OK","",MAX(0,-MIN(N602,O602)))</x:f>
      </x:c>
      <x:c r="Q602" s="18" t="str">
        <x:f>IF(A602="",IF(COUNTA(B602:K602)=0,"","Inserisci ID"),IF(COUNTIFS('Diario'!$A$8:$A$507,A602)&lt;&gt;1,"ID assente / duplicato",IF(OR(NOT(ISNUMBER(B602)),B602&lt;1,B602&lt;&gt;INT(B602),COUNTIFS($A$8:$A$1007,A602,$B$8:$B$1007,B602)&lt;&gt;1),"N. esecuzione non valido",IF(OR(NOT(ISNUMBER(C602)),AND(D602&lt;&gt;"Ingresso",D602&lt;&gt;"Uscita"),AND(E602&lt;&gt;"Back",E602&lt;&gt;"Lay")),"Completa data / fase / lato",IF(OR(NOT(ISNUMBER(F602)),F602&lt;=1,NOT(ISNUMBER(G602)),G602&lt;=0),"Correggi quota / stake","OK")))))</x:f>
      </x:c>
    </x:row>
    <x:row r="603" ht="22" customHeight="1">
      <x:c r="A603" s="24"/>
      <x:c r="B603" s="24"/>
      <x:c r="C603" s="26"/>
      <x:c r="D603" s="24"/>
      <x:c r="E603" s="24"/>
      <x:c r="F603" s="28"/>
      <x:c r="G603" s="29"/>
      <x:c r="H603" s="24"/>
      <x:c r="I603" s="24"/>
      <x:c r="J603" s="24"/>
      <x:c r="K603" s="24"/>
      <x:c r="L603" s="20" t="str">
        <x:f>IF(Q603&lt;&gt;"OK","",IF(E603="Back",G603*(F603-1),-G603*(F603-1)))</x:f>
      </x:c>
      <x:c r="M603" s="20" t="str">
        <x:f>IF(Q603&lt;&gt;"OK","",IF(E603="Back",-G603,G603))</x:f>
      </x:c>
      <x:c r="N603" s="20" t="str">
        <x:f>IF(Q603&lt;&gt;"OK","",SUMIFS($L$8:$L$1007,$A$8:$A$1007,A603,$B$8:$B$1007,"&lt;="&amp;B603))</x:f>
      </x:c>
      <x:c r="O603" s="20" t="str">
        <x:f>IF(Q603&lt;&gt;"OK","",SUMIFS($M$8:$M$1007,$A$8:$A$1007,A603,$B$8:$B$1007,"&lt;="&amp;B603))</x:f>
      </x:c>
      <x:c r="P603" s="20" t="str">
        <x:f>IF(Q603&lt;&gt;"OK","",MAX(0,-MIN(N603,O603)))</x:f>
      </x:c>
      <x:c r="Q603" s="18" t="str">
        <x:f>IF(A603="",IF(COUNTA(B603:K603)=0,"","Inserisci ID"),IF(COUNTIFS('Diario'!$A$8:$A$507,A603)&lt;&gt;1,"ID assente / duplicato",IF(OR(NOT(ISNUMBER(B603)),B603&lt;1,B603&lt;&gt;INT(B603),COUNTIFS($A$8:$A$1007,A603,$B$8:$B$1007,B603)&lt;&gt;1),"N. esecuzione non valido",IF(OR(NOT(ISNUMBER(C603)),AND(D603&lt;&gt;"Ingresso",D603&lt;&gt;"Uscita"),AND(E603&lt;&gt;"Back",E603&lt;&gt;"Lay")),"Completa data / fase / lato",IF(OR(NOT(ISNUMBER(F603)),F603&lt;=1,NOT(ISNUMBER(G603)),G603&lt;=0),"Correggi quota / stake","OK")))))</x:f>
      </x:c>
    </x:row>
    <x:row r="604" ht="22" customHeight="1">
      <x:c r="A604" s="24"/>
      <x:c r="B604" s="24"/>
      <x:c r="C604" s="26"/>
      <x:c r="D604" s="24"/>
      <x:c r="E604" s="24"/>
      <x:c r="F604" s="28"/>
      <x:c r="G604" s="29"/>
      <x:c r="H604" s="24"/>
      <x:c r="I604" s="24"/>
      <x:c r="J604" s="24"/>
      <x:c r="K604" s="24"/>
      <x:c r="L604" s="20" t="str">
        <x:f>IF(Q604&lt;&gt;"OK","",IF(E604="Back",G604*(F604-1),-G604*(F604-1)))</x:f>
      </x:c>
      <x:c r="M604" s="20" t="str">
        <x:f>IF(Q604&lt;&gt;"OK","",IF(E604="Back",-G604,G604))</x:f>
      </x:c>
      <x:c r="N604" s="20" t="str">
        <x:f>IF(Q604&lt;&gt;"OK","",SUMIFS($L$8:$L$1007,$A$8:$A$1007,A604,$B$8:$B$1007,"&lt;="&amp;B604))</x:f>
      </x:c>
      <x:c r="O604" s="20" t="str">
        <x:f>IF(Q604&lt;&gt;"OK","",SUMIFS($M$8:$M$1007,$A$8:$A$1007,A604,$B$8:$B$1007,"&lt;="&amp;B604))</x:f>
      </x:c>
      <x:c r="P604" s="20" t="str">
        <x:f>IF(Q604&lt;&gt;"OK","",MAX(0,-MIN(N604,O604)))</x:f>
      </x:c>
      <x:c r="Q604" s="18" t="str">
        <x:f>IF(A604="",IF(COUNTA(B604:K604)=0,"","Inserisci ID"),IF(COUNTIFS('Diario'!$A$8:$A$507,A604)&lt;&gt;1,"ID assente / duplicato",IF(OR(NOT(ISNUMBER(B604)),B604&lt;1,B604&lt;&gt;INT(B604),COUNTIFS($A$8:$A$1007,A604,$B$8:$B$1007,B604)&lt;&gt;1),"N. esecuzione non valido",IF(OR(NOT(ISNUMBER(C604)),AND(D604&lt;&gt;"Ingresso",D604&lt;&gt;"Uscita"),AND(E604&lt;&gt;"Back",E604&lt;&gt;"Lay")),"Completa data / fase / lato",IF(OR(NOT(ISNUMBER(F604)),F604&lt;=1,NOT(ISNUMBER(G604)),G604&lt;=0),"Correggi quota / stake","OK")))))</x:f>
      </x:c>
    </x:row>
    <x:row r="605" ht="22" customHeight="1">
      <x:c r="A605" s="24"/>
      <x:c r="B605" s="24"/>
      <x:c r="C605" s="26"/>
      <x:c r="D605" s="24"/>
      <x:c r="E605" s="24"/>
      <x:c r="F605" s="28"/>
      <x:c r="G605" s="29"/>
      <x:c r="H605" s="24"/>
      <x:c r="I605" s="24"/>
      <x:c r="J605" s="24"/>
      <x:c r="K605" s="24"/>
      <x:c r="L605" s="20" t="str">
        <x:f>IF(Q605&lt;&gt;"OK","",IF(E605="Back",G605*(F605-1),-G605*(F605-1)))</x:f>
      </x:c>
      <x:c r="M605" s="20" t="str">
        <x:f>IF(Q605&lt;&gt;"OK","",IF(E605="Back",-G605,G605))</x:f>
      </x:c>
      <x:c r="N605" s="20" t="str">
        <x:f>IF(Q605&lt;&gt;"OK","",SUMIFS($L$8:$L$1007,$A$8:$A$1007,A605,$B$8:$B$1007,"&lt;="&amp;B605))</x:f>
      </x:c>
      <x:c r="O605" s="20" t="str">
        <x:f>IF(Q605&lt;&gt;"OK","",SUMIFS($M$8:$M$1007,$A$8:$A$1007,A605,$B$8:$B$1007,"&lt;="&amp;B605))</x:f>
      </x:c>
      <x:c r="P605" s="20" t="str">
        <x:f>IF(Q605&lt;&gt;"OK","",MAX(0,-MIN(N605,O605)))</x:f>
      </x:c>
      <x:c r="Q605" s="18" t="str">
        <x:f>IF(A605="",IF(COUNTA(B605:K605)=0,"","Inserisci ID"),IF(COUNTIFS('Diario'!$A$8:$A$507,A605)&lt;&gt;1,"ID assente / duplicato",IF(OR(NOT(ISNUMBER(B605)),B605&lt;1,B605&lt;&gt;INT(B605),COUNTIFS($A$8:$A$1007,A605,$B$8:$B$1007,B605)&lt;&gt;1),"N. esecuzione non valido",IF(OR(NOT(ISNUMBER(C605)),AND(D605&lt;&gt;"Ingresso",D605&lt;&gt;"Uscita"),AND(E605&lt;&gt;"Back",E605&lt;&gt;"Lay")),"Completa data / fase / lato",IF(OR(NOT(ISNUMBER(F605)),F605&lt;=1,NOT(ISNUMBER(G605)),G605&lt;=0),"Correggi quota / stake","OK")))))</x:f>
      </x:c>
    </x:row>
    <x:row r="606" ht="22" customHeight="1">
      <x:c r="A606" s="24"/>
      <x:c r="B606" s="24"/>
      <x:c r="C606" s="26"/>
      <x:c r="D606" s="24"/>
      <x:c r="E606" s="24"/>
      <x:c r="F606" s="28"/>
      <x:c r="G606" s="29"/>
      <x:c r="H606" s="24"/>
      <x:c r="I606" s="24"/>
      <x:c r="J606" s="24"/>
      <x:c r="K606" s="24"/>
      <x:c r="L606" s="20" t="str">
        <x:f>IF(Q606&lt;&gt;"OK","",IF(E606="Back",G606*(F606-1),-G606*(F606-1)))</x:f>
      </x:c>
      <x:c r="M606" s="20" t="str">
        <x:f>IF(Q606&lt;&gt;"OK","",IF(E606="Back",-G606,G606))</x:f>
      </x:c>
      <x:c r="N606" s="20" t="str">
        <x:f>IF(Q606&lt;&gt;"OK","",SUMIFS($L$8:$L$1007,$A$8:$A$1007,A606,$B$8:$B$1007,"&lt;="&amp;B606))</x:f>
      </x:c>
      <x:c r="O606" s="20" t="str">
        <x:f>IF(Q606&lt;&gt;"OK","",SUMIFS($M$8:$M$1007,$A$8:$A$1007,A606,$B$8:$B$1007,"&lt;="&amp;B606))</x:f>
      </x:c>
      <x:c r="P606" s="20" t="str">
        <x:f>IF(Q606&lt;&gt;"OK","",MAX(0,-MIN(N606,O606)))</x:f>
      </x:c>
      <x:c r="Q606" s="18" t="str">
        <x:f>IF(A606="",IF(COUNTA(B606:K606)=0,"","Inserisci ID"),IF(COUNTIFS('Diario'!$A$8:$A$507,A606)&lt;&gt;1,"ID assente / duplicato",IF(OR(NOT(ISNUMBER(B606)),B606&lt;1,B606&lt;&gt;INT(B606),COUNTIFS($A$8:$A$1007,A606,$B$8:$B$1007,B606)&lt;&gt;1),"N. esecuzione non valido",IF(OR(NOT(ISNUMBER(C606)),AND(D606&lt;&gt;"Ingresso",D606&lt;&gt;"Uscita"),AND(E606&lt;&gt;"Back",E606&lt;&gt;"Lay")),"Completa data / fase / lato",IF(OR(NOT(ISNUMBER(F606)),F606&lt;=1,NOT(ISNUMBER(G606)),G606&lt;=0),"Correggi quota / stake","OK")))))</x:f>
      </x:c>
    </x:row>
    <x:row r="607" ht="22" customHeight="1">
      <x:c r="A607" s="24"/>
      <x:c r="B607" s="24"/>
      <x:c r="C607" s="26"/>
      <x:c r="D607" s="24"/>
      <x:c r="E607" s="24"/>
      <x:c r="F607" s="28"/>
      <x:c r="G607" s="29"/>
      <x:c r="H607" s="24"/>
      <x:c r="I607" s="24"/>
      <x:c r="J607" s="24"/>
      <x:c r="K607" s="24"/>
      <x:c r="L607" s="20" t="str">
        <x:f>IF(Q607&lt;&gt;"OK","",IF(E607="Back",G607*(F607-1),-G607*(F607-1)))</x:f>
      </x:c>
      <x:c r="M607" s="20" t="str">
        <x:f>IF(Q607&lt;&gt;"OK","",IF(E607="Back",-G607,G607))</x:f>
      </x:c>
      <x:c r="N607" s="20" t="str">
        <x:f>IF(Q607&lt;&gt;"OK","",SUMIFS($L$8:$L$1007,$A$8:$A$1007,A607,$B$8:$B$1007,"&lt;="&amp;B607))</x:f>
      </x:c>
      <x:c r="O607" s="20" t="str">
        <x:f>IF(Q607&lt;&gt;"OK","",SUMIFS($M$8:$M$1007,$A$8:$A$1007,A607,$B$8:$B$1007,"&lt;="&amp;B607))</x:f>
      </x:c>
      <x:c r="P607" s="20" t="str">
        <x:f>IF(Q607&lt;&gt;"OK","",MAX(0,-MIN(N607,O607)))</x:f>
      </x:c>
      <x:c r="Q607" s="18" t="str">
        <x:f>IF(A607="",IF(COUNTA(B607:K607)=0,"","Inserisci ID"),IF(COUNTIFS('Diario'!$A$8:$A$507,A607)&lt;&gt;1,"ID assente / duplicato",IF(OR(NOT(ISNUMBER(B607)),B607&lt;1,B607&lt;&gt;INT(B607),COUNTIFS($A$8:$A$1007,A607,$B$8:$B$1007,B607)&lt;&gt;1),"N. esecuzione non valido",IF(OR(NOT(ISNUMBER(C607)),AND(D607&lt;&gt;"Ingresso",D607&lt;&gt;"Uscita"),AND(E607&lt;&gt;"Back",E607&lt;&gt;"Lay")),"Completa data / fase / lato",IF(OR(NOT(ISNUMBER(F607)),F607&lt;=1,NOT(ISNUMBER(G607)),G607&lt;=0),"Correggi quota / stake","OK")))))</x:f>
      </x:c>
    </x:row>
    <x:row r="608" ht="22" customHeight="1">
      <x:c r="A608" s="24"/>
      <x:c r="B608" s="24"/>
      <x:c r="C608" s="26"/>
      <x:c r="D608" s="24"/>
      <x:c r="E608" s="24"/>
      <x:c r="F608" s="28"/>
      <x:c r="G608" s="29"/>
      <x:c r="H608" s="24"/>
      <x:c r="I608" s="24"/>
      <x:c r="J608" s="24"/>
      <x:c r="K608" s="24"/>
      <x:c r="L608" s="20" t="str">
        <x:f>IF(Q608&lt;&gt;"OK","",IF(E608="Back",G608*(F608-1),-G608*(F608-1)))</x:f>
      </x:c>
      <x:c r="M608" s="20" t="str">
        <x:f>IF(Q608&lt;&gt;"OK","",IF(E608="Back",-G608,G608))</x:f>
      </x:c>
      <x:c r="N608" s="20" t="str">
        <x:f>IF(Q608&lt;&gt;"OK","",SUMIFS($L$8:$L$1007,$A$8:$A$1007,A608,$B$8:$B$1007,"&lt;="&amp;B608))</x:f>
      </x:c>
      <x:c r="O608" s="20" t="str">
        <x:f>IF(Q608&lt;&gt;"OK","",SUMIFS($M$8:$M$1007,$A$8:$A$1007,A608,$B$8:$B$1007,"&lt;="&amp;B608))</x:f>
      </x:c>
      <x:c r="P608" s="20" t="str">
        <x:f>IF(Q608&lt;&gt;"OK","",MAX(0,-MIN(N608,O608)))</x:f>
      </x:c>
      <x:c r="Q608" s="18" t="str">
        <x:f>IF(A608="",IF(COUNTA(B608:K608)=0,"","Inserisci ID"),IF(COUNTIFS('Diario'!$A$8:$A$507,A608)&lt;&gt;1,"ID assente / duplicato",IF(OR(NOT(ISNUMBER(B608)),B608&lt;1,B608&lt;&gt;INT(B608),COUNTIFS($A$8:$A$1007,A608,$B$8:$B$1007,B608)&lt;&gt;1),"N. esecuzione non valido",IF(OR(NOT(ISNUMBER(C608)),AND(D608&lt;&gt;"Ingresso",D608&lt;&gt;"Uscita"),AND(E608&lt;&gt;"Back",E608&lt;&gt;"Lay")),"Completa data / fase / lato",IF(OR(NOT(ISNUMBER(F608)),F608&lt;=1,NOT(ISNUMBER(G608)),G608&lt;=0),"Correggi quota / stake","OK")))))</x:f>
      </x:c>
    </x:row>
    <x:row r="609" ht="22" customHeight="1">
      <x:c r="A609" s="24"/>
      <x:c r="B609" s="24"/>
      <x:c r="C609" s="26"/>
      <x:c r="D609" s="24"/>
      <x:c r="E609" s="24"/>
      <x:c r="F609" s="28"/>
      <x:c r="G609" s="29"/>
      <x:c r="H609" s="24"/>
      <x:c r="I609" s="24"/>
      <x:c r="J609" s="24"/>
      <x:c r="K609" s="24"/>
      <x:c r="L609" s="20" t="str">
        <x:f>IF(Q609&lt;&gt;"OK","",IF(E609="Back",G609*(F609-1),-G609*(F609-1)))</x:f>
      </x:c>
      <x:c r="M609" s="20" t="str">
        <x:f>IF(Q609&lt;&gt;"OK","",IF(E609="Back",-G609,G609))</x:f>
      </x:c>
      <x:c r="N609" s="20" t="str">
        <x:f>IF(Q609&lt;&gt;"OK","",SUMIFS($L$8:$L$1007,$A$8:$A$1007,A609,$B$8:$B$1007,"&lt;="&amp;B609))</x:f>
      </x:c>
      <x:c r="O609" s="20" t="str">
        <x:f>IF(Q609&lt;&gt;"OK","",SUMIFS($M$8:$M$1007,$A$8:$A$1007,A609,$B$8:$B$1007,"&lt;="&amp;B609))</x:f>
      </x:c>
      <x:c r="P609" s="20" t="str">
        <x:f>IF(Q609&lt;&gt;"OK","",MAX(0,-MIN(N609,O609)))</x:f>
      </x:c>
      <x:c r="Q609" s="18" t="str">
        <x:f>IF(A609="",IF(COUNTA(B609:K609)=0,"","Inserisci ID"),IF(COUNTIFS('Diario'!$A$8:$A$507,A609)&lt;&gt;1,"ID assente / duplicato",IF(OR(NOT(ISNUMBER(B609)),B609&lt;1,B609&lt;&gt;INT(B609),COUNTIFS($A$8:$A$1007,A609,$B$8:$B$1007,B609)&lt;&gt;1),"N. esecuzione non valido",IF(OR(NOT(ISNUMBER(C609)),AND(D609&lt;&gt;"Ingresso",D609&lt;&gt;"Uscita"),AND(E609&lt;&gt;"Back",E609&lt;&gt;"Lay")),"Completa data / fase / lato",IF(OR(NOT(ISNUMBER(F609)),F609&lt;=1,NOT(ISNUMBER(G609)),G609&lt;=0),"Correggi quota / stake","OK")))))</x:f>
      </x:c>
    </x:row>
    <x:row r="610" ht="22" customHeight="1">
      <x:c r="A610" s="24"/>
      <x:c r="B610" s="24"/>
      <x:c r="C610" s="26"/>
      <x:c r="D610" s="24"/>
      <x:c r="E610" s="24"/>
      <x:c r="F610" s="28"/>
      <x:c r="G610" s="29"/>
      <x:c r="H610" s="24"/>
      <x:c r="I610" s="24"/>
      <x:c r="J610" s="24"/>
      <x:c r="K610" s="24"/>
      <x:c r="L610" s="20" t="str">
        <x:f>IF(Q610&lt;&gt;"OK","",IF(E610="Back",G610*(F610-1),-G610*(F610-1)))</x:f>
      </x:c>
      <x:c r="M610" s="20" t="str">
        <x:f>IF(Q610&lt;&gt;"OK","",IF(E610="Back",-G610,G610))</x:f>
      </x:c>
      <x:c r="N610" s="20" t="str">
        <x:f>IF(Q610&lt;&gt;"OK","",SUMIFS($L$8:$L$1007,$A$8:$A$1007,A610,$B$8:$B$1007,"&lt;="&amp;B610))</x:f>
      </x:c>
      <x:c r="O610" s="20" t="str">
        <x:f>IF(Q610&lt;&gt;"OK","",SUMIFS($M$8:$M$1007,$A$8:$A$1007,A610,$B$8:$B$1007,"&lt;="&amp;B610))</x:f>
      </x:c>
      <x:c r="P610" s="20" t="str">
        <x:f>IF(Q610&lt;&gt;"OK","",MAX(0,-MIN(N610,O610)))</x:f>
      </x:c>
      <x:c r="Q610" s="18" t="str">
        <x:f>IF(A610="",IF(COUNTA(B610:K610)=0,"","Inserisci ID"),IF(COUNTIFS('Diario'!$A$8:$A$507,A610)&lt;&gt;1,"ID assente / duplicato",IF(OR(NOT(ISNUMBER(B610)),B610&lt;1,B610&lt;&gt;INT(B610),COUNTIFS($A$8:$A$1007,A610,$B$8:$B$1007,B610)&lt;&gt;1),"N. esecuzione non valido",IF(OR(NOT(ISNUMBER(C610)),AND(D610&lt;&gt;"Ingresso",D610&lt;&gt;"Uscita"),AND(E610&lt;&gt;"Back",E610&lt;&gt;"Lay")),"Completa data / fase / lato",IF(OR(NOT(ISNUMBER(F610)),F610&lt;=1,NOT(ISNUMBER(G610)),G610&lt;=0),"Correggi quota / stake","OK")))))</x:f>
      </x:c>
    </x:row>
    <x:row r="611" ht="22" customHeight="1">
      <x:c r="A611" s="24"/>
      <x:c r="B611" s="24"/>
      <x:c r="C611" s="26"/>
      <x:c r="D611" s="24"/>
      <x:c r="E611" s="24"/>
      <x:c r="F611" s="28"/>
      <x:c r="G611" s="29"/>
      <x:c r="H611" s="24"/>
      <x:c r="I611" s="24"/>
      <x:c r="J611" s="24"/>
      <x:c r="K611" s="24"/>
      <x:c r="L611" s="20" t="str">
        <x:f>IF(Q611&lt;&gt;"OK","",IF(E611="Back",G611*(F611-1),-G611*(F611-1)))</x:f>
      </x:c>
      <x:c r="M611" s="20" t="str">
        <x:f>IF(Q611&lt;&gt;"OK","",IF(E611="Back",-G611,G611))</x:f>
      </x:c>
      <x:c r="N611" s="20" t="str">
        <x:f>IF(Q611&lt;&gt;"OK","",SUMIFS($L$8:$L$1007,$A$8:$A$1007,A611,$B$8:$B$1007,"&lt;="&amp;B611))</x:f>
      </x:c>
      <x:c r="O611" s="20" t="str">
        <x:f>IF(Q611&lt;&gt;"OK","",SUMIFS($M$8:$M$1007,$A$8:$A$1007,A611,$B$8:$B$1007,"&lt;="&amp;B611))</x:f>
      </x:c>
      <x:c r="P611" s="20" t="str">
        <x:f>IF(Q611&lt;&gt;"OK","",MAX(0,-MIN(N611,O611)))</x:f>
      </x:c>
      <x:c r="Q611" s="18" t="str">
        <x:f>IF(A611="",IF(COUNTA(B611:K611)=0,"","Inserisci ID"),IF(COUNTIFS('Diario'!$A$8:$A$507,A611)&lt;&gt;1,"ID assente / duplicato",IF(OR(NOT(ISNUMBER(B611)),B611&lt;1,B611&lt;&gt;INT(B611),COUNTIFS($A$8:$A$1007,A611,$B$8:$B$1007,B611)&lt;&gt;1),"N. esecuzione non valido",IF(OR(NOT(ISNUMBER(C611)),AND(D611&lt;&gt;"Ingresso",D611&lt;&gt;"Uscita"),AND(E611&lt;&gt;"Back",E611&lt;&gt;"Lay")),"Completa data / fase / lato",IF(OR(NOT(ISNUMBER(F611)),F611&lt;=1,NOT(ISNUMBER(G611)),G611&lt;=0),"Correggi quota / stake","OK")))))</x:f>
      </x:c>
    </x:row>
    <x:row r="612" ht="22" customHeight="1">
      <x:c r="A612" s="24"/>
      <x:c r="B612" s="24"/>
      <x:c r="C612" s="26"/>
      <x:c r="D612" s="24"/>
      <x:c r="E612" s="24"/>
      <x:c r="F612" s="28"/>
      <x:c r="G612" s="29"/>
      <x:c r="H612" s="24"/>
      <x:c r="I612" s="24"/>
      <x:c r="J612" s="24"/>
      <x:c r="K612" s="24"/>
      <x:c r="L612" s="20" t="str">
        <x:f>IF(Q612&lt;&gt;"OK","",IF(E612="Back",G612*(F612-1),-G612*(F612-1)))</x:f>
      </x:c>
      <x:c r="M612" s="20" t="str">
        <x:f>IF(Q612&lt;&gt;"OK","",IF(E612="Back",-G612,G612))</x:f>
      </x:c>
      <x:c r="N612" s="20" t="str">
        <x:f>IF(Q612&lt;&gt;"OK","",SUMIFS($L$8:$L$1007,$A$8:$A$1007,A612,$B$8:$B$1007,"&lt;="&amp;B612))</x:f>
      </x:c>
      <x:c r="O612" s="20" t="str">
        <x:f>IF(Q612&lt;&gt;"OK","",SUMIFS($M$8:$M$1007,$A$8:$A$1007,A612,$B$8:$B$1007,"&lt;="&amp;B612))</x:f>
      </x:c>
      <x:c r="P612" s="20" t="str">
        <x:f>IF(Q612&lt;&gt;"OK","",MAX(0,-MIN(N612,O612)))</x:f>
      </x:c>
      <x:c r="Q612" s="18" t="str">
        <x:f>IF(A612="",IF(COUNTA(B612:K612)=0,"","Inserisci ID"),IF(COUNTIFS('Diario'!$A$8:$A$507,A612)&lt;&gt;1,"ID assente / duplicato",IF(OR(NOT(ISNUMBER(B612)),B612&lt;1,B612&lt;&gt;INT(B612),COUNTIFS($A$8:$A$1007,A612,$B$8:$B$1007,B612)&lt;&gt;1),"N. esecuzione non valido",IF(OR(NOT(ISNUMBER(C612)),AND(D612&lt;&gt;"Ingresso",D612&lt;&gt;"Uscita"),AND(E612&lt;&gt;"Back",E612&lt;&gt;"Lay")),"Completa data / fase / lato",IF(OR(NOT(ISNUMBER(F612)),F612&lt;=1,NOT(ISNUMBER(G612)),G612&lt;=0),"Correggi quota / stake","OK")))))</x:f>
      </x:c>
    </x:row>
    <x:row r="613" ht="22" customHeight="1">
      <x:c r="A613" s="24"/>
      <x:c r="B613" s="24"/>
      <x:c r="C613" s="26"/>
      <x:c r="D613" s="24"/>
      <x:c r="E613" s="24"/>
      <x:c r="F613" s="28"/>
      <x:c r="G613" s="29"/>
      <x:c r="H613" s="24"/>
      <x:c r="I613" s="24"/>
      <x:c r="J613" s="24"/>
      <x:c r="K613" s="24"/>
      <x:c r="L613" s="20" t="str">
        <x:f>IF(Q613&lt;&gt;"OK","",IF(E613="Back",G613*(F613-1),-G613*(F613-1)))</x:f>
      </x:c>
      <x:c r="M613" s="20" t="str">
        <x:f>IF(Q613&lt;&gt;"OK","",IF(E613="Back",-G613,G613))</x:f>
      </x:c>
      <x:c r="N613" s="20" t="str">
        <x:f>IF(Q613&lt;&gt;"OK","",SUMIFS($L$8:$L$1007,$A$8:$A$1007,A613,$B$8:$B$1007,"&lt;="&amp;B613))</x:f>
      </x:c>
      <x:c r="O613" s="20" t="str">
        <x:f>IF(Q613&lt;&gt;"OK","",SUMIFS($M$8:$M$1007,$A$8:$A$1007,A613,$B$8:$B$1007,"&lt;="&amp;B613))</x:f>
      </x:c>
      <x:c r="P613" s="20" t="str">
        <x:f>IF(Q613&lt;&gt;"OK","",MAX(0,-MIN(N613,O613)))</x:f>
      </x:c>
      <x:c r="Q613" s="18" t="str">
        <x:f>IF(A613="",IF(COUNTA(B613:K613)=0,"","Inserisci ID"),IF(COUNTIFS('Diario'!$A$8:$A$507,A613)&lt;&gt;1,"ID assente / duplicato",IF(OR(NOT(ISNUMBER(B613)),B613&lt;1,B613&lt;&gt;INT(B613),COUNTIFS($A$8:$A$1007,A613,$B$8:$B$1007,B613)&lt;&gt;1),"N. esecuzione non valido",IF(OR(NOT(ISNUMBER(C613)),AND(D613&lt;&gt;"Ingresso",D613&lt;&gt;"Uscita"),AND(E613&lt;&gt;"Back",E613&lt;&gt;"Lay")),"Completa data / fase / lato",IF(OR(NOT(ISNUMBER(F613)),F613&lt;=1,NOT(ISNUMBER(G613)),G613&lt;=0),"Correggi quota / stake","OK")))))</x:f>
      </x:c>
    </x:row>
    <x:row r="614" ht="22" customHeight="1">
      <x:c r="A614" s="24"/>
      <x:c r="B614" s="24"/>
      <x:c r="C614" s="26"/>
      <x:c r="D614" s="24"/>
      <x:c r="E614" s="24"/>
      <x:c r="F614" s="28"/>
      <x:c r="G614" s="29"/>
      <x:c r="H614" s="24"/>
      <x:c r="I614" s="24"/>
      <x:c r="J614" s="24"/>
      <x:c r="K614" s="24"/>
      <x:c r="L614" s="20" t="str">
        <x:f>IF(Q614&lt;&gt;"OK","",IF(E614="Back",G614*(F614-1),-G614*(F614-1)))</x:f>
      </x:c>
      <x:c r="M614" s="20" t="str">
        <x:f>IF(Q614&lt;&gt;"OK","",IF(E614="Back",-G614,G614))</x:f>
      </x:c>
      <x:c r="N614" s="20" t="str">
        <x:f>IF(Q614&lt;&gt;"OK","",SUMIFS($L$8:$L$1007,$A$8:$A$1007,A614,$B$8:$B$1007,"&lt;="&amp;B614))</x:f>
      </x:c>
      <x:c r="O614" s="20" t="str">
        <x:f>IF(Q614&lt;&gt;"OK","",SUMIFS($M$8:$M$1007,$A$8:$A$1007,A614,$B$8:$B$1007,"&lt;="&amp;B614))</x:f>
      </x:c>
      <x:c r="P614" s="20" t="str">
        <x:f>IF(Q614&lt;&gt;"OK","",MAX(0,-MIN(N614,O614)))</x:f>
      </x:c>
      <x:c r="Q614" s="18" t="str">
        <x:f>IF(A614="",IF(COUNTA(B614:K614)=0,"","Inserisci ID"),IF(COUNTIFS('Diario'!$A$8:$A$507,A614)&lt;&gt;1,"ID assente / duplicato",IF(OR(NOT(ISNUMBER(B614)),B614&lt;1,B614&lt;&gt;INT(B614),COUNTIFS($A$8:$A$1007,A614,$B$8:$B$1007,B614)&lt;&gt;1),"N. esecuzione non valido",IF(OR(NOT(ISNUMBER(C614)),AND(D614&lt;&gt;"Ingresso",D614&lt;&gt;"Uscita"),AND(E614&lt;&gt;"Back",E614&lt;&gt;"Lay")),"Completa data / fase / lato",IF(OR(NOT(ISNUMBER(F614)),F614&lt;=1,NOT(ISNUMBER(G614)),G614&lt;=0),"Correggi quota / stake","OK")))))</x:f>
      </x:c>
    </x:row>
    <x:row r="615" ht="22" customHeight="1">
      <x:c r="A615" s="24"/>
      <x:c r="B615" s="24"/>
      <x:c r="C615" s="26"/>
      <x:c r="D615" s="24"/>
      <x:c r="E615" s="24"/>
      <x:c r="F615" s="28"/>
      <x:c r="G615" s="29"/>
      <x:c r="H615" s="24"/>
      <x:c r="I615" s="24"/>
      <x:c r="J615" s="24"/>
      <x:c r="K615" s="24"/>
      <x:c r="L615" s="20" t="str">
        <x:f>IF(Q615&lt;&gt;"OK","",IF(E615="Back",G615*(F615-1),-G615*(F615-1)))</x:f>
      </x:c>
      <x:c r="M615" s="20" t="str">
        <x:f>IF(Q615&lt;&gt;"OK","",IF(E615="Back",-G615,G615))</x:f>
      </x:c>
      <x:c r="N615" s="20" t="str">
        <x:f>IF(Q615&lt;&gt;"OK","",SUMIFS($L$8:$L$1007,$A$8:$A$1007,A615,$B$8:$B$1007,"&lt;="&amp;B615))</x:f>
      </x:c>
      <x:c r="O615" s="20" t="str">
        <x:f>IF(Q615&lt;&gt;"OK","",SUMIFS($M$8:$M$1007,$A$8:$A$1007,A615,$B$8:$B$1007,"&lt;="&amp;B615))</x:f>
      </x:c>
      <x:c r="P615" s="20" t="str">
        <x:f>IF(Q615&lt;&gt;"OK","",MAX(0,-MIN(N615,O615)))</x:f>
      </x:c>
      <x:c r="Q615" s="18" t="str">
        <x:f>IF(A615="",IF(COUNTA(B615:K615)=0,"","Inserisci ID"),IF(COUNTIFS('Diario'!$A$8:$A$507,A615)&lt;&gt;1,"ID assente / duplicato",IF(OR(NOT(ISNUMBER(B615)),B615&lt;1,B615&lt;&gt;INT(B615),COUNTIFS($A$8:$A$1007,A615,$B$8:$B$1007,B615)&lt;&gt;1),"N. esecuzione non valido",IF(OR(NOT(ISNUMBER(C615)),AND(D615&lt;&gt;"Ingresso",D615&lt;&gt;"Uscita"),AND(E615&lt;&gt;"Back",E615&lt;&gt;"Lay")),"Completa data / fase / lato",IF(OR(NOT(ISNUMBER(F615)),F615&lt;=1,NOT(ISNUMBER(G615)),G615&lt;=0),"Correggi quota / stake","OK")))))</x:f>
      </x:c>
    </x:row>
    <x:row r="616" ht="22" customHeight="1">
      <x:c r="A616" s="24"/>
      <x:c r="B616" s="24"/>
      <x:c r="C616" s="26"/>
      <x:c r="D616" s="24"/>
      <x:c r="E616" s="24"/>
      <x:c r="F616" s="28"/>
      <x:c r="G616" s="29"/>
      <x:c r="H616" s="24"/>
      <x:c r="I616" s="24"/>
      <x:c r="J616" s="24"/>
      <x:c r="K616" s="24"/>
      <x:c r="L616" s="20" t="str">
        <x:f>IF(Q616&lt;&gt;"OK","",IF(E616="Back",G616*(F616-1),-G616*(F616-1)))</x:f>
      </x:c>
      <x:c r="M616" s="20" t="str">
        <x:f>IF(Q616&lt;&gt;"OK","",IF(E616="Back",-G616,G616))</x:f>
      </x:c>
      <x:c r="N616" s="20" t="str">
        <x:f>IF(Q616&lt;&gt;"OK","",SUMIFS($L$8:$L$1007,$A$8:$A$1007,A616,$B$8:$B$1007,"&lt;="&amp;B616))</x:f>
      </x:c>
      <x:c r="O616" s="20" t="str">
        <x:f>IF(Q616&lt;&gt;"OK","",SUMIFS($M$8:$M$1007,$A$8:$A$1007,A616,$B$8:$B$1007,"&lt;="&amp;B616))</x:f>
      </x:c>
      <x:c r="P616" s="20" t="str">
        <x:f>IF(Q616&lt;&gt;"OK","",MAX(0,-MIN(N616,O616)))</x:f>
      </x:c>
      <x:c r="Q616" s="18" t="str">
        <x:f>IF(A616="",IF(COUNTA(B616:K616)=0,"","Inserisci ID"),IF(COUNTIFS('Diario'!$A$8:$A$507,A616)&lt;&gt;1,"ID assente / duplicato",IF(OR(NOT(ISNUMBER(B616)),B616&lt;1,B616&lt;&gt;INT(B616),COUNTIFS($A$8:$A$1007,A616,$B$8:$B$1007,B616)&lt;&gt;1),"N. esecuzione non valido",IF(OR(NOT(ISNUMBER(C616)),AND(D616&lt;&gt;"Ingresso",D616&lt;&gt;"Uscita"),AND(E616&lt;&gt;"Back",E616&lt;&gt;"Lay")),"Completa data / fase / lato",IF(OR(NOT(ISNUMBER(F616)),F616&lt;=1,NOT(ISNUMBER(G616)),G616&lt;=0),"Correggi quota / stake","OK")))))</x:f>
      </x:c>
    </x:row>
    <x:row r="617" ht="22" customHeight="1">
      <x:c r="A617" s="24"/>
      <x:c r="B617" s="24"/>
      <x:c r="C617" s="26"/>
      <x:c r="D617" s="24"/>
      <x:c r="E617" s="24"/>
      <x:c r="F617" s="28"/>
      <x:c r="G617" s="29"/>
      <x:c r="H617" s="24"/>
      <x:c r="I617" s="24"/>
      <x:c r="J617" s="24"/>
      <x:c r="K617" s="24"/>
      <x:c r="L617" s="20" t="str">
        <x:f>IF(Q617&lt;&gt;"OK","",IF(E617="Back",G617*(F617-1),-G617*(F617-1)))</x:f>
      </x:c>
      <x:c r="M617" s="20" t="str">
        <x:f>IF(Q617&lt;&gt;"OK","",IF(E617="Back",-G617,G617))</x:f>
      </x:c>
      <x:c r="N617" s="20" t="str">
        <x:f>IF(Q617&lt;&gt;"OK","",SUMIFS($L$8:$L$1007,$A$8:$A$1007,A617,$B$8:$B$1007,"&lt;="&amp;B617))</x:f>
      </x:c>
      <x:c r="O617" s="20" t="str">
        <x:f>IF(Q617&lt;&gt;"OK","",SUMIFS($M$8:$M$1007,$A$8:$A$1007,A617,$B$8:$B$1007,"&lt;="&amp;B617))</x:f>
      </x:c>
      <x:c r="P617" s="20" t="str">
        <x:f>IF(Q617&lt;&gt;"OK","",MAX(0,-MIN(N617,O617)))</x:f>
      </x:c>
      <x:c r="Q617" s="18" t="str">
        <x:f>IF(A617="",IF(COUNTA(B617:K617)=0,"","Inserisci ID"),IF(COUNTIFS('Diario'!$A$8:$A$507,A617)&lt;&gt;1,"ID assente / duplicato",IF(OR(NOT(ISNUMBER(B617)),B617&lt;1,B617&lt;&gt;INT(B617),COUNTIFS($A$8:$A$1007,A617,$B$8:$B$1007,B617)&lt;&gt;1),"N. esecuzione non valido",IF(OR(NOT(ISNUMBER(C617)),AND(D617&lt;&gt;"Ingresso",D617&lt;&gt;"Uscita"),AND(E617&lt;&gt;"Back",E617&lt;&gt;"Lay")),"Completa data / fase / lato",IF(OR(NOT(ISNUMBER(F617)),F617&lt;=1,NOT(ISNUMBER(G617)),G617&lt;=0),"Correggi quota / stake","OK")))))</x:f>
      </x:c>
    </x:row>
    <x:row r="618" ht="22" customHeight="1">
      <x:c r="A618" s="24"/>
      <x:c r="B618" s="24"/>
      <x:c r="C618" s="26"/>
      <x:c r="D618" s="24"/>
      <x:c r="E618" s="24"/>
      <x:c r="F618" s="28"/>
      <x:c r="G618" s="29"/>
      <x:c r="H618" s="24"/>
      <x:c r="I618" s="24"/>
      <x:c r="J618" s="24"/>
      <x:c r="K618" s="24"/>
      <x:c r="L618" s="20" t="str">
        <x:f>IF(Q618&lt;&gt;"OK","",IF(E618="Back",G618*(F618-1),-G618*(F618-1)))</x:f>
      </x:c>
      <x:c r="M618" s="20" t="str">
        <x:f>IF(Q618&lt;&gt;"OK","",IF(E618="Back",-G618,G618))</x:f>
      </x:c>
      <x:c r="N618" s="20" t="str">
        <x:f>IF(Q618&lt;&gt;"OK","",SUMIFS($L$8:$L$1007,$A$8:$A$1007,A618,$B$8:$B$1007,"&lt;="&amp;B618))</x:f>
      </x:c>
      <x:c r="O618" s="20" t="str">
        <x:f>IF(Q618&lt;&gt;"OK","",SUMIFS($M$8:$M$1007,$A$8:$A$1007,A618,$B$8:$B$1007,"&lt;="&amp;B618))</x:f>
      </x:c>
      <x:c r="P618" s="20" t="str">
        <x:f>IF(Q618&lt;&gt;"OK","",MAX(0,-MIN(N618,O618)))</x:f>
      </x:c>
      <x:c r="Q618" s="18" t="str">
        <x:f>IF(A618="",IF(COUNTA(B618:K618)=0,"","Inserisci ID"),IF(COUNTIFS('Diario'!$A$8:$A$507,A618)&lt;&gt;1,"ID assente / duplicato",IF(OR(NOT(ISNUMBER(B618)),B618&lt;1,B618&lt;&gt;INT(B618),COUNTIFS($A$8:$A$1007,A618,$B$8:$B$1007,B618)&lt;&gt;1),"N. esecuzione non valido",IF(OR(NOT(ISNUMBER(C618)),AND(D618&lt;&gt;"Ingresso",D618&lt;&gt;"Uscita"),AND(E618&lt;&gt;"Back",E618&lt;&gt;"Lay")),"Completa data / fase / lato",IF(OR(NOT(ISNUMBER(F618)),F618&lt;=1,NOT(ISNUMBER(G618)),G618&lt;=0),"Correggi quota / stake","OK")))))</x:f>
      </x:c>
    </x:row>
    <x:row r="619" ht="22" customHeight="1">
      <x:c r="A619" s="24"/>
      <x:c r="B619" s="24"/>
      <x:c r="C619" s="26"/>
      <x:c r="D619" s="24"/>
      <x:c r="E619" s="24"/>
      <x:c r="F619" s="28"/>
      <x:c r="G619" s="29"/>
      <x:c r="H619" s="24"/>
      <x:c r="I619" s="24"/>
      <x:c r="J619" s="24"/>
      <x:c r="K619" s="24"/>
      <x:c r="L619" s="20" t="str">
        <x:f>IF(Q619&lt;&gt;"OK","",IF(E619="Back",G619*(F619-1),-G619*(F619-1)))</x:f>
      </x:c>
      <x:c r="M619" s="20" t="str">
        <x:f>IF(Q619&lt;&gt;"OK","",IF(E619="Back",-G619,G619))</x:f>
      </x:c>
      <x:c r="N619" s="20" t="str">
        <x:f>IF(Q619&lt;&gt;"OK","",SUMIFS($L$8:$L$1007,$A$8:$A$1007,A619,$B$8:$B$1007,"&lt;="&amp;B619))</x:f>
      </x:c>
      <x:c r="O619" s="20" t="str">
        <x:f>IF(Q619&lt;&gt;"OK","",SUMIFS($M$8:$M$1007,$A$8:$A$1007,A619,$B$8:$B$1007,"&lt;="&amp;B619))</x:f>
      </x:c>
      <x:c r="P619" s="20" t="str">
        <x:f>IF(Q619&lt;&gt;"OK","",MAX(0,-MIN(N619,O619)))</x:f>
      </x:c>
      <x:c r="Q619" s="18" t="str">
        <x:f>IF(A619="",IF(COUNTA(B619:K619)=0,"","Inserisci ID"),IF(COUNTIFS('Diario'!$A$8:$A$507,A619)&lt;&gt;1,"ID assente / duplicato",IF(OR(NOT(ISNUMBER(B619)),B619&lt;1,B619&lt;&gt;INT(B619),COUNTIFS($A$8:$A$1007,A619,$B$8:$B$1007,B619)&lt;&gt;1),"N. esecuzione non valido",IF(OR(NOT(ISNUMBER(C619)),AND(D619&lt;&gt;"Ingresso",D619&lt;&gt;"Uscita"),AND(E619&lt;&gt;"Back",E619&lt;&gt;"Lay")),"Completa data / fase / lato",IF(OR(NOT(ISNUMBER(F619)),F619&lt;=1,NOT(ISNUMBER(G619)),G619&lt;=0),"Correggi quota / stake","OK")))))</x:f>
      </x:c>
    </x:row>
    <x:row r="620" ht="22" customHeight="1">
      <x:c r="A620" s="24"/>
      <x:c r="B620" s="24"/>
      <x:c r="C620" s="26"/>
      <x:c r="D620" s="24"/>
      <x:c r="E620" s="24"/>
      <x:c r="F620" s="28"/>
      <x:c r="G620" s="29"/>
      <x:c r="H620" s="24"/>
      <x:c r="I620" s="24"/>
      <x:c r="J620" s="24"/>
      <x:c r="K620" s="24"/>
      <x:c r="L620" s="20" t="str">
        <x:f>IF(Q620&lt;&gt;"OK","",IF(E620="Back",G620*(F620-1),-G620*(F620-1)))</x:f>
      </x:c>
      <x:c r="M620" s="20" t="str">
        <x:f>IF(Q620&lt;&gt;"OK","",IF(E620="Back",-G620,G620))</x:f>
      </x:c>
      <x:c r="N620" s="20" t="str">
        <x:f>IF(Q620&lt;&gt;"OK","",SUMIFS($L$8:$L$1007,$A$8:$A$1007,A620,$B$8:$B$1007,"&lt;="&amp;B620))</x:f>
      </x:c>
      <x:c r="O620" s="20" t="str">
        <x:f>IF(Q620&lt;&gt;"OK","",SUMIFS($M$8:$M$1007,$A$8:$A$1007,A620,$B$8:$B$1007,"&lt;="&amp;B620))</x:f>
      </x:c>
      <x:c r="P620" s="20" t="str">
        <x:f>IF(Q620&lt;&gt;"OK","",MAX(0,-MIN(N620,O620)))</x:f>
      </x:c>
      <x:c r="Q620" s="18" t="str">
        <x:f>IF(A620="",IF(COUNTA(B620:K620)=0,"","Inserisci ID"),IF(COUNTIFS('Diario'!$A$8:$A$507,A620)&lt;&gt;1,"ID assente / duplicato",IF(OR(NOT(ISNUMBER(B620)),B620&lt;1,B620&lt;&gt;INT(B620),COUNTIFS($A$8:$A$1007,A620,$B$8:$B$1007,B620)&lt;&gt;1),"N. esecuzione non valido",IF(OR(NOT(ISNUMBER(C620)),AND(D620&lt;&gt;"Ingresso",D620&lt;&gt;"Uscita"),AND(E620&lt;&gt;"Back",E620&lt;&gt;"Lay")),"Completa data / fase / lato",IF(OR(NOT(ISNUMBER(F620)),F620&lt;=1,NOT(ISNUMBER(G620)),G620&lt;=0),"Correggi quota / stake","OK")))))</x:f>
      </x:c>
    </x:row>
    <x:row r="621" ht="22" customHeight="1">
      <x:c r="A621" s="24"/>
      <x:c r="B621" s="24"/>
      <x:c r="C621" s="26"/>
      <x:c r="D621" s="24"/>
      <x:c r="E621" s="24"/>
      <x:c r="F621" s="28"/>
      <x:c r="G621" s="29"/>
      <x:c r="H621" s="24"/>
      <x:c r="I621" s="24"/>
      <x:c r="J621" s="24"/>
      <x:c r="K621" s="24"/>
      <x:c r="L621" s="20" t="str">
        <x:f>IF(Q621&lt;&gt;"OK","",IF(E621="Back",G621*(F621-1),-G621*(F621-1)))</x:f>
      </x:c>
      <x:c r="M621" s="20" t="str">
        <x:f>IF(Q621&lt;&gt;"OK","",IF(E621="Back",-G621,G621))</x:f>
      </x:c>
      <x:c r="N621" s="20" t="str">
        <x:f>IF(Q621&lt;&gt;"OK","",SUMIFS($L$8:$L$1007,$A$8:$A$1007,A621,$B$8:$B$1007,"&lt;="&amp;B621))</x:f>
      </x:c>
      <x:c r="O621" s="20" t="str">
        <x:f>IF(Q621&lt;&gt;"OK","",SUMIFS($M$8:$M$1007,$A$8:$A$1007,A621,$B$8:$B$1007,"&lt;="&amp;B621))</x:f>
      </x:c>
      <x:c r="P621" s="20" t="str">
        <x:f>IF(Q621&lt;&gt;"OK","",MAX(0,-MIN(N621,O621)))</x:f>
      </x:c>
      <x:c r="Q621" s="18" t="str">
        <x:f>IF(A621="",IF(COUNTA(B621:K621)=0,"","Inserisci ID"),IF(COUNTIFS('Diario'!$A$8:$A$507,A621)&lt;&gt;1,"ID assente / duplicato",IF(OR(NOT(ISNUMBER(B621)),B621&lt;1,B621&lt;&gt;INT(B621),COUNTIFS($A$8:$A$1007,A621,$B$8:$B$1007,B621)&lt;&gt;1),"N. esecuzione non valido",IF(OR(NOT(ISNUMBER(C621)),AND(D621&lt;&gt;"Ingresso",D621&lt;&gt;"Uscita"),AND(E621&lt;&gt;"Back",E621&lt;&gt;"Lay")),"Completa data / fase / lato",IF(OR(NOT(ISNUMBER(F621)),F621&lt;=1,NOT(ISNUMBER(G621)),G621&lt;=0),"Correggi quota / stake","OK")))))</x:f>
      </x:c>
    </x:row>
    <x:row r="622" ht="22" customHeight="1">
      <x:c r="A622" s="24"/>
      <x:c r="B622" s="24"/>
      <x:c r="C622" s="26"/>
      <x:c r="D622" s="24"/>
      <x:c r="E622" s="24"/>
      <x:c r="F622" s="28"/>
      <x:c r="G622" s="29"/>
      <x:c r="H622" s="24"/>
      <x:c r="I622" s="24"/>
      <x:c r="J622" s="24"/>
      <x:c r="K622" s="24"/>
      <x:c r="L622" s="20" t="str">
        <x:f>IF(Q622&lt;&gt;"OK","",IF(E622="Back",G622*(F622-1),-G622*(F622-1)))</x:f>
      </x:c>
      <x:c r="M622" s="20" t="str">
        <x:f>IF(Q622&lt;&gt;"OK","",IF(E622="Back",-G622,G622))</x:f>
      </x:c>
      <x:c r="N622" s="20" t="str">
        <x:f>IF(Q622&lt;&gt;"OK","",SUMIFS($L$8:$L$1007,$A$8:$A$1007,A622,$B$8:$B$1007,"&lt;="&amp;B622))</x:f>
      </x:c>
      <x:c r="O622" s="20" t="str">
        <x:f>IF(Q622&lt;&gt;"OK","",SUMIFS($M$8:$M$1007,$A$8:$A$1007,A622,$B$8:$B$1007,"&lt;="&amp;B622))</x:f>
      </x:c>
      <x:c r="P622" s="20" t="str">
        <x:f>IF(Q622&lt;&gt;"OK","",MAX(0,-MIN(N622,O622)))</x:f>
      </x:c>
      <x:c r="Q622" s="18" t="str">
        <x:f>IF(A622="",IF(COUNTA(B622:K622)=0,"","Inserisci ID"),IF(COUNTIFS('Diario'!$A$8:$A$507,A622)&lt;&gt;1,"ID assente / duplicato",IF(OR(NOT(ISNUMBER(B622)),B622&lt;1,B622&lt;&gt;INT(B622),COUNTIFS($A$8:$A$1007,A622,$B$8:$B$1007,B622)&lt;&gt;1),"N. esecuzione non valido",IF(OR(NOT(ISNUMBER(C622)),AND(D622&lt;&gt;"Ingresso",D622&lt;&gt;"Uscita"),AND(E622&lt;&gt;"Back",E622&lt;&gt;"Lay")),"Completa data / fase / lato",IF(OR(NOT(ISNUMBER(F622)),F622&lt;=1,NOT(ISNUMBER(G622)),G622&lt;=0),"Correggi quota / stake","OK")))))</x:f>
      </x:c>
    </x:row>
    <x:row r="623" ht="22" customHeight="1">
      <x:c r="A623" s="24"/>
      <x:c r="B623" s="24"/>
      <x:c r="C623" s="26"/>
      <x:c r="D623" s="24"/>
      <x:c r="E623" s="24"/>
      <x:c r="F623" s="28"/>
      <x:c r="G623" s="29"/>
      <x:c r="H623" s="24"/>
      <x:c r="I623" s="24"/>
      <x:c r="J623" s="24"/>
      <x:c r="K623" s="24"/>
      <x:c r="L623" s="20" t="str">
        <x:f>IF(Q623&lt;&gt;"OK","",IF(E623="Back",G623*(F623-1),-G623*(F623-1)))</x:f>
      </x:c>
      <x:c r="M623" s="20" t="str">
        <x:f>IF(Q623&lt;&gt;"OK","",IF(E623="Back",-G623,G623))</x:f>
      </x:c>
      <x:c r="N623" s="20" t="str">
        <x:f>IF(Q623&lt;&gt;"OK","",SUMIFS($L$8:$L$1007,$A$8:$A$1007,A623,$B$8:$B$1007,"&lt;="&amp;B623))</x:f>
      </x:c>
      <x:c r="O623" s="20" t="str">
        <x:f>IF(Q623&lt;&gt;"OK","",SUMIFS($M$8:$M$1007,$A$8:$A$1007,A623,$B$8:$B$1007,"&lt;="&amp;B623))</x:f>
      </x:c>
      <x:c r="P623" s="20" t="str">
        <x:f>IF(Q623&lt;&gt;"OK","",MAX(0,-MIN(N623,O623)))</x:f>
      </x:c>
      <x:c r="Q623" s="18" t="str">
        <x:f>IF(A623="",IF(COUNTA(B623:K623)=0,"","Inserisci ID"),IF(COUNTIFS('Diario'!$A$8:$A$507,A623)&lt;&gt;1,"ID assente / duplicato",IF(OR(NOT(ISNUMBER(B623)),B623&lt;1,B623&lt;&gt;INT(B623),COUNTIFS($A$8:$A$1007,A623,$B$8:$B$1007,B623)&lt;&gt;1),"N. esecuzione non valido",IF(OR(NOT(ISNUMBER(C623)),AND(D623&lt;&gt;"Ingresso",D623&lt;&gt;"Uscita"),AND(E623&lt;&gt;"Back",E623&lt;&gt;"Lay")),"Completa data / fase / lato",IF(OR(NOT(ISNUMBER(F623)),F623&lt;=1,NOT(ISNUMBER(G623)),G623&lt;=0),"Correggi quota / stake","OK")))))</x:f>
      </x:c>
    </x:row>
    <x:row r="624" ht="22" customHeight="1">
      <x:c r="A624" s="24"/>
      <x:c r="B624" s="24"/>
      <x:c r="C624" s="26"/>
      <x:c r="D624" s="24"/>
      <x:c r="E624" s="24"/>
      <x:c r="F624" s="28"/>
      <x:c r="G624" s="29"/>
      <x:c r="H624" s="24"/>
      <x:c r="I624" s="24"/>
      <x:c r="J624" s="24"/>
      <x:c r="K624" s="24"/>
      <x:c r="L624" s="20" t="str">
        <x:f>IF(Q624&lt;&gt;"OK","",IF(E624="Back",G624*(F624-1),-G624*(F624-1)))</x:f>
      </x:c>
      <x:c r="M624" s="20" t="str">
        <x:f>IF(Q624&lt;&gt;"OK","",IF(E624="Back",-G624,G624))</x:f>
      </x:c>
      <x:c r="N624" s="20" t="str">
        <x:f>IF(Q624&lt;&gt;"OK","",SUMIFS($L$8:$L$1007,$A$8:$A$1007,A624,$B$8:$B$1007,"&lt;="&amp;B624))</x:f>
      </x:c>
      <x:c r="O624" s="20" t="str">
        <x:f>IF(Q624&lt;&gt;"OK","",SUMIFS($M$8:$M$1007,$A$8:$A$1007,A624,$B$8:$B$1007,"&lt;="&amp;B624))</x:f>
      </x:c>
      <x:c r="P624" s="20" t="str">
        <x:f>IF(Q624&lt;&gt;"OK","",MAX(0,-MIN(N624,O624)))</x:f>
      </x:c>
      <x:c r="Q624" s="18" t="str">
        <x:f>IF(A624="",IF(COUNTA(B624:K624)=0,"","Inserisci ID"),IF(COUNTIFS('Diario'!$A$8:$A$507,A624)&lt;&gt;1,"ID assente / duplicato",IF(OR(NOT(ISNUMBER(B624)),B624&lt;1,B624&lt;&gt;INT(B624),COUNTIFS($A$8:$A$1007,A624,$B$8:$B$1007,B624)&lt;&gt;1),"N. esecuzione non valido",IF(OR(NOT(ISNUMBER(C624)),AND(D624&lt;&gt;"Ingresso",D624&lt;&gt;"Uscita"),AND(E624&lt;&gt;"Back",E624&lt;&gt;"Lay")),"Completa data / fase / lato",IF(OR(NOT(ISNUMBER(F624)),F624&lt;=1,NOT(ISNUMBER(G624)),G624&lt;=0),"Correggi quota / stake","OK")))))</x:f>
      </x:c>
    </x:row>
    <x:row r="625" ht="22" customHeight="1">
      <x:c r="A625" s="24"/>
      <x:c r="B625" s="24"/>
      <x:c r="C625" s="26"/>
      <x:c r="D625" s="24"/>
      <x:c r="E625" s="24"/>
      <x:c r="F625" s="28"/>
      <x:c r="G625" s="29"/>
      <x:c r="H625" s="24"/>
      <x:c r="I625" s="24"/>
      <x:c r="J625" s="24"/>
      <x:c r="K625" s="24"/>
      <x:c r="L625" s="20" t="str">
        <x:f>IF(Q625&lt;&gt;"OK","",IF(E625="Back",G625*(F625-1),-G625*(F625-1)))</x:f>
      </x:c>
      <x:c r="M625" s="20" t="str">
        <x:f>IF(Q625&lt;&gt;"OK","",IF(E625="Back",-G625,G625))</x:f>
      </x:c>
      <x:c r="N625" s="20" t="str">
        <x:f>IF(Q625&lt;&gt;"OK","",SUMIFS($L$8:$L$1007,$A$8:$A$1007,A625,$B$8:$B$1007,"&lt;="&amp;B625))</x:f>
      </x:c>
      <x:c r="O625" s="20" t="str">
        <x:f>IF(Q625&lt;&gt;"OK","",SUMIFS($M$8:$M$1007,$A$8:$A$1007,A625,$B$8:$B$1007,"&lt;="&amp;B625))</x:f>
      </x:c>
      <x:c r="P625" s="20" t="str">
        <x:f>IF(Q625&lt;&gt;"OK","",MAX(0,-MIN(N625,O625)))</x:f>
      </x:c>
      <x:c r="Q625" s="18" t="str">
        <x:f>IF(A625="",IF(COUNTA(B625:K625)=0,"","Inserisci ID"),IF(COUNTIFS('Diario'!$A$8:$A$507,A625)&lt;&gt;1,"ID assente / duplicato",IF(OR(NOT(ISNUMBER(B625)),B625&lt;1,B625&lt;&gt;INT(B625),COUNTIFS($A$8:$A$1007,A625,$B$8:$B$1007,B625)&lt;&gt;1),"N. esecuzione non valido",IF(OR(NOT(ISNUMBER(C625)),AND(D625&lt;&gt;"Ingresso",D625&lt;&gt;"Uscita"),AND(E625&lt;&gt;"Back",E625&lt;&gt;"Lay")),"Completa data / fase / lato",IF(OR(NOT(ISNUMBER(F625)),F625&lt;=1,NOT(ISNUMBER(G625)),G625&lt;=0),"Correggi quota / stake","OK")))))</x:f>
      </x:c>
    </x:row>
    <x:row r="626" ht="22" customHeight="1">
      <x:c r="A626" s="24"/>
      <x:c r="B626" s="24"/>
      <x:c r="C626" s="26"/>
      <x:c r="D626" s="24"/>
      <x:c r="E626" s="24"/>
      <x:c r="F626" s="28"/>
      <x:c r="G626" s="29"/>
      <x:c r="H626" s="24"/>
      <x:c r="I626" s="24"/>
      <x:c r="J626" s="24"/>
      <x:c r="K626" s="24"/>
      <x:c r="L626" s="20" t="str">
        <x:f>IF(Q626&lt;&gt;"OK","",IF(E626="Back",G626*(F626-1),-G626*(F626-1)))</x:f>
      </x:c>
      <x:c r="M626" s="20" t="str">
        <x:f>IF(Q626&lt;&gt;"OK","",IF(E626="Back",-G626,G626))</x:f>
      </x:c>
      <x:c r="N626" s="20" t="str">
        <x:f>IF(Q626&lt;&gt;"OK","",SUMIFS($L$8:$L$1007,$A$8:$A$1007,A626,$B$8:$B$1007,"&lt;="&amp;B626))</x:f>
      </x:c>
      <x:c r="O626" s="20" t="str">
        <x:f>IF(Q626&lt;&gt;"OK","",SUMIFS($M$8:$M$1007,$A$8:$A$1007,A626,$B$8:$B$1007,"&lt;="&amp;B626))</x:f>
      </x:c>
      <x:c r="P626" s="20" t="str">
        <x:f>IF(Q626&lt;&gt;"OK","",MAX(0,-MIN(N626,O626)))</x:f>
      </x:c>
      <x:c r="Q626" s="18" t="str">
        <x:f>IF(A626="",IF(COUNTA(B626:K626)=0,"","Inserisci ID"),IF(COUNTIFS('Diario'!$A$8:$A$507,A626)&lt;&gt;1,"ID assente / duplicato",IF(OR(NOT(ISNUMBER(B626)),B626&lt;1,B626&lt;&gt;INT(B626),COUNTIFS($A$8:$A$1007,A626,$B$8:$B$1007,B626)&lt;&gt;1),"N. esecuzione non valido",IF(OR(NOT(ISNUMBER(C626)),AND(D626&lt;&gt;"Ingresso",D626&lt;&gt;"Uscita"),AND(E626&lt;&gt;"Back",E626&lt;&gt;"Lay")),"Completa data / fase / lato",IF(OR(NOT(ISNUMBER(F626)),F626&lt;=1,NOT(ISNUMBER(G626)),G626&lt;=0),"Correggi quota / stake","OK")))))</x:f>
      </x:c>
    </x:row>
    <x:row r="627" ht="22" customHeight="1">
      <x:c r="A627" s="24"/>
      <x:c r="B627" s="24"/>
      <x:c r="C627" s="26"/>
      <x:c r="D627" s="24"/>
      <x:c r="E627" s="24"/>
      <x:c r="F627" s="28"/>
      <x:c r="G627" s="29"/>
      <x:c r="H627" s="24"/>
      <x:c r="I627" s="24"/>
      <x:c r="J627" s="24"/>
      <x:c r="K627" s="24"/>
      <x:c r="L627" s="20" t="str">
        <x:f>IF(Q627&lt;&gt;"OK","",IF(E627="Back",G627*(F627-1),-G627*(F627-1)))</x:f>
      </x:c>
      <x:c r="M627" s="20" t="str">
        <x:f>IF(Q627&lt;&gt;"OK","",IF(E627="Back",-G627,G627))</x:f>
      </x:c>
      <x:c r="N627" s="20" t="str">
        <x:f>IF(Q627&lt;&gt;"OK","",SUMIFS($L$8:$L$1007,$A$8:$A$1007,A627,$B$8:$B$1007,"&lt;="&amp;B627))</x:f>
      </x:c>
      <x:c r="O627" s="20" t="str">
        <x:f>IF(Q627&lt;&gt;"OK","",SUMIFS($M$8:$M$1007,$A$8:$A$1007,A627,$B$8:$B$1007,"&lt;="&amp;B627))</x:f>
      </x:c>
      <x:c r="P627" s="20" t="str">
        <x:f>IF(Q627&lt;&gt;"OK","",MAX(0,-MIN(N627,O627)))</x:f>
      </x:c>
      <x:c r="Q627" s="18" t="str">
        <x:f>IF(A627="",IF(COUNTA(B627:K627)=0,"","Inserisci ID"),IF(COUNTIFS('Diario'!$A$8:$A$507,A627)&lt;&gt;1,"ID assente / duplicato",IF(OR(NOT(ISNUMBER(B627)),B627&lt;1,B627&lt;&gt;INT(B627),COUNTIFS($A$8:$A$1007,A627,$B$8:$B$1007,B627)&lt;&gt;1),"N. esecuzione non valido",IF(OR(NOT(ISNUMBER(C627)),AND(D627&lt;&gt;"Ingresso",D627&lt;&gt;"Uscita"),AND(E627&lt;&gt;"Back",E627&lt;&gt;"Lay")),"Completa data / fase / lato",IF(OR(NOT(ISNUMBER(F627)),F627&lt;=1,NOT(ISNUMBER(G627)),G627&lt;=0),"Correggi quota / stake","OK")))))</x:f>
      </x:c>
    </x:row>
    <x:row r="628" ht="22" customHeight="1">
      <x:c r="A628" s="24"/>
      <x:c r="B628" s="24"/>
      <x:c r="C628" s="26"/>
      <x:c r="D628" s="24"/>
      <x:c r="E628" s="24"/>
      <x:c r="F628" s="28"/>
      <x:c r="G628" s="29"/>
      <x:c r="H628" s="24"/>
      <x:c r="I628" s="24"/>
      <x:c r="J628" s="24"/>
      <x:c r="K628" s="24"/>
      <x:c r="L628" s="20" t="str">
        <x:f>IF(Q628&lt;&gt;"OK","",IF(E628="Back",G628*(F628-1),-G628*(F628-1)))</x:f>
      </x:c>
      <x:c r="M628" s="20" t="str">
        <x:f>IF(Q628&lt;&gt;"OK","",IF(E628="Back",-G628,G628))</x:f>
      </x:c>
      <x:c r="N628" s="20" t="str">
        <x:f>IF(Q628&lt;&gt;"OK","",SUMIFS($L$8:$L$1007,$A$8:$A$1007,A628,$B$8:$B$1007,"&lt;="&amp;B628))</x:f>
      </x:c>
      <x:c r="O628" s="20" t="str">
        <x:f>IF(Q628&lt;&gt;"OK","",SUMIFS($M$8:$M$1007,$A$8:$A$1007,A628,$B$8:$B$1007,"&lt;="&amp;B628))</x:f>
      </x:c>
      <x:c r="P628" s="20" t="str">
        <x:f>IF(Q628&lt;&gt;"OK","",MAX(0,-MIN(N628,O628)))</x:f>
      </x:c>
      <x:c r="Q628" s="18" t="str">
        <x:f>IF(A628="",IF(COUNTA(B628:K628)=0,"","Inserisci ID"),IF(COUNTIFS('Diario'!$A$8:$A$507,A628)&lt;&gt;1,"ID assente / duplicato",IF(OR(NOT(ISNUMBER(B628)),B628&lt;1,B628&lt;&gt;INT(B628),COUNTIFS($A$8:$A$1007,A628,$B$8:$B$1007,B628)&lt;&gt;1),"N. esecuzione non valido",IF(OR(NOT(ISNUMBER(C628)),AND(D628&lt;&gt;"Ingresso",D628&lt;&gt;"Uscita"),AND(E628&lt;&gt;"Back",E628&lt;&gt;"Lay")),"Completa data / fase / lato",IF(OR(NOT(ISNUMBER(F628)),F628&lt;=1,NOT(ISNUMBER(G628)),G628&lt;=0),"Correggi quota / stake","OK")))))</x:f>
      </x:c>
    </x:row>
    <x:row r="629" ht="22" customHeight="1">
      <x:c r="A629" s="24"/>
      <x:c r="B629" s="24"/>
      <x:c r="C629" s="26"/>
      <x:c r="D629" s="24"/>
      <x:c r="E629" s="24"/>
      <x:c r="F629" s="28"/>
      <x:c r="G629" s="29"/>
      <x:c r="H629" s="24"/>
      <x:c r="I629" s="24"/>
      <x:c r="J629" s="24"/>
      <x:c r="K629" s="24"/>
      <x:c r="L629" s="20" t="str">
        <x:f>IF(Q629&lt;&gt;"OK","",IF(E629="Back",G629*(F629-1),-G629*(F629-1)))</x:f>
      </x:c>
      <x:c r="M629" s="20" t="str">
        <x:f>IF(Q629&lt;&gt;"OK","",IF(E629="Back",-G629,G629))</x:f>
      </x:c>
      <x:c r="N629" s="20" t="str">
        <x:f>IF(Q629&lt;&gt;"OK","",SUMIFS($L$8:$L$1007,$A$8:$A$1007,A629,$B$8:$B$1007,"&lt;="&amp;B629))</x:f>
      </x:c>
      <x:c r="O629" s="20" t="str">
        <x:f>IF(Q629&lt;&gt;"OK","",SUMIFS($M$8:$M$1007,$A$8:$A$1007,A629,$B$8:$B$1007,"&lt;="&amp;B629))</x:f>
      </x:c>
      <x:c r="P629" s="20" t="str">
        <x:f>IF(Q629&lt;&gt;"OK","",MAX(0,-MIN(N629,O629)))</x:f>
      </x:c>
      <x:c r="Q629" s="18" t="str">
        <x:f>IF(A629="",IF(COUNTA(B629:K629)=0,"","Inserisci ID"),IF(COUNTIFS('Diario'!$A$8:$A$507,A629)&lt;&gt;1,"ID assente / duplicato",IF(OR(NOT(ISNUMBER(B629)),B629&lt;1,B629&lt;&gt;INT(B629),COUNTIFS($A$8:$A$1007,A629,$B$8:$B$1007,B629)&lt;&gt;1),"N. esecuzione non valido",IF(OR(NOT(ISNUMBER(C629)),AND(D629&lt;&gt;"Ingresso",D629&lt;&gt;"Uscita"),AND(E629&lt;&gt;"Back",E629&lt;&gt;"Lay")),"Completa data / fase / lato",IF(OR(NOT(ISNUMBER(F629)),F629&lt;=1,NOT(ISNUMBER(G629)),G629&lt;=0),"Correggi quota / stake","OK")))))</x:f>
      </x:c>
    </x:row>
    <x:row r="630" ht="22" customHeight="1">
      <x:c r="A630" s="24"/>
      <x:c r="B630" s="24"/>
      <x:c r="C630" s="26"/>
      <x:c r="D630" s="24"/>
      <x:c r="E630" s="24"/>
      <x:c r="F630" s="28"/>
      <x:c r="G630" s="29"/>
      <x:c r="H630" s="24"/>
      <x:c r="I630" s="24"/>
      <x:c r="J630" s="24"/>
      <x:c r="K630" s="24"/>
      <x:c r="L630" s="20" t="str">
        <x:f>IF(Q630&lt;&gt;"OK","",IF(E630="Back",G630*(F630-1),-G630*(F630-1)))</x:f>
      </x:c>
      <x:c r="M630" s="20" t="str">
        <x:f>IF(Q630&lt;&gt;"OK","",IF(E630="Back",-G630,G630))</x:f>
      </x:c>
      <x:c r="N630" s="20" t="str">
        <x:f>IF(Q630&lt;&gt;"OK","",SUMIFS($L$8:$L$1007,$A$8:$A$1007,A630,$B$8:$B$1007,"&lt;="&amp;B630))</x:f>
      </x:c>
      <x:c r="O630" s="20" t="str">
        <x:f>IF(Q630&lt;&gt;"OK","",SUMIFS($M$8:$M$1007,$A$8:$A$1007,A630,$B$8:$B$1007,"&lt;="&amp;B630))</x:f>
      </x:c>
      <x:c r="P630" s="20" t="str">
        <x:f>IF(Q630&lt;&gt;"OK","",MAX(0,-MIN(N630,O630)))</x:f>
      </x:c>
      <x:c r="Q630" s="18" t="str">
        <x:f>IF(A630="",IF(COUNTA(B630:K630)=0,"","Inserisci ID"),IF(COUNTIFS('Diario'!$A$8:$A$507,A630)&lt;&gt;1,"ID assente / duplicato",IF(OR(NOT(ISNUMBER(B630)),B630&lt;1,B630&lt;&gt;INT(B630),COUNTIFS($A$8:$A$1007,A630,$B$8:$B$1007,B630)&lt;&gt;1),"N. esecuzione non valido",IF(OR(NOT(ISNUMBER(C630)),AND(D630&lt;&gt;"Ingresso",D630&lt;&gt;"Uscita"),AND(E630&lt;&gt;"Back",E630&lt;&gt;"Lay")),"Completa data / fase / lato",IF(OR(NOT(ISNUMBER(F630)),F630&lt;=1,NOT(ISNUMBER(G630)),G630&lt;=0),"Correggi quota / stake","OK")))))</x:f>
      </x:c>
    </x:row>
    <x:row r="631" ht="22" customHeight="1">
      <x:c r="A631" s="24"/>
      <x:c r="B631" s="24"/>
      <x:c r="C631" s="26"/>
      <x:c r="D631" s="24"/>
      <x:c r="E631" s="24"/>
      <x:c r="F631" s="28"/>
      <x:c r="G631" s="29"/>
      <x:c r="H631" s="24"/>
      <x:c r="I631" s="24"/>
      <x:c r="J631" s="24"/>
      <x:c r="K631" s="24"/>
      <x:c r="L631" s="20" t="str">
        <x:f>IF(Q631&lt;&gt;"OK","",IF(E631="Back",G631*(F631-1),-G631*(F631-1)))</x:f>
      </x:c>
      <x:c r="M631" s="20" t="str">
        <x:f>IF(Q631&lt;&gt;"OK","",IF(E631="Back",-G631,G631))</x:f>
      </x:c>
      <x:c r="N631" s="20" t="str">
        <x:f>IF(Q631&lt;&gt;"OK","",SUMIFS($L$8:$L$1007,$A$8:$A$1007,A631,$B$8:$B$1007,"&lt;="&amp;B631))</x:f>
      </x:c>
      <x:c r="O631" s="20" t="str">
        <x:f>IF(Q631&lt;&gt;"OK","",SUMIFS($M$8:$M$1007,$A$8:$A$1007,A631,$B$8:$B$1007,"&lt;="&amp;B631))</x:f>
      </x:c>
      <x:c r="P631" s="20" t="str">
        <x:f>IF(Q631&lt;&gt;"OK","",MAX(0,-MIN(N631,O631)))</x:f>
      </x:c>
      <x:c r="Q631" s="18" t="str">
        <x:f>IF(A631="",IF(COUNTA(B631:K631)=0,"","Inserisci ID"),IF(COUNTIFS('Diario'!$A$8:$A$507,A631)&lt;&gt;1,"ID assente / duplicato",IF(OR(NOT(ISNUMBER(B631)),B631&lt;1,B631&lt;&gt;INT(B631),COUNTIFS($A$8:$A$1007,A631,$B$8:$B$1007,B631)&lt;&gt;1),"N. esecuzione non valido",IF(OR(NOT(ISNUMBER(C631)),AND(D631&lt;&gt;"Ingresso",D631&lt;&gt;"Uscita"),AND(E631&lt;&gt;"Back",E631&lt;&gt;"Lay")),"Completa data / fase / lato",IF(OR(NOT(ISNUMBER(F631)),F631&lt;=1,NOT(ISNUMBER(G631)),G631&lt;=0),"Correggi quota / stake","OK")))))</x:f>
      </x:c>
    </x:row>
    <x:row r="632" ht="22" customHeight="1">
      <x:c r="A632" s="24"/>
      <x:c r="B632" s="24"/>
      <x:c r="C632" s="26"/>
      <x:c r="D632" s="24"/>
      <x:c r="E632" s="24"/>
      <x:c r="F632" s="28"/>
      <x:c r="G632" s="29"/>
      <x:c r="H632" s="24"/>
      <x:c r="I632" s="24"/>
      <x:c r="J632" s="24"/>
      <x:c r="K632" s="24"/>
      <x:c r="L632" s="20" t="str">
        <x:f>IF(Q632&lt;&gt;"OK","",IF(E632="Back",G632*(F632-1),-G632*(F632-1)))</x:f>
      </x:c>
      <x:c r="M632" s="20" t="str">
        <x:f>IF(Q632&lt;&gt;"OK","",IF(E632="Back",-G632,G632))</x:f>
      </x:c>
      <x:c r="N632" s="20" t="str">
        <x:f>IF(Q632&lt;&gt;"OK","",SUMIFS($L$8:$L$1007,$A$8:$A$1007,A632,$B$8:$B$1007,"&lt;="&amp;B632))</x:f>
      </x:c>
      <x:c r="O632" s="20" t="str">
        <x:f>IF(Q632&lt;&gt;"OK","",SUMIFS($M$8:$M$1007,$A$8:$A$1007,A632,$B$8:$B$1007,"&lt;="&amp;B632))</x:f>
      </x:c>
      <x:c r="P632" s="20" t="str">
        <x:f>IF(Q632&lt;&gt;"OK","",MAX(0,-MIN(N632,O632)))</x:f>
      </x:c>
      <x:c r="Q632" s="18" t="str">
        <x:f>IF(A632="",IF(COUNTA(B632:K632)=0,"","Inserisci ID"),IF(COUNTIFS('Diario'!$A$8:$A$507,A632)&lt;&gt;1,"ID assente / duplicato",IF(OR(NOT(ISNUMBER(B632)),B632&lt;1,B632&lt;&gt;INT(B632),COUNTIFS($A$8:$A$1007,A632,$B$8:$B$1007,B632)&lt;&gt;1),"N. esecuzione non valido",IF(OR(NOT(ISNUMBER(C632)),AND(D632&lt;&gt;"Ingresso",D632&lt;&gt;"Uscita"),AND(E632&lt;&gt;"Back",E632&lt;&gt;"Lay")),"Completa data / fase / lato",IF(OR(NOT(ISNUMBER(F632)),F632&lt;=1,NOT(ISNUMBER(G632)),G632&lt;=0),"Correggi quota / stake","OK")))))</x:f>
      </x:c>
    </x:row>
    <x:row r="633" ht="22" customHeight="1">
      <x:c r="A633" s="24"/>
      <x:c r="B633" s="24"/>
      <x:c r="C633" s="26"/>
      <x:c r="D633" s="24"/>
      <x:c r="E633" s="24"/>
      <x:c r="F633" s="28"/>
      <x:c r="G633" s="29"/>
      <x:c r="H633" s="24"/>
      <x:c r="I633" s="24"/>
      <x:c r="J633" s="24"/>
      <x:c r="K633" s="24"/>
      <x:c r="L633" s="20" t="str">
        <x:f>IF(Q633&lt;&gt;"OK","",IF(E633="Back",G633*(F633-1),-G633*(F633-1)))</x:f>
      </x:c>
      <x:c r="M633" s="20" t="str">
        <x:f>IF(Q633&lt;&gt;"OK","",IF(E633="Back",-G633,G633))</x:f>
      </x:c>
      <x:c r="N633" s="20" t="str">
        <x:f>IF(Q633&lt;&gt;"OK","",SUMIFS($L$8:$L$1007,$A$8:$A$1007,A633,$B$8:$B$1007,"&lt;="&amp;B633))</x:f>
      </x:c>
      <x:c r="O633" s="20" t="str">
        <x:f>IF(Q633&lt;&gt;"OK","",SUMIFS($M$8:$M$1007,$A$8:$A$1007,A633,$B$8:$B$1007,"&lt;="&amp;B633))</x:f>
      </x:c>
      <x:c r="P633" s="20" t="str">
        <x:f>IF(Q633&lt;&gt;"OK","",MAX(0,-MIN(N633,O633)))</x:f>
      </x:c>
      <x:c r="Q633" s="18" t="str">
        <x:f>IF(A633="",IF(COUNTA(B633:K633)=0,"","Inserisci ID"),IF(COUNTIFS('Diario'!$A$8:$A$507,A633)&lt;&gt;1,"ID assente / duplicato",IF(OR(NOT(ISNUMBER(B633)),B633&lt;1,B633&lt;&gt;INT(B633),COUNTIFS($A$8:$A$1007,A633,$B$8:$B$1007,B633)&lt;&gt;1),"N. esecuzione non valido",IF(OR(NOT(ISNUMBER(C633)),AND(D633&lt;&gt;"Ingresso",D633&lt;&gt;"Uscita"),AND(E633&lt;&gt;"Back",E633&lt;&gt;"Lay")),"Completa data / fase / lato",IF(OR(NOT(ISNUMBER(F633)),F633&lt;=1,NOT(ISNUMBER(G633)),G633&lt;=0),"Correggi quota / stake","OK")))))</x:f>
      </x:c>
    </x:row>
    <x:row r="634" ht="22" customHeight="1">
      <x:c r="A634" s="24"/>
      <x:c r="B634" s="24"/>
      <x:c r="C634" s="26"/>
      <x:c r="D634" s="24"/>
      <x:c r="E634" s="24"/>
      <x:c r="F634" s="28"/>
      <x:c r="G634" s="29"/>
      <x:c r="H634" s="24"/>
      <x:c r="I634" s="24"/>
      <x:c r="J634" s="24"/>
      <x:c r="K634" s="24"/>
      <x:c r="L634" s="20" t="str">
        <x:f>IF(Q634&lt;&gt;"OK","",IF(E634="Back",G634*(F634-1),-G634*(F634-1)))</x:f>
      </x:c>
      <x:c r="M634" s="20" t="str">
        <x:f>IF(Q634&lt;&gt;"OK","",IF(E634="Back",-G634,G634))</x:f>
      </x:c>
      <x:c r="N634" s="20" t="str">
        <x:f>IF(Q634&lt;&gt;"OK","",SUMIFS($L$8:$L$1007,$A$8:$A$1007,A634,$B$8:$B$1007,"&lt;="&amp;B634))</x:f>
      </x:c>
      <x:c r="O634" s="20" t="str">
        <x:f>IF(Q634&lt;&gt;"OK","",SUMIFS($M$8:$M$1007,$A$8:$A$1007,A634,$B$8:$B$1007,"&lt;="&amp;B634))</x:f>
      </x:c>
      <x:c r="P634" s="20" t="str">
        <x:f>IF(Q634&lt;&gt;"OK","",MAX(0,-MIN(N634,O634)))</x:f>
      </x:c>
      <x:c r="Q634" s="18" t="str">
        <x:f>IF(A634="",IF(COUNTA(B634:K634)=0,"","Inserisci ID"),IF(COUNTIFS('Diario'!$A$8:$A$507,A634)&lt;&gt;1,"ID assente / duplicato",IF(OR(NOT(ISNUMBER(B634)),B634&lt;1,B634&lt;&gt;INT(B634),COUNTIFS($A$8:$A$1007,A634,$B$8:$B$1007,B634)&lt;&gt;1),"N. esecuzione non valido",IF(OR(NOT(ISNUMBER(C634)),AND(D634&lt;&gt;"Ingresso",D634&lt;&gt;"Uscita"),AND(E634&lt;&gt;"Back",E634&lt;&gt;"Lay")),"Completa data / fase / lato",IF(OR(NOT(ISNUMBER(F634)),F634&lt;=1,NOT(ISNUMBER(G634)),G634&lt;=0),"Correggi quota / stake","OK")))))</x:f>
      </x:c>
    </x:row>
    <x:row r="635" ht="22" customHeight="1">
      <x:c r="A635" s="24"/>
      <x:c r="B635" s="24"/>
      <x:c r="C635" s="26"/>
      <x:c r="D635" s="24"/>
      <x:c r="E635" s="24"/>
      <x:c r="F635" s="28"/>
      <x:c r="G635" s="29"/>
      <x:c r="H635" s="24"/>
      <x:c r="I635" s="24"/>
      <x:c r="J635" s="24"/>
      <x:c r="K635" s="24"/>
      <x:c r="L635" s="20" t="str">
        <x:f>IF(Q635&lt;&gt;"OK","",IF(E635="Back",G635*(F635-1),-G635*(F635-1)))</x:f>
      </x:c>
      <x:c r="M635" s="20" t="str">
        <x:f>IF(Q635&lt;&gt;"OK","",IF(E635="Back",-G635,G635))</x:f>
      </x:c>
      <x:c r="N635" s="20" t="str">
        <x:f>IF(Q635&lt;&gt;"OK","",SUMIFS($L$8:$L$1007,$A$8:$A$1007,A635,$B$8:$B$1007,"&lt;="&amp;B635))</x:f>
      </x:c>
      <x:c r="O635" s="20" t="str">
        <x:f>IF(Q635&lt;&gt;"OK","",SUMIFS($M$8:$M$1007,$A$8:$A$1007,A635,$B$8:$B$1007,"&lt;="&amp;B635))</x:f>
      </x:c>
      <x:c r="P635" s="20" t="str">
        <x:f>IF(Q635&lt;&gt;"OK","",MAX(0,-MIN(N635,O635)))</x:f>
      </x:c>
      <x:c r="Q635" s="18" t="str">
        <x:f>IF(A635="",IF(COUNTA(B635:K635)=0,"","Inserisci ID"),IF(COUNTIFS('Diario'!$A$8:$A$507,A635)&lt;&gt;1,"ID assente / duplicato",IF(OR(NOT(ISNUMBER(B635)),B635&lt;1,B635&lt;&gt;INT(B635),COUNTIFS($A$8:$A$1007,A635,$B$8:$B$1007,B635)&lt;&gt;1),"N. esecuzione non valido",IF(OR(NOT(ISNUMBER(C635)),AND(D635&lt;&gt;"Ingresso",D635&lt;&gt;"Uscita"),AND(E635&lt;&gt;"Back",E635&lt;&gt;"Lay")),"Completa data / fase / lato",IF(OR(NOT(ISNUMBER(F635)),F635&lt;=1,NOT(ISNUMBER(G635)),G635&lt;=0),"Correggi quota / stake","OK")))))</x:f>
      </x:c>
    </x:row>
    <x:row r="636" ht="22" customHeight="1">
      <x:c r="A636" s="24"/>
      <x:c r="B636" s="24"/>
      <x:c r="C636" s="26"/>
      <x:c r="D636" s="24"/>
      <x:c r="E636" s="24"/>
      <x:c r="F636" s="28"/>
      <x:c r="G636" s="29"/>
      <x:c r="H636" s="24"/>
      <x:c r="I636" s="24"/>
      <x:c r="J636" s="24"/>
      <x:c r="K636" s="24"/>
      <x:c r="L636" s="20" t="str">
        <x:f>IF(Q636&lt;&gt;"OK","",IF(E636="Back",G636*(F636-1),-G636*(F636-1)))</x:f>
      </x:c>
      <x:c r="M636" s="20" t="str">
        <x:f>IF(Q636&lt;&gt;"OK","",IF(E636="Back",-G636,G636))</x:f>
      </x:c>
      <x:c r="N636" s="20" t="str">
        <x:f>IF(Q636&lt;&gt;"OK","",SUMIFS($L$8:$L$1007,$A$8:$A$1007,A636,$B$8:$B$1007,"&lt;="&amp;B636))</x:f>
      </x:c>
      <x:c r="O636" s="20" t="str">
        <x:f>IF(Q636&lt;&gt;"OK","",SUMIFS($M$8:$M$1007,$A$8:$A$1007,A636,$B$8:$B$1007,"&lt;="&amp;B636))</x:f>
      </x:c>
      <x:c r="P636" s="20" t="str">
        <x:f>IF(Q636&lt;&gt;"OK","",MAX(0,-MIN(N636,O636)))</x:f>
      </x:c>
      <x:c r="Q636" s="18" t="str">
        <x:f>IF(A636="",IF(COUNTA(B636:K636)=0,"","Inserisci ID"),IF(COUNTIFS('Diario'!$A$8:$A$507,A636)&lt;&gt;1,"ID assente / duplicato",IF(OR(NOT(ISNUMBER(B636)),B636&lt;1,B636&lt;&gt;INT(B636),COUNTIFS($A$8:$A$1007,A636,$B$8:$B$1007,B636)&lt;&gt;1),"N. esecuzione non valido",IF(OR(NOT(ISNUMBER(C636)),AND(D636&lt;&gt;"Ingresso",D636&lt;&gt;"Uscita"),AND(E636&lt;&gt;"Back",E636&lt;&gt;"Lay")),"Completa data / fase / lato",IF(OR(NOT(ISNUMBER(F636)),F636&lt;=1,NOT(ISNUMBER(G636)),G636&lt;=0),"Correggi quota / stake","OK")))))</x:f>
      </x:c>
    </x:row>
    <x:row r="637" ht="22" customHeight="1">
      <x:c r="A637" s="24"/>
      <x:c r="B637" s="24"/>
      <x:c r="C637" s="26"/>
      <x:c r="D637" s="24"/>
      <x:c r="E637" s="24"/>
      <x:c r="F637" s="28"/>
      <x:c r="G637" s="29"/>
      <x:c r="H637" s="24"/>
      <x:c r="I637" s="24"/>
      <x:c r="J637" s="24"/>
      <x:c r="K637" s="24"/>
      <x:c r="L637" s="20" t="str">
        <x:f>IF(Q637&lt;&gt;"OK","",IF(E637="Back",G637*(F637-1),-G637*(F637-1)))</x:f>
      </x:c>
      <x:c r="M637" s="20" t="str">
        <x:f>IF(Q637&lt;&gt;"OK","",IF(E637="Back",-G637,G637))</x:f>
      </x:c>
      <x:c r="N637" s="20" t="str">
        <x:f>IF(Q637&lt;&gt;"OK","",SUMIFS($L$8:$L$1007,$A$8:$A$1007,A637,$B$8:$B$1007,"&lt;="&amp;B637))</x:f>
      </x:c>
      <x:c r="O637" s="20" t="str">
        <x:f>IF(Q637&lt;&gt;"OK","",SUMIFS($M$8:$M$1007,$A$8:$A$1007,A637,$B$8:$B$1007,"&lt;="&amp;B637))</x:f>
      </x:c>
      <x:c r="P637" s="20" t="str">
        <x:f>IF(Q637&lt;&gt;"OK","",MAX(0,-MIN(N637,O637)))</x:f>
      </x:c>
      <x:c r="Q637" s="18" t="str">
        <x:f>IF(A637="",IF(COUNTA(B637:K637)=0,"","Inserisci ID"),IF(COUNTIFS('Diario'!$A$8:$A$507,A637)&lt;&gt;1,"ID assente / duplicato",IF(OR(NOT(ISNUMBER(B637)),B637&lt;1,B637&lt;&gt;INT(B637),COUNTIFS($A$8:$A$1007,A637,$B$8:$B$1007,B637)&lt;&gt;1),"N. esecuzione non valido",IF(OR(NOT(ISNUMBER(C637)),AND(D637&lt;&gt;"Ingresso",D637&lt;&gt;"Uscita"),AND(E637&lt;&gt;"Back",E637&lt;&gt;"Lay")),"Completa data / fase / lato",IF(OR(NOT(ISNUMBER(F637)),F637&lt;=1,NOT(ISNUMBER(G637)),G637&lt;=0),"Correggi quota / stake","OK")))))</x:f>
      </x:c>
    </x:row>
    <x:row r="638" ht="22" customHeight="1">
      <x:c r="A638" s="24"/>
      <x:c r="B638" s="24"/>
      <x:c r="C638" s="26"/>
      <x:c r="D638" s="24"/>
      <x:c r="E638" s="24"/>
      <x:c r="F638" s="28"/>
      <x:c r="G638" s="29"/>
      <x:c r="H638" s="24"/>
      <x:c r="I638" s="24"/>
      <x:c r="J638" s="24"/>
      <x:c r="K638" s="24"/>
      <x:c r="L638" s="20" t="str">
        <x:f>IF(Q638&lt;&gt;"OK","",IF(E638="Back",G638*(F638-1),-G638*(F638-1)))</x:f>
      </x:c>
      <x:c r="M638" s="20" t="str">
        <x:f>IF(Q638&lt;&gt;"OK","",IF(E638="Back",-G638,G638))</x:f>
      </x:c>
      <x:c r="N638" s="20" t="str">
        <x:f>IF(Q638&lt;&gt;"OK","",SUMIFS($L$8:$L$1007,$A$8:$A$1007,A638,$B$8:$B$1007,"&lt;="&amp;B638))</x:f>
      </x:c>
      <x:c r="O638" s="20" t="str">
        <x:f>IF(Q638&lt;&gt;"OK","",SUMIFS($M$8:$M$1007,$A$8:$A$1007,A638,$B$8:$B$1007,"&lt;="&amp;B638))</x:f>
      </x:c>
      <x:c r="P638" s="20" t="str">
        <x:f>IF(Q638&lt;&gt;"OK","",MAX(0,-MIN(N638,O638)))</x:f>
      </x:c>
      <x:c r="Q638" s="18" t="str">
        <x:f>IF(A638="",IF(COUNTA(B638:K638)=0,"","Inserisci ID"),IF(COUNTIFS('Diario'!$A$8:$A$507,A638)&lt;&gt;1,"ID assente / duplicato",IF(OR(NOT(ISNUMBER(B638)),B638&lt;1,B638&lt;&gt;INT(B638),COUNTIFS($A$8:$A$1007,A638,$B$8:$B$1007,B638)&lt;&gt;1),"N. esecuzione non valido",IF(OR(NOT(ISNUMBER(C638)),AND(D638&lt;&gt;"Ingresso",D638&lt;&gt;"Uscita"),AND(E638&lt;&gt;"Back",E638&lt;&gt;"Lay")),"Completa data / fase / lato",IF(OR(NOT(ISNUMBER(F638)),F638&lt;=1,NOT(ISNUMBER(G638)),G638&lt;=0),"Correggi quota / stake","OK")))))</x:f>
      </x:c>
    </x:row>
    <x:row r="639" ht="22" customHeight="1">
      <x:c r="A639" s="24"/>
      <x:c r="B639" s="24"/>
      <x:c r="C639" s="26"/>
      <x:c r="D639" s="24"/>
      <x:c r="E639" s="24"/>
      <x:c r="F639" s="28"/>
      <x:c r="G639" s="29"/>
      <x:c r="H639" s="24"/>
      <x:c r="I639" s="24"/>
      <x:c r="J639" s="24"/>
      <x:c r="K639" s="24"/>
      <x:c r="L639" s="20" t="str">
        <x:f>IF(Q639&lt;&gt;"OK","",IF(E639="Back",G639*(F639-1),-G639*(F639-1)))</x:f>
      </x:c>
      <x:c r="M639" s="20" t="str">
        <x:f>IF(Q639&lt;&gt;"OK","",IF(E639="Back",-G639,G639))</x:f>
      </x:c>
      <x:c r="N639" s="20" t="str">
        <x:f>IF(Q639&lt;&gt;"OK","",SUMIFS($L$8:$L$1007,$A$8:$A$1007,A639,$B$8:$B$1007,"&lt;="&amp;B639))</x:f>
      </x:c>
      <x:c r="O639" s="20" t="str">
        <x:f>IF(Q639&lt;&gt;"OK","",SUMIFS($M$8:$M$1007,$A$8:$A$1007,A639,$B$8:$B$1007,"&lt;="&amp;B639))</x:f>
      </x:c>
      <x:c r="P639" s="20" t="str">
        <x:f>IF(Q639&lt;&gt;"OK","",MAX(0,-MIN(N639,O639)))</x:f>
      </x:c>
      <x:c r="Q639" s="18" t="str">
        <x:f>IF(A639="",IF(COUNTA(B639:K639)=0,"","Inserisci ID"),IF(COUNTIFS('Diario'!$A$8:$A$507,A639)&lt;&gt;1,"ID assente / duplicato",IF(OR(NOT(ISNUMBER(B639)),B639&lt;1,B639&lt;&gt;INT(B639),COUNTIFS($A$8:$A$1007,A639,$B$8:$B$1007,B639)&lt;&gt;1),"N. esecuzione non valido",IF(OR(NOT(ISNUMBER(C639)),AND(D639&lt;&gt;"Ingresso",D639&lt;&gt;"Uscita"),AND(E639&lt;&gt;"Back",E639&lt;&gt;"Lay")),"Completa data / fase / lato",IF(OR(NOT(ISNUMBER(F639)),F639&lt;=1,NOT(ISNUMBER(G639)),G639&lt;=0),"Correggi quota / stake","OK")))))</x:f>
      </x:c>
    </x:row>
    <x:row r="640" ht="22" customHeight="1">
      <x:c r="A640" s="24"/>
      <x:c r="B640" s="24"/>
      <x:c r="C640" s="26"/>
      <x:c r="D640" s="24"/>
      <x:c r="E640" s="24"/>
      <x:c r="F640" s="28"/>
      <x:c r="G640" s="29"/>
      <x:c r="H640" s="24"/>
      <x:c r="I640" s="24"/>
      <x:c r="J640" s="24"/>
      <x:c r="K640" s="24"/>
      <x:c r="L640" s="20" t="str">
        <x:f>IF(Q640&lt;&gt;"OK","",IF(E640="Back",G640*(F640-1),-G640*(F640-1)))</x:f>
      </x:c>
      <x:c r="M640" s="20" t="str">
        <x:f>IF(Q640&lt;&gt;"OK","",IF(E640="Back",-G640,G640))</x:f>
      </x:c>
      <x:c r="N640" s="20" t="str">
        <x:f>IF(Q640&lt;&gt;"OK","",SUMIFS($L$8:$L$1007,$A$8:$A$1007,A640,$B$8:$B$1007,"&lt;="&amp;B640))</x:f>
      </x:c>
      <x:c r="O640" s="20" t="str">
        <x:f>IF(Q640&lt;&gt;"OK","",SUMIFS($M$8:$M$1007,$A$8:$A$1007,A640,$B$8:$B$1007,"&lt;="&amp;B640))</x:f>
      </x:c>
      <x:c r="P640" s="20" t="str">
        <x:f>IF(Q640&lt;&gt;"OK","",MAX(0,-MIN(N640,O640)))</x:f>
      </x:c>
      <x:c r="Q640" s="18" t="str">
        <x:f>IF(A640="",IF(COUNTA(B640:K640)=0,"","Inserisci ID"),IF(COUNTIFS('Diario'!$A$8:$A$507,A640)&lt;&gt;1,"ID assente / duplicato",IF(OR(NOT(ISNUMBER(B640)),B640&lt;1,B640&lt;&gt;INT(B640),COUNTIFS($A$8:$A$1007,A640,$B$8:$B$1007,B640)&lt;&gt;1),"N. esecuzione non valido",IF(OR(NOT(ISNUMBER(C640)),AND(D640&lt;&gt;"Ingresso",D640&lt;&gt;"Uscita"),AND(E640&lt;&gt;"Back",E640&lt;&gt;"Lay")),"Completa data / fase / lato",IF(OR(NOT(ISNUMBER(F640)),F640&lt;=1,NOT(ISNUMBER(G640)),G640&lt;=0),"Correggi quota / stake","OK")))))</x:f>
      </x:c>
    </x:row>
    <x:row r="641" ht="22" customHeight="1">
      <x:c r="A641" s="24"/>
      <x:c r="B641" s="24"/>
      <x:c r="C641" s="26"/>
      <x:c r="D641" s="24"/>
      <x:c r="E641" s="24"/>
      <x:c r="F641" s="28"/>
      <x:c r="G641" s="29"/>
      <x:c r="H641" s="24"/>
      <x:c r="I641" s="24"/>
      <x:c r="J641" s="24"/>
      <x:c r="K641" s="24"/>
      <x:c r="L641" s="20" t="str">
        <x:f>IF(Q641&lt;&gt;"OK","",IF(E641="Back",G641*(F641-1),-G641*(F641-1)))</x:f>
      </x:c>
      <x:c r="M641" s="20" t="str">
        <x:f>IF(Q641&lt;&gt;"OK","",IF(E641="Back",-G641,G641))</x:f>
      </x:c>
      <x:c r="N641" s="20" t="str">
        <x:f>IF(Q641&lt;&gt;"OK","",SUMIFS($L$8:$L$1007,$A$8:$A$1007,A641,$B$8:$B$1007,"&lt;="&amp;B641))</x:f>
      </x:c>
      <x:c r="O641" s="20" t="str">
        <x:f>IF(Q641&lt;&gt;"OK","",SUMIFS($M$8:$M$1007,$A$8:$A$1007,A641,$B$8:$B$1007,"&lt;="&amp;B641))</x:f>
      </x:c>
      <x:c r="P641" s="20" t="str">
        <x:f>IF(Q641&lt;&gt;"OK","",MAX(0,-MIN(N641,O641)))</x:f>
      </x:c>
      <x:c r="Q641" s="18" t="str">
        <x:f>IF(A641="",IF(COUNTA(B641:K641)=0,"","Inserisci ID"),IF(COUNTIFS('Diario'!$A$8:$A$507,A641)&lt;&gt;1,"ID assente / duplicato",IF(OR(NOT(ISNUMBER(B641)),B641&lt;1,B641&lt;&gt;INT(B641),COUNTIFS($A$8:$A$1007,A641,$B$8:$B$1007,B641)&lt;&gt;1),"N. esecuzione non valido",IF(OR(NOT(ISNUMBER(C641)),AND(D641&lt;&gt;"Ingresso",D641&lt;&gt;"Uscita"),AND(E641&lt;&gt;"Back",E641&lt;&gt;"Lay")),"Completa data / fase / lato",IF(OR(NOT(ISNUMBER(F641)),F641&lt;=1,NOT(ISNUMBER(G641)),G641&lt;=0),"Correggi quota / stake","OK")))))</x:f>
      </x:c>
    </x:row>
    <x:row r="642" ht="22" customHeight="1">
      <x:c r="A642" s="24"/>
      <x:c r="B642" s="24"/>
      <x:c r="C642" s="26"/>
      <x:c r="D642" s="24"/>
      <x:c r="E642" s="24"/>
      <x:c r="F642" s="28"/>
      <x:c r="G642" s="29"/>
      <x:c r="H642" s="24"/>
      <x:c r="I642" s="24"/>
      <x:c r="J642" s="24"/>
      <x:c r="K642" s="24"/>
      <x:c r="L642" s="20" t="str">
        <x:f>IF(Q642&lt;&gt;"OK","",IF(E642="Back",G642*(F642-1),-G642*(F642-1)))</x:f>
      </x:c>
      <x:c r="M642" s="20" t="str">
        <x:f>IF(Q642&lt;&gt;"OK","",IF(E642="Back",-G642,G642))</x:f>
      </x:c>
      <x:c r="N642" s="20" t="str">
        <x:f>IF(Q642&lt;&gt;"OK","",SUMIFS($L$8:$L$1007,$A$8:$A$1007,A642,$B$8:$B$1007,"&lt;="&amp;B642))</x:f>
      </x:c>
      <x:c r="O642" s="20" t="str">
        <x:f>IF(Q642&lt;&gt;"OK","",SUMIFS($M$8:$M$1007,$A$8:$A$1007,A642,$B$8:$B$1007,"&lt;="&amp;B642))</x:f>
      </x:c>
      <x:c r="P642" s="20" t="str">
        <x:f>IF(Q642&lt;&gt;"OK","",MAX(0,-MIN(N642,O642)))</x:f>
      </x:c>
      <x:c r="Q642" s="18" t="str">
        <x:f>IF(A642="",IF(COUNTA(B642:K642)=0,"","Inserisci ID"),IF(COUNTIFS('Diario'!$A$8:$A$507,A642)&lt;&gt;1,"ID assente / duplicato",IF(OR(NOT(ISNUMBER(B642)),B642&lt;1,B642&lt;&gt;INT(B642),COUNTIFS($A$8:$A$1007,A642,$B$8:$B$1007,B642)&lt;&gt;1),"N. esecuzione non valido",IF(OR(NOT(ISNUMBER(C642)),AND(D642&lt;&gt;"Ingresso",D642&lt;&gt;"Uscita"),AND(E642&lt;&gt;"Back",E642&lt;&gt;"Lay")),"Completa data / fase / lato",IF(OR(NOT(ISNUMBER(F642)),F642&lt;=1,NOT(ISNUMBER(G642)),G642&lt;=0),"Correggi quota / stake","OK")))))</x:f>
      </x:c>
    </x:row>
    <x:row r="643" ht="22" customHeight="1">
      <x:c r="A643" s="24"/>
      <x:c r="B643" s="24"/>
      <x:c r="C643" s="26"/>
      <x:c r="D643" s="24"/>
      <x:c r="E643" s="24"/>
      <x:c r="F643" s="28"/>
      <x:c r="G643" s="29"/>
      <x:c r="H643" s="24"/>
      <x:c r="I643" s="24"/>
      <x:c r="J643" s="24"/>
      <x:c r="K643" s="24"/>
      <x:c r="L643" s="20" t="str">
        <x:f>IF(Q643&lt;&gt;"OK","",IF(E643="Back",G643*(F643-1),-G643*(F643-1)))</x:f>
      </x:c>
      <x:c r="M643" s="20" t="str">
        <x:f>IF(Q643&lt;&gt;"OK","",IF(E643="Back",-G643,G643))</x:f>
      </x:c>
      <x:c r="N643" s="20" t="str">
        <x:f>IF(Q643&lt;&gt;"OK","",SUMIFS($L$8:$L$1007,$A$8:$A$1007,A643,$B$8:$B$1007,"&lt;="&amp;B643))</x:f>
      </x:c>
      <x:c r="O643" s="20" t="str">
        <x:f>IF(Q643&lt;&gt;"OK","",SUMIFS($M$8:$M$1007,$A$8:$A$1007,A643,$B$8:$B$1007,"&lt;="&amp;B643))</x:f>
      </x:c>
      <x:c r="P643" s="20" t="str">
        <x:f>IF(Q643&lt;&gt;"OK","",MAX(0,-MIN(N643,O643)))</x:f>
      </x:c>
      <x:c r="Q643" s="18" t="str">
        <x:f>IF(A643="",IF(COUNTA(B643:K643)=0,"","Inserisci ID"),IF(COUNTIFS('Diario'!$A$8:$A$507,A643)&lt;&gt;1,"ID assente / duplicato",IF(OR(NOT(ISNUMBER(B643)),B643&lt;1,B643&lt;&gt;INT(B643),COUNTIFS($A$8:$A$1007,A643,$B$8:$B$1007,B643)&lt;&gt;1),"N. esecuzione non valido",IF(OR(NOT(ISNUMBER(C643)),AND(D643&lt;&gt;"Ingresso",D643&lt;&gt;"Uscita"),AND(E643&lt;&gt;"Back",E643&lt;&gt;"Lay")),"Completa data / fase / lato",IF(OR(NOT(ISNUMBER(F643)),F643&lt;=1,NOT(ISNUMBER(G643)),G643&lt;=0),"Correggi quota / stake","OK")))))</x:f>
      </x:c>
    </x:row>
    <x:row r="644" ht="22" customHeight="1">
      <x:c r="A644" s="24"/>
      <x:c r="B644" s="24"/>
      <x:c r="C644" s="26"/>
      <x:c r="D644" s="24"/>
      <x:c r="E644" s="24"/>
      <x:c r="F644" s="28"/>
      <x:c r="G644" s="29"/>
      <x:c r="H644" s="24"/>
      <x:c r="I644" s="24"/>
      <x:c r="J644" s="24"/>
      <x:c r="K644" s="24"/>
      <x:c r="L644" s="20" t="str">
        <x:f>IF(Q644&lt;&gt;"OK","",IF(E644="Back",G644*(F644-1),-G644*(F644-1)))</x:f>
      </x:c>
      <x:c r="M644" s="20" t="str">
        <x:f>IF(Q644&lt;&gt;"OK","",IF(E644="Back",-G644,G644))</x:f>
      </x:c>
      <x:c r="N644" s="20" t="str">
        <x:f>IF(Q644&lt;&gt;"OK","",SUMIFS($L$8:$L$1007,$A$8:$A$1007,A644,$B$8:$B$1007,"&lt;="&amp;B644))</x:f>
      </x:c>
      <x:c r="O644" s="20" t="str">
        <x:f>IF(Q644&lt;&gt;"OK","",SUMIFS($M$8:$M$1007,$A$8:$A$1007,A644,$B$8:$B$1007,"&lt;="&amp;B644))</x:f>
      </x:c>
      <x:c r="P644" s="20" t="str">
        <x:f>IF(Q644&lt;&gt;"OK","",MAX(0,-MIN(N644,O644)))</x:f>
      </x:c>
      <x:c r="Q644" s="18" t="str">
        <x:f>IF(A644="",IF(COUNTA(B644:K644)=0,"","Inserisci ID"),IF(COUNTIFS('Diario'!$A$8:$A$507,A644)&lt;&gt;1,"ID assente / duplicato",IF(OR(NOT(ISNUMBER(B644)),B644&lt;1,B644&lt;&gt;INT(B644),COUNTIFS($A$8:$A$1007,A644,$B$8:$B$1007,B644)&lt;&gt;1),"N. esecuzione non valido",IF(OR(NOT(ISNUMBER(C644)),AND(D644&lt;&gt;"Ingresso",D644&lt;&gt;"Uscita"),AND(E644&lt;&gt;"Back",E644&lt;&gt;"Lay")),"Completa data / fase / lato",IF(OR(NOT(ISNUMBER(F644)),F644&lt;=1,NOT(ISNUMBER(G644)),G644&lt;=0),"Correggi quota / stake","OK")))))</x:f>
      </x:c>
    </x:row>
    <x:row r="645" ht="22" customHeight="1">
      <x:c r="A645" s="24"/>
      <x:c r="B645" s="24"/>
      <x:c r="C645" s="26"/>
      <x:c r="D645" s="24"/>
      <x:c r="E645" s="24"/>
      <x:c r="F645" s="28"/>
      <x:c r="G645" s="29"/>
      <x:c r="H645" s="24"/>
      <x:c r="I645" s="24"/>
      <x:c r="J645" s="24"/>
      <x:c r="K645" s="24"/>
      <x:c r="L645" s="20" t="str">
        <x:f>IF(Q645&lt;&gt;"OK","",IF(E645="Back",G645*(F645-1),-G645*(F645-1)))</x:f>
      </x:c>
      <x:c r="M645" s="20" t="str">
        <x:f>IF(Q645&lt;&gt;"OK","",IF(E645="Back",-G645,G645))</x:f>
      </x:c>
      <x:c r="N645" s="20" t="str">
        <x:f>IF(Q645&lt;&gt;"OK","",SUMIFS($L$8:$L$1007,$A$8:$A$1007,A645,$B$8:$B$1007,"&lt;="&amp;B645))</x:f>
      </x:c>
      <x:c r="O645" s="20" t="str">
        <x:f>IF(Q645&lt;&gt;"OK","",SUMIFS($M$8:$M$1007,$A$8:$A$1007,A645,$B$8:$B$1007,"&lt;="&amp;B645))</x:f>
      </x:c>
      <x:c r="P645" s="20" t="str">
        <x:f>IF(Q645&lt;&gt;"OK","",MAX(0,-MIN(N645,O645)))</x:f>
      </x:c>
      <x:c r="Q645" s="18" t="str">
        <x:f>IF(A645="",IF(COUNTA(B645:K645)=0,"","Inserisci ID"),IF(COUNTIFS('Diario'!$A$8:$A$507,A645)&lt;&gt;1,"ID assente / duplicato",IF(OR(NOT(ISNUMBER(B645)),B645&lt;1,B645&lt;&gt;INT(B645),COUNTIFS($A$8:$A$1007,A645,$B$8:$B$1007,B645)&lt;&gt;1),"N. esecuzione non valido",IF(OR(NOT(ISNUMBER(C645)),AND(D645&lt;&gt;"Ingresso",D645&lt;&gt;"Uscita"),AND(E645&lt;&gt;"Back",E645&lt;&gt;"Lay")),"Completa data / fase / lato",IF(OR(NOT(ISNUMBER(F645)),F645&lt;=1,NOT(ISNUMBER(G645)),G645&lt;=0),"Correggi quota / stake","OK")))))</x:f>
      </x:c>
    </x:row>
    <x:row r="646" ht="22" customHeight="1">
      <x:c r="A646" s="24"/>
      <x:c r="B646" s="24"/>
      <x:c r="C646" s="26"/>
      <x:c r="D646" s="24"/>
      <x:c r="E646" s="24"/>
      <x:c r="F646" s="28"/>
      <x:c r="G646" s="29"/>
      <x:c r="H646" s="24"/>
      <x:c r="I646" s="24"/>
      <x:c r="J646" s="24"/>
      <x:c r="K646" s="24"/>
      <x:c r="L646" s="20" t="str">
        <x:f>IF(Q646&lt;&gt;"OK","",IF(E646="Back",G646*(F646-1),-G646*(F646-1)))</x:f>
      </x:c>
      <x:c r="M646" s="20" t="str">
        <x:f>IF(Q646&lt;&gt;"OK","",IF(E646="Back",-G646,G646))</x:f>
      </x:c>
      <x:c r="N646" s="20" t="str">
        <x:f>IF(Q646&lt;&gt;"OK","",SUMIFS($L$8:$L$1007,$A$8:$A$1007,A646,$B$8:$B$1007,"&lt;="&amp;B646))</x:f>
      </x:c>
      <x:c r="O646" s="20" t="str">
        <x:f>IF(Q646&lt;&gt;"OK","",SUMIFS($M$8:$M$1007,$A$8:$A$1007,A646,$B$8:$B$1007,"&lt;="&amp;B646))</x:f>
      </x:c>
      <x:c r="P646" s="20" t="str">
        <x:f>IF(Q646&lt;&gt;"OK","",MAX(0,-MIN(N646,O646)))</x:f>
      </x:c>
      <x:c r="Q646" s="18" t="str">
        <x:f>IF(A646="",IF(COUNTA(B646:K646)=0,"","Inserisci ID"),IF(COUNTIFS('Diario'!$A$8:$A$507,A646)&lt;&gt;1,"ID assente / duplicato",IF(OR(NOT(ISNUMBER(B646)),B646&lt;1,B646&lt;&gt;INT(B646),COUNTIFS($A$8:$A$1007,A646,$B$8:$B$1007,B646)&lt;&gt;1),"N. esecuzione non valido",IF(OR(NOT(ISNUMBER(C646)),AND(D646&lt;&gt;"Ingresso",D646&lt;&gt;"Uscita"),AND(E646&lt;&gt;"Back",E646&lt;&gt;"Lay")),"Completa data / fase / lato",IF(OR(NOT(ISNUMBER(F646)),F646&lt;=1,NOT(ISNUMBER(G646)),G646&lt;=0),"Correggi quota / stake","OK")))))</x:f>
      </x:c>
    </x:row>
    <x:row r="647" ht="22" customHeight="1">
      <x:c r="A647" s="24"/>
      <x:c r="B647" s="24"/>
      <x:c r="C647" s="26"/>
      <x:c r="D647" s="24"/>
      <x:c r="E647" s="24"/>
      <x:c r="F647" s="28"/>
      <x:c r="G647" s="29"/>
      <x:c r="H647" s="24"/>
      <x:c r="I647" s="24"/>
      <x:c r="J647" s="24"/>
      <x:c r="K647" s="24"/>
      <x:c r="L647" s="20" t="str">
        <x:f>IF(Q647&lt;&gt;"OK","",IF(E647="Back",G647*(F647-1),-G647*(F647-1)))</x:f>
      </x:c>
      <x:c r="M647" s="20" t="str">
        <x:f>IF(Q647&lt;&gt;"OK","",IF(E647="Back",-G647,G647))</x:f>
      </x:c>
      <x:c r="N647" s="20" t="str">
        <x:f>IF(Q647&lt;&gt;"OK","",SUMIFS($L$8:$L$1007,$A$8:$A$1007,A647,$B$8:$B$1007,"&lt;="&amp;B647))</x:f>
      </x:c>
      <x:c r="O647" s="20" t="str">
        <x:f>IF(Q647&lt;&gt;"OK","",SUMIFS($M$8:$M$1007,$A$8:$A$1007,A647,$B$8:$B$1007,"&lt;="&amp;B647))</x:f>
      </x:c>
      <x:c r="P647" s="20" t="str">
        <x:f>IF(Q647&lt;&gt;"OK","",MAX(0,-MIN(N647,O647)))</x:f>
      </x:c>
      <x:c r="Q647" s="18" t="str">
        <x:f>IF(A647="",IF(COUNTA(B647:K647)=0,"","Inserisci ID"),IF(COUNTIFS('Diario'!$A$8:$A$507,A647)&lt;&gt;1,"ID assente / duplicato",IF(OR(NOT(ISNUMBER(B647)),B647&lt;1,B647&lt;&gt;INT(B647),COUNTIFS($A$8:$A$1007,A647,$B$8:$B$1007,B647)&lt;&gt;1),"N. esecuzione non valido",IF(OR(NOT(ISNUMBER(C647)),AND(D647&lt;&gt;"Ingresso",D647&lt;&gt;"Uscita"),AND(E647&lt;&gt;"Back",E647&lt;&gt;"Lay")),"Completa data / fase / lato",IF(OR(NOT(ISNUMBER(F647)),F647&lt;=1,NOT(ISNUMBER(G647)),G647&lt;=0),"Correggi quota / stake","OK")))))</x:f>
      </x:c>
    </x:row>
    <x:row r="648" ht="22" customHeight="1">
      <x:c r="A648" s="24"/>
      <x:c r="B648" s="24"/>
      <x:c r="C648" s="26"/>
      <x:c r="D648" s="24"/>
      <x:c r="E648" s="24"/>
      <x:c r="F648" s="28"/>
      <x:c r="G648" s="29"/>
      <x:c r="H648" s="24"/>
      <x:c r="I648" s="24"/>
      <x:c r="J648" s="24"/>
      <x:c r="K648" s="24"/>
      <x:c r="L648" s="20" t="str">
        <x:f>IF(Q648&lt;&gt;"OK","",IF(E648="Back",G648*(F648-1),-G648*(F648-1)))</x:f>
      </x:c>
      <x:c r="M648" s="20" t="str">
        <x:f>IF(Q648&lt;&gt;"OK","",IF(E648="Back",-G648,G648))</x:f>
      </x:c>
      <x:c r="N648" s="20" t="str">
        <x:f>IF(Q648&lt;&gt;"OK","",SUMIFS($L$8:$L$1007,$A$8:$A$1007,A648,$B$8:$B$1007,"&lt;="&amp;B648))</x:f>
      </x:c>
      <x:c r="O648" s="20" t="str">
        <x:f>IF(Q648&lt;&gt;"OK","",SUMIFS($M$8:$M$1007,$A$8:$A$1007,A648,$B$8:$B$1007,"&lt;="&amp;B648))</x:f>
      </x:c>
      <x:c r="P648" s="20" t="str">
        <x:f>IF(Q648&lt;&gt;"OK","",MAX(0,-MIN(N648,O648)))</x:f>
      </x:c>
      <x:c r="Q648" s="18" t="str">
        <x:f>IF(A648="",IF(COUNTA(B648:K648)=0,"","Inserisci ID"),IF(COUNTIFS('Diario'!$A$8:$A$507,A648)&lt;&gt;1,"ID assente / duplicato",IF(OR(NOT(ISNUMBER(B648)),B648&lt;1,B648&lt;&gt;INT(B648),COUNTIFS($A$8:$A$1007,A648,$B$8:$B$1007,B648)&lt;&gt;1),"N. esecuzione non valido",IF(OR(NOT(ISNUMBER(C648)),AND(D648&lt;&gt;"Ingresso",D648&lt;&gt;"Uscita"),AND(E648&lt;&gt;"Back",E648&lt;&gt;"Lay")),"Completa data / fase / lato",IF(OR(NOT(ISNUMBER(F648)),F648&lt;=1,NOT(ISNUMBER(G648)),G648&lt;=0),"Correggi quota / stake","OK")))))</x:f>
      </x:c>
    </x:row>
    <x:row r="649" ht="22" customHeight="1">
      <x:c r="A649" s="24"/>
      <x:c r="B649" s="24"/>
      <x:c r="C649" s="26"/>
      <x:c r="D649" s="24"/>
      <x:c r="E649" s="24"/>
      <x:c r="F649" s="28"/>
      <x:c r="G649" s="29"/>
      <x:c r="H649" s="24"/>
      <x:c r="I649" s="24"/>
      <x:c r="J649" s="24"/>
      <x:c r="K649" s="24"/>
      <x:c r="L649" s="20" t="str">
        <x:f>IF(Q649&lt;&gt;"OK","",IF(E649="Back",G649*(F649-1),-G649*(F649-1)))</x:f>
      </x:c>
      <x:c r="M649" s="20" t="str">
        <x:f>IF(Q649&lt;&gt;"OK","",IF(E649="Back",-G649,G649))</x:f>
      </x:c>
      <x:c r="N649" s="20" t="str">
        <x:f>IF(Q649&lt;&gt;"OK","",SUMIFS($L$8:$L$1007,$A$8:$A$1007,A649,$B$8:$B$1007,"&lt;="&amp;B649))</x:f>
      </x:c>
      <x:c r="O649" s="20" t="str">
        <x:f>IF(Q649&lt;&gt;"OK","",SUMIFS($M$8:$M$1007,$A$8:$A$1007,A649,$B$8:$B$1007,"&lt;="&amp;B649))</x:f>
      </x:c>
      <x:c r="P649" s="20" t="str">
        <x:f>IF(Q649&lt;&gt;"OK","",MAX(0,-MIN(N649,O649)))</x:f>
      </x:c>
      <x:c r="Q649" s="18" t="str">
        <x:f>IF(A649="",IF(COUNTA(B649:K649)=0,"","Inserisci ID"),IF(COUNTIFS('Diario'!$A$8:$A$507,A649)&lt;&gt;1,"ID assente / duplicato",IF(OR(NOT(ISNUMBER(B649)),B649&lt;1,B649&lt;&gt;INT(B649),COUNTIFS($A$8:$A$1007,A649,$B$8:$B$1007,B649)&lt;&gt;1),"N. esecuzione non valido",IF(OR(NOT(ISNUMBER(C649)),AND(D649&lt;&gt;"Ingresso",D649&lt;&gt;"Uscita"),AND(E649&lt;&gt;"Back",E649&lt;&gt;"Lay")),"Completa data / fase / lato",IF(OR(NOT(ISNUMBER(F649)),F649&lt;=1,NOT(ISNUMBER(G649)),G649&lt;=0),"Correggi quota / stake","OK")))))</x:f>
      </x:c>
    </x:row>
    <x:row r="650" ht="22" customHeight="1">
      <x:c r="A650" s="24"/>
      <x:c r="B650" s="24"/>
      <x:c r="C650" s="26"/>
      <x:c r="D650" s="24"/>
      <x:c r="E650" s="24"/>
      <x:c r="F650" s="28"/>
      <x:c r="G650" s="29"/>
      <x:c r="H650" s="24"/>
      <x:c r="I650" s="24"/>
      <x:c r="J650" s="24"/>
      <x:c r="K650" s="24"/>
      <x:c r="L650" s="20" t="str">
        <x:f>IF(Q650&lt;&gt;"OK","",IF(E650="Back",G650*(F650-1),-G650*(F650-1)))</x:f>
      </x:c>
      <x:c r="M650" s="20" t="str">
        <x:f>IF(Q650&lt;&gt;"OK","",IF(E650="Back",-G650,G650))</x:f>
      </x:c>
      <x:c r="N650" s="20" t="str">
        <x:f>IF(Q650&lt;&gt;"OK","",SUMIFS($L$8:$L$1007,$A$8:$A$1007,A650,$B$8:$B$1007,"&lt;="&amp;B650))</x:f>
      </x:c>
      <x:c r="O650" s="20" t="str">
        <x:f>IF(Q650&lt;&gt;"OK","",SUMIFS($M$8:$M$1007,$A$8:$A$1007,A650,$B$8:$B$1007,"&lt;="&amp;B650))</x:f>
      </x:c>
      <x:c r="P650" s="20" t="str">
        <x:f>IF(Q650&lt;&gt;"OK","",MAX(0,-MIN(N650,O650)))</x:f>
      </x:c>
      <x:c r="Q650" s="18" t="str">
        <x:f>IF(A650="",IF(COUNTA(B650:K650)=0,"","Inserisci ID"),IF(COUNTIFS('Diario'!$A$8:$A$507,A650)&lt;&gt;1,"ID assente / duplicato",IF(OR(NOT(ISNUMBER(B650)),B650&lt;1,B650&lt;&gt;INT(B650),COUNTIFS($A$8:$A$1007,A650,$B$8:$B$1007,B650)&lt;&gt;1),"N. esecuzione non valido",IF(OR(NOT(ISNUMBER(C650)),AND(D650&lt;&gt;"Ingresso",D650&lt;&gt;"Uscita"),AND(E650&lt;&gt;"Back",E650&lt;&gt;"Lay")),"Completa data / fase / lato",IF(OR(NOT(ISNUMBER(F650)),F650&lt;=1,NOT(ISNUMBER(G650)),G650&lt;=0),"Correggi quota / stake","OK")))))</x:f>
      </x:c>
    </x:row>
    <x:row r="651" ht="22" customHeight="1">
      <x:c r="A651" s="24"/>
      <x:c r="B651" s="24"/>
      <x:c r="C651" s="26"/>
      <x:c r="D651" s="24"/>
      <x:c r="E651" s="24"/>
      <x:c r="F651" s="28"/>
      <x:c r="G651" s="29"/>
      <x:c r="H651" s="24"/>
      <x:c r="I651" s="24"/>
      <x:c r="J651" s="24"/>
      <x:c r="K651" s="24"/>
      <x:c r="L651" s="20" t="str">
        <x:f>IF(Q651&lt;&gt;"OK","",IF(E651="Back",G651*(F651-1),-G651*(F651-1)))</x:f>
      </x:c>
      <x:c r="M651" s="20" t="str">
        <x:f>IF(Q651&lt;&gt;"OK","",IF(E651="Back",-G651,G651))</x:f>
      </x:c>
      <x:c r="N651" s="20" t="str">
        <x:f>IF(Q651&lt;&gt;"OK","",SUMIFS($L$8:$L$1007,$A$8:$A$1007,A651,$B$8:$B$1007,"&lt;="&amp;B651))</x:f>
      </x:c>
      <x:c r="O651" s="20" t="str">
        <x:f>IF(Q651&lt;&gt;"OK","",SUMIFS($M$8:$M$1007,$A$8:$A$1007,A651,$B$8:$B$1007,"&lt;="&amp;B651))</x:f>
      </x:c>
      <x:c r="P651" s="20" t="str">
        <x:f>IF(Q651&lt;&gt;"OK","",MAX(0,-MIN(N651,O651)))</x:f>
      </x:c>
      <x:c r="Q651" s="18" t="str">
        <x:f>IF(A651="",IF(COUNTA(B651:K651)=0,"","Inserisci ID"),IF(COUNTIFS('Diario'!$A$8:$A$507,A651)&lt;&gt;1,"ID assente / duplicato",IF(OR(NOT(ISNUMBER(B651)),B651&lt;1,B651&lt;&gt;INT(B651),COUNTIFS($A$8:$A$1007,A651,$B$8:$B$1007,B651)&lt;&gt;1),"N. esecuzione non valido",IF(OR(NOT(ISNUMBER(C651)),AND(D651&lt;&gt;"Ingresso",D651&lt;&gt;"Uscita"),AND(E651&lt;&gt;"Back",E651&lt;&gt;"Lay")),"Completa data / fase / lato",IF(OR(NOT(ISNUMBER(F651)),F651&lt;=1,NOT(ISNUMBER(G651)),G651&lt;=0),"Correggi quota / stake","OK")))))</x:f>
      </x:c>
    </x:row>
    <x:row r="652" ht="22" customHeight="1">
      <x:c r="A652" s="24"/>
      <x:c r="B652" s="24"/>
      <x:c r="C652" s="26"/>
      <x:c r="D652" s="24"/>
      <x:c r="E652" s="24"/>
      <x:c r="F652" s="28"/>
      <x:c r="G652" s="29"/>
      <x:c r="H652" s="24"/>
      <x:c r="I652" s="24"/>
      <x:c r="J652" s="24"/>
      <x:c r="K652" s="24"/>
      <x:c r="L652" s="20" t="str">
        <x:f>IF(Q652&lt;&gt;"OK","",IF(E652="Back",G652*(F652-1),-G652*(F652-1)))</x:f>
      </x:c>
      <x:c r="M652" s="20" t="str">
        <x:f>IF(Q652&lt;&gt;"OK","",IF(E652="Back",-G652,G652))</x:f>
      </x:c>
      <x:c r="N652" s="20" t="str">
        <x:f>IF(Q652&lt;&gt;"OK","",SUMIFS($L$8:$L$1007,$A$8:$A$1007,A652,$B$8:$B$1007,"&lt;="&amp;B652))</x:f>
      </x:c>
      <x:c r="O652" s="20" t="str">
        <x:f>IF(Q652&lt;&gt;"OK","",SUMIFS($M$8:$M$1007,$A$8:$A$1007,A652,$B$8:$B$1007,"&lt;="&amp;B652))</x:f>
      </x:c>
      <x:c r="P652" s="20" t="str">
        <x:f>IF(Q652&lt;&gt;"OK","",MAX(0,-MIN(N652,O652)))</x:f>
      </x:c>
      <x:c r="Q652" s="18" t="str">
        <x:f>IF(A652="",IF(COUNTA(B652:K652)=0,"","Inserisci ID"),IF(COUNTIFS('Diario'!$A$8:$A$507,A652)&lt;&gt;1,"ID assente / duplicato",IF(OR(NOT(ISNUMBER(B652)),B652&lt;1,B652&lt;&gt;INT(B652),COUNTIFS($A$8:$A$1007,A652,$B$8:$B$1007,B652)&lt;&gt;1),"N. esecuzione non valido",IF(OR(NOT(ISNUMBER(C652)),AND(D652&lt;&gt;"Ingresso",D652&lt;&gt;"Uscita"),AND(E652&lt;&gt;"Back",E652&lt;&gt;"Lay")),"Completa data / fase / lato",IF(OR(NOT(ISNUMBER(F652)),F652&lt;=1,NOT(ISNUMBER(G652)),G652&lt;=0),"Correggi quota / stake","OK")))))</x:f>
      </x:c>
    </x:row>
    <x:row r="653" ht="22" customHeight="1">
      <x:c r="A653" s="24"/>
      <x:c r="B653" s="24"/>
      <x:c r="C653" s="26"/>
      <x:c r="D653" s="24"/>
      <x:c r="E653" s="24"/>
      <x:c r="F653" s="28"/>
      <x:c r="G653" s="29"/>
      <x:c r="H653" s="24"/>
      <x:c r="I653" s="24"/>
      <x:c r="J653" s="24"/>
      <x:c r="K653" s="24"/>
      <x:c r="L653" s="20" t="str">
        <x:f>IF(Q653&lt;&gt;"OK","",IF(E653="Back",G653*(F653-1),-G653*(F653-1)))</x:f>
      </x:c>
      <x:c r="M653" s="20" t="str">
        <x:f>IF(Q653&lt;&gt;"OK","",IF(E653="Back",-G653,G653))</x:f>
      </x:c>
      <x:c r="N653" s="20" t="str">
        <x:f>IF(Q653&lt;&gt;"OK","",SUMIFS($L$8:$L$1007,$A$8:$A$1007,A653,$B$8:$B$1007,"&lt;="&amp;B653))</x:f>
      </x:c>
      <x:c r="O653" s="20" t="str">
        <x:f>IF(Q653&lt;&gt;"OK","",SUMIFS($M$8:$M$1007,$A$8:$A$1007,A653,$B$8:$B$1007,"&lt;="&amp;B653))</x:f>
      </x:c>
      <x:c r="P653" s="20" t="str">
        <x:f>IF(Q653&lt;&gt;"OK","",MAX(0,-MIN(N653,O653)))</x:f>
      </x:c>
      <x:c r="Q653" s="18" t="str">
        <x:f>IF(A653="",IF(COUNTA(B653:K653)=0,"","Inserisci ID"),IF(COUNTIFS('Diario'!$A$8:$A$507,A653)&lt;&gt;1,"ID assente / duplicato",IF(OR(NOT(ISNUMBER(B653)),B653&lt;1,B653&lt;&gt;INT(B653),COUNTIFS($A$8:$A$1007,A653,$B$8:$B$1007,B653)&lt;&gt;1),"N. esecuzione non valido",IF(OR(NOT(ISNUMBER(C653)),AND(D653&lt;&gt;"Ingresso",D653&lt;&gt;"Uscita"),AND(E653&lt;&gt;"Back",E653&lt;&gt;"Lay")),"Completa data / fase / lato",IF(OR(NOT(ISNUMBER(F653)),F653&lt;=1,NOT(ISNUMBER(G653)),G653&lt;=0),"Correggi quota / stake","OK")))))</x:f>
      </x:c>
    </x:row>
    <x:row r="654" ht="22" customHeight="1">
      <x:c r="A654" s="24"/>
      <x:c r="B654" s="24"/>
      <x:c r="C654" s="26"/>
      <x:c r="D654" s="24"/>
      <x:c r="E654" s="24"/>
      <x:c r="F654" s="28"/>
      <x:c r="G654" s="29"/>
      <x:c r="H654" s="24"/>
      <x:c r="I654" s="24"/>
      <x:c r="J654" s="24"/>
      <x:c r="K654" s="24"/>
      <x:c r="L654" s="20" t="str">
        <x:f>IF(Q654&lt;&gt;"OK","",IF(E654="Back",G654*(F654-1),-G654*(F654-1)))</x:f>
      </x:c>
      <x:c r="M654" s="20" t="str">
        <x:f>IF(Q654&lt;&gt;"OK","",IF(E654="Back",-G654,G654))</x:f>
      </x:c>
      <x:c r="N654" s="20" t="str">
        <x:f>IF(Q654&lt;&gt;"OK","",SUMIFS($L$8:$L$1007,$A$8:$A$1007,A654,$B$8:$B$1007,"&lt;="&amp;B654))</x:f>
      </x:c>
      <x:c r="O654" s="20" t="str">
        <x:f>IF(Q654&lt;&gt;"OK","",SUMIFS($M$8:$M$1007,$A$8:$A$1007,A654,$B$8:$B$1007,"&lt;="&amp;B654))</x:f>
      </x:c>
      <x:c r="P654" s="20" t="str">
        <x:f>IF(Q654&lt;&gt;"OK","",MAX(0,-MIN(N654,O654)))</x:f>
      </x:c>
      <x:c r="Q654" s="18" t="str">
        <x:f>IF(A654="",IF(COUNTA(B654:K654)=0,"","Inserisci ID"),IF(COUNTIFS('Diario'!$A$8:$A$507,A654)&lt;&gt;1,"ID assente / duplicato",IF(OR(NOT(ISNUMBER(B654)),B654&lt;1,B654&lt;&gt;INT(B654),COUNTIFS($A$8:$A$1007,A654,$B$8:$B$1007,B654)&lt;&gt;1),"N. esecuzione non valido",IF(OR(NOT(ISNUMBER(C654)),AND(D654&lt;&gt;"Ingresso",D654&lt;&gt;"Uscita"),AND(E654&lt;&gt;"Back",E654&lt;&gt;"Lay")),"Completa data / fase / lato",IF(OR(NOT(ISNUMBER(F654)),F654&lt;=1,NOT(ISNUMBER(G654)),G654&lt;=0),"Correggi quota / stake","OK")))))</x:f>
      </x:c>
    </x:row>
    <x:row r="655" ht="22" customHeight="1">
      <x:c r="A655" s="24"/>
      <x:c r="B655" s="24"/>
      <x:c r="C655" s="26"/>
      <x:c r="D655" s="24"/>
      <x:c r="E655" s="24"/>
      <x:c r="F655" s="28"/>
      <x:c r="G655" s="29"/>
      <x:c r="H655" s="24"/>
      <x:c r="I655" s="24"/>
      <x:c r="J655" s="24"/>
      <x:c r="K655" s="24"/>
      <x:c r="L655" s="20" t="str">
        <x:f>IF(Q655&lt;&gt;"OK","",IF(E655="Back",G655*(F655-1),-G655*(F655-1)))</x:f>
      </x:c>
      <x:c r="M655" s="20" t="str">
        <x:f>IF(Q655&lt;&gt;"OK","",IF(E655="Back",-G655,G655))</x:f>
      </x:c>
      <x:c r="N655" s="20" t="str">
        <x:f>IF(Q655&lt;&gt;"OK","",SUMIFS($L$8:$L$1007,$A$8:$A$1007,A655,$B$8:$B$1007,"&lt;="&amp;B655))</x:f>
      </x:c>
      <x:c r="O655" s="20" t="str">
        <x:f>IF(Q655&lt;&gt;"OK","",SUMIFS($M$8:$M$1007,$A$8:$A$1007,A655,$B$8:$B$1007,"&lt;="&amp;B655))</x:f>
      </x:c>
      <x:c r="P655" s="20" t="str">
        <x:f>IF(Q655&lt;&gt;"OK","",MAX(0,-MIN(N655,O655)))</x:f>
      </x:c>
      <x:c r="Q655" s="18" t="str">
        <x:f>IF(A655="",IF(COUNTA(B655:K655)=0,"","Inserisci ID"),IF(COUNTIFS('Diario'!$A$8:$A$507,A655)&lt;&gt;1,"ID assente / duplicato",IF(OR(NOT(ISNUMBER(B655)),B655&lt;1,B655&lt;&gt;INT(B655),COUNTIFS($A$8:$A$1007,A655,$B$8:$B$1007,B655)&lt;&gt;1),"N. esecuzione non valido",IF(OR(NOT(ISNUMBER(C655)),AND(D655&lt;&gt;"Ingresso",D655&lt;&gt;"Uscita"),AND(E655&lt;&gt;"Back",E655&lt;&gt;"Lay")),"Completa data / fase / lato",IF(OR(NOT(ISNUMBER(F655)),F655&lt;=1,NOT(ISNUMBER(G655)),G655&lt;=0),"Correggi quota / stake","OK")))))</x:f>
      </x:c>
    </x:row>
    <x:row r="656" ht="22" customHeight="1">
      <x:c r="A656" s="24"/>
      <x:c r="B656" s="24"/>
      <x:c r="C656" s="26"/>
      <x:c r="D656" s="24"/>
      <x:c r="E656" s="24"/>
      <x:c r="F656" s="28"/>
      <x:c r="G656" s="29"/>
      <x:c r="H656" s="24"/>
      <x:c r="I656" s="24"/>
      <x:c r="J656" s="24"/>
      <x:c r="K656" s="24"/>
      <x:c r="L656" s="20" t="str">
        <x:f>IF(Q656&lt;&gt;"OK","",IF(E656="Back",G656*(F656-1),-G656*(F656-1)))</x:f>
      </x:c>
      <x:c r="M656" s="20" t="str">
        <x:f>IF(Q656&lt;&gt;"OK","",IF(E656="Back",-G656,G656))</x:f>
      </x:c>
      <x:c r="N656" s="20" t="str">
        <x:f>IF(Q656&lt;&gt;"OK","",SUMIFS($L$8:$L$1007,$A$8:$A$1007,A656,$B$8:$B$1007,"&lt;="&amp;B656))</x:f>
      </x:c>
      <x:c r="O656" s="20" t="str">
        <x:f>IF(Q656&lt;&gt;"OK","",SUMIFS($M$8:$M$1007,$A$8:$A$1007,A656,$B$8:$B$1007,"&lt;="&amp;B656))</x:f>
      </x:c>
      <x:c r="P656" s="20" t="str">
        <x:f>IF(Q656&lt;&gt;"OK","",MAX(0,-MIN(N656,O656)))</x:f>
      </x:c>
      <x:c r="Q656" s="18" t="str">
        <x:f>IF(A656="",IF(COUNTA(B656:K656)=0,"","Inserisci ID"),IF(COUNTIFS('Diario'!$A$8:$A$507,A656)&lt;&gt;1,"ID assente / duplicato",IF(OR(NOT(ISNUMBER(B656)),B656&lt;1,B656&lt;&gt;INT(B656),COUNTIFS($A$8:$A$1007,A656,$B$8:$B$1007,B656)&lt;&gt;1),"N. esecuzione non valido",IF(OR(NOT(ISNUMBER(C656)),AND(D656&lt;&gt;"Ingresso",D656&lt;&gt;"Uscita"),AND(E656&lt;&gt;"Back",E656&lt;&gt;"Lay")),"Completa data / fase / lato",IF(OR(NOT(ISNUMBER(F656)),F656&lt;=1,NOT(ISNUMBER(G656)),G656&lt;=0),"Correggi quota / stake","OK")))))</x:f>
      </x:c>
    </x:row>
    <x:row r="657" ht="22" customHeight="1">
      <x:c r="A657" s="24"/>
      <x:c r="B657" s="24"/>
      <x:c r="C657" s="26"/>
      <x:c r="D657" s="24"/>
      <x:c r="E657" s="24"/>
      <x:c r="F657" s="28"/>
      <x:c r="G657" s="29"/>
      <x:c r="H657" s="24"/>
      <x:c r="I657" s="24"/>
      <x:c r="J657" s="24"/>
      <x:c r="K657" s="24"/>
      <x:c r="L657" s="20" t="str">
        <x:f>IF(Q657&lt;&gt;"OK","",IF(E657="Back",G657*(F657-1),-G657*(F657-1)))</x:f>
      </x:c>
      <x:c r="M657" s="20" t="str">
        <x:f>IF(Q657&lt;&gt;"OK","",IF(E657="Back",-G657,G657))</x:f>
      </x:c>
      <x:c r="N657" s="20" t="str">
        <x:f>IF(Q657&lt;&gt;"OK","",SUMIFS($L$8:$L$1007,$A$8:$A$1007,A657,$B$8:$B$1007,"&lt;="&amp;B657))</x:f>
      </x:c>
      <x:c r="O657" s="20" t="str">
        <x:f>IF(Q657&lt;&gt;"OK","",SUMIFS($M$8:$M$1007,$A$8:$A$1007,A657,$B$8:$B$1007,"&lt;="&amp;B657))</x:f>
      </x:c>
      <x:c r="P657" s="20" t="str">
        <x:f>IF(Q657&lt;&gt;"OK","",MAX(0,-MIN(N657,O657)))</x:f>
      </x:c>
      <x:c r="Q657" s="18" t="str">
        <x:f>IF(A657="",IF(COUNTA(B657:K657)=0,"","Inserisci ID"),IF(COUNTIFS('Diario'!$A$8:$A$507,A657)&lt;&gt;1,"ID assente / duplicato",IF(OR(NOT(ISNUMBER(B657)),B657&lt;1,B657&lt;&gt;INT(B657),COUNTIFS($A$8:$A$1007,A657,$B$8:$B$1007,B657)&lt;&gt;1),"N. esecuzione non valido",IF(OR(NOT(ISNUMBER(C657)),AND(D657&lt;&gt;"Ingresso",D657&lt;&gt;"Uscita"),AND(E657&lt;&gt;"Back",E657&lt;&gt;"Lay")),"Completa data / fase / lato",IF(OR(NOT(ISNUMBER(F657)),F657&lt;=1,NOT(ISNUMBER(G657)),G657&lt;=0),"Correggi quota / stake","OK")))))</x:f>
      </x:c>
    </x:row>
    <x:row r="658" ht="22" customHeight="1">
      <x:c r="A658" s="24"/>
      <x:c r="B658" s="24"/>
      <x:c r="C658" s="26"/>
      <x:c r="D658" s="24"/>
      <x:c r="E658" s="24"/>
      <x:c r="F658" s="28"/>
      <x:c r="G658" s="29"/>
      <x:c r="H658" s="24"/>
      <x:c r="I658" s="24"/>
      <x:c r="J658" s="24"/>
      <x:c r="K658" s="24"/>
      <x:c r="L658" s="20" t="str">
        <x:f>IF(Q658&lt;&gt;"OK","",IF(E658="Back",G658*(F658-1),-G658*(F658-1)))</x:f>
      </x:c>
      <x:c r="M658" s="20" t="str">
        <x:f>IF(Q658&lt;&gt;"OK","",IF(E658="Back",-G658,G658))</x:f>
      </x:c>
      <x:c r="N658" s="20" t="str">
        <x:f>IF(Q658&lt;&gt;"OK","",SUMIFS($L$8:$L$1007,$A$8:$A$1007,A658,$B$8:$B$1007,"&lt;="&amp;B658))</x:f>
      </x:c>
      <x:c r="O658" s="20" t="str">
        <x:f>IF(Q658&lt;&gt;"OK","",SUMIFS($M$8:$M$1007,$A$8:$A$1007,A658,$B$8:$B$1007,"&lt;="&amp;B658))</x:f>
      </x:c>
      <x:c r="P658" s="20" t="str">
        <x:f>IF(Q658&lt;&gt;"OK","",MAX(0,-MIN(N658,O658)))</x:f>
      </x:c>
      <x:c r="Q658" s="18" t="str">
        <x:f>IF(A658="",IF(COUNTA(B658:K658)=0,"","Inserisci ID"),IF(COUNTIFS('Diario'!$A$8:$A$507,A658)&lt;&gt;1,"ID assente / duplicato",IF(OR(NOT(ISNUMBER(B658)),B658&lt;1,B658&lt;&gt;INT(B658),COUNTIFS($A$8:$A$1007,A658,$B$8:$B$1007,B658)&lt;&gt;1),"N. esecuzione non valido",IF(OR(NOT(ISNUMBER(C658)),AND(D658&lt;&gt;"Ingresso",D658&lt;&gt;"Uscita"),AND(E658&lt;&gt;"Back",E658&lt;&gt;"Lay")),"Completa data / fase / lato",IF(OR(NOT(ISNUMBER(F658)),F658&lt;=1,NOT(ISNUMBER(G658)),G658&lt;=0),"Correggi quota / stake","OK")))))</x:f>
      </x:c>
    </x:row>
    <x:row r="659" ht="22" customHeight="1">
      <x:c r="A659" s="24"/>
      <x:c r="B659" s="24"/>
      <x:c r="C659" s="26"/>
      <x:c r="D659" s="24"/>
      <x:c r="E659" s="24"/>
      <x:c r="F659" s="28"/>
      <x:c r="G659" s="29"/>
      <x:c r="H659" s="24"/>
      <x:c r="I659" s="24"/>
      <x:c r="J659" s="24"/>
      <x:c r="K659" s="24"/>
      <x:c r="L659" s="20" t="str">
        <x:f>IF(Q659&lt;&gt;"OK","",IF(E659="Back",G659*(F659-1),-G659*(F659-1)))</x:f>
      </x:c>
      <x:c r="M659" s="20" t="str">
        <x:f>IF(Q659&lt;&gt;"OK","",IF(E659="Back",-G659,G659))</x:f>
      </x:c>
      <x:c r="N659" s="20" t="str">
        <x:f>IF(Q659&lt;&gt;"OK","",SUMIFS($L$8:$L$1007,$A$8:$A$1007,A659,$B$8:$B$1007,"&lt;="&amp;B659))</x:f>
      </x:c>
      <x:c r="O659" s="20" t="str">
        <x:f>IF(Q659&lt;&gt;"OK","",SUMIFS($M$8:$M$1007,$A$8:$A$1007,A659,$B$8:$B$1007,"&lt;="&amp;B659))</x:f>
      </x:c>
      <x:c r="P659" s="20" t="str">
        <x:f>IF(Q659&lt;&gt;"OK","",MAX(0,-MIN(N659,O659)))</x:f>
      </x:c>
      <x:c r="Q659" s="18" t="str">
        <x:f>IF(A659="",IF(COUNTA(B659:K659)=0,"","Inserisci ID"),IF(COUNTIFS('Diario'!$A$8:$A$507,A659)&lt;&gt;1,"ID assente / duplicato",IF(OR(NOT(ISNUMBER(B659)),B659&lt;1,B659&lt;&gt;INT(B659),COUNTIFS($A$8:$A$1007,A659,$B$8:$B$1007,B659)&lt;&gt;1),"N. esecuzione non valido",IF(OR(NOT(ISNUMBER(C659)),AND(D659&lt;&gt;"Ingresso",D659&lt;&gt;"Uscita"),AND(E659&lt;&gt;"Back",E659&lt;&gt;"Lay")),"Completa data / fase / lato",IF(OR(NOT(ISNUMBER(F659)),F659&lt;=1,NOT(ISNUMBER(G659)),G659&lt;=0),"Correggi quota / stake","OK")))))</x:f>
      </x:c>
    </x:row>
    <x:row r="660" ht="22" customHeight="1">
      <x:c r="A660" s="24"/>
      <x:c r="B660" s="24"/>
      <x:c r="C660" s="26"/>
      <x:c r="D660" s="24"/>
      <x:c r="E660" s="24"/>
      <x:c r="F660" s="28"/>
      <x:c r="G660" s="29"/>
      <x:c r="H660" s="24"/>
      <x:c r="I660" s="24"/>
      <x:c r="J660" s="24"/>
      <x:c r="K660" s="24"/>
      <x:c r="L660" s="20" t="str">
        <x:f>IF(Q660&lt;&gt;"OK","",IF(E660="Back",G660*(F660-1),-G660*(F660-1)))</x:f>
      </x:c>
      <x:c r="M660" s="20" t="str">
        <x:f>IF(Q660&lt;&gt;"OK","",IF(E660="Back",-G660,G660))</x:f>
      </x:c>
      <x:c r="N660" s="20" t="str">
        <x:f>IF(Q660&lt;&gt;"OK","",SUMIFS($L$8:$L$1007,$A$8:$A$1007,A660,$B$8:$B$1007,"&lt;="&amp;B660))</x:f>
      </x:c>
      <x:c r="O660" s="20" t="str">
        <x:f>IF(Q660&lt;&gt;"OK","",SUMIFS($M$8:$M$1007,$A$8:$A$1007,A660,$B$8:$B$1007,"&lt;="&amp;B660))</x:f>
      </x:c>
      <x:c r="P660" s="20" t="str">
        <x:f>IF(Q660&lt;&gt;"OK","",MAX(0,-MIN(N660,O660)))</x:f>
      </x:c>
      <x:c r="Q660" s="18" t="str">
        <x:f>IF(A660="",IF(COUNTA(B660:K660)=0,"","Inserisci ID"),IF(COUNTIFS('Diario'!$A$8:$A$507,A660)&lt;&gt;1,"ID assente / duplicato",IF(OR(NOT(ISNUMBER(B660)),B660&lt;1,B660&lt;&gt;INT(B660),COUNTIFS($A$8:$A$1007,A660,$B$8:$B$1007,B660)&lt;&gt;1),"N. esecuzione non valido",IF(OR(NOT(ISNUMBER(C660)),AND(D660&lt;&gt;"Ingresso",D660&lt;&gt;"Uscita"),AND(E660&lt;&gt;"Back",E660&lt;&gt;"Lay")),"Completa data / fase / lato",IF(OR(NOT(ISNUMBER(F660)),F660&lt;=1,NOT(ISNUMBER(G660)),G660&lt;=0),"Correggi quota / stake","OK")))))</x:f>
      </x:c>
    </x:row>
    <x:row r="661" ht="22" customHeight="1">
      <x:c r="A661" s="24"/>
      <x:c r="B661" s="24"/>
      <x:c r="C661" s="26"/>
      <x:c r="D661" s="24"/>
      <x:c r="E661" s="24"/>
      <x:c r="F661" s="28"/>
      <x:c r="G661" s="29"/>
      <x:c r="H661" s="24"/>
      <x:c r="I661" s="24"/>
      <x:c r="J661" s="24"/>
      <x:c r="K661" s="24"/>
      <x:c r="L661" s="20" t="str">
        <x:f>IF(Q661&lt;&gt;"OK","",IF(E661="Back",G661*(F661-1),-G661*(F661-1)))</x:f>
      </x:c>
      <x:c r="M661" s="20" t="str">
        <x:f>IF(Q661&lt;&gt;"OK","",IF(E661="Back",-G661,G661))</x:f>
      </x:c>
      <x:c r="N661" s="20" t="str">
        <x:f>IF(Q661&lt;&gt;"OK","",SUMIFS($L$8:$L$1007,$A$8:$A$1007,A661,$B$8:$B$1007,"&lt;="&amp;B661))</x:f>
      </x:c>
      <x:c r="O661" s="20" t="str">
        <x:f>IF(Q661&lt;&gt;"OK","",SUMIFS($M$8:$M$1007,$A$8:$A$1007,A661,$B$8:$B$1007,"&lt;="&amp;B661))</x:f>
      </x:c>
      <x:c r="P661" s="20" t="str">
        <x:f>IF(Q661&lt;&gt;"OK","",MAX(0,-MIN(N661,O661)))</x:f>
      </x:c>
      <x:c r="Q661" s="18" t="str">
        <x:f>IF(A661="",IF(COUNTA(B661:K661)=0,"","Inserisci ID"),IF(COUNTIFS('Diario'!$A$8:$A$507,A661)&lt;&gt;1,"ID assente / duplicato",IF(OR(NOT(ISNUMBER(B661)),B661&lt;1,B661&lt;&gt;INT(B661),COUNTIFS($A$8:$A$1007,A661,$B$8:$B$1007,B661)&lt;&gt;1),"N. esecuzione non valido",IF(OR(NOT(ISNUMBER(C661)),AND(D661&lt;&gt;"Ingresso",D661&lt;&gt;"Uscita"),AND(E661&lt;&gt;"Back",E661&lt;&gt;"Lay")),"Completa data / fase / lato",IF(OR(NOT(ISNUMBER(F661)),F661&lt;=1,NOT(ISNUMBER(G661)),G661&lt;=0),"Correggi quota / stake","OK")))))</x:f>
      </x:c>
    </x:row>
    <x:row r="662" ht="22" customHeight="1">
      <x:c r="A662" s="24"/>
      <x:c r="B662" s="24"/>
      <x:c r="C662" s="26"/>
      <x:c r="D662" s="24"/>
      <x:c r="E662" s="24"/>
      <x:c r="F662" s="28"/>
      <x:c r="G662" s="29"/>
      <x:c r="H662" s="24"/>
      <x:c r="I662" s="24"/>
      <x:c r="J662" s="24"/>
      <x:c r="K662" s="24"/>
      <x:c r="L662" s="20" t="str">
        <x:f>IF(Q662&lt;&gt;"OK","",IF(E662="Back",G662*(F662-1),-G662*(F662-1)))</x:f>
      </x:c>
      <x:c r="M662" s="20" t="str">
        <x:f>IF(Q662&lt;&gt;"OK","",IF(E662="Back",-G662,G662))</x:f>
      </x:c>
      <x:c r="N662" s="20" t="str">
        <x:f>IF(Q662&lt;&gt;"OK","",SUMIFS($L$8:$L$1007,$A$8:$A$1007,A662,$B$8:$B$1007,"&lt;="&amp;B662))</x:f>
      </x:c>
      <x:c r="O662" s="20" t="str">
        <x:f>IF(Q662&lt;&gt;"OK","",SUMIFS($M$8:$M$1007,$A$8:$A$1007,A662,$B$8:$B$1007,"&lt;="&amp;B662))</x:f>
      </x:c>
      <x:c r="P662" s="20" t="str">
        <x:f>IF(Q662&lt;&gt;"OK","",MAX(0,-MIN(N662,O662)))</x:f>
      </x:c>
      <x:c r="Q662" s="18" t="str">
        <x:f>IF(A662="",IF(COUNTA(B662:K662)=0,"","Inserisci ID"),IF(COUNTIFS('Diario'!$A$8:$A$507,A662)&lt;&gt;1,"ID assente / duplicato",IF(OR(NOT(ISNUMBER(B662)),B662&lt;1,B662&lt;&gt;INT(B662),COUNTIFS($A$8:$A$1007,A662,$B$8:$B$1007,B662)&lt;&gt;1),"N. esecuzione non valido",IF(OR(NOT(ISNUMBER(C662)),AND(D662&lt;&gt;"Ingresso",D662&lt;&gt;"Uscita"),AND(E662&lt;&gt;"Back",E662&lt;&gt;"Lay")),"Completa data / fase / lato",IF(OR(NOT(ISNUMBER(F662)),F662&lt;=1,NOT(ISNUMBER(G662)),G662&lt;=0),"Correggi quota / stake","OK")))))</x:f>
      </x:c>
    </x:row>
    <x:row r="663" ht="22" customHeight="1">
      <x:c r="A663" s="24"/>
      <x:c r="B663" s="24"/>
      <x:c r="C663" s="26"/>
      <x:c r="D663" s="24"/>
      <x:c r="E663" s="24"/>
      <x:c r="F663" s="28"/>
      <x:c r="G663" s="29"/>
      <x:c r="H663" s="24"/>
      <x:c r="I663" s="24"/>
      <x:c r="J663" s="24"/>
      <x:c r="K663" s="24"/>
      <x:c r="L663" s="20" t="str">
        <x:f>IF(Q663&lt;&gt;"OK","",IF(E663="Back",G663*(F663-1),-G663*(F663-1)))</x:f>
      </x:c>
      <x:c r="M663" s="20" t="str">
        <x:f>IF(Q663&lt;&gt;"OK","",IF(E663="Back",-G663,G663))</x:f>
      </x:c>
      <x:c r="N663" s="20" t="str">
        <x:f>IF(Q663&lt;&gt;"OK","",SUMIFS($L$8:$L$1007,$A$8:$A$1007,A663,$B$8:$B$1007,"&lt;="&amp;B663))</x:f>
      </x:c>
      <x:c r="O663" s="20" t="str">
        <x:f>IF(Q663&lt;&gt;"OK","",SUMIFS($M$8:$M$1007,$A$8:$A$1007,A663,$B$8:$B$1007,"&lt;="&amp;B663))</x:f>
      </x:c>
      <x:c r="P663" s="20" t="str">
        <x:f>IF(Q663&lt;&gt;"OK","",MAX(0,-MIN(N663,O663)))</x:f>
      </x:c>
      <x:c r="Q663" s="18" t="str">
        <x:f>IF(A663="",IF(COUNTA(B663:K663)=0,"","Inserisci ID"),IF(COUNTIFS('Diario'!$A$8:$A$507,A663)&lt;&gt;1,"ID assente / duplicato",IF(OR(NOT(ISNUMBER(B663)),B663&lt;1,B663&lt;&gt;INT(B663),COUNTIFS($A$8:$A$1007,A663,$B$8:$B$1007,B663)&lt;&gt;1),"N. esecuzione non valido",IF(OR(NOT(ISNUMBER(C663)),AND(D663&lt;&gt;"Ingresso",D663&lt;&gt;"Uscita"),AND(E663&lt;&gt;"Back",E663&lt;&gt;"Lay")),"Completa data / fase / lato",IF(OR(NOT(ISNUMBER(F663)),F663&lt;=1,NOT(ISNUMBER(G663)),G663&lt;=0),"Correggi quota / stake","OK")))))</x:f>
      </x:c>
    </x:row>
    <x:row r="664" ht="22" customHeight="1">
      <x:c r="A664" s="24"/>
      <x:c r="B664" s="24"/>
      <x:c r="C664" s="26"/>
      <x:c r="D664" s="24"/>
      <x:c r="E664" s="24"/>
      <x:c r="F664" s="28"/>
      <x:c r="G664" s="29"/>
      <x:c r="H664" s="24"/>
      <x:c r="I664" s="24"/>
      <x:c r="J664" s="24"/>
      <x:c r="K664" s="24"/>
      <x:c r="L664" s="20" t="str">
        <x:f>IF(Q664&lt;&gt;"OK","",IF(E664="Back",G664*(F664-1),-G664*(F664-1)))</x:f>
      </x:c>
      <x:c r="M664" s="20" t="str">
        <x:f>IF(Q664&lt;&gt;"OK","",IF(E664="Back",-G664,G664))</x:f>
      </x:c>
      <x:c r="N664" s="20" t="str">
        <x:f>IF(Q664&lt;&gt;"OK","",SUMIFS($L$8:$L$1007,$A$8:$A$1007,A664,$B$8:$B$1007,"&lt;="&amp;B664))</x:f>
      </x:c>
      <x:c r="O664" s="20" t="str">
        <x:f>IF(Q664&lt;&gt;"OK","",SUMIFS($M$8:$M$1007,$A$8:$A$1007,A664,$B$8:$B$1007,"&lt;="&amp;B664))</x:f>
      </x:c>
      <x:c r="P664" s="20" t="str">
        <x:f>IF(Q664&lt;&gt;"OK","",MAX(0,-MIN(N664,O664)))</x:f>
      </x:c>
      <x:c r="Q664" s="18" t="str">
        <x:f>IF(A664="",IF(COUNTA(B664:K664)=0,"","Inserisci ID"),IF(COUNTIFS('Diario'!$A$8:$A$507,A664)&lt;&gt;1,"ID assente / duplicato",IF(OR(NOT(ISNUMBER(B664)),B664&lt;1,B664&lt;&gt;INT(B664),COUNTIFS($A$8:$A$1007,A664,$B$8:$B$1007,B664)&lt;&gt;1),"N. esecuzione non valido",IF(OR(NOT(ISNUMBER(C664)),AND(D664&lt;&gt;"Ingresso",D664&lt;&gt;"Uscita"),AND(E664&lt;&gt;"Back",E664&lt;&gt;"Lay")),"Completa data / fase / lato",IF(OR(NOT(ISNUMBER(F664)),F664&lt;=1,NOT(ISNUMBER(G664)),G664&lt;=0),"Correggi quota / stake","OK")))))</x:f>
      </x:c>
    </x:row>
    <x:row r="665" ht="22" customHeight="1">
      <x:c r="A665" s="24"/>
      <x:c r="B665" s="24"/>
      <x:c r="C665" s="26"/>
      <x:c r="D665" s="24"/>
      <x:c r="E665" s="24"/>
      <x:c r="F665" s="28"/>
      <x:c r="G665" s="29"/>
      <x:c r="H665" s="24"/>
      <x:c r="I665" s="24"/>
      <x:c r="J665" s="24"/>
      <x:c r="K665" s="24"/>
      <x:c r="L665" s="20" t="str">
        <x:f>IF(Q665&lt;&gt;"OK","",IF(E665="Back",G665*(F665-1),-G665*(F665-1)))</x:f>
      </x:c>
      <x:c r="M665" s="20" t="str">
        <x:f>IF(Q665&lt;&gt;"OK","",IF(E665="Back",-G665,G665))</x:f>
      </x:c>
      <x:c r="N665" s="20" t="str">
        <x:f>IF(Q665&lt;&gt;"OK","",SUMIFS($L$8:$L$1007,$A$8:$A$1007,A665,$B$8:$B$1007,"&lt;="&amp;B665))</x:f>
      </x:c>
      <x:c r="O665" s="20" t="str">
        <x:f>IF(Q665&lt;&gt;"OK","",SUMIFS($M$8:$M$1007,$A$8:$A$1007,A665,$B$8:$B$1007,"&lt;="&amp;B665))</x:f>
      </x:c>
      <x:c r="P665" s="20" t="str">
        <x:f>IF(Q665&lt;&gt;"OK","",MAX(0,-MIN(N665,O665)))</x:f>
      </x:c>
      <x:c r="Q665" s="18" t="str">
        <x:f>IF(A665="",IF(COUNTA(B665:K665)=0,"","Inserisci ID"),IF(COUNTIFS('Diario'!$A$8:$A$507,A665)&lt;&gt;1,"ID assente / duplicato",IF(OR(NOT(ISNUMBER(B665)),B665&lt;1,B665&lt;&gt;INT(B665),COUNTIFS($A$8:$A$1007,A665,$B$8:$B$1007,B665)&lt;&gt;1),"N. esecuzione non valido",IF(OR(NOT(ISNUMBER(C665)),AND(D665&lt;&gt;"Ingresso",D665&lt;&gt;"Uscita"),AND(E665&lt;&gt;"Back",E665&lt;&gt;"Lay")),"Completa data / fase / lato",IF(OR(NOT(ISNUMBER(F665)),F665&lt;=1,NOT(ISNUMBER(G665)),G665&lt;=0),"Correggi quota / stake","OK")))))</x:f>
      </x:c>
    </x:row>
    <x:row r="666" ht="22" customHeight="1">
      <x:c r="A666" s="24"/>
      <x:c r="B666" s="24"/>
      <x:c r="C666" s="26"/>
      <x:c r="D666" s="24"/>
      <x:c r="E666" s="24"/>
      <x:c r="F666" s="28"/>
      <x:c r="G666" s="29"/>
      <x:c r="H666" s="24"/>
      <x:c r="I666" s="24"/>
      <x:c r="J666" s="24"/>
      <x:c r="K666" s="24"/>
      <x:c r="L666" s="20" t="str">
        <x:f>IF(Q666&lt;&gt;"OK","",IF(E666="Back",G666*(F666-1),-G666*(F666-1)))</x:f>
      </x:c>
      <x:c r="M666" s="20" t="str">
        <x:f>IF(Q666&lt;&gt;"OK","",IF(E666="Back",-G666,G666))</x:f>
      </x:c>
      <x:c r="N666" s="20" t="str">
        <x:f>IF(Q666&lt;&gt;"OK","",SUMIFS($L$8:$L$1007,$A$8:$A$1007,A666,$B$8:$B$1007,"&lt;="&amp;B666))</x:f>
      </x:c>
      <x:c r="O666" s="20" t="str">
        <x:f>IF(Q666&lt;&gt;"OK","",SUMIFS($M$8:$M$1007,$A$8:$A$1007,A666,$B$8:$B$1007,"&lt;="&amp;B666))</x:f>
      </x:c>
      <x:c r="P666" s="20" t="str">
        <x:f>IF(Q666&lt;&gt;"OK","",MAX(0,-MIN(N666,O666)))</x:f>
      </x:c>
      <x:c r="Q666" s="18" t="str">
        <x:f>IF(A666="",IF(COUNTA(B666:K666)=0,"","Inserisci ID"),IF(COUNTIFS('Diario'!$A$8:$A$507,A666)&lt;&gt;1,"ID assente / duplicato",IF(OR(NOT(ISNUMBER(B666)),B666&lt;1,B666&lt;&gt;INT(B666),COUNTIFS($A$8:$A$1007,A666,$B$8:$B$1007,B666)&lt;&gt;1),"N. esecuzione non valido",IF(OR(NOT(ISNUMBER(C666)),AND(D666&lt;&gt;"Ingresso",D666&lt;&gt;"Uscita"),AND(E666&lt;&gt;"Back",E666&lt;&gt;"Lay")),"Completa data / fase / lato",IF(OR(NOT(ISNUMBER(F666)),F666&lt;=1,NOT(ISNUMBER(G666)),G666&lt;=0),"Correggi quota / stake","OK")))))</x:f>
      </x:c>
    </x:row>
    <x:row r="667" ht="22" customHeight="1">
      <x:c r="A667" s="24"/>
      <x:c r="B667" s="24"/>
      <x:c r="C667" s="26"/>
      <x:c r="D667" s="24"/>
      <x:c r="E667" s="24"/>
      <x:c r="F667" s="28"/>
      <x:c r="G667" s="29"/>
      <x:c r="H667" s="24"/>
      <x:c r="I667" s="24"/>
      <x:c r="J667" s="24"/>
      <x:c r="K667" s="24"/>
      <x:c r="L667" s="20" t="str">
        <x:f>IF(Q667&lt;&gt;"OK","",IF(E667="Back",G667*(F667-1),-G667*(F667-1)))</x:f>
      </x:c>
      <x:c r="M667" s="20" t="str">
        <x:f>IF(Q667&lt;&gt;"OK","",IF(E667="Back",-G667,G667))</x:f>
      </x:c>
      <x:c r="N667" s="20" t="str">
        <x:f>IF(Q667&lt;&gt;"OK","",SUMIFS($L$8:$L$1007,$A$8:$A$1007,A667,$B$8:$B$1007,"&lt;="&amp;B667))</x:f>
      </x:c>
      <x:c r="O667" s="20" t="str">
        <x:f>IF(Q667&lt;&gt;"OK","",SUMIFS($M$8:$M$1007,$A$8:$A$1007,A667,$B$8:$B$1007,"&lt;="&amp;B667))</x:f>
      </x:c>
      <x:c r="P667" s="20" t="str">
        <x:f>IF(Q667&lt;&gt;"OK","",MAX(0,-MIN(N667,O667)))</x:f>
      </x:c>
      <x:c r="Q667" s="18" t="str">
        <x:f>IF(A667="",IF(COUNTA(B667:K667)=0,"","Inserisci ID"),IF(COUNTIFS('Diario'!$A$8:$A$507,A667)&lt;&gt;1,"ID assente / duplicato",IF(OR(NOT(ISNUMBER(B667)),B667&lt;1,B667&lt;&gt;INT(B667),COUNTIFS($A$8:$A$1007,A667,$B$8:$B$1007,B667)&lt;&gt;1),"N. esecuzione non valido",IF(OR(NOT(ISNUMBER(C667)),AND(D667&lt;&gt;"Ingresso",D667&lt;&gt;"Uscita"),AND(E667&lt;&gt;"Back",E667&lt;&gt;"Lay")),"Completa data / fase / lato",IF(OR(NOT(ISNUMBER(F667)),F667&lt;=1,NOT(ISNUMBER(G667)),G667&lt;=0),"Correggi quota / stake","OK")))))</x:f>
      </x:c>
    </x:row>
    <x:row r="668" ht="22" customHeight="1">
      <x:c r="A668" s="24"/>
      <x:c r="B668" s="24"/>
      <x:c r="C668" s="26"/>
      <x:c r="D668" s="24"/>
      <x:c r="E668" s="24"/>
      <x:c r="F668" s="28"/>
      <x:c r="G668" s="29"/>
      <x:c r="H668" s="24"/>
      <x:c r="I668" s="24"/>
      <x:c r="J668" s="24"/>
      <x:c r="K668" s="24"/>
      <x:c r="L668" s="20" t="str">
        <x:f>IF(Q668&lt;&gt;"OK","",IF(E668="Back",G668*(F668-1),-G668*(F668-1)))</x:f>
      </x:c>
      <x:c r="M668" s="20" t="str">
        <x:f>IF(Q668&lt;&gt;"OK","",IF(E668="Back",-G668,G668))</x:f>
      </x:c>
      <x:c r="N668" s="20" t="str">
        <x:f>IF(Q668&lt;&gt;"OK","",SUMIFS($L$8:$L$1007,$A$8:$A$1007,A668,$B$8:$B$1007,"&lt;="&amp;B668))</x:f>
      </x:c>
      <x:c r="O668" s="20" t="str">
        <x:f>IF(Q668&lt;&gt;"OK","",SUMIFS($M$8:$M$1007,$A$8:$A$1007,A668,$B$8:$B$1007,"&lt;="&amp;B668))</x:f>
      </x:c>
      <x:c r="P668" s="20" t="str">
        <x:f>IF(Q668&lt;&gt;"OK","",MAX(0,-MIN(N668,O668)))</x:f>
      </x:c>
      <x:c r="Q668" s="18" t="str">
        <x:f>IF(A668="",IF(COUNTA(B668:K668)=0,"","Inserisci ID"),IF(COUNTIFS('Diario'!$A$8:$A$507,A668)&lt;&gt;1,"ID assente / duplicato",IF(OR(NOT(ISNUMBER(B668)),B668&lt;1,B668&lt;&gt;INT(B668),COUNTIFS($A$8:$A$1007,A668,$B$8:$B$1007,B668)&lt;&gt;1),"N. esecuzione non valido",IF(OR(NOT(ISNUMBER(C668)),AND(D668&lt;&gt;"Ingresso",D668&lt;&gt;"Uscita"),AND(E668&lt;&gt;"Back",E668&lt;&gt;"Lay")),"Completa data / fase / lato",IF(OR(NOT(ISNUMBER(F668)),F668&lt;=1,NOT(ISNUMBER(G668)),G668&lt;=0),"Correggi quota / stake","OK")))))</x:f>
      </x:c>
    </x:row>
    <x:row r="669" ht="22" customHeight="1">
      <x:c r="A669" s="24"/>
      <x:c r="B669" s="24"/>
      <x:c r="C669" s="26"/>
      <x:c r="D669" s="24"/>
      <x:c r="E669" s="24"/>
      <x:c r="F669" s="28"/>
      <x:c r="G669" s="29"/>
      <x:c r="H669" s="24"/>
      <x:c r="I669" s="24"/>
      <x:c r="J669" s="24"/>
      <x:c r="K669" s="24"/>
      <x:c r="L669" s="20" t="str">
        <x:f>IF(Q669&lt;&gt;"OK","",IF(E669="Back",G669*(F669-1),-G669*(F669-1)))</x:f>
      </x:c>
      <x:c r="M669" s="20" t="str">
        <x:f>IF(Q669&lt;&gt;"OK","",IF(E669="Back",-G669,G669))</x:f>
      </x:c>
      <x:c r="N669" s="20" t="str">
        <x:f>IF(Q669&lt;&gt;"OK","",SUMIFS($L$8:$L$1007,$A$8:$A$1007,A669,$B$8:$B$1007,"&lt;="&amp;B669))</x:f>
      </x:c>
      <x:c r="O669" s="20" t="str">
        <x:f>IF(Q669&lt;&gt;"OK","",SUMIFS($M$8:$M$1007,$A$8:$A$1007,A669,$B$8:$B$1007,"&lt;="&amp;B669))</x:f>
      </x:c>
      <x:c r="P669" s="20" t="str">
        <x:f>IF(Q669&lt;&gt;"OK","",MAX(0,-MIN(N669,O669)))</x:f>
      </x:c>
      <x:c r="Q669" s="18" t="str">
        <x:f>IF(A669="",IF(COUNTA(B669:K669)=0,"","Inserisci ID"),IF(COUNTIFS('Diario'!$A$8:$A$507,A669)&lt;&gt;1,"ID assente / duplicato",IF(OR(NOT(ISNUMBER(B669)),B669&lt;1,B669&lt;&gt;INT(B669),COUNTIFS($A$8:$A$1007,A669,$B$8:$B$1007,B669)&lt;&gt;1),"N. esecuzione non valido",IF(OR(NOT(ISNUMBER(C669)),AND(D669&lt;&gt;"Ingresso",D669&lt;&gt;"Uscita"),AND(E669&lt;&gt;"Back",E669&lt;&gt;"Lay")),"Completa data / fase / lato",IF(OR(NOT(ISNUMBER(F669)),F669&lt;=1,NOT(ISNUMBER(G669)),G669&lt;=0),"Correggi quota / stake","OK")))))</x:f>
      </x:c>
    </x:row>
    <x:row r="670" ht="22" customHeight="1">
      <x:c r="A670" s="24"/>
      <x:c r="B670" s="24"/>
      <x:c r="C670" s="26"/>
      <x:c r="D670" s="24"/>
      <x:c r="E670" s="24"/>
      <x:c r="F670" s="28"/>
      <x:c r="G670" s="29"/>
      <x:c r="H670" s="24"/>
      <x:c r="I670" s="24"/>
      <x:c r="J670" s="24"/>
      <x:c r="K670" s="24"/>
      <x:c r="L670" s="20" t="str">
        <x:f>IF(Q670&lt;&gt;"OK","",IF(E670="Back",G670*(F670-1),-G670*(F670-1)))</x:f>
      </x:c>
      <x:c r="M670" s="20" t="str">
        <x:f>IF(Q670&lt;&gt;"OK","",IF(E670="Back",-G670,G670))</x:f>
      </x:c>
      <x:c r="N670" s="20" t="str">
        <x:f>IF(Q670&lt;&gt;"OK","",SUMIFS($L$8:$L$1007,$A$8:$A$1007,A670,$B$8:$B$1007,"&lt;="&amp;B670))</x:f>
      </x:c>
      <x:c r="O670" s="20" t="str">
        <x:f>IF(Q670&lt;&gt;"OK","",SUMIFS($M$8:$M$1007,$A$8:$A$1007,A670,$B$8:$B$1007,"&lt;="&amp;B670))</x:f>
      </x:c>
      <x:c r="P670" s="20" t="str">
        <x:f>IF(Q670&lt;&gt;"OK","",MAX(0,-MIN(N670,O670)))</x:f>
      </x:c>
      <x:c r="Q670" s="18" t="str">
        <x:f>IF(A670="",IF(COUNTA(B670:K670)=0,"","Inserisci ID"),IF(COUNTIFS('Diario'!$A$8:$A$507,A670)&lt;&gt;1,"ID assente / duplicato",IF(OR(NOT(ISNUMBER(B670)),B670&lt;1,B670&lt;&gt;INT(B670),COUNTIFS($A$8:$A$1007,A670,$B$8:$B$1007,B670)&lt;&gt;1),"N. esecuzione non valido",IF(OR(NOT(ISNUMBER(C670)),AND(D670&lt;&gt;"Ingresso",D670&lt;&gt;"Uscita"),AND(E670&lt;&gt;"Back",E670&lt;&gt;"Lay")),"Completa data / fase / lato",IF(OR(NOT(ISNUMBER(F670)),F670&lt;=1,NOT(ISNUMBER(G670)),G670&lt;=0),"Correggi quota / stake","OK")))))</x:f>
      </x:c>
    </x:row>
    <x:row r="671" ht="22" customHeight="1">
      <x:c r="A671" s="24"/>
      <x:c r="B671" s="24"/>
      <x:c r="C671" s="26"/>
      <x:c r="D671" s="24"/>
      <x:c r="E671" s="24"/>
      <x:c r="F671" s="28"/>
      <x:c r="G671" s="29"/>
      <x:c r="H671" s="24"/>
      <x:c r="I671" s="24"/>
      <x:c r="J671" s="24"/>
      <x:c r="K671" s="24"/>
      <x:c r="L671" s="20" t="str">
        <x:f>IF(Q671&lt;&gt;"OK","",IF(E671="Back",G671*(F671-1),-G671*(F671-1)))</x:f>
      </x:c>
      <x:c r="M671" s="20" t="str">
        <x:f>IF(Q671&lt;&gt;"OK","",IF(E671="Back",-G671,G671))</x:f>
      </x:c>
      <x:c r="N671" s="20" t="str">
        <x:f>IF(Q671&lt;&gt;"OK","",SUMIFS($L$8:$L$1007,$A$8:$A$1007,A671,$B$8:$B$1007,"&lt;="&amp;B671))</x:f>
      </x:c>
      <x:c r="O671" s="20" t="str">
        <x:f>IF(Q671&lt;&gt;"OK","",SUMIFS($M$8:$M$1007,$A$8:$A$1007,A671,$B$8:$B$1007,"&lt;="&amp;B671))</x:f>
      </x:c>
      <x:c r="P671" s="20" t="str">
        <x:f>IF(Q671&lt;&gt;"OK","",MAX(0,-MIN(N671,O671)))</x:f>
      </x:c>
      <x:c r="Q671" s="18" t="str">
        <x:f>IF(A671="",IF(COUNTA(B671:K671)=0,"","Inserisci ID"),IF(COUNTIFS('Diario'!$A$8:$A$507,A671)&lt;&gt;1,"ID assente / duplicato",IF(OR(NOT(ISNUMBER(B671)),B671&lt;1,B671&lt;&gt;INT(B671),COUNTIFS($A$8:$A$1007,A671,$B$8:$B$1007,B671)&lt;&gt;1),"N. esecuzione non valido",IF(OR(NOT(ISNUMBER(C671)),AND(D671&lt;&gt;"Ingresso",D671&lt;&gt;"Uscita"),AND(E671&lt;&gt;"Back",E671&lt;&gt;"Lay")),"Completa data / fase / lato",IF(OR(NOT(ISNUMBER(F671)),F671&lt;=1,NOT(ISNUMBER(G671)),G671&lt;=0),"Correggi quota / stake","OK")))))</x:f>
      </x:c>
    </x:row>
    <x:row r="672" ht="22" customHeight="1">
      <x:c r="A672" s="24"/>
      <x:c r="B672" s="24"/>
      <x:c r="C672" s="26"/>
      <x:c r="D672" s="24"/>
      <x:c r="E672" s="24"/>
      <x:c r="F672" s="28"/>
      <x:c r="G672" s="29"/>
      <x:c r="H672" s="24"/>
      <x:c r="I672" s="24"/>
      <x:c r="J672" s="24"/>
      <x:c r="K672" s="24"/>
      <x:c r="L672" s="20" t="str">
        <x:f>IF(Q672&lt;&gt;"OK","",IF(E672="Back",G672*(F672-1),-G672*(F672-1)))</x:f>
      </x:c>
      <x:c r="M672" s="20" t="str">
        <x:f>IF(Q672&lt;&gt;"OK","",IF(E672="Back",-G672,G672))</x:f>
      </x:c>
      <x:c r="N672" s="20" t="str">
        <x:f>IF(Q672&lt;&gt;"OK","",SUMIFS($L$8:$L$1007,$A$8:$A$1007,A672,$B$8:$B$1007,"&lt;="&amp;B672))</x:f>
      </x:c>
      <x:c r="O672" s="20" t="str">
        <x:f>IF(Q672&lt;&gt;"OK","",SUMIFS($M$8:$M$1007,$A$8:$A$1007,A672,$B$8:$B$1007,"&lt;="&amp;B672))</x:f>
      </x:c>
      <x:c r="P672" s="20" t="str">
        <x:f>IF(Q672&lt;&gt;"OK","",MAX(0,-MIN(N672,O672)))</x:f>
      </x:c>
      <x:c r="Q672" s="18" t="str">
        <x:f>IF(A672="",IF(COUNTA(B672:K672)=0,"","Inserisci ID"),IF(COUNTIFS('Diario'!$A$8:$A$507,A672)&lt;&gt;1,"ID assente / duplicato",IF(OR(NOT(ISNUMBER(B672)),B672&lt;1,B672&lt;&gt;INT(B672),COUNTIFS($A$8:$A$1007,A672,$B$8:$B$1007,B672)&lt;&gt;1),"N. esecuzione non valido",IF(OR(NOT(ISNUMBER(C672)),AND(D672&lt;&gt;"Ingresso",D672&lt;&gt;"Uscita"),AND(E672&lt;&gt;"Back",E672&lt;&gt;"Lay")),"Completa data / fase / lato",IF(OR(NOT(ISNUMBER(F672)),F672&lt;=1,NOT(ISNUMBER(G672)),G672&lt;=0),"Correggi quota / stake","OK")))))</x:f>
      </x:c>
    </x:row>
    <x:row r="673" ht="22" customHeight="1">
      <x:c r="A673" s="24"/>
      <x:c r="B673" s="24"/>
      <x:c r="C673" s="26"/>
      <x:c r="D673" s="24"/>
      <x:c r="E673" s="24"/>
      <x:c r="F673" s="28"/>
      <x:c r="G673" s="29"/>
      <x:c r="H673" s="24"/>
      <x:c r="I673" s="24"/>
      <x:c r="J673" s="24"/>
      <x:c r="K673" s="24"/>
      <x:c r="L673" s="20" t="str">
        <x:f>IF(Q673&lt;&gt;"OK","",IF(E673="Back",G673*(F673-1),-G673*(F673-1)))</x:f>
      </x:c>
      <x:c r="M673" s="20" t="str">
        <x:f>IF(Q673&lt;&gt;"OK","",IF(E673="Back",-G673,G673))</x:f>
      </x:c>
      <x:c r="N673" s="20" t="str">
        <x:f>IF(Q673&lt;&gt;"OK","",SUMIFS($L$8:$L$1007,$A$8:$A$1007,A673,$B$8:$B$1007,"&lt;="&amp;B673))</x:f>
      </x:c>
      <x:c r="O673" s="20" t="str">
        <x:f>IF(Q673&lt;&gt;"OK","",SUMIFS($M$8:$M$1007,$A$8:$A$1007,A673,$B$8:$B$1007,"&lt;="&amp;B673))</x:f>
      </x:c>
      <x:c r="P673" s="20" t="str">
        <x:f>IF(Q673&lt;&gt;"OK","",MAX(0,-MIN(N673,O673)))</x:f>
      </x:c>
      <x:c r="Q673" s="18" t="str">
        <x:f>IF(A673="",IF(COUNTA(B673:K673)=0,"","Inserisci ID"),IF(COUNTIFS('Diario'!$A$8:$A$507,A673)&lt;&gt;1,"ID assente / duplicato",IF(OR(NOT(ISNUMBER(B673)),B673&lt;1,B673&lt;&gt;INT(B673),COUNTIFS($A$8:$A$1007,A673,$B$8:$B$1007,B673)&lt;&gt;1),"N. esecuzione non valido",IF(OR(NOT(ISNUMBER(C673)),AND(D673&lt;&gt;"Ingresso",D673&lt;&gt;"Uscita"),AND(E673&lt;&gt;"Back",E673&lt;&gt;"Lay")),"Completa data / fase / lato",IF(OR(NOT(ISNUMBER(F673)),F673&lt;=1,NOT(ISNUMBER(G673)),G673&lt;=0),"Correggi quota / stake","OK")))))</x:f>
      </x:c>
    </x:row>
    <x:row r="674" ht="22" customHeight="1">
      <x:c r="A674" s="24"/>
      <x:c r="B674" s="24"/>
      <x:c r="C674" s="26"/>
      <x:c r="D674" s="24"/>
      <x:c r="E674" s="24"/>
      <x:c r="F674" s="28"/>
      <x:c r="G674" s="29"/>
      <x:c r="H674" s="24"/>
      <x:c r="I674" s="24"/>
      <x:c r="J674" s="24"/>
      <x:c r="K674" s="24"/>
      <x:c r="L674" s="20" t="str">
        <x:f>IF(Q674&lt;&gt;"OK","",IF(E674="Back",G674*(F674-1),-G674*(F674-1)))</x:f>
      </x:c>
      <x:c r="M674" s="20" t="str">
        <x:f>IF(Q674&lt;&gt;"OK","",IF(E674="Back",-G674,G674))</x:f>
      </x:c>
      <x:c r="N674" s="20" t="str">
        <x:f>IF(Q674&lt;&gt;"OK","",SUMIFS($L$8:$L$1007,$A$8:$A$1007,A674,$B$8:$B$1007,"&lt;="&amp;B674))</x:f>
      </x:c>
      <x:c r="O674" s="20" t="str">
        <x:f>IF(Q674&lt;&gt;"OK","",SUMIFS($M$8:$M$1007,$A$8:$A$1007,A674,$B$8:$B$1007,"&lt;="&amp;B674))</x:f>
      </x:c>
      <x:c r="P674" s="20" t="str">
        <x:f>IF(Q674&lt;&gt;"OK","",MAX(0,-MIN(N674,O674)))</x:f>
      </x:c>
      <x:c r="Q674" s="18" t="str">
        <x:f>IF(A674="",IF(COUNTA(B674:K674)=0,"","Inserisci ID"),IF(COUNTIFS('Diario'!$A$8:$A$507,A674)&lt;&gt;1,"ID assente / duplicato",IF(OR(NOT(ISNUMBER(B674)),B674&lt;1,B674&lt;&gt;INT(B674),COUNTIFS($A$8:$A$1007,A674,$B$8:$B$1007,B674)&lt;&gt;1),"N. esecuzione non valido",IF(OR(NOT(ISNUMBER(C674)),AND(D674&lt;&gt;"Ingresso",D674&lt;&gt;"Uscita"),AND(E674&lt;&gt;"Back",E674&lt;&gt;"Lay")),"Completa data / fase / lato",IF(OR(NOT(ISNUMBER(F674)),F674&lt;=1,NOT(ISNUMBER(G674)),G674&lt;=0),"Correggi quota / stake","OK")))))</x:f>
      </x:c>
    </x:row>
    <x:row r="675" ht="22" customHeight="1">
      <x:c r="A675" s="24"/>
      <x:c r="B675" s="24"/>
      <x:c r="C675" s="26"/>
      <x:c r="D675" s="24"/>
      <x:c r="E675" s="24"/>
      <x:c r="F675" s="28"/>
      <x:c r="G675" s="29"/>
      <x:c r="H675" s="24"/>
      <x:c r="I675" s="24"/>
      <x:c r="J675" s="24"/>
      <x:c r="K675" s="24"/>
      <x:c r="L675" s="20" t="str">
        <x:f>IF(Q675&lt;&gt;"OK","",IF(E675="Back",G675*(F675-1),-G675*(F675-1)))</x:f>
      </x:c>
      <x:c r="M675" s="20" t="str">
        <x:f>IF(Q675&lt;&gt;"OK","",IF(E675="Back",-G675,G675))</x:f>
      </x:c>
      <x:c r="N675" s="20" t="str">
        <x:f>IF(Q675&lt;&gt;"OK","",SUMIFS($L$8:$L$1007,$A$8:$A$1007,A675,$B$8:$B$1007,"&lt;="&amp;B675))</x:f>
      </x:c>
      <x:c r="O675" s="20" t="str">
        <x:f>IF(Q675&lt;&gt;"OK","",SUMIFS($M$8:$M$1007,$A$8:$A$1007,A675,$B$8:$B$1007,"&lt;="&amp;B675))</x:f>
      </x:c>
      <x:c r="P675" s="20" t="str">
        <x:f>IF(Q675&lt;&gt;"OK","",MAX(0,-MIN(N675,O675)))</x:f>
      </x:c>
      <x:c r="Q675" s="18" t="str">
        <x:f>IF(A675="",IF(COUNTA(B675:K675)=0,"","Inserisci ID"),IF(COUNTIFS('Diario'!$A$8:$A$507,A675)&lt;&gt;1,"ID assente / duplicato",IF(OR(NOT(ISNUMBER(B675)),B675&lt;1,B675&lt;&gt;INT(B675),COUNTIFS($A$8:$A$1007,A675,$B$8:$B$1007,B675)&lt;&gt;1),"N. esecuzione non valido",IF(OR(NOT(ISNUMBER(C675)),AND(D675&lt;&gt;"Ingresso",D675&lt;&gt;"Uscita"),AND(E675&lt;&gt;"Back",E675&lt;&gt;"Lay")),"Completa data / fase / lato",IF(OR(NOT(ISNUMBER(F675)),F675&lt;=1,NOT(ISNUMBER(G675)),G675&lt;=0),"Correggi quota / stake","OK")))))</x:f>
      </x:c>
    </x:row>
    <x:row r="676" ht="22" customHeight="1">
      <x:c r="A676" s="24"/>
      <x:c r="B676" s="24"/>
      <x:c r="C676" s="26"/>
      <x:c r="D676" s="24"/>
      <x:c r="E676" s="24"/>
      <x:c r="F676" s="28"/>
      <x:c r="G676" s="29"/>
      <x:c r="H676" s="24"/>
      <x:c r="I676" s="24"/>
      <x:c r="J676" s="24"/>
      <x:c r="K676" s="24"/>
      <x:c r="L676" s="20" t="str">
        <x:f>IF(Q676&lt;&gt;"OK","",IF(E676="Back",G676*(F676-1),-G676*(F676-1)))</x:f>
      </x:c>
      <x:c r="M676" s="20" t="str">
        <x:f>IF(Q676&lt;&gt;"OK","",IF(E676="Back",-G676,G676))</x:f>
      </x:c>
      <x:c r="N676" s="20" t="str">
        <x:f>IF(Q676&lt;&gt;"OK","",SUMIFS($L$8:$L$1007,$A$8:$A$1007,A676,$B$8:$B$1007,"&lt;="&amp;B676))</x:f>
      </x:c>
      <x:c r="O676" s="20" t="str">
        <x:f>IF(Q676&lt;&gt;"OK","",SUMIFS($M$8:$M$1007,$A$8:$A$1007,A676,$B$8:$B$1007,"&lt;="&amp;B676))</x:f>
      </x:c>
      <x:c r="P676" s="20" t="str">
        <x:f>IF(Q676&lt;&gt;"OK","",MAX(0,-MIN(N676,O676)))</x:f>
      </x:c>
      <x:c r="Q676" s="18" t="str">
        <x:f>IF(A676="",IF(COUNTA(B676:K676)=0,"","Inserisci ID"),IF(COUNTIFS('Diario'!$A$8:$A$507,A676)&lt;&gt;1,"ID assente / duplicato",IF(OR(NOT(ISNUMBER(B676)),B676&lt;1,B676&lt;&gt;INT(B676),COUNTIFS($A$8:$A$1007,A676,$B$8:$B$1007,B676)&lt;&gt;1),"N. esecuzione non valido",IF(OR(NOT(ISNUMBER(C676)),AND(D676&lt;&gt;"Ingresso",D676&lt;&gt;"Uscita"),AND(E676&lt;&gt;"Back",E676&lt;&gt;"Lay")),"Completa data / fase / lato",IF(OR(NOT(ISNUMBER(F676)),F676&lt;=1,NOT(ISNUMBER(G676)),G676&lt;=0),"Correggi quota / stake","OK")))))</x:f>
      </x:c>
    </x:row>
    <x:row r="677" ht="22" customHeight="1">
      <x:c r="A677" s="24"/>
      <x:c r="B677" s="24"/>
      <x:c r="C677" s="26"/>
      <x:c r="D677" s="24"/>
      <x:c r="E677" s="24"/>
      <x:c r="F677" s="28"/>
      <x:c r="G677" s="29"/>
      <x:c r="H677" s="24"/>
      <x:c r="I677" s="24"/>
      <x:c r="J677" s="24"/>
      <x:c r="K677" s="24"/>
      <x:c r="L677" s="20" t="str">
        <x:f>IF(Q677&lt;&gt;"OK","",IF(E677="Back",G677*(F677-1),-G677*(F677-1)))</x:f>
      </x:c>
      <x:c r="M677" s="20" t="str">
        <x:f>IF(Q677&lt;&gt;"OK","",IF(E677="Back",-G677,G677))</x:f>
      </x:c>
      <x:c r="N677" s="20" t="str">
        <x:f>IF(Q677&lt;&gt;"OK","",SUMIFS($L$8:$L$1007,$A$8:$A$1007,A677,$B$8:$B$1007,"&lt;="&amp;B677))</x:f>
      </x:c>
      <x:c r="O677" s="20" t="str">
        <x:f>IF(Q677&lt;&gt;"OK","",SUMIFS($M$8:$M$1007,$A$8:$A$1007,A677,$B$8:$B$1007,"&lt;="&amp;B677))</x:f>
      </x:c>
      <x:c r="P677" s="20" t="str">
        <x:f>IF(Q677&lt;&gt;"OK","",MAX(0,-MIN(N677,O677)))</x:f>
      </x:c>
      <x:c r="Q677" s="18" t="str">
        <x:f>IF(A677="",IF(COUNTA(B677:K677)=0,"","Inserisci ID"),IF(COUNTIFS('Diario'!$A$8:$A$507,A677)&lt;&gt;1,"ID assente / duplicato",IF(OR(NOT(ISNUMBER(B677)),B677&lt;1,B677&lt;&gt;INT(B677),COUNTIFS($A$8:$A$1007,A677,$B$8:$B$1007,B677)&lt;&gt;1),"N. esecuzione non valido",IF(OR(NOT(ISNUMBER(C677)),AND(D677&lt;&gt;"Ingresso",D677&lt;&gt;"Uscita"),AND(E677&lt;&gt;"Back",E677&lt;&gt;"Lay")),"Completa data / fase / lato",IF(OR(NOT(ISNUMBER(F677)),F677&lt;=1,NOT(ISNUMBER(G677)),G677&lt;=0),"Correggi quota / stake","OK")))))</x:f>
      </x:c>
    </x:row>
    <x:row r="678" ht="22" customHeight="1">
      <x:c r="A678" s="24"/>
      <x:c r="B678" s="24"/>
      <x:c r="C678" s="26"/>
      <x:c r="D678" s="24"/>
      <x:c r="E678" s="24"/>
      <x:c r="F678" s="28"/>
      <x:c r="G678" s="29"/>
      <x:c r="H678" s="24"/>
      <x:c r="I678" s="24"/>
      <x:c r="J678" s="24"/>
      <x:c r="K678" s="24"/>
      <x:c r="L678" s="20" t="str">
        <x:f>IF(Q678&lt;&gt;"OK","",IF(E678="Back",G678*(F678-1),-G678*(F678-1)))</x:f>
      </x:c>
      <x:c r="M678" s="20" t="str">
        <x:f>IF(Q678&lt;&gt;"OK","",IF(E678="Back",-G678,G678))</x:f>
      </x:c>
      <x:c r="N678" s="20" t="str">
        <x:f>IF(Q678&lt;&gt;"OK","",SUMIFS($L$8:$L$1007,$A$8:$A$1007,A678,$B$8:$B$1007,"&lt;="&amp;B678))</x:f>
      </x:c>
      <x:c r="O678" s="20" t="str">
        <x:f>IF(Q678&lt;&gt;"OK","",SUMIFS($M$8:$M$1007,$A$8:$A$1007,A678,$B$8:$B$1007,"&lt;="&amp;B678))</x:f>
      </x:c>
      <x:c r="P678" s="20" t="str">
        <x:f>IF(Q678&lt;&gt;"OK","",MAX(0,-MIN(N678,O678)))</x:f>
      </x:c>
      <x:c r="Q678" s="18" t="str">
        <x:f>IF(A678="",IF(COUNTA(B678:K678)=0,"","Inserisci ID"),IF(COUNTIFS('Diario'!$A$8:$A$507,A678)&lt;&gt;1,"ID assente / duplicato",IF(OR(NOT(ISNUMBER(B678)),B678&lt;1,B678&lt;&gt;INT(B678),COUNTIFS($A$8:$A$1007,A678,$B$8:$B$1007,B678)&lt;&gt;1),"N. esecuzione non valido",IF(OR(NOT(ISNUMBER(C678)),AND(D678&lt;&gt;"Ingresso",D678&lt;&gt;"Uscita"),AND(E678&lt;&gt;"Back",E678&lt;&gt;"Lay")),"Completa data / fase / lato",IF(OR(NOT(ISNUMBER(F678)),F678&lt;=1,NOT(ISNUMBER(G678)),G678&lt;=0),"Correggi quota / stake","OK")))))</x:f>
      </x:c>
    </x:row>
    <x:row r="679" ht="22" customHeight="1">
      <x:c r="A679" s="24"/>
      <x:c r="B679" s="24"/>
      <x:c r="C679" s="26"/>
      <x:c r="D679" s="24"/>
      <x:c r="E679" s="24"/>
      <x:c r="F679" s="28"/>
      <x:c r="G679" s="29"/>
      <x:c r="H679" s="24"/>
      <x:c r="I679" s="24"/>
      <x:c r="J679" s="24"/>
      <x:c r="K679" s="24"/>
      <x:c r="L679" s="20" t="str">
        <x:f>IF(Q679&lt;&gt;"OK","",IF(E679="Back",G679*(F679-1),-G679*(F679-1)))</x:f>
      </x:c>
      <x:c r="M679" s="20" t="str">
        <x:f>IF(Q679&lt;&gt;"OK","",IF(E679="Back",-G679,G679))</x:f>
      </x:c>
      <x:c r="N679" s="20" t="str">
        <x:f>IF(Q679&lt;&gt;"OK","",SUMIFS($L$8:$L$1007,$A$8:$A$1007,A679,$B$8:$B$1007,"&lt;="&amp;B679))</x:f>
      </x:c>
      <x:c r="O679" s="20" t="str">
        <x:f>IF(Q679&lt;&gt;"OK","",SUMIFS($M$8:$M$1007,$A$8:$A$1007,A679,$B$8:$B$1007,"&lt;="&amp;B679))</x:f>
      </x:c>
      <x:c r="P679" s="20" t="str">
        <x:f>IF(Q679&lt;&gt;"OK","",MAX(0,-MIN(N679,O679)))</x:f>
      </x:c>
      <x:c r="Q679" s="18" t="str">
        <x:f>IF(A679="",IF(COUNTA(B679:K679)=0,"","Inserisci ID"),IF(COUNTIFS('Diario'!$A$8:$A$507,A679)&lt;&gt;1,"ID assente / duplicato",IF(OR(NOT(ISNUMBER(B679)),B679&lt;1,B679&lt;&gt;INT(B679),COUNTIFS($A$8:$A$1007,A679,$B$8:$B$1007,B679)&lt;&gt;1),"N. esecuzione non valido",IF(OR(NOT(ISNUMBER(C679)),AND(D679&lt;&gt;"Ingresso",D679&lt;&gt;"Uscita"),AND(E679&lt;&gt;"Back",E679&lt;&gt;"Lay")),"Completa data / fase / lato",IF(OR(NOT(ISNUMBER(F679)),F679&lt;=1,NOT(ISNUMBER(G679)),G679&lt;=0),"Correggi quota / stake","OK")))))</x:f>
      </x:c>
    </x:row>
    <x:row r="680" ht="22" customHeight="1">
      <x:c r="A680" s="24"/>
      <x:c r="B680" s="24"/>
      <x:c r="C680" s="26"/>
      <x:c r="D680" s="24"/>
      <x:c r="E680" s="24"/>
      <x:c r="F680" s="28"/>
      <x:c r="G680" s="29"/>
      <x:c r="H680" s="24"/>
      <x:c r="I680" s="24"/>
      <x:c r="J680" s="24"/>
      <x:c r="K680" s="24"/>
      <x:c r="L680" s="20" t="str">
        <x:f>IF(Q680&lt;&gt;"OK","",IF(E680="Back",G680*(F680-1),-G680*(F680-1)))</x:f>
      </x:c>
      <x:c r="M680" s="20" t="str">
        <x:f>IF(Q680&lt;&gt;"OK","",IF(E680="Back",-G680,G680))</x:f>
      </x:c>
      <x:c r="N680" s="20" t="str">
        <x:f>IF(Q680&lt;&gt;"OK","",SUMIFS($L$8:$L$1007,$A$8:$A$1007,A680,$B$8:$B$1007,"&lt;="&amp;B680))</x:f>
      </x:c>
      <x:c r="O680" s="20" t="str">
        <x:f>IF(Q680&lt;&gt;"OK","",SUMIFS($M$8:$M$1007,$A$8:$A$1007,A680,$B$8:$B$1007,"&lt;="&amp;B680))</x:f>
      </x:c>
      <x:c r="P680" s="20" t="str">
        <x:f>IF(Q680&lt;&gt;"OK","",MAX(0,-MIN(N680,O680)))</x:f>
      </x:c>
      <x:c r="Q680" s="18" t="str">
        <x:f>IF(A680="",IF(COUNTA(B680:K680)=0,"","Inserisci ID"),IF(COUNTIFS('Diario'!$A$8:$A$507,A680)&lt;&gt;1,"ID assente / duplicato",IF(OR(NOT(ISNUMBER(B680)),B680&lt;1,B680&lt;&gt;INT(B680),COUNTIFS($A$8:$A$1007,A680,$B$8:$B$1007,B680)&lt;&gt;1),"N. esecuzione non valido",IF(OR(NOT(ISNUMBER(C680)),AND(D680&lt;&gt;"Ingresso",D680&lt;&gt;"Uscita"),AND(E680&lt;&gt;"Back",E680&lt;&gt;"Lay")),"Completa data / fase / lato",IF(OR(NOT(ISNUMBER(F680)),F680&lt;=1,NOT(ISNUMBER(G680)),G680&lt;=0),"Correggi quota / stake","OK")))))</x:f>
      </x:c>
    </x:row>
    <x:row r="681" ht="22" customHeight="1">
      <x:c r="A681" s="24"/>
      <x:c r="B681" s="24"/>
      <x:c r="C681" s="26"/>
      <x:c r="D681" s="24"/>
      <x:c r="E681" s="24"/>
      <x:c r="F681" s="28"/>
      <x:c r="G681" s="29"/>
      <x:c r="H681" s="24"/>
      <x:c r="I681" s="24"/>
      <x:c r="J681" s="24"/>
      <x:c r="K681" s="24"/>
      <x:c r="L681" s="20" t="str">
        <x:f>IF(Q681&lt;&gt;"OK","",IF(E681="Back",G681*(F681-1),-G681*(F681-1)))</x:f>
      </x:c>
      <x:c r="M681" s="20" t="str">
        <x:f>IF(Q681&lt;&gt;"OK","",IF(E681="Back",-G681,G681))</x:f>
      </x:c>
      <x:c r="N681" s="20" t="str">
        <x:f>IF(Q681&lt;&gt;"OK","",SUMIFS($L$8:$L$1007,$A$8:$A$1007,A681,$B$8:$B$1007,"&lt;="&amp;B681))</x:f>
      </x:c>
      <x:c r="O681" s="20" t="str">
        <x:f>IF(Q681&lt;&gt;"OK","",SUMIFS($M$8:$M$1007,$A$8:$A$1007,A681,$B$8:$B$1007,"&lt;="&amp;B681))</x:f>
      </x:c>
      <x:c r="P681" s="20" t="str">
        <x:f>IF(Q681&lt;&gt;"OK","",MAX(0,-MIN(N681,O681)))</x:f>
      </x:c>
      <x:c r="Q681" s="18" t="str">
        <x:f>IF(A681="",IF(COUNTA(B681:K681)=0,"","Inserisci ID"),IF(COUNTIFS('Diario'!$A$8:$A$507,A681)&lt;&gt;1,"ID assente / duplicato",IF(OR(NOT(ISNUMBER(B681)),B681&lt;1,B681&lt;&gt;INT(B681),COUNTIFS($A$8:$A$1007,A681,$B$8:$B$1007,B681)&lt;&gt;1),"N. esecuzione non valido",IF(OR(NOT(ISNUMBER(C681)),AND(D681&lt;&gt;"Ingresso",D681&lt;&gt;"Uscita"),AND(E681&lt;&gt;"Back",E681&lt;&gt;"Lay")),"Completa data / fase / lato",IF(OR(NOT(ISNUMBER(F681)),F681&lt;=1,NOT(ISNUMBER(G681)),G681&lt;=0),"Correggi quota / stake","OK")))))</x:f>
      </x:c>
    </x:row>
    <x:row r="682" ht="22" customHeight="1">
      <x:c r="A682" s="24"/>
      <x:c r="B682" s="24"/>
      <x:c r="C682" s="26"/>
      <x:c r="D682" s="24"/>
      <x:c r="E682" s="24"/>
      <x:c r="F682" s="28"/>
      <x:c r="G682" s="29"/>
      <x:c r="H682" s="24"/>
      <x:c r="I682" s="24"/>
      <x:c r="J682" s="24"/>
      <x:c r="K682" s="24"/>
      <x:c r="L682" s="20" t="str">
        <x:f>IF(Q682&lt;&gt;"OK","",IF(E682="Back",G682*(F682-1),-G682*(F682-1)))</x:f>
      </x:c>
      <x:c r="M682" s="20" t="str">
        <x:f>IF(Q682&lt;&gt;"OK","",IF(E682="Back",-G682,G682))</x:f>
      </x:c>
      <x:c r="N682" s="20" t="str">
        <x:f>IF(Q682&lt;&gt;"OK","",SUMIFS($L$8:$L$1007,$A$8:$A$1007,A682,$B$8:$B$1007,"&lt;="&amp;B682))</x:f>
      </x:c>
      <x:c r="O682" s="20" t="str">
        <x:f>IF(Q682&lt;&gt;"OK","",SUMIFS($M$8:$M$1007,$A$8:$A$1007,A682,$B$8:$B$1007,"&lt;="&amp;B682))</x:f>
      </x:c>
      <x:c r="P682" s="20" t="str">
        <x:f>IF(Q682&lt;&gt;"OK","",MAX(0,-MIN(N682,O682)))</x:f>
      </x:c>
      <x:c r="Q682" s="18" t="str">
        <x:f>IF(A682="",IF(COUNTA(B682:K682)=0,"","Inserisci ID"),IF(COUNTIFS('Diario'!$A$8:$A$507,A682)&lt;&gt;1,"ID assente / duplicato",IF(OR(NOT(ISNUMBER(B682)),B682&lt;1,B682&lt;&gt;INT(B682),COUNTIFS($A$8:$A$1007,A682,$B$8:$B$1007,B682)&lt;&gt;1),"N. esecuzione non valido",IF(OR(NOT(ISNUMBER(C682)),AND(D682&lt;&gt;"Ingresso",D682&lt;&gt;"Uscita"),AND(E682&lt;&gt;"Back",E682&lt;&gt;"Lay")),"Completa data / fase / lato",IF(OR(NOT(ISNUMBER(F682)),F682&lt;=1,NOT(ISNUMBER(G682)),G682&lt;=0),"Correggi quota / stake","OK")))))</x:f>
      </x:c>
    </x:row>
    <x:row r="683" ht="22" customHeight="1">
      <x:c r="A683" s="24"/>
      <x:c r="B683" s="24"/>
      <x:c r="C683" s="26"/>
      <x:c r="D683" s="24"/>
      <x:c r="E683" s="24"/>
      <x:c r="F683" s="28"/>
      <x:c r="G683" s="29"/>
      <x:c r="H683" s="24"/>
      <x:c r="I683" s="24"/>
      <x:c r="J683" s="24"/>
      <x:c r="K683" s="24"/>
      <x:c r="L683" s="20" t="str">
        <x:f>IF(Q683&lt;&gt;"OK","",IF(E683="Back",G683*(F683-1),-G683*(F683-1)))</x:f>
      </x:c>
      <x:c r="M683" s="20" t="str">
        <x:f>IF(Q683&lt;&gt;"OK","",IF(E683="Back",-G683,G683))</x:f>
      </x:c>
      <x:c r="N683" s="20" t="str">
        <x:f>IF(Q683&lt;&gt;"OK","",SUMIFS($L$8:$L$1007,$A$8:$A$1007,A683,$B$8:$B$1007,"&lt;="&amp;B683))</x:f>
      </x:c>
      <x:c r="O683" s="20" t="str">
        <x:f>IF(Q683&lt;&gt;"OK","",SUMIFS($M$8:$M$1007,$A$8:$A$1007,A683,$B$8:$B$1007,"&lt;="&amp;B683))</x:f>
      </x:c>
      <x:c r="P683" s="20" t="str">
        <x:f>IF(Q683&lt;&gt;"OK","",MAX(0,-MIN(N683,O683)))</x:f>
      </x:c>
      <x:c r="Q683" s="18" t="str">
        <x:f>IF(A683="",IF(COUNTA(B683:K683)=0,"","Inserisci ID"),IF(COUNTIFS('Diario'!$A$8:$A$507,A683)&lt;&gt;1,"ID assente / duplicato",IF(OR(NOT(ISNUMBER(B683)),B683&lt;1,B683&lt;&gt;INT(B683),COUNTIFS($A$8:$A$1007,A683,$B$8:$B$1007,B683)&lt;&gt;1),"N. esecuzione non valido",IF(OR(NOT(ISNUMBER(C683)),AND(D683&lt;&gt;"Ingresso",D683&lt;&gt;"Uscita"),AND(E683&lt;&gt;"Back",E683&lt;&gt;"Lay")),"Completa data / fase / lato",IF(OR(NOT(ISNUMBER(F683)),F683&lt;=1,NOT(ISNUMBER(G683)),G683&lt;=0),"Correggi quota / stake","OK")))))</x:f>
      </x:c>
    </x:row>
    <x:row r="684" ht="22" customHeight="1">
      <x:c r="A684" s="24"/>
      <x:c r="B684" s="24"/>
      <x:c r="C684" s="26"/>
      <x:c r="D684" s="24"/>
      <x:c r="E684" s="24"/>
      <x:c r="F684" s="28"/>
      <x:c r="G684" s="29"/>
      <x:c r="H684" s="24"/>
      <x:c r="I684" s="24"/>
      <x:c r="J684" s="24"/>
      <x:c r="K684" s="24"/>
      <x:c r="L684" s="20" t="str">
        <x:f>IF(Q684&lt;&gt;"OK","",IF(E684="Back",G684*(F684-1),-G684*(F684-1)))</x:f>
      </x:c>
      <x:c r="M684" s="20" t="str">
        <x:f>IF(Q684&lt;&gt;"OK","",IF(E684="Back",-G684,G684))</x:f>
      </x:c>
      <x:c r="N684" s="20" t="str">
        <x:f>IF(Q684&lt;&gt;"OK","",SUMIFS($L$8:$L$1007,$A$8:$A$1007,A684,$B$8:$B$1007,"&lt;="&amp;B684))</x:f>
      </x:c>
      <x:c r="O684" s="20" t="str">
        <x:f>IF(Q684&lt;&gt;"OK","",SUMIFS($M$8:$M$1007,$A$8:$A$1007,A684,$B$8:$B$1007,"&lt;="&amp;B684))</x:f>
      </x:c>
      <x:c r="P684" s="20" t="str">
        <x:f>IF(Q684&lt;&gt;"OK","",MAX(0,-MIN(N684,O684)))</x:f>
      </x:c>
      <x:c r="Q684" s="18" t="str">
        <x:f>IF(A684="",IF(COUNTA(B684:K684)=0,"","Inserisci ID"),IF(COUNTIFS('Diario'!$A$8:$A$507,A684)&lt;&gt;1,"ID assente / duplicato",IF(OR(NOT(ISNUMBER(B684)),B684&lt;1,B684&lt;&gt;INT(B684),COUNTIFS($A$8:$A$1007,A684,$B$8:$B$1007,B684)&lt;&gt;1),"N. esecuzione non valido",IF(OR(NOT(ISNUMBER(C684)),AND(D684&lt;&gt;"Ingresso",D684&lt;&gt;"Uscita"),AND(E684&lt;&gt;"Back",E684&lt;&gt;"Lay")),"Completa data / fase / lato",IF(OR(NOT(ISNUMBER(F684)),F684&lt;=1,NOT(ISNUMBER(G684)),G684&lt;=0),"Correggi quota / stake","OK")))))</x:f>
      </x:c>
    </x:row>
    <x:row r="685" ht="22" customHeight="1">
      <x:c r="A685" s="24"/>
      <x:c r="B685" s="24"/>
      <x:c r="C685" s="26"/>
      <x:c r="D685" s="24"/>
      <x:c r="E685" s="24"/>
      <x:c r="F685" s="28"/>
      <x:c r="G685" s="29"/>
      <x:c r="H685" s="24"/>
      <x:c r="I685" s="24"/>
      <x:c r="J685" s="24"/>
      <x:c r="K685" s="24"/>
      <x:c r="L685" s="20" t="str">
        <x:f>IF(Q685&lt;&gt;"OK","",IF(E685="Back",G685*(F685-1),-G685*(F685-1)))</x:f>
      </x:c>
      <x:c r="M685" s="20" t="str">
        <x:f>IF(Q685&lt;&gt;"OK","",IF(E685="Back",-G685,G685))</x:f>
      </x:c>
      <x:c r="N685" s="20" t="str">
        <x:f>IF(Q685&lt;&gt;"OK","",SUMIFS($L$8:$L$1007,$A$8:$A$1007,A685,$B$8:$B$1007,"&lt;="&amp;B685))</x:f>
      </x:c>
      <x:c r="O685" s="20" t="str">
        <x:f>IF(Q685&lt;&gt;"OK","",SUMIFS($M$8:$M$1007,$A$8:$A$1007,A685,$B$8:$B$1007,"&lt;="&amp;B685))</x:f>
      </x:c>
      <x:c r="P685" s="20" t="str">
        <x:f>IF(Q685&lt;&gt;"OK","",MAX(0,-MIN(N685,O685)))</x:f>
      </x:c>
      <x:c r="Q685" s="18" t="str">
        <x:f>IF(A685="",IF(COUNTA(B685:K685)=0,"","Inserisci ID"),IF(COUNTIFS('Diario'!$A$8:$A$507,A685)&lt;&gt;1,"ID assente / duplicato",IF(OR(NOT(ISNUMBER(B685)),B685&lt;1,B685&lt;&gt;INT(B685),COUNTIFS($A$8:$A$1007,A685,$B$8:$B$1007,B685)&lt;&gt;1),"N. esecuzione non valido",IF(OR(NOT(ISNUMBER(C685)),AND(D685&lt;&gt;"Ingresso",D685&lt;&gt;"Uscita"),AND(E685&lt;&gt;"Back",E685&lt;&gt;"Lay")),"Completa data / fase / lato",IF(OR(NOT(ISNUMBER(F685)),F685&lt;=1,NOT(ISNUMBER(G685)),G685&lt;=0),"Correggi quota / stake","OK")))))</x:f>
      </x:c>
    </x:row>
    <x:row r="686" ht="22" customHeight="1">
      <x:c r="A686" s="24"/>
      <x:c r="B686" s="24"/>
      <x:c r="C686" s="26"/>
      <x:c r="D686" s="24"/>
      <x:c r="E686" s="24"/>
      <x:c r="F686" s="28"/>
      <x:c r="G686" s="29"/>
      <x:c r="H686" s="24"/>
      <x:c r="I686" s="24"/>
      <x:c r="J686" s="24"/>
      <x:c r="K686" s="24"/>
      <x:c r="L686" s="20" t="str">
        <x:f>IF(Q686&lt;&gt;"OK","",IF(E686="Back",G686*(F686-1),-G686*(F686-1)))</x:f>
      </x:c>
      <x:c r="M686" s="20" t="str">
        <x:f>IF(Q686&lt;&gt;"OK","",IF(E686="Back",-G686,G686))</x:f>
      </x:c>
      <x:c r="N686" s="20" t="str">
        <x:f>IF(Q686&lt;&gt;"OK","",SUMIFS($L$8:$L$1007,$A$8:$A$1007,A686,$B$8:$B$1007,"&lt;="&amp;B686))</x:f>
      </x:c>
      <x:c r="O686" s="20" t="str">
        <x:f>IF(Q686&lt;&gt;"OK","",SUMIFS($M$8:$M$1007,$A$8:$A$1007,A686,$B$8:$B$1007,"&lt;="&amp;B686))</x:f>
      </x:c>
      <x:c r="P686" s="20" t="str">
        <x:f>IF(Q686&lt;&gt;"OK","",MAX(0,-MIN(N686,O686)))</x:f>
      </x:c>
      <x:c r="Q686" s="18" t="str">
        <x:f>IF(A686="",IF(COUNTA(B686:K686)=0,"","Inserisci ID"),IF(COUNTIFS('Diario'!$A$8:$A$507,A686)&lt;&gt;1,"ID assente / duplicato",IF(OR(NOT(ISNUMBER(B686)),B686&lt;1,B686&lt;&gt;INT(B686),COUNTIFS($A$8:$A$1007,A686,$B$8:$B$1007,B686)&lt;&gt;1),"N. esecuzione non valido",IF(OR(NOT(ISNUMBER(C686)),AND(D686&lt;&gt;"Ingresso",D686&lt;&gt;"Uscita"),AND(E686&lt;&gt;"Back",E686&lt;&gt;"Lay")),"Completa data / fase / lato",IF(OR(NOT(ISNUMBER(F686)),F686&lt;=1,NOT(ISNUMBER(G686)),G686&lt;=0),"Correggi quota / stake","OK")))))</x:f>
      </x:c>
    </x:row>
    <x:row r="687" ht="22" customHeight="1">
      <x:c r="A687" s="24"/>
      <x:c r="B687" s="24"/>
      <x:c r="C687" s="26"/>
      <x:c r="D687" s="24"/>
      <x:c r="E687" s="24"/>
      <x:c r="F687" s="28"/>
      <x:c r="G687" s="29"/>
      <x:c r="H687" s="24"/>
      <x:c r="I687" s="24"/>
      <x:c r="J687" s="24"/>
      <x:c r="K687" s="24"/>
      <x:c r="L687" s="20" t="str">
        <x:f>IF(Q687&lt;&gt;"OK","",IF(E687="Back",G687*(F687-1),-G687*(F687-1)))</x:f>
      </x:c>
      <x:c r="M687" s="20" t="str">
        <x:f>IF(Q687&lt;&gt;"OK","",IF(E687="Back",-G687,G687))</x:f>
      </x:c>
      <x:c r="N687" s="20" t="str">
        <x:f>IF(Q687&lt;&gt;"OK","",SUMIFS($L$8:$L$1007,$A$8:$A$1007,A687,$B$8:$B$1007,"&lt;="&amp;B687))</x:f>
      </x:c>
      <x:c r="O687" s="20" t="str">
        <x:f>IF(Q687&lt;&gt;"OK","",SUMIFS($M$8:$M$1007,$A$8:$A$1007,A687,$B$8:$B$1007,"&lt;="&amp;B687))</x:f>
      </x:c>
      <x:c r="P687" s="20" t="str">
        <x:f>IF(Q687&lt;&gt;"OK","",MAX(0,-MIN(N687,O687)))</x:f>
      </x:c>
      <x:c r="Q687" s="18" t="str">
        <x:f>IF(A687="",IF(COUNTA(B687:K687)=0,"","Inserisci ID"),IF(COUNTIFS('Diario'!$A$8:$A$507,A687)&lt;&gt;1,"ID assente / duplicato",IF(OR(NOT(ISNUMBER(B687)),B687&lt;1,B687&lt;&gt;INT(B687),COUNTIFS($A$8:$A$1007,A687,$B$8:$B$1007,B687)&lt;&gt;1),"N. esecuzione non valido",IF(OR(NOT(ISNUMBER(C687)),AND(D687&lt;&gt;"Ingresso",D687&lt;&gt;"Uscita"),AND(E687&lt;&gt;"Back",E687&lt;&gt;"Lay")),"Completa data / fase / lato",IF(OR(NOT(ISNUMBER(F687)),F687&lt;=1,NOT(ISNUMBER(G687)),G687&lt;=0),"Correggi quota / stake","OK")))))</x:f>
      </x:c>
    </x:row>
    <x:row r="688" ht="22" customHeight="1">
      <x:c r="A688" s="24"/>
      <x:c r="B688" s="24"/>
      <x:c r="C688" s="26"/>
      <x:c r="D688" s="24"/>
      <x:c r="E688" s="24"/>
      <x:c r="F688" s="28"/>
      <x:c r="G688" s="29"/>
      <x:c r="H688" s="24"/>
      <x:c r="I688" s="24"/>
      <x:c r="J688" s="24"/>
      <x:c r="K688" s="24"/>
      <x:c r="L688" s="20" t="str">
        <x:f>IF(Q688&lt;&gt;"OK","",IF(E688="Back",G688*(F688-1),-G688*(F688-1)))</x:f>
      </x:c>
      <x:c r="M688" s="20" t="str">
        <x:f>IF(Q688&lt;&gt;"OK","",IF(E688="Back",-G688,G688))</x:f>
      </x:c>
      <x:c r="N688" s="20" t="str">
        <x:f>IF(Q688&lt;&gt;"OK","",SUMIFS($L$8:$L$1007,$A$8:$A$1007,A688,$B$8:$B$1007,"&lt;="&amp;B688))</x:f>
      </x:c>
      <x:c r="O688" s="20" t="str">
        <x:f>IF(Q688&lt;&gt;"OK","",SUMIFS($M$8:$M$1007,$A$8:$A$1007,A688,$B$8:$B$1007,"&lt;="&amp;B688))</x:f>
      </x:c>
      <x:c r="P688" s="20" t="str">
        <x:f>IF(Q688&lt;&gt;"OK","",MAX(0,-MIN(N688,O688)))</x:f>
      </x:c>
      <x:c r="Q688" s="18" t="str">
        <x:f>IF(A688="",IF(COUNTA(B688:K688)=0,"","Inserisci ID"),IF(COUNTIFS('Diario'!$A$8:$A$507,A688)&lt;&gt;1,"ID assente / duplicato",IF(OR(NOT(ISNUMBER(B688)),B688&lt;1,B688&lt;&gt;INT(B688),COUNTIFS($A$8:$A$1007,A688,$B$8:$B$1007,B688)&lt;&gt;1),"N. esecuzione non valido",IF(OR(NOT(ISNUMBER(C688)),AND(D688&lt;&gt;"Ingresso",D688&lt;&gt;"Uscita"),AND(E688&lt;&gt;"Back",E688&lt;&gt;"Lay")),"Completa data / fase / lato",IF(OR(NOT(ISNUMBER(F688)),F688&lt;=1,NOT(ISNUMBER(G688)),G688&lt;=0),"Correggi quota / stake","OK")))))</x:f>
      </x:c>
    </x:row>
    <x:row r="689" ht="22" customHeight="1">
      <x:c r="A689" s="24"/>
      <x:c r="B689" s="24"/>
      <x:c r="C689" s="26"/>
      <x:c r="D689" s="24"/>
      <x:c r="E689" s="24"/>
      <x:c r="F689" s="28"/>
      <x:c r="G689" s="29"/>
      <x:c r="H689" s="24"/>
      <x:c r="I689" s="24"/>
      <x:c r="J689" s="24"/>
      <x:c r="K689" s="24"/>
      <x:c r="L689" s="20" t="str">
        <x:f>IF(Q689&lt;&gt;"OK","",IF(E689="Back",G689*(F689-1),-G689*(F689-1)))</x:f>
      </x:c>
      <x:c r="M689" s="20" t="str">
        <x:f>IF(Q689&lt;&gt;"OK","",IF(E689="Back",-G689,G689))</x:f>
      </x:c>
      <x:c r="N689" s="20" t="str">
        <x:f>IF(Q689&lt;&gt;"OK","",SUMIFS($L$8:$L$1007,$A$8:$A$1007,A689,$B$8:$B$1007,"&lt;="&amp;B689))</x:f>
      </x:c>
      <x:c r="O689" s="20" t="str">
        <x:f>IF(Q689&lt;&gt;"OK","",SUMIFS($M$8:$M$1007,$A$8:$A$1007,A689,$B$8:$B$1007,"&lt;="&amp;B689))</x:f>
      </x:c>
      <x:c r="P689" s="20" t="str">
        <x:f>IF(Q689&lt;&gt;"OK","",MAX(0,-MIN(N689,O689)))</x:f>
      </x:c>
      <x:c r="Q689" s="18" t="str">
        <x:f>IF(A689="",IF(COUNTA(B689:K689)=0,"","Inserisci ID"),IF(COUNTIFS('Diario'!$A$8:$A$507,A689)&lt;&gt;1,"ID assente / duplicato",IF(OR(NOT(ISNUMBER(B689)),B689&lt;1,B689&lt;&gt;INT(B689),COUNTIFS($A$8:$A$1007,A689,$B$8:$B$1007,B689)&lt;&gt;1),"N. esecuzione non valido",IF(OR(NOT(ISNUMBER(C689)),AND(D689&lt;&gt;"Ingresso",D689&lt;&gt;"Uscita"),AND(E689&lt;&gt;"Back",E689&lt;&gt;"Lay")),"Completa data / fase / lato",IF(OR(NOT(ISNUMBER(F689)),F689&lt;=1,NOT(ISNUMBER(G689)),G689&lt;=0),"Correggi quota / stake","OK")))))</x:f>
      </x:c>
    </x:row>
    <x:row r="690" ht="22" customHeight="1">
      <x:c r="A690" s="24"/>
      <x:c r="B690" s="24"/>
      <x:c r="C690" s="26"/>
      <x:c r="D690" s="24"/>
      <x:c r="E690" s="24"/>
      <x:c r="F690" s="28"/>
      <x:c r="G690" s="29"/>
      <x:c r="H690" s="24"/>
      <x:c r="I690" s="24"/>
      <x:c r="J690" s="24"/>
      <x:c r="K690" s="24"/>
      <x:c r="L690" s="20" t="str">
        <x:f>IF(Q690&lt;&gt;"OK","",IF(E690="Back",G690*(F690-1),-G690*(F690-1)))</x:f>
      </x:c>
      <x:c r="M690" s="20" t="str">
        <x:f>IF(Q690&lt;&gt;"OK","",IF(E690="Back",-G690,G690))</x:f>
      </x:c>
      <x:c r="N690" s="20" t="str">
        <x:f>IF(Q690&lt;&gt;"OK","",SUMIFS($L$8:$L$1007,$A$8:$A$1007,A690,$B$8:$B$1007,"&lt;="&amp;B690))</x:f>
      </x:c>
      <x:c r="O690" s="20" t="str">
        <x:f>IF(Q690&lt;&gt;"OK","",SUMIFS($M$8:$M$1007,$A$8:$A$1007,A690,$B$8:$B$1007,"&lt;="&amp;B690))</x:f>
      </x:c>
      <x:c r="P690" s="20" t="str">
        <x:f>IF(Q690&lt;&gt;"OK","",MAX(0,-MIN(N690,O690)))</x:f>
      </x:c>
      <x:c r="Q690" s="18" t="str">
        <x:f>IF(A690="",IF(COUNTA(B690:K690)=0,"","Inserisci ID"),IF(COUNTIFS('Diario'!$A$8:$A$507,A690)&lt;&gt;1,"ID assente / duplicato",IF(OR(NOT(ISNUMBER(B690)),B690&lt;1,B690&lt;&gt;INT(B690),COUNTIFS($A$8:$A$1007,A690,$B$8:$B$1007,B690)&lt;&gt;1),"N. esecuzione non valido",IF(OR(NOT(ISNUMBER(C690)),AND(D690&lt;&gt;"Ingresso",D690&lt;&gt;"Uscita"),AND(E690&lt;&gt;"Back",E690&lt;&gt;"Lay")),"Completa data / fase / lato",IF(OR(NOT(ISNUMBER(F690)),F690&lt;=1,NOT(ISNUMBER(G690)),G690&lt;=0),"Correggi quota / stake","OK")))))</x:f>
      </x:c>
    </x:row>
    <x:row r="691" ht="22" customHeight="1">
      <x:c r="A691" s="24"/>
      <x:c r="B691" s="24"/>
      <x:c r="C691" s="26"/>
      <x:c r="D691" s="24"/>
      <x:c r="E691" s="24"/>
      <x:c r="F691" s="28"/>
      <x:c r="G691" s="29"/>
      <x:c r="H691" s="24"/>
      <x:c r="I691" s="24"/>
      <x:c r="J691" s="24"/>
      <x:c r="K691" s="24"/>
      <x:c r="L691" s="20" t="str">
        <x:f>IF(Q691&lt;&gt;"OK","",IF(E691="Back",G691*(F691-1),-G691*(F691-1)))</x:f>
      </x:c>
      <x:c r="M691" s="20" t="str">
        <x:f>IF(Q691&lt;&gt;"OK","",IF(E691="Back",-G691,G691))</x:f>
      </x:c>
      <x:c r="N691" s="20" t="str">
        <x:f>IF(Q691&lt;&gt;"OK","",SUMIFS($L$8:$L$1007,$A$8:$A$1007,A691,$B$8:$B$1007,"&lt;="&amp;B691))</x:f>
      </x:c>
      <x:c r="O691" s="20" t="str">
        <x:f>IF(Q691&lt;&gt;"OK","",SUMIFS($M$8:$M$1007,$A$8:$A$1007,A691,$B$8:$B$1007,"&lt;="&amp;B691))</x:f>
      </x:c>
      <x:c r="P691" s="20" t="str">
        <x:f>IF(Q691&lt;&gt;"OK","",MAX(0,-MIN(N691,O691)))</x:f>
      </x:c>
      <x:c r="Q691" s="18" t="str">
        <x:f>IF(A691="",IF(COUNTA(B691:K691)=0,"","Inserisci ID"),IF(COUNTIFS('Diario'!$A$8:$A$507,A691)&lt;&gt;1,"ID assente / duplicato",IF(OR(NOT(ISNUMBER(B691)),B691&lt;1,B691&lt;&gt;INT(B691),COUNTIFS($A$8:$A$1007,A691,$B$8:$B$1007,B691)&lt;&gt;1),"N. esecuzione non valido",IF(OR(NOT(ISNUMBER(C691)),AND(D691&lt;&gt;"Ingresso",D691&lt;&gt;"Uscita"),AND(E691&lt;&gt;"Back",E691&lt;&gt;"Lay")),"Completa data / fase / lato",IF(OR(NOT(ISNUMBER(F691)),F691&lt;=1,NOT(ISNUMBER(G691)),G691&lt;=0),"Correggi quota / stake","OK")))))</x:f>
      </x:c>
    </x:row>
    <x:row r="692" ht="22" customHeight="1">
      <x:c r="A692" s="24"/>
      <x:c r="B692" s="24"/>
      <x:c r="C692" s="26"/>
      <x:c r="D692" s="24"/>
      <x:c r="E692" s="24"/>
      <x:c r="F692" s="28"/>
      <x:c r="G692" s="29"/>
      <x:c r="H692" s="24"/>
      <x:c r="I692" s="24"/>
      <x:c r="J692" s="24"/>
      <x:c r="K692" s="24"/>
      <x:c r="L692" s="20" t="str">
        <x:f>IF(Q692&lt;&gt;"OK","",IF(E692="Back",G692*(F692-1),-G692*(F692-1)))</x:f>
      </x:c>
      <x:c r="M692" s="20" t="str">
        <x:f>IF(Q692&lt;&gt;"OK","",IF(E692="Back",-G692,G692))</x:f>
      </x:c>
      <x:c r="N692" s="20" t="str">
        <x:f>IF(Q692&lt;&gt;"OK","",SUMIFS($L$8:$L$1007,$A$8:$A$1007,A692,$B$8:$B$1007,"&lt;="&amp;B692))</x:f>
      </x:c>
      <x:c r="O692" s="20" t="str">
        <x:f>IF(Q692&lt;&gt;"OK","",SUMIFS($M$8:$M$1007,$A$8:$A$1007,A692,$B$8:$B$1007,"&lt;="&amp;B692))</x:f>
      </x:c>
      <x:c r="P692" s="20" t="str">
        <x:f>IF(Q692&lt;&gt;"OK","",MAX(0,-MIN(N692,O692)))</x:f>
      </x:c>
      <x:c r="Q692" s="18" t="str">
        <x:f>IF(A692="",IF(COUNTA(B692:K692)=0,"","Inserisci ID"),IF(COUNTIFS('Diario'!$A$8:$A$507,A692)&lt;&gt;1,"ID assente / duplicato",IF(OR(NOT(ISNUMBER(B692)),B692&lt;1,B692&lt;&gt;INT(B692),COUNTIFS($A$8:$A$1007,A692,$B$8:$B$1007,B692)&lt;&gt;1),"N. esecuzione non valido",IF(OR(NOT(ISNUMBER(C692)),AND(D692&lt;&gt;"Ingresso",D692&lt;&gt;"Uscita"),AND(E692&lt;&gt;"Back",E692&lt;&gt;"Lay")),"Completa data / fase / lato",IF(OR(NOT(ISNUMBER(F692)),F692&lt;=1,NOT(ISNUMBER(G692)),G692&lt;=0),"Correggi quota / stake","OK")))))</x:f>
      </x:c>
    </x:row>
    <x:row r="693" ht="22" customHeight="1">
      <x:c r="A693" s="24"/>
      <x:c r="B693" s="24"/>
      <x:c r="C693" s="26"/>
      <x:c r="D693" s="24"/>
      <x:c r="E693" s="24"/>
      <x:c r="F693" s="28"/>
      <x:c r="G693" s="29"/>
      <x:c r="H693" s="24"/>
      <x:c r="I693" s="24"/>
      <x:c r="J693" s="24"/>
      <x:c r="K693" s="24"/>
      <x:c r="L693" s="20" t="str">
        <x:f>IF(Q693&lt;&gt;"OK","",IF(E693="Back",G693*(F693-1),-G693*(F693-1)))</x:f>
      </x:c>
      <x:c r="M693" s="20" t="str">
        <x:f>IF(Q693&lt;&gt;"OK","",IF(E693="Back",-G693,G693))</x:f>
      </x:c>
      <x:c r="N693" s="20" t="str">
        <x:f>IF(Q693&lt;&gt;"OK","",SUMIFS($L$8:$L$1007,$A$8:$A$1007,A693,$B$8:$B$1007,"&lt;="&amp;B693))</x:f>
      </x:c>
      <x:c r="O693" s="20" t="str">
        <x:f>IF(Q693&lt;&gt;"OK","",SUMIFS($M$8:$M$1007,$A$8:$A$1007,A693,$B$8:$B$1007,"&lt;="&amp;B693))</x:f>
      </x:c>
      <x:c r="P693" s="20" t="str">
        <x:f>IF(Q693&lt;&gt;"OK","",MAX(0,-MIN(N693,O693)))</x:f>
      </x:c>
      <x:c r="Q693" s="18" t="str">
        <x:f>IF(A693="",IF(COUNTA(B693:K693)=0,"","Inserisci ID"),IF(COUNTIFS('Diario'!$A$8:$A$507,A693)&lt;&gt;1,"ID assente / duplicato",IF(OR(NOT(ISNUMBER(B693)),B693&lt;1,B693&lt;&gt;INT(B693),COUNTIFS($A$8:$A$1007,A693,$B$8:$B$1007,B693)&lt;&gt;1),"N. esecuzione non valido",IF(OR(NOT(ISNUMBER(C693)),AND(D693&lt;&gt;"Ingresso",D693&lt;&gt;"Uscita"),AND(E693&lt;&gt;"Back",E693&lt;&gt;"Lay")),"Completa data / fase / lato",IF(OR(NOT(ISNUMBER(F693)),F693&lt;=1,NOT(ISNUMBER(G693)),G693&lt;=0),"Correggi quota / stake","OK")))))</x:f>
      </x:c>
    </x:row>
    <x:row r="694" ht="22" customHeight="1">
      <x:c r="A694" s="24"/>
      <x:c r="B694" s="24"/>
      <x:c r="C694" s="26"/>
      <x:c r="D694" s="24"/>
      <x:c r="E694" s="24"/>
      <x:c r="F694" s="28"/>
      <x:c r="G694" s="29"/>
      <x:c r="H694" s="24"/>
      <x:c r="I694" s="24"/>
      <x:c r="J694" s="24"/>
      <x:c r="K694" s="24"/>
      <x:c r="L694" s="20" t="str">
        <x:f>IF(Q694&lt;&gt;"OK","",IF(E694="Back",G694*(F694-1),-G694*(F694-1)))</x:f>
      </x:c>
      <x:c r="M694" s="20" t="str">
        <x:f>IF(Q694&lt;&gt;"OK","",IF(E694="Back",-G694,G694))</x:f>
      </x:c>
      <x:c r="N694" s="20" t="str">
        <x:f>IF(Q694&lt;&gt;"OK","",SUMIFS($L$8:$L$1007,$A$8:$A$1007,A694,$B$8:$B$1007,"&lt;="&amp;B694))</x:f>
      </x:c>
      <x:c r="O694" s="20" t="str">
        <x:f>IF(Q694&lt;&gt;"OK","",SUMIFS($M$8:$M$1007,$A$8:$A$1007,A694,$B$8:$B$1007,"&lt;="&amp;B694))</x:f>
      </x:c>
      <x:c r="P694" s="20" t="str">
        <x:f>IF(Q694&lt;&gt;"OK","",MAX(0,-MIN(N694,O694)))</x:f>
      </x:c>
      <x:c r="Q694" s="18" t="str">
        <x:f>IF(A694="",IF(COUNTA(B694:K694)=0,"","Inserisci ID"),IF(COUNTIFS('Diario'!$A$8:$A$507,A694)&lt;&gt;1,"ID assente / duplicato",IF(OR(NOT(ISNUMBER(B694)),B694&lt;1,B694&lt;&gt;INT(B694),COUNTIFS($A$8:$A$1007,A694,$B$8:$B$1007,B694)&lt;&gt;1),"N. esecuzione non valido",IF(OR(NOT(ISNUMBER(C694)),AND(D694&lt;&gt;"Ingresso",D694&lt;&gt;"Uscita"),AND(E694&lt;&gt;"Back",E694&lt;&gt;"Lay")),"Completa data / fase / lato",IF(OR(NOT(ISNUMBER(F694)),F694&lt;=1,NOT(ISNUMBER(G694)),G694&lt;=0),"Correggi quota / stake","OK")))))</x:f>
      </x:c>
    </x:row>
    <x:row r="695" ht="22" customHeight="1">
      <x:c r="A695" s="24"/>
      <x:c r="B695" s="24"/>
      <x:c r="C695" s="26"/>
      <x:c r="D695" s="24"/>
      <x:c r="E695" s="24"/>
      <x:c r="F695" s="28"/>
      <x:c r="G695" s="29"/>
      <x:c r="H695" s="24"/>
      <x:c r="I695" s="24"/>
      <x:c r="J695" s="24"/>
      <x:c r="K695" s="24"/>
      <x:c r="L695" s="20" t="str">
        <x:f>IF(Q695&lt;&gt;"OK","",IF(E695="Back",G695*(F695-1),-G695*(F695-1)))</x:f>
      </x:c>
      <x:c r="M695" s="20" t="str">
        <x:f>IF(Q695&lt;&gt;"OK","",IF(E695="Back",-G695,G695))</x:f>
      </x:c>
      <x:c r="N695" s="20" t="str">
        <x:f>IF(Q695&lt;&gt;"OK","",SUMIFS($L$8:$L$1007,$A$8:$A$1007,A695,$B$8:$B$1007,"&lt;="&amp;B695))</x:f>
      </x:c>
      <x:c r="O695" s="20" t="str">
        <x:f>IF(Q695&lt;&gt;"OK","",SUMIFS($M$8:$M$1007,$A$8:$A$1007,A695,$B$8:$B$1007,"&lt;="&amp;B695))</x:f>
      </x:c>
      <x:c r="P695" s="20" t="str">
        <x:f>IF(Q695&lt;&gt;"OK","",MAX(0,-MIN(N695,O695)))</x:f>
      </x:c>
      <x:c r="Q695" s="18" t="str">
        <x:f>IF(A695="",IF(COUNTA(B695:K695)=0,"","Inserisci ID"),IF(COUNTIFS('Diario'!$A$8:$A$507,A695)&lt;&gt;1,"ID assente / duplicato",IF(OR(NOT(ISNUMBER(B695)),B695&lt;1,B695&lt;&gt;INT(B695),COUNTIFS($A$8:$A$1007,A695,$B$8:$B$1007,B695)&lt;&gt;1),"N. esecuzione non valido",IF(OR(NOT(ISNUMBER(C695)),AND(D695&lt;&gt;"Ingresso",D695&lt;&gt;"Uscita"),AND(E695&lt;&gt;"Back",E695&lt;&gt;"Lay")),"Completa data / fase / lato",IF(OR(NOT(ISNUMBER(F695)),F695&lt;=1,NOT(ISNUMBER(G695)),G695&lt;=0),"Correggi quota / stake","OK")))))</x:f>
      </x:c>
    </x:row>
    <x:row r="696" ht="22" customHeight="1">
      <x:c r="A696" s="24"/>
      <x:c r="B696" s="24"/>
      <x:c r="C696" s="26"/>
      <x:c r="D696" s="24"/>
      <x:c r="E696" s="24"/>
      <x:c r="F696" s="28"/>
      <x:c r="G696" s="29"/>
      <x:c r="H696" s="24"/>
      <x:c r="I696" s="24"/>
      <x:c r="J696" s="24"/>
      <x:c r="K696" s="24"/>
      <x:c r="L696" s="20" t="str">
        <x:f>IF(Q696&lt;&gt;"OK","",IF(E696="Back",G696*(F696-1),-G696*(F696-1)))</x:f>
      </x:c>
      <x:c r="M696" s="20" t="str">
        <x:f>IF(Q696&lt;&gt;"OK","",IF(E696="Back",-G696,G696))</x:f>
      </x:c>
      <x:c r="N696" s="20" t="str">
        <x:f>IF(Q696&lt;&gt;"OK","",SUMIFS($L$8:$L$1007,$A$8:$A$1007,A696,$B$8:$B$1007,"&lt;="&amp;B696))</x:f>
      </x:c>
      <x:c r="O696" s="20" t="str">
        <x:f>IF(Q696&lt;&gt;"OK","",SUMIFS($M$8:$M$1007,$A$8:$A$1007,A696,$B$8:$B$1007,"&lt;="&amp;B696))</x:f>
      </x:c>
      <x:c r="P696" s="20" t="str">
        <x:f>IF(Q696&lt;&gt;"OK","",MAX(0,-MIN(N696,O696)))</x:f>
      </x:c>
      <x:c r="Q696" s="18" t="str">
        <x:f>IF(A696="",IF(COUNTA(B696:K696)=0,"","Inserisci ID"),IF(COUNTIFS('Diario'!$A$8:$A$507,A696)&lt;&gt;1,"ID assente / duplicato",IF(OR(NOT(ISNUMBER(B696)),B696&lt;1,B696&lt;&gt;INT(B696),COUNTIFS($A$8:$A$1007,A696,$B$8:$B$1007,B696)&lt;&gt;1),"N. esecuzione non valido",IF(OR(NOT(ISNUMBER(C696)),AND(D696&lt;&gt;"Ingresso",D696&lt;&gt;"Uscita"),AND(E696&lt;&gt;"Back",E696&lt;&gt;"Lay")),"Completa data / fase / lato",IF(OR(NOT(ISNUMBER(F696)),F696&lt;=1,NOT(ISNUMBER(G696)),G696&lt;=0),"Correggi quota / stake","OK")))))</x:f>
      </x:c>
    </x:row>
    <x:row r="697" ht="22" customHeight="1">
      <x:c r="A697" s="24"/>
      <x:c r="B697" s="24"/>
      <x:c r="C697" s="26"/>
      <x:c r="D697" s="24"/>
      <x:c r="E697" s="24"/>
      <x:c r="F697" s="28"/>
      <x:c r="G697" s="29"/>
      <x:c r="H697" s="24"/>
      <x:c r="I697" s="24"/>
      <x:c r="J697" s="24"/>
      <x:c r="K697" s="24"/>
      <x:c r="L697" s="20" t="str">
        <x:f>IF(Q697&lt;&gt;"OK","",IF(E697="Back",G697*(F697-1),-G697*(F697-1)))</x:f>
      </x:c>
      <x:c r="M697" s="20" t="str">
        <x:f>IF(Q697&lt;&gt;"OK","",IF(E697="Back",-G697,G697))</x:f>
      </x:c>
      <x:c r="N697" s="20" t="str">
        <x:f>IF(Q697&lt;&gt;"OK","",SUMIFS($L$8:$L$1007,$A$8:$A$1007,A697,$B$8:$B$1007,"&lt;="&amp;B697))</x:f>
      </x:c>
      <x:c r="O697" s="20" t="str">
        <x:f>IF(Q697&lt;&gt;"OK","",SUMIFS($M$8:$M$1007,$A$8:$A$1007,A697,$B$8:$B$1007,"&lt;="&amp;B697))</x:f>
      </x:c>
      <x:c r="P697" s="20" t="str">
        <x:f>IF(Q697&lt;&gt;"OK","",MAX(0,-MIN(N697,O697)))</x:f>
      </x:c>
      <x:c r="Q697" s="18" t="str">
        <x:f>IF(A697="",IF(COUNTA(B697:K697)=0,"","Inserisci ID"),IF(COUNTIFS('Diario'!$A$8:$A$507,A697)&lt;&gt;1,"ID assente / duplicato",IF(OR(NOT(ISNUMBER(B697)),B697&lt;1,B697&lt;&gt;INT(B697),COUNTIFS($A$8:$A$1007,A697,$B$8:$B$1007,B697)&lt;&gt;1),"N. esecuzione non valido",IF(OR(NOT(ISNUMBER(C697)),AND(D697&lt;&gt;"Ingresso",D697&lt;&gt;"Uscita"),AND(E697&lt;&gt;"Back",E697&lt;&gt;"Lay")),"Completa data / fase / lato",IF(OR(NOT(ISNUMBER(F697)),F697&lt;=1,NOT(ISNUMBER(G697)),G697&lt;=0),"Correggi quota / stake","OK")))))</x:f>
      </x:c>
    </x:row>
    <x:row r="698" ht="22" customHeight="1">
      <x:c r="A698" s="24"/>
      <x:c r="B698" s="24"/>
      <x:c r="C698" s="26"/>
      <x:c r="D698" s="24"/>
      <x:c r="E698" s="24"/>
      <x:c r="F698" s="28"/>
      <x:c r="G698" s="29"/>
      <x:c r="H698" s="24"/>
      <x:c r="I698" s="24"/>
      <x:c r="J698" s="24"/>
      <x:c r="K698" s="24"/>
      <x:c r="L698" s="20" t="str">
        <x:f>IF(Q698&lt;&gt;"OK","",IF(E698="Back",G698*(F698-1),-G698*(F698-1)))</x:f>
      </x:c>
      <x:c r="M698" s="20" t="str">
        <x:f>IF(Q698&lt;&gt;"OK","",IF(E698="Back",-G698,G698))</x:f>
      </x:c>
      <x:c r="N698" s="20" t="str">
        <x:f>IF(Q698&lt;&gt;"OK","",SUMIFS($L$8:$L$1007,$A$8:$A$1007,A698,$B$8:$B$1007,"&lt;="&amp;B698))</x:f>
      </x:c>
      <x:c r="O698" s="20" t="str">
        <x:f>IF(Q698&lt;&gt;"OK","",SUMIFS($M$8:$M$1007,$A$8:$A$1007,A698,$B$8:$B$1007,"&lt;="&amp;B698))</x:f>
      </x:c>
      <x:c r="P698" s="20" t="str">
        <x:f>IF(Q698&lt;&gt;"OK","",MAX(0,-MIN(N698,O698)))</x:f>
      </x:c>
      <x:c r="Q698" s="18" t="str">
        <x:f>IF(A698="",IF(COUNTA(B698:K698)=0,"","Inserisci ID"),IF(COUNTIFS('Diario'!$A$8:$A$507,A698)&lt;&gt;1,"ID assente / duplicato",IF(OR(NOT(ISNUMBER(B698)),B698&lt;1,B698&lt;&gt;INT(B698),COUNTIFS($A$8:$A$1007,A698,$B$8:$B$1007,B698)&lt;&gt;1),"N. esecuzione non valido",IF(OR(NOT(ISNUMBER(C698)),AND(D698&lt;&gt;"Ingresso",D698&lt;&gt;"Uscita"),AND(E698&lt;&gt;"Back",E698&lt;&gt;"Lay")),"Completa data / fase / lato",IF(OR(NOT(ISNUMBER(F698)),F698&lt;=1,NOT(ISNUMBER(G698)),G698&lt;=0),"Correggi quota / stake","OK")))))</x:f>
      </x:c>
    </x:row>
    <x:row r="699" ht="22" customHeight="1">
      <x:c r="A699" s="24"/>
      <x:c r="B699" s="24"/>
      <x:c r="C699" s="26"/>
      <x:c r="D699" s="24"/>
      <x:c r="E699" s="24"/>
      <x:c r="F699" s="28"/>
      <x:c r="G699" s="29"/>
      <x:c r="H699" s="24"/>
      <x:c r="I699" s="24"/>
      <x:c r="J699" s="24"/>
      <x:c r="K699" s="24"/>
      <x:c r="L699" s="20" t="str">
        <x:f>IF(Q699&lt;&gt;"OK","",IF(E699="Back",G699*(F699-1),-G699*(F699-1)))</x:f>
      </x:c>
      <x:c r="M699" s="20" t="str">
        <x:f>IF(Q699&lt;&gt;"OK","",IF(E699="Back",-G699,G699))</x:f>
      </x:c>
      <x:c r="N699" s="20" t="str">
        <x:f>IF(Q699&lt;&gt;"OK","",SUMIFS($L$8:$L$1007,$A$8:$A$1007,A699,$B$8:$B$1007,"&lt;="&amp;B699))</x:f>
      </x:c>
      <x:c r="O699" s="20" t="str">
        <x:f>IF(Q699&lt;&gt;"OK","",SUMIFS($M$8:$M$1007,$A$8:$A$1007,A699,$B$8:$B$1007,"&lt;="&amp;B699))</x:f>
      </x:c>
      <x:c r="P699" s="20" t="str">
        <x:f>IF(Q699&lt;&gt;"OK","",MAX(0,-MIN(N699,O699)))</x:f>
      </x:c>
      <x:c r="Q699" s="18" t="str">
        <x:f>IF(A699="",IF(COUNTA(B699:K699)=0,"","Inserisci ID"),IF(COUNTIFS('Diario'!$A$8:$A$507,A699)&lt;&gt;1,"ID assente / duplicato",IF(OR(NOT(ISNUMBER(B699)),B699&lt;1,B699&lt;&gt;INT(B699),COUNTIFS($A$8:$A$1007,A699,$B$8:$B$1007,B699)&lt;&gt;1),"N. esecuzione non valido",IF(OR(NOT(ISNUMBER(C699)),AND(D699&lt;&gt;"Ingresso",D699&lt;&gt;"Uscita"),AND(E699&lt;&gt;"Back",E699&lt;&gt;"Lay")),"Completa data / fase / lato",IF(OR(NOT(ISNUMBER(F699)),F699&lt;=1,NOT(ISNUMBER(G699)),G699&lt;=0),"Correggi quota / stake","OK")))))</x:f>
      </x:c>
    </x:row>
    <x:row r="700" ht="22" customHeight="1">
      <x:c r="A700" s="24"/>
      <x:c r="B700" s="24"/>
      <x:c r="C700" s="26"/>
      <x:c r="D700" s="24"/>
      <x:c r="E700" s="24"/>
      <x:c r="F700" s="28"/>
      <x:c r="G700" s="29"/>
      <x:c r="H700" s="24"/>
      <x:c r="I700" s="24"/>
      <x:c r="J700" s="24"/>
      <x:c r="K700" s="24"/>
      <x:c r="L700" s="20" t="str">
        <x:f>IF(Q700&lt;&gt;"OK","",IF(E700="Back",G700*(F700-1),-G700*(F700-1)))</x:f>
      </x:c>
      <x:c r="M700" s="20" t="str">
        <x:f>IF(Q700&lt;&gt;"OK","",IF(E700="Back",-G700,G700))</x:f>
      </x:c>
      <x:c r="N700" s="20" t="str">
        <x:f>IF(Q700&lt;&gt;"OK","",SUMIFS($L$8:$L$1007,$A$8:$A$1007,A700,$B$8:$B$1007,"&lt;="&amp;B700))</x:f>
      </x:c>
      <x:c r="O700" s="20" t="str">
        <x:f>IF(Q700&lt;&gt;"OK","",SUMIFS($M$8:$M$1007,$A$8:$A$1007,A700,$B$8:$B$1007,"&lt;="&amp;B700))</x:f>
      </x:c>
      <x:c r="P700" s="20" t="str">
        <x:f>IF(Q700&lt;&gt;"OK","",MAX(0,-MIN(N700,O700)))</x:f>
      </x:c>
      <x:c r="Q700" s="18" t="str">
        <x:f>IF(A700="",IF(COUNTA(B700:K700)=0,"","Inserisci ID"),IF(COUNTIFS('Diario'!$A$8:$A$507,A700)&lt;&gt;1,"ID assente / duplicato",IF(OR(NOT(ISNUMBER(B700)),B700&lt;1,B700&lt;&gt;INT(B700),COUNTIFS($A$8:$A$1007,A700,$B$8:$B$1007,B700)&lt;&gt;1),"N. esecuzione non valido",IF(OR(NOT(ISNUMBER(C700)),AND(D700&lt;&gt;"Ingresso",D700&lt;&gt;"Uscita"),AND(E700&lt;&gt;"Back",E700&lt;&gt;"Lay")),"Completa data / fase / lato",IF(OR(NOT(ISNUMBER(F700)),F700&lt;=1,NOT(ISNUMBER(G700)),G700&lt;=0),"Correggi quota / stake","OK")))))</x:f>
      </x:c>
    </x:row>
    <x:row r="701" ht="22" customHeight="1">
      <x:c r="A701" s="24"/>
      <x:c r="B701" s="24"/>
      <x:c r="C701" s="26"/>
      <x:c r="D701" s="24"/>
      <x:c r="E701" s="24"/>
      <x:c r="F701" s="28"/>
      <x:c r="G701" s="29"/>
      <x:c r="H701" s="24"/>
      <x:c r="I701" s="24"/>
      <x:c r="J701" s="24"/>
      <x:c r="K701" s="24"/>
      <x:c r="L701" s="20" t="str">
        <x:f>IF(Q701&lt;&gt;"OK","",IF(E701="Back",G701*(F701-1),-G701*(F701-1)))</x:f>
      </x:c>
      <x:c r="M701" s="20" t="str">
        <x:f>IF(Q701&lt;&gt;"OK","",IF(E701="Back",-G701,G701))</x:f>
      </x:c>
      <x:c r="N701" s="20" t="str">
        <x:f>IF(Q701&lt;&gt;"OK","",SUMIFS($L$8:$L$1007,$A$8:$A$1007,A701,$B$8:$B$1007,"&lt;="&amp;B701))</x:f>
      </x:c>
      <x:c r="O701" s="20" t="str">
        <x:f>IF(Q701&lt;&gt;"OK","",SUMIFS($M$8:$M$1007,$A$8:$A$1007,A701,$B$8:$B$1007,"&lt;="&amp;B701))</x:f>
      </x:c>
      <x:c r="P701" s="20" t="str">
        <x:f>IF(Q701&lt;&gt;"OK","",MAX(0,-MIN(N701,O701)))</x:f>
      </x:c>
      <x:c r="Q701" s="18" t="str">
        <x:f>IF(A701="",IF(COUNTA(B701:K701)=0,"","Inserisci ID"),IF(COUNTIFS('Diario'!$A$8:$A$507,A701)&lt;&gt;1,"ID assente / duplicato",IF(OR(NOT(ISNUMBER(B701)),B701&lt;1,B701&lt;&gt;INT(B701),COUNTIFS($A$8:$A$1007,A701,$B$8:$B$1007,B701)&lt;&gt;1),"N. esecuzione non valido",IF(OR(NOT(ISNUMBER(C701)),AND(D701&lt;&gt;"Ingresso",D701&lt;&gt;"Uscita"),AND(E701&lt;&gt;"Back",E701&lt;&gt;"Lay")),"Completa data / fase / lato",IF(OR(NOT(ISNUMBER(F701)),F701&lt;=1,NOT(ISNUMBER(G701)),G701&lt;=0),"Correggi quota / stake","OK")))))</x:f>
      </x:c>
    </x:row>
    <x:row r="702" ht="22" customHeight="1">
      <x:c r="A702" s="24"/>
      <x:c r="B702" s="24"/>
      <x:c r="C702" s="26"/>
      <x:c r="D702" s="24"/>
      <x:c r="E702" s="24"/>
      <x:c r="F702" s="28"/>
      <x:c r="G702" s="29"/>
      <x:c r="H702" s="24"/>
      <x:c r="I702" s="24"/>
      <x:c r="J702" s="24"/>
      <x:c r="K702" s="24"/>
      <x:c r="L702" s="20" t="str">
        <x:f>IF(Q702&lt;&gt;"OK","",IF(E702="Back",G702*(F702-1),-G702*(F702-1)))</x:f>
      </x:c>
      <x:c r="M702" s="20" t="str">
        <x:f>IF(Q702&lt;&gt;"OK","",IF(E702="Back",-G702,G702))</x:f>
      </x:c>
      <x:c r="N702" s="20" t="str">
        <x:f>IF(Q702&lt;&gt;"OK","",SUMIFS($L$8:$L$1007,$A$8:$A$1007,A702,$B$8:$B$1007,"&lt;="&amp;B702))</x:f>
      </x:c>
      <x:c r="O702" s="20" t="str">
        <x:f>IF(Q702&lt;&gt;"OK","",SUMIFS($M$8:$M$1007,$A$8:$A$1007,A702,$B$8:$B$1007,"&lt;="&amp;B702))</x:f>
      </x:c>
      <x:c r="P702" s="20" t="str">
        <x:f>IF(Q702&lt;&gt;"OK","",MAX(0,-MIN(N702,O702)))</x:f>
      </x:c>
      <x:c r="Q702" s="18" t="str">
        <x:f>IF(A702="",IF(COUNTA(B702:K702)=0,"","Inserisci ID"),IF(COUNTIFS('Diario'!$A$8:$A$507,A702)&lt;&gt;1,"ID assente / duplicato",IF(OR(NOT(ISNUMBER(B702)),B702&lt;1,B702&lt;&gt;INT(B702),COUNTIFS($A$8:$A$1007,A702,$B$8:$B$1007,B702)&lt;&gt;1),"N. esecuzione non valido",IF(OR(NOT(ISNUMBER(C702)),AND(D702&lt;&gt;"Ingresso",D702&lt;&gt;"Uscita"),AND(E702&lt;&gt;"Back",E702&lt;&gt;"Lay")),"Completa data / fase / lato",IF(OR(NOT(ISNUMBER(F702)),F702&lt;=1,NOT(ISNUMBER(G702)),G702&lt;=0),"Correggi quota / stake","OK")))))</x:f>
      </x:c>
    </x:row>
    <x:row r="703" ht="22" customHeight="1">
      <x:c r="A703" s="24"/>
      <x:c r="B703" s="24"/>
      <x:c r="C703" s="26"/>
      <x:c r="D703" s="24"/>
      <x:c r="E703" s="24"/>
      <x:c r="F703" s="28"/>
      <x:c r="G703" s="29"/>
      <x:c r="H703" s="24"/>
      <x:c r="I703" s="24"/>
      <x:c r="J703" s="24"/>
      <x:c r="K703" s="24"/>
      <x:c r="L703" s="20" t="str">
        <x:f>IF(Q703&lt;&gt;"OK","",IF(E703="Back",G703*(F703-1),-G703*(F703-1)))</x:f>
      </x:c>
      <x:c r="M703" s="20" t="str">
        <x:f>IF(Q703&lt;&gt;"OK","",IF(E703="Back",-G703,G703))</x:f>
      </x:c>
      <x:c r="N703" s="20" t="str">
        <x:f>IF(Q703&lt;&gt;"OK","",SUMIFS($L$8:$L$1007,$A$8:$A$1007,A703,$B$8:$B$1007,"&lt;="&amp;B703))</x:f>
      </x:c>
      <x:c r="O703" s="20" t="str">
        <x:f>IF(Q703&lt;&gt;"OK","",SUMIFS($M$8:$M$1007,$A$8:$A$1007,A703,$B$8:$B$1007,"&lt;="&amp;B703))</x:f>
      </x:c>
      <x:c r="P703" s="20" t="str">
        <x:f>IF(Q703&lt;&gt;"OK","",MAX(0,-MIN(N703,O703)))</x:f>
      </x:c>
      <x:c r="Q703" s="18" t="str">
        <x:f>IF(A703="",IF(COUNTA(B703:K703)=0,"","Inserisci ID"),IF(COUNTIFS('Diario'!$A$8:$A$507,A703)&lt;&gt;1,"ID assente / duplicato",IF(OR(NOT(ISNUMBER(B703)),B703&lt;1,B703&lt;&gt;INT(B703),COUNTIFS($A$8:$A$1007,A703,$B$8:$B$1007,B703)&lt;&gt;1),"N. esecuzione non valido",IF(OR(NOT(ISNUMBER(C703)),AND(D703&lt;&gt;"Ingresso",D703&lt;&gt;"Uscita"),AND(E703&lt;&gt;"Back",E703&lt;&gt;"Lay")),"Completa data / fase / lato",IF(OR(NOT(ISNUMBER(F703)),F703&lt;=1,NOT(ISNUMBER(G703)),G703&lt;=0),"Correggi quota / stake","OK")))))</x:f>
      </x:c>
    </x:row>
    <x:row r="704" ht="22" customHeight="1">
      <x:c r="A704" s="24"/>
      <x:c r="B704" s="24"/>
      <x:c r="C704" s="26"/>
      <x:c r="D704" s="24"/>
      <x:c r="E704" s="24"/>
      <x:c r="F704" s="28"/>
      <x:c r="G704" s="29"/>
      <x:c r="H704" s="24"/>
      <x:c r="I704" s="24"/>
      <x:c r="J704" s="24"/>
      <x:c r="K704" s="24"/>
      <x:c r="L704" s="20" t="str">
        <x:f>IF(Q704&lt;&gt;"OK","",IF(E704="Back",G704*(F704-1),-G704*(F704-1)))</x:f>
      </x:c>
      <x:c r="M704" s="20" t="str">
        <x:f>IF(Q704&lt;&gt;"OK","",IF(E704="Back",-G704,G704))</x:f>
      </x:c>
      <x:c r="N704" s="20" t="str">
        <x:f>IF(Q704&lt;&gt;"OK","",SUMIFS($L$8:$L$1007,$A$8:$A$1007,A704,$B$8:$B$1007,"&lt;="&amp;B704))</x:f>
      </x:c>
      <x:c r="O704" s="20" t="str">
        <x:f>IF(Q704&lt;&gt;"OK","",SUMIFS($M$8:$M$1007,$A$8:$A$1007,A704,$B$8:$B$1007,"&lt;="&amp;B704))</x:f>
      </x:c>
      <x:c r="P704" s="20" t="str">
        <x:f>IF(Q704&lt;&gt;"OK","",MAX(0,-MIN(N704,O704)))</x:f>
      </x:c>
      <x:c r="Q704" s="18" t="str">
        <x:f>IF(A704="",IF(COUNTA(B704:K704)=0,"","Inserisci ID"),IF(COUNTIFS('Diario'!$A$8:$A$507,A704)&lt;&gt;1,"ID assente / duplicato",IF(OR(NOT(ISNUMBER(B704)),B704&lt;1,B704&lt;&gt;INT(B704),COUNTIFS($A$8:$A$1007,A704,$B$8:$B$1007,B704)&lt;&gt;1),"N. esecuzione non valido",IF(OR(NOT(ISNUMBER(C704)),AND(D704&lt;&gt;"Ingresso",D704&lt;&gt;"Uscita"),AND(E704&lt;&gt;"Back",E704&lt;&gt;"Lay")),"Completa data / fase / lato",IF(OR(NOT(ISNUMBER(F704)),F704&lt;=1,NOT(ISNUMBER(G704)),G704&lt;=0),"Correggi quota / stake","OK")))))</x:f>
      </x:c>
    </x:row>
    <x:row r="705" ht="22" customHeight="1">
      <x:c r="A705" s="24"/>
      <x:c r="B705" s="24"/>
      <x:c r="C705" s="26"/>
      <x:c r="D705" s="24"/>
      <x:c r="E705" s="24"/>
      <x:c r="F705" s="28"/>
      <x:c r="G705" s="29"/>
      <x:c r="H705" s="24"/>
      <x:c r="I705" s="24"/>
      <x:c r="J705" s="24"/>
      <x:c r="K705" s="24"/>
      <x:c r="L705" s="20" t="str">
        <x:f>IF(Q705&lt;&gt;"OK","",IF(E705="Back",G705*(F705-1),-G705*(F705-1)))</x:f>
      </x:c>
      <x:c r="M705" s="20" t="str">
        <x:f>IF(Q705&lt;&gt;"OK","",IF(E705="Back",-G705,G705))</x:f>
      </x:c>
      <x:c r="N705" s="20" t="str">
        <x:f>IF(Q705&lt;&gt;"OK","",SUMIFS($L$8:$L$1007,$A$8:$A$1007,A705,$B$8:$B$1007,"&lt;="&amp;B705))</x:f>
      </x:c>
      <x:c r="O705" s="20" t="str">
        <x:f>IF(Q705&lt;&gt;"OK","",SUMIFS($M$8:$M$1007,$A$8:$A$1007,A705,$B$8:$B$1007,"&lt;="&amp;B705))</x:f>
      </x:c>
      <x:c r="P705" s="20" t="str">
        <x:f>IF(Q705&lt;&gt;"OK","",MAX(0,-MIN(N705,O705)))</x:f>
      </x:c>
      <x:c r="Q705" s="18" t="str">
        <x:f>IF(A705="",IF(COUNTA(B705:K705)=0,"","Inserisci ID"),IF(COUNTIFS('Diario'!$A$8:$A$507,A705)&lt;&gt;1,"ID assente / duplicato",IF(OR(NOT(ISNUMBER(B705)),B705&lt;1,B705&lt;&gt;INT(B705),COUNTIFS($A$8:$A$1007,A705,$B$8:$B$1007,B705)&lt;&gt;1),"N. esecuzione non valido",IF(OR(NOT(ISNUMBER(C705)),AND(D705&lt;&gt;"Ingresso",D705&lt;&gt;"Uscita"),AND(E705&lt;&gt;"Back",E705&lt;&gt;"Lay")),"Completa data / fase / lato",IF(OR(NOT(ISNUMBER(F705)),F705&lt;=1,NOT(ISNUMBER(G705)),G705&lt;=0),"Correggi quota / stake","OK")))))</x:f>
      </x:c>
    </x:row>
    <x:row r="706" ht="22" customHeight="1">
      <x:c r="A706" s="24"/>
      <x:c r="B706" s="24"/>
      <x:c r="C706" s="26"/>
      <x:c r="D706" s="24"/>
      <x:c r="E706" s="24"/>
      <x:c r="F706" s="28"/>
      <x:c r="G706" s="29"/>
      <x:c r="H706" s="24"/>
      <x:c r="I706" s="24"/>
      <x:c r="J706" s="24"/>
      <x:c r="K706" s="24"/>
      <x:c r="L706" s="20" t="str">
        <x:f>IF(Q706&lt;&gt;"OK","",IF(E706="Back",G706*(F706-1),-G706*(F706-1)))</x:f>
      </x:c>
      <x:c r="M706" s="20" t="str">
        <x:f>IF(Q706&lt;&gt;"OK","",IF(E706="Back",-G706,G706))</x:f>
      </x:c>
      <x:c r="N706" s="20" t="str">
        <x:f>IF(Q706&lt;&gt;"OK","",SUMIFS($L$8:$L$1007,$A$8:$A$1007,A706,$B$8:$B$1007,"&lt;="&amp;B706))</x:f>
      </x:c>
      <x:c r="O706" s="20" t="str">
        <x:f>IF(Q706&lt;&gt;"OK","",SUMIFS($M$8:$M$1007,$A$8:$A$1007,A706,$B$8:$B$1007,"&lt;="&amp;B706))</x:f>
      </x:c>
      <x:c r="P706" s="20" t="str">
        <x:f>IF(Q706&lt;&gt;"OK","",MAX(0,-MIN(N706,O706)))</x:f>
      </x:c>
      <x:c r="Q706" s="18" t="str">
        <x:f>IF(A706="",IF(COUNTA(B706:K706)=0,"","Inserisci ID"),IF(COUNTIFS('Diario'!$A$8:$A$507,A706)&lt;&gt;1,"ID assente / duplicato",IF(OR(NOT(ISNUMBER(B706)),B706&lt;1,B706&lt;&gt;INT(B706),COUNTIFS($A$8:$A$1007,A706,$B$8:$B$1007,B706)&lt;&gt;1),"N. esecuzione non valido",IF(OR(NOT(ISNUMBER(C706)),AND(D706&lt;&gt;"Ingresso",D706&lt;&gt;"Uscita"),AND(E706&lt;&gt;"Back",E706&lt;&gt;"Lay")),"Completa data / fase / lato",IF(OR(NOT(ISNUMBER(F706)),F706&lt;=1,NOT(ISNUMBER(G706)),G706&lt;=0),"Correggi quota / stake","OK")))))</x:f>
      </x:c>
    </x:row>
    <x:row r="707" ht="22" customHeight="1">
      <x:c r="A707" s="24"/>
      <x:c r="B707" s="24"/>
      <x:c r="C707" s="26"/>
      <x:c r="D707" s="24"/>
      <x:c r="E707" s="24"/>
      <x:c r="F707" s="28"/>
      <x:c r="G707" s="29"/>
      <x:c r="H707" s="24"/>
      <x:c r="I707" s="24"/>
      <x:c r="J707" s="24"/>
      <x:c r="K707" s="24"/>
      <x:c r="L707" s="20" t="str">
        <x:f>IF(Q707&lt;&gt;"OK","",IF(E707="Back",G707*(F707-1),-G707*(F707-1)))</x:f>
      </x:c>
      <x:c r="M707" s="20" t="str">
        <x:f>IF(Q707&lt;&gt;"OK","",IF(E707="Back",-G707,G707))</x:f>
      </x:c>
      <x:c r="N707" s="20" t="str">
        <x:f>IF(Q707&lt;&gt;"OK","",SUMIFS($L$8:$L$1007,$A$8:$A$1007,A707,$B$8:$B$1007,"&lt;="&amp;B707))</x:f>
      </x:c>
      <x:c r="O707" s="20" t="str">
        <x:f>IF(Q707&lt;&gt;"OK","",SUMIFS($M$8:$M$1007,$A$8:$A$1007,A707,$B$8:$B$1007,"&lt;="&amp;B707))</x:f>
      </x:c>
      <x:c r="P707" s="20" t="str">
        <x:f>IF(Q707&lt;&gt;"OK","",MAX(0,-MIN(N707,O707)))</x:f>
      </x:c>
      <x:c r="Q707" s="18" t="str">
        <x:f>IF(A707="",IF(COUNTA(B707:K707)=0,"","Inserisci ID"),IF(COUNTIFS('Diario'!$A$8:$A$507,A707)&lt;&gt;1,"ID assente / duplicato",IF(OR(NOT(ISNUMBER(B707)),B707&lt;1,B707&lt;&gt;INT(B707),COUNTIFS($A$8:$A$1007,A707,$B$8:$B$1007,B707)&lt;&gt;1),"N. esecuzione non valido",IF(OR(NOT(ISNUMBER(C707)),AND(D707&lt;&gt;"Ingresso",D707&lt;&gt;"Uscita"),AND(E707&lt;&gt;"Back",E707&lt;&gt;"Lay")),"Completa data / fase / lato",IF(OR(NOT(ISNUMBER(F707)),F707&lt;=1,NOT(ISNUMBER(G707)),G707&lt;=0),"Correggi quota / stake","OK")))))</x:f>
      </x:c>
    </x:row>
    <x:row r="708" ht="22" customHeight="1">
      <x:c r="A708" s="24"/>
      <x:c r="B708" s="24"/>
      <x:c r="C708" s="26"/>
      <x:c r="D708" s="24"/>
      <x:c r="E708" s="24"/>
      <x:c r="F708" s="28"/>
      <x:c r="G708" s="29"/>
      <x:c r="H708" s="24"/>
      <x:c r="I708" s="24"/>
      <x:c r="J708" s="24"/>
      <x:c r="K708" s="24"/>
      <x:c r="L708" s="20" t="str">
        <x:f>IF(Q708&lt;&gt;"OK","",IF(E708="Back",G708*(F708-1),-G708*(F708-1)))</x:f>
      </x:c>
      <x:c r="M708" s="20" t="str">
        <x:f>IF(Q708&lt;&gt;"OK","",IF(E708="Back",-G708,G708))</x:f>
      </x:c>
      <x:c r="N708" s="20" t="str">
        <x:f>IF(Q708&lt;&gt;"OK","",SUMIFS($L$8:$L$1007,$A$8:$A$1007,A708,$B$8:$B$1007,"&lt;="&amp;B708))</x:f>
      </x:c>
      <x:c r="O708" s="20" t="str">
        <x:f>IF(Q708&lt;&gt;"OK","",SUMIFS($M$8:$M$1007,$A$8:$A$1007,A708,$B$8:$B$1007,"&lt;="&amp;B708))</x:f>
      </x:c>
      <x:c r="P708" s="20" t="str">
        <x:f>IF(Q708&lt;&gt;"OK","",MAX(0,-MIN(N708,O708)))</x:f>
      </x:c>
      <x:c r="Q708" s="18" t="str">
        <x:f>IF(A708="",IF(COUNTA(B708:K708)=0,"","Inserisci ID"),IF(COUNTIFS('Diario'!$A$8:$A$507,A708)&lt;&gt;1,"ID assente / duplicato",IF(OR(NOT(ISNUMBER(B708)),B708&lt;1,B708&lt;&gt;INT(B708),COUNTIFS($A$8:$A$1007,A708,$B$8:$B$1007,B708)&lt;&gt;1),"N. esecuzione non valido",IF(OR(NOT(ISNUMBER(C708)),AND(D708&lt;&gt;"Ingresso",D708&lt;&gt;"Uscita"),AND(E708&lt;&gt;"Back",E708&lt;&gt;"Lay")),"Completa data / fase / lato",IF(OR(NOT(ISNUMBER(F708)),F708&lt;=1,NOT(ISNUMBER(G708)),G708&lt;=0),"Correggi quota / stake","OK")))))</x:f>
      </x:c>
    </x:row>
    <x:row r="709" ht="22" customHeight="1">
      <x:c r="A709" s="24"/>
      <x:c r="B709" s="24"/>
      <x:c r="C709" s="26"/>
      <x:c r="D709" s="24"/>
      <x:c r="E709" s="24"/>
      <x:c r="F709" s="28"/>
      <x:c r="G709" s="29"/>
      <x:c r="H709" s="24"/>
      <x:c r="I709" s="24"/>
      <x:c r="J709" s="24"/>
      <x:c r="K709" s="24"/>
      <x:c r="L709" s="20" t="str">
        <x:f>IF(Q709&lt;&gt;"OK","",IF(E709="Back",G709*(F709-1),-G709*(F709-1)))</x:f>
      </x:c>
      <x:c r="M709" s="20" t="str">
        <x:f>IF(Q709&lt;&gt;"OK","",IF(E709="Back",-G709,G709))</x:f>
      </x:c>
      <x:c r="N709" s="20" t="str">
        <x:f>IF(Q709&lt;&gt;"OK","",SUMIFS($L$8:$L$1007,$A$8:$A$1007,A709,$B$8:$B$1007,"&lt;="&amp;B709))</x:f>
      </x:c>
      <x:c r="O709" s="20" t="str">
        <x:f>IF(Q709&lt;&gt;"OK","",SUMIFS($M$8:$M$1007,$A$8:$A$1007,A709,$B$8:$B$1007,"&lt;="&amp;B709))</x:f>
      </x:c>
      <x:c r="P709" s="20" t="str">
        <x:f>IF(Q709&lt;&gt;"OK","",MAX(0,-MIN(N709,O709)))</x:f>
      </x:c>
      <x:c r="Q709" s="18" t="str">
        <x:f>IF(A709="",IF(COUNTA(B709:K709)=0,"","Inserisci ID"),IF(COUNTIFS('Diario'!$A$8:$A$507,A709)&lt;&gt;1,"ID assente / duplicato",IF(OR(NOT(ISNUMBER(B709)),B709&lt;1,B709&lt;&gt;INT(B709),COUNTIFS($A$8:$A$1007,A709,$B$8:$B$1007,B709)&lt;&gt;1),"N. esecuzione non valido",IF(OR(NOT(ISNUMBER(C709)),AND(D709&lt;&gt;"Ingresso",D709&lt;&gt;"Uscita"),AND(E709&lt;&gt;"Back",E709&lt;&gt;"Lay")),"Completa data / fase / lato",IF(OR(NOT(ISNUMBER(F709)),F709&lt;=1,NOT(ISNUMBER(G709)),G709&lt;=0),"Correggi quota / stake","OK")))))</x:f>
      </x:c>
    </x:row>
    <x:row r="710" ht="22" customHeight="1">
      <x:c r="A710" s="24"/>
      <x:c r="B710" s="24"/>
      <x:c r="C710" s="26"/>
      <x:c r="D710" s="24"/>
      <x:c r="E710" s="24"/>
      <x:c r="F710" s="28"/>
      <x:c r="G710" s="29"/>
      <x:c r="H710" s="24"/>
      <x:c r="I710" s="24"/>
      <x:c r="J710" s="24"/>
      <x:c r="K710" s="24"/>
      <x:c r="L710" s="20" t="str">
        <x:f>IF(Q710&lt;&gt;"OK","",IF(E710="Back",G710*(F710-1),-G710*(F710-1)))</x:f>
      </x:c>
      <x:c r="M710" s="20" t="str">
        <x:f>IF(Q710&lt;&gt;"OK","",IF(E710="Back",-G710,G710))</x:f>
      </x:c>
      <x:c r="N710" s="20" t="str">
        <x:f>IF(Q710&lt;&gt;"OK","",SUMIFS($L$8:$L$1007,$A$8:$A$1007,A710,$B$8:$B$1007,"&lt;="&amp;B710))</x:f>
      </x:c>
      <x:c r="O710" s="20" t="str">
        <x:f>IF(Q710&lt;&gt;"OK","",SUMIFS($M$8:$M$1007,$A$8:$A$1007,A710,$B$8:$B$1007,"&lt;="&amp;B710))</x:f>
      </x:c>
      <x:c r="P710" s="20" t="str">
        <x:f>IF(Q710&lt;&gt;"OK","",MAX(0,-MIN(N710,O710)))</x:f>
      </x:c>
      <x:c r="Q710" s="18" t="str">
        <x:f>IF(A710="",IF(COUNTA(B710:K710)=0,"","Inserisci ID"),IF(COUNTIFS('Diario'!$A$8:$A$507,A710)&lt;&gt;1,"ID assente / duplicato",IF(OR(NOT(ISNUMBER(B710)),B710&lt;1,B710&lt;&gt;INT(B710),COUNTIFS($A$8:$A$1007,A710,$B$8:$B$1007,B710)&lt;&gt;1),"N. esecuzione non valido",IF(OR(NOT(ISNUMBER(C710)),AND(D710&lt;&gt;"Ingresso",D710&lt;&gt;"Uscita"),AND(E710&lt;&gt;"Back",E710&lt;&gt;"Lay")),"Completa data / fase / lato",IF(OR(NOT(ISNUMBER(F710)),F710&lt;=1,NOT(ISNUMBER(G710)),G710&lt;=0),"Correggi quota / stake","OK")))))</x:f>
      </x:c>
    </x:row>
    <x:row r="711" ht="22" customHeight="1">
      <x:c r="A711" s="24"/>
      <x:c r="B711" s="24"/>
      <x:c r="C711" s="26"/>
      <x:c r="D711" s="24"/>
      <x:c r="E711" s="24"/>
      <x:c r="F711" s="28"/>
      <x:c r="G711" s="29"/>
      <x:c r="H711" s="24"/>
      <x:c r="I711" s="24"/>
      <x:c r="J711" s="24"/>
      <x:c r="K711" s="24"/>
      <x:c r="L711" s="20" t="str">
        <x:f>IF(Q711&lt;&gt;"OK","",IF(E711="Back",G711*(F711-1),-G711*(F711-1)))</x:f>
      </x:c>
      <x:c r="M711" s="20" t="str">
        <x:f>IF(Q711&lt;&gt;"OK","",IF(E711="Back",-G711,G711))</x:f>
      </x:c>
      <x:c r="N711" s="20" t="str">
        <x:f>IF(Q711&lt;&gt;"OK","",SUMIFS($L$8:$L$1007,$A$8:$A$1007,A711,$B$8:$B$1007,"&lt;="&amp;B711))</x:f>
      </x:c>
      <x:c r="O711" s="20" t="str">
        <x:f>IF(Q711&lt;&gt;"OK","",SUMIFS($M$8:$M$1007,$A$8:$A$1007,A711,$B$8:$B$1007,"&lt;="&amp;B711))</x:f>
      </x:c>
      <x:c r="P711" s="20" t="str">
        <x:f>IF(Q711&lt;&gt;"OK","",MAX(0,-MIN(N711,O711)))</x:f>
      </x:c>
      <x:c r="Q711" s="18" t="str">
        <x:f>IF(A711="",IF(COUNTA(B711:K711)=0,"","Inserisci ID"),IF(COUNTIFS('Diario'!$A$8:$A$507,A711)&lt;&gt;1,"ID assente / duplicato",IF(OR(NOT(ISNUMBER(B711)),B711&lt;1,B711&lt;&gt;INT(B711),COUNTIFS($A$8:$A$1007,A711,$B$8:$B$1007,B711)&lt;&gt;1),"N. esecuzione non valido",IF(OR(NOT(ISNUMBER(C711)),AND(D711&lt;&gt;"Ingresso",D711&lt;&gt;"Uscita"),AND(E711&lt;&gt;"Back",E711&lt;&gt;"Lay")),"Completa data / fase / lato",IF(OR(NOT(ISNUMBER(F711)),F711&lt;=1,NOT(ISNUMBER(G711)),G711&lt;=0),"Correggi quota / stake","OK")))))</x:f>
      </x:c>
    </x:row>
    <x:row r="712" ht="22" customHeight="1">
      <x:c r="A712" s="24"/>
      <x:c r="B712" s="24"/>
      <x:c r="C712" s="26"/>
      <x:c r="D712" s="24"/>
      <x:c r="E712" s="24"/>
      <x:c r="F712" s="28"/>
      <x:c r="G712" s="29"/>
      <x:c r="H712" s="24"/>
      <x:c r="I712" s="24"/>
      <x:c r="J712" s="24"/>
      <x:c r="K712" s="24"/>
      <x:c r="L712" s="20" t="str">
        <x:f>IF(Q712&lt;&gt;"OK","",IF(E712="Back",G712*(F712-1),-G712*(F712-1)))</x:f>
      </x:c>
      <x:c r="M712" s="20" t="str">
        <x:f>IF(Q712&lt;&gt;"OK","",IF(E712="Back",-G712,G712))</x:f>
      </x:c>
      <x:c r="N712" s="20" t="str">
        <x:f>IF(Q712&lt;&gt;"OK","",SUMIFS($L$8:$L$1007,$A$8:$A$1007,A712,$B$8:$B$1007,"&lt;="&amp;B712))</x:f>
      </x:c>
      <x:c r="O712" s="20" t="str">
        <x:f>IF(Q712&lt;&gt;"OK","",SUMIFS($M$8:$M$1007,$A$8:$A$1007,A712,$B$8:$B$1007,"&lt;="&amp;B712))</x:f>
      </x:c>
      <x:c r="P712" s="20" t="str">
        <x:f>IF(Q712&lt;&gt;"OK","",MAX(0,-MIN(N712,O712)))</x:f>
      </x:c>
      <x:c r="Q712" s="18" t="str">
        <x:f>IF(A712="",IF(COUNTA(B712:K712)=0,"","Inserisci ID"),IF(COUNTIFS('Diario'!$A$8:$A$507,A712)&lt;&gt;1,"ID assente / duplicato",IF(OR(NOT(ISNUMBER(B712)),B712&lt;1,B712&lt;&gt;INT(B712),COUNTIFS($A$8:$A$1007,A712,$B$8:$B$1007,B712)&lt;&gt;1),"N. esecuzione non valido",IF(OR(NOT(ISNUMBER(C712)),AND(D712&lt;&gt;"Ingresso",D712&lt;&gt;"Uscita"),AND(E712&lt;&gt;"Back",E712&lt;&gt;"Lay")),"Completa data / fase / lato",IF(OR(NOT(ISNUMBER(F712)),F712&lt;=1,NOT(ISNUMBER(G712)),G712&lt;=0),"Correggi quota / stake","OK")))))</x:f>
      </x:c>
    </x:row>
    <x:row r="713" ht="22" customHeight="1">
      <x:c r="A713" s="24"/>
      <x:c r="B713" s="24"/>
      <x:c r="C713" s="26"/>
      <x:c r="D713" s="24"/>
      <x:c r="E713" s="24"/>
      <x:c r="F713" s="28"/>
      <x:c r="G713" s="29"/>
      <x:c r="H713" s="24"/>
      <x:c r="I713" s="24"/>
      <x:c r="J713" s="24"/>
      <x:c r="K713" s="24"/>
      <x:c r="L713" s="20" t="str">
        <x:f>IF(Q713&lt;&gt;"OK","",IF(E713="Back",G713*(F713-1),-G713*(F713-1)))</x:f>
      </x:c>
      <x:c r="M713" s="20" t="str">
        <x:f>IF(Q713&lt;&gt;"OK","",IF(E713="Back",-G713,G713))</x:f>
      </x:c>
      <x:c r="N713" s="20" t="str">
        <x:f>IF(Q713&lt;&gt;"OK","",SUMIFS($L$8:$L$1007,$A$8:$A$1007,A713,$B$8:$B$1007,"&lt;="&amp;B713))</x:f>
      </x:c>
      <x:c r="O713" s="20" t="str">
        <x:f>IF(Q713&lt;&gt;"OK","",SUMIFS($M$8:$M$1007,$A$8:$A$1007,A713,$B$8:$B$1007,"&lt;="&amp;B713))</x:f>
      </x:c>
      <x:c r="P713" s="20" t="str">
        <x:f>IF(Q713&lt;&gt;"OK","",MAX(0,-MIN(N713,O713)))</x:f>
      </x:c>
      <x:c r="Q713" s="18" t="str">
        <x:f>IF(A713="",IF(COUNTA(B713:K713)=0,"","Inserisci ID"),IF(COUNTIFS('Diario'!$A$8:$A$507,A713)&lt;&gt;1,"ID assente / duplicato",IF(OR(NOT(ISNUMBER(B713)),B713&lt;1,B713&lt;&gt;INT(B713),COUNTIFS($A$8:$A$1007,A713,$B$8:$B$1007,B713)&lt;&gt;1),"N. esecuzione non valido",IF(OR(NOT(ISNUMBER(C713)),AND(D713&lt;&gt;"Ingresso",D713&lt;&gt;"Uscita"),AND(E713&lt;&gt;"Back",E713&lt;&gt;"Lay")),"Completa data / fase / lato",IF(OR(NOT(ISNUMBER(F713)),F713&lt;=1,NOT(ISNUMBER(G713)),G713&lt;=0),"Correggi quota / stake","OK")))))</x:f>
      </x:c>
    </x:row>
    <x:row r="714" ht="22" customHeight="1">
      <x:c r="A714" s="24"/>
      <x:c r="B714" s="24"/>
      <x:c r="C714" s="26"/>
      <x:c r="D714" s="24"/>
      <x:c r="E714" s="24"/>
      <x:c r="F714" s="28"/>
      <x:c r="G714" s="29"/>
      <x:c r="H714" s="24"/>
      <x:c r="I714" s="24"/>
      <x:c r="J714" s="24"/>
      <x:c r="K714" s="24"/>
      <x:c r="L714" s="20" t="str">
        <x:f>IF(Q714&lt;&gt;"OK","",IF(E714="Back",G714*(F714-1),-G714*(F714-1)))</x:f>
      </x:c>
      <x:c r="M714" s="20" t="str">
        <x:f>IF(Q714&lt;&gt;"OK","",IF(E714="Back",-G714,G714))</x:f>
      </x:c>
      <x:c r="N714" s="20" t="str">
        <x:f>IF(Q714&lt;&gt;"OK","",SUMIFS($L$8:$L$1007,$A$8:$A$1007,A714,$B$8:$B$1007,"&lt;="&amp;B714))</x:f>
      </x:c>
      <x:c r="O714" s="20" t="str">
        <x:f>IF(Q714&lt;&gt;"OK","",SUMIFS($M$8:$M$1007,$A$8:$A$1007,A714,$B$8:$B$1007,"&lt;="&amp;B714))</x:f>
      </x:c>
      <x:c r="P714" s="20" t="str">
        <x:f>IF(Q714&lt;&gt;"OK","",MAX(0,-MIN(N714,O714)))</x:f>
      </x:c>
      <x:c r="Q714" s="18" t="str">
        <x:f>IF(A714="",IF(COUNTA(B714:K714)=0,"","Inserisci ID"),IF(COUNTIFS('Diario'!$A$8:$A$507,A714)&lt;&gt;1,"ID assente / duplicato",IF(OR(NOT(ISNUMBER(B714)),B714&lt;1,B714&lt;&gt;INT(B714),COUNTIFS($A$8:$A$1007,A714,$B$8:$B$1007,B714)&lt;&gt;1),"N. esecuzione non valido",IF(OR(NOT(ISNUMBER(C714)),AND(D714&lt;&gt;"Ingresso",D714&lt;&gt;"Uscita"),AND(E714&lt;&gt;"Back",E714&lt;&gt;"Lay")),"Completa data / fase / lato",IF(OR(NOT(ISNUMBER(F714)),F714&lt;=1,NOT(ISNUMBER(G714)),G714&lt;=0),"Correggi quota / stake","OK")))))</x:f>
      </x:c>
    </x:row>
    <x:row r="715" ht="22" customHeight="1">
      <x:c r="A715" s="24"/>
      <x:c r="B715" s="24"/>
      <x:c r="C715" s="26"/>
      <x:c r="D715" s="24"/>
      <x:c r="E715" s="24"/>
      <x:c r="F715" s="28"/>
      <x:c r="G715" s="29"/>
      <x:c r="H715" s="24"/>
      <x:c r="I715" s="24"/>
      <x:c r="J715" s="24"/>
      <x:c r="K715" s="24"/>
      <x:c r="L715" s="20" t="str">
        <x:f>IF(Q715&lt;&gt;"OK","",IF(E715="Back",G715*(F715-1),-G715*(F715-1)))</x:f>
      </x:c>
      <x:c r="M715" s="20" t="str">
        <x:f>IF(Q715&lt;&gt;"OK","",IF(E715="Back",-G715,G715))</x:f>
      </x:c>
      <x:c r="N715" s="20" t="str">
        <x:f>IF(Q715&lt;&gt;"OK","",SUMIFS($L$8:$L$1007,$A$8:$A$1007,A715,$B$8:$B$1007,"&lt;="&amp;B715))</x:f>
      </x:c>
      <x:c r="O715" s="20" t="str">
        <x:f>IF(Q715&lt;&gt;"OK","",SUMIFS($M$8:$M$1007,$A$8:$A$1007,A715,$B$8:$B$1007,"&lt;="&amp;B715))</x:f>
      </x:c>
      <x:c r="P715" s="20" t="str">
        <x:f>IF(Q715&lt;&gt;"OK","",MAX(0,-MIN(N715,O715)))</x:f>
      </x:c>
      <x:c r="Q715" s="18" t="str">
        <x:f>IF(A715="",IF(COUNTA(B715:K715)=0,"","Inserisci ID"),IF(COUNTIFS('Diario'!$A$8:$A$507,A715)&lt;&gt;1,"ID assente / duplicato",IF(OR(NOT(ISNUMBER(B715)),B715&lt;1,B715&lt;&gt;INT(B715),COUNTIFS($A$8:$A$1007,A715,$B$8:$B$1007,B715)&lt;&gt;1),"N. esecuzione non valido",IF(OR(NOT(ISNUMBER(C715)),AND(D715&lt;&gt;"Ingresso",D715&lt;&gt;"Uscita"),AND(E715&lt;&gt;"Back",E715&lt;&gt;"Lay")),"Completa data / fase / lato",IF(OR(NOT(ISNUMBER(F715)),F715&lt;=1,NOT(ISNUMBER(G715)),G715&lt;=0),"Correggi quota / stake","OK")))))</x:f>
      </x:c>
    </x:row>
    <x:row r="716" ht="22" customHeight="1">
      <x:c r="A716" s="24"/>
      <x:c r="B716" s="24"/>
      <x:c r="C716" s="26"/>
      <x:c r="D716" s="24"/>
      <x:c r="E716" s="24"/>
      <x:c r="F716" s="28"/>
      <x:c r="G716" s="29"/>
      <x:c r="H716" s="24"/>
      <x:c r="I716" s="24"/>
      <x:c r="J716" s="24"/>
      <x:c r="K716" s="24"/>
      <x:c r="L716" s="20" t="str">
        <x:f>IF(Q716&lt;&gt;"OK","",IF(E716="Back",G716*(F716-1),-G716*(F716-1)))</x:f>
      </x:c>
      <x:c r="M716" s="20" t="str">
        <x:f>IF(Q716&lt;&gt;"OK","",IF(E716="Back",-G716,G716))</x:f>
      </x:c>
      <x:c r="N716" s="20" t="str">
        <x:f>IF(Q716&lt;&gt;"OK","",SUMIFS($L$8:$L$1007,$A$8:$A$1007,A716,$B$8:$B$1007,"&lt;="&amp;B716))</x:f>
      </x:c>
      <x:c r="O716" s="20" t="str">
        <x:f>IF(Q716&lt;&gt;"OK","",SUMIFS($M$8:$M$1007,$A$8:$A$1007,A716,$B$8:$B$1007,"&lt;="&amp;B716))</x:f>
      </x:c>
      <x:c r="P716" s="20" t="str">
        <x:f>IF(Q716&lt;&gt;"OK","",MAX(0,-MIN(N716,O716)))</x:f>
      </x:c>
      <x:c r="Q716" s="18" t="str">
        <x:f>IF(A716="",IF(COUNTA(B716:K716)=0,"","Inserisci ID"),IF(COUNTIFS('Diario'!$A$8:$A$507,A716)&lt;&gt;1,"ID assente / duplicato",IF(OR(NOT(ISNUMBER(B716)),B716&lt;1,B716&lt;&gt;INT(B716),COUNTIFS($A$8:$A$1007,A716,$B$8:$B$1007,B716)&lt;&gt;1),"N. esecuzione non valido",IF(OR(NOT(ISNUMBER(C716)),AND(D716&lt;&gt;"Ingresso",D716&lt;&gt;"Uscita"),AND(E716&lt;&gt;"Back",E716&lt;&gt;"Lay")),"Completa data / fase / lato",IF(OR(NOT(ISNUMBER(F716)),F716&lt;=1,NOT(ISNUMBER(G716)),G716&lt;=0),"Correggi quota / stake","OK")))))</x:f>
      </x:c>
    </x:row>
    <x:row r="717" ht="22" customHeight="1">
      <x:c r="A717" s="24"/>
      <x:c r="B717" s="24"/>
      <x:c r="C717" s="26"/>
      <x:c r="D717" s="24"/>
      <x:c r="E717" s="24"/>
      <x:c r="F717" s="28"/>
      <x:c r="G717" s="29"/>
      <x:c r="H717" s="24"/>
      <x:c r="I717" s="24"/>
      <x:c r="J717" s="24"/>
      <x:c r="K717" s="24"/>
      <x:c r="L717" s="20" t="str">
        <x:f>IF(Q717&lt;&gt;"OK","",IF(E717="Back",G717*(F717-1),-G717*(F717-1)))</x:f>
      </x:c>
      <x:c r="M717" s="20" t="str">
        <x:f>IF(Q717&lt;&gt;"OK","",IF(E717="Back",-G717,G717))</x:f>
      </x:c>
      <x:c r="N717" s="20" t="str">
        <x:f>IF(Q717&lt;&gt;"OK","",SUMIFS($L$8:$L$1007,$A$8:$A$1007,A717,$B$8:$B$1007,"&lt;="&amp;B717))</x:f>
      </x:c>
      <x:c r="O717" s="20" t="str">
        <x:f>IF(Q717&lt;&gt;"OK","",SUMIFS($M$8:$M$1007,$A$8:$A$1007,A717,$B$8:$B$1007,"&lt;="&amp;B717))</x:f>
      </x:c>
      <x:c r="P717" s="20" t="str">
        <x:f>IF(Q717&lt;&gt;"OK","",MAX(0,-MIN(N717,O717)))</x:f>
      </x:c>
      <x:c r="Q717" s="18" t="str">
        <x:f>IF(A717="",IF(COUNTA(B717:K717)=0,"","Inserisci ID"),IF(COUNTIFS('Diario'!$A$8:$A$507,A717)&lt;&gt;1,"ID assente / duplicato",IF(OR(NOT(ISNUMBER(B717)),B717&lt;1,B717&lt;&gt;INT(B717),COUNTIFS($A$8:$A$1007,A717,$B$8:$B$1007,B717)&lt;&gt;1),"N. esecuzione non valido",IF(OR(NOT(ISNUMBER(C717)),AND(D717&lt;&gt;"Ingresso",D717&lt;&gt;"Uscita"),AND(E717&lt;&gt;"Back",E717&lt;&gt;"Lay")),"Completa data / fase / lato",IF(OR(NOT(ISNUMBER(F717)),F717&lt;=1,NOT(ISNUMBER(G717)),G717&lt;=0),"Correggi quota / stake","OK")))))</x:f>
      </x:c>
    </x:row>
    <x:row r="718" ht="22" customHeight="1">
      <x:c r="A718" s="24"/>
      <x:c r="B718" s="24"/>
      <x:c r="C718" s="26"/>
      <x:c r="D718" s="24"/>
      <x:c r="E718" s="24"/>
      <x:c r="F718" s="28"/>
      <x:c r="G718" s="29"/>
      <x:c r="H718" s="24"/>
      <x:c r="I718" s="24"/>
      <x:c r="J718" s="24"/>
      <x:c r="K718" s="24"/>
      <x:c r="L718" s="20" t="str">
        <x:f>IF(Q718&lt;&gt;"OK","",IF(E718="Back",G718*(F718-1),-G718*(F718-1)))</x:f>
      </x:c>
      <x:c r="M718" s="20" t="str">
        <x:f>IF(Q718&lt;&gt;"OK","",IF(E718="Back",-G718,G718))</x:f>
      </x:c>
      <x:c r="N718" s="20" t="str">
        <x:f>IF(Q718&lt;&gt;"OK","",SUMIFS($L$8:$L$1007,$A$8:$A$1007,A718,$B$8:$B$1007,"&lt;="&amp;B718))</x:f>
      </x:c>
      <x:c r="O718" s="20" t="str">
        <x:f>IF(Q718&lt;&gt;"OK","",SUMIFS($M$8:$M$1007,$A$8:$A$1007,A718,$B$8:$B$1007,"&lt;="&amp;B718))</x:f>
      </x:c>
      <x:c r="P718" s="20" t="str">
        <x:f>IF(Q718&lt;&gt;"OK","",MAX(0,-MIN(N718,O718)))</x:f>
      </x:c>
      <x:c r="Q718" s="18" t="str">
        <x:f>IF(A718="",IF(COUNTA(B718:K718)=0,"","Inserisci ID"),IF(COUNTIFS('Diario'!$A$8:$A$507,A718)&lt;&gt;1,"ID assente / duplicato",IF(OR(NOT(ISNUMBER(B718)),B718&lt;1,B718&lt;&gt;INT(B718),COUNTIFS($A$8:$A$1007,A718,$B$8:$B$1007,B718)&lt;&gt;1),"N. esecuzione non valido",IF(OR(NOT(ISNUMBER(C718)),AND(D718&lt;&gt;"Ingresso",D718&lt;&gt;"Uscita"),AND(E718&lt;&gt;"Back",E718&lt;&gt;"Lay")),"Completa data / fase / lato",IF(OR(NOT(ISNUMBER(F718)),F718&lt;=1,NOT(ISNUMBER(G718)),G718&lt;=0),"Correggi quota / stake","OK")))))</x:f>
      </x:c>
    </x:row>
    <x:row r="719" ht="22" customHeight="1">
      <x:c r="A719" s="24"/>
      <x:c r="B719" s="24"/>
      <x:c r="C719" s="26"/>
      <x:c r="D719" s="24"/>
      <x:c r="E719" s="24"/>
      <x:c r="F719" s="28"/>
      <x:c r="G719" s="29"/>
      <x:c r="H719" s="24"/>
      <x:c r="I719" s="24"/>
      <x:c r="J719" s="24"/>
      <x:c r="K719" s="24"/>
      <x:c r="L719" s="20" t="str">
        <x:f>IF(Q719&lt;&gt;"OK","",IF(E719="Back",G719*(F719-1),-G719*(F719-1)))</x:f>
      </x:c>
      <x:c r="M719" s="20" t="str">
        <x:f>IF(Q719&lt;&gt;"OK","",IF(E719="Back",-G719,G719))</x:f>
      </x:c>
      <x:c r="N719" s="20" t="str">
        <x:f>IF(Q719&lt;&gt;"OK","",SUMIFS($L$8:$L$1007,$A$8:$A$1007,A719,$B$8:$B$1007,"&lt;="&amp;B719))</x:f>
      </x:c>
      <x:c r="O719" s="20" t="str">
        <x:f>IF(Q719&lt;&gt;"OK","",SUMIFS($M$8:$M$1007,$A$8:$A$1007,A719,$B$8:$B$1007,"&lt;="&amp;B719))</x:f>
      </x:c>
      <x:c r="P719" s="20" t="str">
        <x:f>IF(Q719&lt;&gt;"OK","",MAX(0,-MIN(N719,O719)))</x:f>
      </x:c>
      <x:c r="Q719" s="18" t="str">
        <x:f>IF(A719="",IF(COUNTA(B719:K719)=0,"","Inserisci ID"),IF(COUNTIFS('Diario'!$A$8:$A$507,A719)&lt;&gt;1,"ID assente / duplicato",IF(OR(NOT(ISNUMBER(B719)),B719&lt;1,B719&lt;&gt;INT(B719),COUNTIFS($A$8:$A$1007,A719,$B$8:$B$1007,B719)&lt;&gt;1),"N. esecuzione non valido",IF(OR(NOT(ISNUMBER(C719)),AND(D719&lt;&gt;"Ingresso",D719&lt;&gt;"Uscita"),AND(E719&lt;&gt;"Back",E719&lt;&gt;"Lay")),"Completa data / fase / lato",IF(OR(NOT(ISNUMBER(F719)),F719&lt;=1,NOT(ISNUMBER(G719)),G719&lt;=0),"Correggi quota / stake","OK")))))</x:f>
      </x:c>
    </x:row>
    <x:row r="720" ht="22" customHeight="1">
      <x:c r="A720" s="24"/>
      <x:c r="B720" s="24"/>
      <x:c r="C720" s="26"/>
      <x:c r="D720" s="24"/>
      <x:c r="E720" s="24"/>
      <x:c r="F720" s="28"/>
      <x:c r="G720" s="29"/>
      <x:c r="H720" s="24"/>
      <x:c r="I720" s="24"/>
      <x:c r="J720" s="24"/>
      <x:c r="K720" s="24"/>
      <x:c r="L720" s="20" t="str">
        <x:f>IF(Q720&lt;&gt;"OK","",IF(E720="Back",G720*(F720-1),-G720*(F720-1)))</x:f>
      </x:c>
      <x:c r="M720" s="20" t="str">
        <x:f>IF(Q720&lt;&gt;"OK","",IF(E720="Back",-G720,G720))</x:f>
      </x:c>
      <x:c r="N720" s="20" t="str">
        <x:f>IF(Q720&lt;&gt;"OK","",SUMIFS($L$8:$L$1007,$A$8:$A$1007,A720,$B$8:$B$1007,"&lt;="&amp;B720))</x:f>
      </x:c>
      <x:c r="O720" s="20" t="str">
        <x:f>IF(Q720&lt;&gt;"OK","",SUMIFS($M$8:$M$1007,$A$8:$A$1007,A720,$B$8:$B$1007,"&lt;="&amp;B720))</x:f>
      </x:c>
      <x:c r="P720" s="20" t="str">
        <x:f>IF(Q720&lt;&gt;"OK","",MAX(0,-MIN(N720,O720)))</x:f>
      </x:c>
      <x:c r="Q720" s="18" t="str">
        <x:f>IF(A720="",IF(COUNTA(B720:K720)=0,"","Inserisci ID"),IF(COUNTIFS('Diario'!$A$8:$A$507,A720)&lt;&gt;1,"ID assente / duplicato",IF(OR(NOT(ISNUMBER(B720)),B720&lt;1,B720&lt;&gt;INT(B720),COUNTIFS($A$8:$A$1007,A720,$B$8:$B$1007,B720)&lt;&gt;1),"N. esecuzione non valido",IF(OR(NOT(ISNUMBER(C720)),AND(D720&lt;&gt;"Ingresso",D720&lt;&gt;"Uscita"),AND(E720&lt;&gt;"Back",E720&lt;&gt;"Lay")),"Completa data / fase / lato",IF(OR(NOT(ISNUMBER(F720)),F720&lt;=1,NOT(ISNUMBER(G720)),G720&lt;=0),"Correggi quota / stake","OK")))))</x:f>
      </x:c>
    </x:row>
    <x:row r="721" ht="22" customHeight="1">
      <x:c r="A721" s="24"/>
      <x:c r="B721" s="24"/>
      <x:c r="C721" s="26"/>
      <x:c r="D721" s="24"/>
      <x:c r="E721" s="24"/>
      <x:c r="F721" s="28"/>
      <x:c r="G721" s="29"/>
      <x:c r="H721" s="24"/>
      <x:c r="I721" s="24"/>
      <x:c r="J721" s="24"/>
      <x:c r="K721" s="24"/>
      <x:c r="L721" s="20" t="str">
        <x:f>IF(Q721&lt;&gt;"OK","",IF(E721="Back",G721*(F721-1),-G721*(F721-1)))</x:f>
      </x:c>
      <x:c r="M721" s="20" t="str">
        <x:f>IF(Q721&lt;&gt;"OK","",IF(E721="Back",-G721,G721))</x:f>
      </x:c>
      <x:c r="N721" s="20" t="str">
        <x:f>IF(Q721&lt;&gt;"OK","",SUMIFS($L$8:$L$1007,$A$8:$A$1007,A721,$B$8:$B$1007,"&lt;="&amp;B721))</x:f>
      </x:c>
      <x:c r="O721" s="20" t="str">
        <x:f>IF(Q721&lt;&gt;"OK","",SUMIFS($M$8:$M$1007,$A$8:$A$1007,A721,$B$8:$B$1007,"&lt;="&amp;B721))</x:f>
      </x:c>
      <x:c r="P721" s="20" t="str">
        <x:f>IF(Q721&lt;&gt;"OK","",MAX(0,-MIN(N721,O721)))</x:f>
      </x:c>
      <x:c r="Q721" s="18" t="str">
        <x:f>IF(A721="",IF(COUNTA(B721:K721)=0,"","Inserisci ID"),IF(COUNTIFS('Diario'!$A$8:$A$507,A721)&lt;&gt;1,"ID assente / duplicato",IF(OR(NOT(ISNUMBER(B721)),B721&lt;1,B721&lt;&gt;INT(B721),COUNTIFS($A$8:$A$1007,A721,$B$8:$B$1007,B721)&lt;&gt;1),"N. esecuzione non valido",IF(OR(NOT(ISNUMBER(C721)),AND(D721&lt;&gt;"Ingresso",D721&lt;&gt;"Uscita"),AND(E721&lt;&gt;"Back",E721&lt;&gt;"Lay")),"Completa data / fase / lato",IF(OR(NOT(ISNUMBER(F721)),F721&lt;=1,NOT(ISNUMBER(G721)),G721&lt;=0),"Correggi quota / stake","OK")))))</x:f>
      </x:c>
    </x:row>
    <x:row r="722" ht="22" customHeight="1">
      <x:c r="A722" s="24"/>
      <x:c r="B722" s="24"/>
      <x:c r="C722" s="26"/>
      <x:c r="D722" s="24"/>
      <x:c r="E722" s="24"/>
      <x:c r="F722" s="28"/>
      <x:c r="G722" s="29"/>
      <x:c r="H722" s="24"/>
      <x:c r="I722" s="24"/>
      <x:c r="J722" s="24"/>
      <x:c r="K722" s="24"/>
      <x:c r="L722" s="20" t="str">
        <x:f>IF(Q722&lt;&gt;"OK","",IF(E722="Back",G722*(F722-1),-G722*(F722-1)))</x:f>
      </x:c>
      <x:c r="M722" s="20" t="str">
        <x:f>IF(Q722&lt;&gt;"OK","",IF(E722="Back",-G722,G722))</x:f>
      </x:c>
      <x:c r="N722" s="20" t="str">
        <x:f>IF(Q722&lt;&gt;"OK","",SUMIFS($L$8:$L$1007,$A$8:$A$1007,A722,$B$8:$B$1007,"&lt;="&amp;B722))</x:f>
      </x:c>
      <x:c r="O722" s="20" t="str">
        <x:f>IF(Q722&lt;&gt;"OK","",SUMIFS($M$8:$M$1007,$A$8:$A$1007,A722,$B$8:$B$1007,"&lt;="&amp;B722))</x:f>
      </x:c>
      <x:c r="P722" s="20" t="str">
        <x:f>IF(Q722&lt;&gt;"OK","",MAX(0,-MIN(N722,O722)))</x:f>
      </x:c>
      <x:c r="Q722" s="18" t="str">
        <x:f>IF(A722="",IF(COUNTA(B722:K722)=0,"","Inserisci ID"),IF(COUNTIFS('Diario'!$A$8:$A$507,A722)&lt;&gt;1,"ID assente / duplicato",IF(OR(NOT(ISNUMBER(B722)),B722&lt;1,B722&lt;&gt;INT(B722),COUNTIFS($A$8:$A$1007,A722,$B$8:$B$1007,B722)&lt;&gt;1),"N. esecuzione non valido",IF(OR(NOT(ISNUMBER(C722)),AND(D722&lt;&gt;"Ingresso",D722&lt;&gt;"Uscita"),AND(E722&lt;&gt;"Back",E722&lt;&gt;"Lay")),"Completa data / fase / lato",IF(OR(NOT(ISNUMBER(F722)),F722&lt;=1,NOT(ISNUMBER(G722)),G722&lt;=0),"Correggi quota / stake","OK")))))</x:f>
      </x:c>
    </x:row>
    <x:row r="723" ht="22" customHeight="1">
      <x:c r="A723" s="24"/>
      <x:c r="B723" s="24"/>
      <x:c r="C723" s="26"/>
      <x:c r="D723" s="24"/>
      <x:c r="E723" s="24"/>
      <x:c r="F723" s="28"/>
      <x:c r="G723" s="29"/>
      <x:c r="H723" s="24"/>
      <x:c r="I723" s="24"/>
      <x:c r="J723" s="24"/>
      <x:c r="K723" s="24"/>
      <x:c r="L723" s="20" t="str">
        <x:f>IF(Q723&lt;&gt;"OK","",IF(E723="Back",G723*(F723-1),-G723*(F723-1)))</x:f>
      </x:c>
      <x:c r="M723" s="20" t="str">
        <x:f>IF(Q723&lt;&gt;"OK","",IF(E723="Back",-G723,G723))</x:f>
      </x:c>
      <x:c r="N723" s="20" t="str">
        <x:f>IF(Q723&lt;&gt;"OK","",SUMIFS($L$8:$L$1007,$A$8:$A$1007,A723,$B$8:$B$1007,"&lt;="&amp;B723))</x:f>
      </x:c>
      <x:c r="O723" s="20" t="str">
        <x:f>IF(Q723&lt;&gt;"OK","",SUMIFS($M$8:$M$1007,$A$8:$A$1007,A723,$B$8:$B$1007,"&lt;="&amp;B723))</x:f>
      </x:c>
      <x:c r="P723" s="20" t="str">
        <x:f>IF(Q723&lt;&gt;"OK","",MAX(0,-MIN(N723,O723)))</x:f>
      </x:c>
      <x:c r="Q723" s="18" t="str">
        <x:f>IF(A723="",IF(COUNTA(B723:K723)=0,"","Inserisci ID"),IF(COUNTIFS('Diario'!$A$8:$A$507,A723)&lt;&gt;1,"ID assente / duplicato",IF(OR(NOT(ISNUMBER(B723)),B723&lt;1,B723&lt;&gt;INT(B723),COUNTIFS($A$8:$A$1007,A723,$B$8:$B$1007,B723)&lt;&gt;1),"N. esecuzione non valido",IF(OR(NOT(ISNUMBER(C723)),AND(D723&lt;&gt;"Ingresso",D723&lt;&gt;"Uscita"),AND(E723&lt;&gt;"Back",E723&lt;&gt;"Lay")),"Completa data / fase / lato",IF(OR(NOT(ISNUMBER(F723)),F723&lt;=1,NOT(ISNUMBER(G723)),G723&lt;=0),"Correggi quota / stake","OK")))))</x:f>
      </x:c>
    </x:row>
    <x:row r="724" ht="22" customHeight="1">
      <x:c r="A724" s="24"/>
      <x:c r="B724" s="24"/>
      <x:c r="C724" s="26"/>
      <x:c r="D724" s="24"/>
      <x:c r="E724" s="24"/>
      <x:c r="F724" s="28"/>
      <x:c r="G724" s="29"/>
      <x:c r="H724" s="24"/>
      <x:c r="I724" s="24"/>
      <x:c r="J724" s="24"/>
      <x:c r="K724" s="24"/>
      <x:c r="L724" s="20" t="str">
        <x:f>IF(Q724&lt;&gt;"OK","",IF(E724="Back",G724*(F724-1),-G724*(F724-1)))</x:f>
      </x:c>
      <x:c r="M724" s="20" t="str">
        <x:f>IF(Q724&lt;&gt;"OK","",IF(E724="Back",-G724,G724))</x:f>
      </x:c>
      <x:c r="N724" s="20" t="str">
        <x:f>IF(Q724&lt;&gt;"OK","",SUMIFS($L$8:$L$1007,$A$8:$A$1007,A724,$B$8:$B$1007,"&lt;="&amp;B724))</x:f>
      </x:c>
      <x:c r="O724" s="20" t="str">
        <x:f>IF(Q724&lt;&gt;"OK","",SUMIFS($M$8:$M$1007,$A$8:$A$1007,A724,$B$8:$B$1007,"&lt;="&amp;B724))</x:f>
      </x:c>
      <x:c r="P724" s="20" t="str">
        <x:f>IF(Q724&lt;&gt;"OK","",MAX(0,-MIN(N724,O724)))</x:f>
      </x:c>
      <x:c r="Q724" s="18" t="str">
        <x:f>IF(A724="",IF(COUNTA(B724:K724)=0,"","Inserisci ID"),IF(COUNTIFS('Diario'!$A$8:$A$507,A724)&lt;&gt;1,"ID assente / duplicato",IF(OR(NOT(ISNUMBER(B724)),B724&lt;1,B724&lt;&gt;INT(B724),COUNTIFS($A$8:$A$1007,A724,$B$8:$B$1007,B724)&lt;&gt;1),"N. esecuzione non valido",IF(OR(NOT(ISNUMBER(C724)),AND(D724&lt;&gt;"Ingresso",D724&lt;&gt;"Uscita"),AND(E724&lt;&gt;"Back",E724&lt;&gt;"Lay")),"Completa data / fase / lato",IF(OR(NOT(ISNUMBER(F724)),F724&lt;=1,NOT(ISNUMBER(G724)),G724&lt;=0),"Correggi quota / stake","OK")))))</x:f>
      </x:c>
    </x:row>
    <x:row r="725" ht="22" customHeight="1">
      <x:c r="A725" s="24"/>
      <x:c r="B725" s="24"/>
      <x:c r="C725" s="26"/>
      <x:c r="D725" s="24"/>
      <x:c r="E725" s="24"/>
      <x:c r="F725" s="28"/>
      <x:c r="G725" s="29"/>
      <x:c r="H725" s="24"/>
      <x:c r="I725" s="24"/>
      <x:c r="J725" s="24"/>
      <x:c r="K725" s="24"/>
      <x:c r="L725" s="20" t="str">
        <x:f>IF(Q725&lt;&gt;"OK","",IF(E725="Back",G725*(F725-1),-G725*(F725-1)))</x:f>
      </x:c>
      <x:c r="M725" s="20" t="str">
        <x:f>IF(Q725&lt;&gt;"OK","",IF(E725="Back",-G725,G725))</x:f>
      </x:c>
      <x:c r="N725" s="20" t="str">
        <x:f>IF(Q725&lt;&gt;"OK","",SUMIFS($L$8:$L$1007,$A$8:$A$1007,A725,$B$8:$B$1007,"&lt;="&amp;B725))</x:f>
      </x:c>
      <x:c r="O725" s="20" t="str">
        <x:f>IF(Q725&lt;&gt;"OK","",SUMIFS($M$8:$M$1007,$A$8:$A$1007,A725,$B$8:$B$1007,"&lt;="&amp;B725))</x:f>
      </x:c>
      <x:c r="P725" s="20" t="str">
        <x:f>IF(Q725&lt;&gt;"OK","",MAX(0,-MIN(N725,O725)))</x:f>
      </x:c>
      <x:c r="Q725" s="18" t="str">
        <x:f>IF(A725="",IF(COUNTA(B725:K725)=0,"","Inserisci ID"),IF(COUNTIFS('Diario'!$A$8:$A$507,A725)&lt;&gt;1,"ID assente / duplicato",IF(OR(NOT(ISNUMBER(B725)),B725&lt;1,B725&lt;&gt;INT(B725),COUNTIFS($A$8:$A$1007,A725,$B$8:$B$1007,B725)&lt;&gt;1),"N. esecuzione non valido",IF(OR(NOT(ISNUMBER(C725)),AND(D725&lt;&gt;"Ingresso",D725&lt;&gt;"Uscita"),AND(E725&lt;&gt;"Back",E725&lt;&gt;"Lay")),"Completa data / fase / lato",IF(OR(NOT(ISNUMBER(F725)),F725&lt;=1,NOT(ISNUMBER(G725)),G725&lt;=0),"Correggi quota / stake","OK")))))</x:f>
      </x:c>
    </x:row>
    <x:row r="726" ht="22" customHeight="1">
      <x:c r="A726" s="24"/>
      <x:c r="B726" s="24"/>
      <x:c r="C726" s="26"/>
      <x:c r="D726" s="24"/>
      <x:c r="E726" s="24"/>
      <x:c r="F726" s="28"/>
      <x:c r="G726" s="29"/>
      <x:c r="H726" s="24"/>
      <x:c r="I726" s="24"/>
      <x:c r="J726" s="24"/>
      <x:c r="K726" s="24"/>
      <x:c r="L726" s="20" t="str">
        <x:f>IF(Q726&lt;&gt;"OK","",IF(E726="Back",G726*(F726-1),-G726*(F726-1)))</x:f>
      </x:c>
      <x:c r="M726" s="20" t="str">
        <x:f>IF(Q726&lt;&gt;"OK","",IF(E726="Back",-G726,G726))</x:f>
      </x:c>
      <x:c r="N726" s="20" t="str">
        <x:f>IF(Q726&lt;&gt;"OK","",SUMIFS($L$8:$L$1007,$A$8:$A$1007,A726,$B$8:$B$1007,"&lt;="&amp;B726))</x:f>
      </x:c>
      <x:c r="O726" s="20" t="str">
        <x:f>IF(Q726&lt;&gt;"OK","",SUMIFS($M$8:$M$1007,$A$8:$A$1007,A726,$B$8:$B$1007,"&lt;="&amp;B726))</x:f>
      </x:c>
      <x:c r="P726" s="20" t="str">
        <x:f>IF(Q726&lt;&gt;"OK","",MAX(0,-MIN(N726,O726)))</x:f>
      </x:c>
      <x:c r="Q726" s="18" t="str">
        <x:f>IF(A726="",IF(COUNTA(B726:K726)=0,"","Inserisci ID"),IF(COUNTIFS('Diario'!$A$8:$A$507,A726)&lt;&gt;1,"ID assente / duplicato",IF(OR(NOT(ISNUMBER(B726)),B726&lt;1,B726&lt;&gt;INT(B726),COUNTIFS($A$8:$A$1007,A726,$B$8:$B$1007,B726)&lt;&gt;1),"N. esecuzione non valido",IF(OR(NOT(ISNUMBER(C726)),AND(D726&lt;&gt;"Ingresso",D726&lt;&gt;"Uscita"),AND(E726&lt;&gt;"Back",E726&lt;&gt;"Lay")),"Completa data / fase / lato",IF(OR(NOT(ISNUMBER(F726)),F726&lt;=1,NOT(ISNUMBER(G726)),G726&lt;=0),"Correggi quota / stake","OK")))))</x:f>
      </x:c>
    </x:row>
    <x:row r="727" ht="22" customHeight="1">
      <x:c r="A727" s="24"/>
      <x:c r="B727" s="24"/>
      <x:c r="C727" s="26"/>
      <x:c r="D727" s="24"/>
      <x:c r="E727" s="24"/>
      <x:c r="F727" s="28"/>
      <x:c r="G727" s="29"/>
      <x:c r="H727" s="24"/>
      <x:c r="I727" s="24"/>
      <x:c r="J727" s="24"/>
      <x:c r="K727" s="24"/>
      <x:c r="L727" s="20" t="str">
        <x:f>IF(Q727&lt;&gt;"OK","",IF(E727="Back",G727*(F727-1),-G727*(F727-1)))</x:f>
      </x:c>
      <x:c r="M727" s="20" t="str">
        <x:f>IF(Q727&lt;&gt;"OK","",IF(E727="Back",-G727,G727))</x:f>
      </x:c>
      <x:c r="N727" s="20" t="str">
        <x:f>IF(Q727&lt;&gt;"OK","",SUMIFS($L$8:$L$1007,$A$8:$A$1007,A727,$B$8:$B$1007,"&lt;="&amp;B727))</x:f>
      </x:c>
      <x:c r="O727" s="20" t="str">
        <x:f>IF(Q727&lt;&gt;"OK","",SUMIFS($M$8:$M$1007,$A$8:$A$1007,A727,$B$8:$B$1007,"&lt;="&amp;B727))</x:f>
      </x:c>
      <x:c r="P727" s="20" t="str">
        <x:f>IF(Q727&lt;&gt;"OK","",MAX(0,-MIN(N727,O727)))</x:f>
      </x:c>
      <x:c r="Q727" s="18" t="str">
        <x:f>IF(A727="",IF(COUNTA(B727:K727)=0,"","Inserisci ID"),IF(COUNTIFS('Diario'!$A$8:$A$507,A727)&lt;&gt;1,"ID assente / duplicato",IF(OR(NOT(ISNUMBER(B727)),B727&lt;1,B727&lt;&gt;INT(B727),COUNTIFS($A$8:$A$1007,A727,$B$8:$B$1007,B727)&lt;&gt;1),"N. esecuzione non valido",IF(OR(NOT(ISNUMBER(C727)),AND(D727&lt;&gt;"Ingresso",D727&lt;&gt;"Uscita"),AND(E727&lt;&gt;"Back",E727&lt;&gt;"Lay")),"Completa data / fase / lato",IF(OR(NOT(ISNUMBER(F727)),F727&lt;=1,NOT(ISNUMBER(G727)),G727&lt;=0),"Correggi quota / stake","OK")))))</x:f>
      </x:c>
    </x:row>
    <x:row r="728" ht="22" customHeight="1">
      <x:c r="A728" s="24"/>
      <x:c r="B728" s="24"/>
      <x:c r="C728" s="26"/>
      <x:c r="D728" s="24"/>
      <x:c r="E728" s="24"/>
      <x:c r="F728" s="28"/>
      <x:c r="G728" s="29"/>
      <x:c r="H728" s="24"/>
      <x:c r="I728" s="24"/>
      <x:c r="J728" s="24"/>
      <x:c r="K728" s="24"/>
      <x:c r="L728" s="20" t="str">
        <x:f>IF(Q728&lt;&gt;"OK","",IF(E728="Back",G728*(F728-1),-G728*(F728-1)))</x:f>
      </x:c>
      <x:c r="M728" s="20" t="str">
        <x:f>IF(Q728&lt;&gt;"OK","",IF(E728="Back",-G728,G728))</x:f>
      </x:c>
      <x:c r="N728" s="20" t="str">
        <x:f>IF(Q728&lt;&gt;"OK","",SUMIFS($L$8:$L$1007,$A$8:$A$1007,A728,$B$8:$B$1007,"&lt;="&amp;B728))</x:f>
      </x:c>
      <x:c r="O728" s="20" t="str">
        <x:f>IF(Q728&lt;&gt;"OK","",SUMIFS($M$8:$M$1007,$A$8:$A$1007,A728,$B$8:$B$1007,"&lt;="&amp;B728))</x:f>
      </x:c>
      <x:c r="P728" s="20" t="str">
        <x:f>IF(Q728&lt;&gt;"OK","",MAX(0,-MIN(N728,O728)))</x:f>
      </x:c>
      <x:c r="Q728" s="18" t="str">
        <x:f>IF(A728="",IF(COUNTA(B728:K728)=0,"","Inserisci ID"),IF(COUNTIFS('Diario'!$A$8:$A$507,A728)&lt;&gt;1,"ID assente / duplicato",IF(OR(NOT(ISNUMBER(B728)),B728&lt;1,B728&lt;&gt;INT(B728),COUNTIFS($A$8:$A$1007,A728,$B$8:$B$1007,B728)&lt;&gt;1),"N. esecuzione non valido",IF(OR(NOT(ISNUMBER(C728)),AND(D728&lt;&gt;"Ingresso",D728&lt;&gt;"Uscita"),AND(E728&lt;&gt;"Back",E728&lt;&gt;"Lay")),"Completa data / fase / lato",IF(OR(NOT(ISNUMBER(F728)),F728&lt;=1,NOT(ISNUMBER(G728)),G728&lt;=0),"Correggi quota / stake","OK")))))</x:f>
      </x:c>
    </x:row>
    <x:row r="729" ht="22" customHeight="1">
      <x:c r="A729" s="24"/>
      <x:c r="B729" s="24"/>
      <x:c r="C729" s="26"/>
      <x:c r="D729" s="24"/>
      <x:c r="E729" s="24"/>
      <x:c r="F729" s="28"/>
      <x:c r="G729" s="29"/>
      <x:c r="H729" s="24"/>
      <x:c r="I729" s="24"/>
      <x:c r="J729" s="24"/>
      <x:c r="K729" s="24"/>
      <x:c r="L729" s="20" t="str">
        <x:f>IF(Q729&lt;&gt;"OK","",IF(E729="Back",G729*(F729-1),-G729*(F729-1)))</x:f>
      </x:c>
      <x:c r="M729" s="20" t="str">
        <x:f>IF(Q729&lt;&gt;"OK","",IF(E729="Back",-G729,G729))</x:f>
      </x:c>
      <x:c r="N729" s="20" t="str">
        <x:f>IF(Q729&lt;&gt;"OK","",SUMIFS($L$8:$L$1007,$A$8:$A$1007,A729,$B$8:$B$1007,"&lt;="&amp;B729))</x:f>
      </x:c>
      <x:c r="O729" s="20" t="str">
        <x:f>IF(Q729&lt;&gt;"OK","",SUMIFS($M$8:$M$1007,$A$8:$A$1007,A729,$B$8:$B$1007,"&lt;="&amp;B729))</x:f>
      </x:c>
      <x:c r="P729" s="20" t="str">
        <x:f>IF(Q729&lt;&gt;"OK","",MAX(0,-MIN(N729,O729)))</x:f>
      </x:c>
      <x:c r="Q729" s="18" t="str">
        <x:f>IF(A729="",IF(COUNTA(B729:K729)=0,"","Inserisci ID"),IF(COUNTIFS('Diario'!$A$8:$A$507,A729)&lt;&gt;1,"ID assente / duplicato",IF(OR(NOT(ISNUMBER(B729)),B729&lt;1,B729&lt;&gt;INT(B729),COUNTIFS($A$8:$A$1007,A729,$B$8:$B$1007,B729)&lt;&gt;1),"N. esecuzione non valido",IF(OR(NOT(ISNUMBER(C729)),AND(D729&lt;&gt;"Ingresso",D729&lt;&gt;"Uscita"),AND(E729&lt;&gt;"Back",E729&lt;&gt;"Lay")),"Completa data / fase / lato",IF(OR(NOT(ISNUMBER(F729)),F729&lt;=1,NOT(ISNUMBER(G729)),G729&lt;=0),"Correggi quota / stake","OK")))))</x:f>
      </x:c>
    </x:row>
    <x:row r="730" ht="22" customHeight="1">
      <x:c r="A730" s="24"/>
      <x:c r="B730" s="24"/>
      <x:c r="C730" s="26"/>
      <x:c r="D730" s="24"/>
      <x:c r="E730" s="24"/>
      <x:c r="F730" s="28"/>
      <x:c r="G730" s="29"/>
      <x:c r="H730" s="24"/>
      <x:c r="I730" s="24"/>
      <x:c r="J730" s="24"/>
      <x:c r="K730" s="24"/>
      <x:c r="L730" s="20" t="str">
        <x:f>IF(Q730&lt;&gt;"OK","",IF(E730="Back",G730*(F730-1),-G730*(F730-1)))</x:f>
      </x:c>
      <x:c r="M730" s="20" t="str">
        <x:f>IF(Q730&lt;&gt;"OK","",IF(E730="Back",-G730,G730))</x:f>
      </x:c>
      <x:c r="N730" s="20" t="str">
        <x:f>IF(Q730&lt;&gt;"OK","",SUMIFS($L$8:$L$1007,$A$8:$A$1007,A730,$B$8:$B$1007,"&lt;="&amp;B730))</x:f>
      </x:c>
      <x:c r="O730" s="20" t="str">
        <x:f>IF(Q730&lt;&gt;"OK","",SUMIFS($M$8:$M$1007,$A$8:$A$1007,A730,$B$8:$B$1007,"&lt;="&amp;B730))</x:f>
      </x:c>
      <x:c r="P730" s="20" t="str">
        <x:f>IF(Q730&lt;&gt;"OK","",MAX(0,-MIN(N730,O730)))</x:f>
      </x:c>
      <x:c r="Q730" s="18" t="str">
        <x:f>IF(A730="",IF(COUNTA(B730:K730)=0,"","Inserisci ID"),IF(COUNTIFS('Diario'!$A$8:$A$507,A730)&lt;&gt;1,"ID assente / duplicato",IF(OR(NOT(ISNUMBER(B730)),B730&lt;1,B730&lt;&gt;INT(B730),COUNTIFS($A$8:$A$1007,A730,$B$8:$B$1007,B730)&lt;&gt;1),"N. esecuzione non valido",IF(OR(NOT(ISNUMBER(C730)),AND(D730&lt;&gt;"Ingresso",D730&lt;&gt;"Uscita"),AND(E730&lt;&gt;"Back",E730&lt;&gt;"Lay")),"Completa data / fase / lato",IF(OR(NOT(ISNUMBER(F730)),F730&lt;=1,NOT(ISNUMBER(G730)),G730&lt;=0),"Correggi quota / stake","OK")))))</x:f>
      </x:c>
    </x:row>
    <x:row r="731" ht="22" customHeight="1">
      <x:c r="A731" s="24"/>
      <x:c r="B731" s="24"/>
      <x:c r="C731" s="26"/>
      <x:c r="D731" s="24"/>
      <x:c r="E731" s="24"/>
      <x:c r="F731" s="28"/>
      <x:c r="G731" s="29"/>
      <x:c r="H731" s="24"/>
      <x:c r="I731" s="24"/>
      <x:c r="J731" s="24"/>
      <x:c r="K731" s="24"/>
      <x:c r="L731" s="20" t="str">
        <x:f>IF(Q731&lt;&gt;"OK","",IF(E731="Back",G731*(F731-1),-G731*(F731-1)))</x:f>
      </x:c>
      <x:c r="M731" s="20" t="str">
        <x:f>IF(Q731&lt;&gt;"OK","",IF(E731="Back",-G731,G731))</x:f>
      </x:c>
      <x:c r="N731" s="20" t="str">
        <x:f>IF(Q731&lt;&gt;"OK","",SUMIFS($L$8:$L$1007,$A$8:$A$1007,A731,$B$8:$B$1007,"&lt;="&amp;B731))</x:f>
      </x:c>
      <x:c r="O731" s="20" t="str">
        <x:f>IF(Q731&lt;&gt;"OK","",SUMIFS($M$8:$M$1007,$A$8:$A$1007,A731,$B$8:$B$1007,"&lt;="&amp;B731))</x:f>
      </x:c>
      <x:c r="P731" s="20" t="str">
        <x:f>IF(Q731&lt;&gt;"OK","",MAX(0,-MIN(N731,O731)))</x:f>
      </x:c>
      <x:c r="Q731" s="18" t="str">
        <x:f>IF(A731="",IF(COUNTA(B731:K731)=0,"","Inserisci ID"),IF(COUNTIFS('Diario'!$A$8:$A$507,A731)&lt;&gt;1,"ID assente / duplicato",IF(OR(NOT(ISNUMBER(B731)),B731&lt;1,B731&lt;&gt;INT(B731),COUNTIFS($A$8:$A$1007,A731,$B$8:$B$1007,B731)&lt;&gt;1),"N. esecuzione non valido",IF(OR(NOT(ISNUMBER(C731)),AND(D731&lt;&gt;"Ingresso",D731&lt;&gt;"Uscita"),AND(E731&lt;&gt;"Back",E731&lt;&gt;"Lay")),"Completa data / fase / lato",IF(OR(NOT(ISNUMBER(F731)),F731&lt;=1,NOT(ISNUMBER(G731)),G731&lt;=0),"Correggi quota / stake","OK")))))</x:f>
      </x:c>
    </x:row>
    <x:row r="732" ht="22" customHeight="1">
      <x:c r="A732" s="24"/>
      <x:c r="B732" s="24"/>
      <x:c r="C732" s="26"/>
      <x:c r="D732" s="24"/>
      <x:c r="E732" s="24"/>
      <x:c r="F732" s="28"/>
      <x:c r="G732" s="29"/>
      <x:c r="H732" s="24"/>
      <x:c r="I732" s="24"/>
      <x:c r="J732" s="24"/>
      <x:c r="K732" s="24"/>
      <x:c r="L732" s="20" t="str">
        <x:f>IF(Q732&lt;&gt;"OK","",IF(E732="Back",G732*(F732-1),-G732*(F732-1)))</x:f>
      </x:c>
      <x:c r="M732" s="20" t="str">
        <x:f>IF(Q732&lt;&gt;"OK","",IF(E732="Back",-G732,G732))</x:f>
      </x:c>
      <x:c r="N732" s="20" t="str">
        <x:f>IF(Q732&lt;&gt;"OK","",SUMIFS($L$8:$L$1007,$A$8:$A$1007,A732,$B$8:$B$1007,"&lt;="&amp;B732))</x:f>
      </x:c>
      <x:c r="O732" s="20" t="str">
        <x:f>IF(Q732&lt;&gt;"OK","",SUMIFS($M$8:$M$1007,$A$8:$A$1007,A732,$B$8:$B$1007,"&lt;="&amp;B732))</x:f>
      </x:c>
      <x:c r="P732" s="20" t="str">
        <x:f>IF(Q732&lt;&gt;"OK","",MAX(0,-MIN(N732,O732)))</x:f>
      </x:c>
      <x:c r="Q732" s="18" t="str">
        <x:f>IF(A732="",IF(COUNTA(B732:K732)=0,"","Inserisci ID"),IF(COUNTIFS('Diario'!$A$8:$A$507,A732)&lt;&gt;1,"ID assente / duplicato",IF(OR(NOT(ISNUMBER(B732)),B732&lt;1,B732&lt;&gt;INT(B732),COUNTIFS($A$8:$A$1007,A732,$B$8:$B$1007,B732)&lt;&gt;1),"N. esecuzione non valido",IF(OR(NOT(ISNUMBER(C732)),AND(D732&lt;&gt;"Ingresso",D732&lt;&gt;"Uscita"),AND(E732&lt;&gt;"Back",E732&lt;&gt;"Lay")),"Completa data / fase / lato",IF(OR(NOT(ISNUMBER(F732)),F732&lt;=1,NOT(ISNUMBER(G732)),G732&lt;=0),"Correggi quota / stake","OK")))))</x:f>
      </x:c>
    </x:row>
    <x:row r="733" ht="22" customHeight="1">
      <x:c r="A733" s="24"/>
      <x:c r="B733" s="24"/>
      <x:c r="C733" s="26"/>
      <x:c r="D733" s="24"/>
      <x:c r="E733" s="24"/>
      <x:c r="F733" s="28"/>
      <x:c r="G733" s="29"/>
      <x:c r="H733" s="24"/>
      <x:c r="I733" s="24"/>
      <x:c r="J733" s="24"/>
      <x:c r="K733" s="24"/>
      <x:c r="L733" s="20" t="str">
        <x:f>IF(Q733&lt;&gt;"OK","",IF(E733="Back",G733*(F733-1),-G733*(F733-1)))</x:f>
      </x:c>
      <x:c r="M733" s="20" t="str">
        <x:f>IF(Q733&lt;&gt;"OK","",IF(E733="Back",-G733,G733))</x:f>
      </x:c>
      <x:c r="N733" s="20" t="str">
        <x:f>IF(Q733&lt;&gt;"OK","",SUMIFS($L$8:$L$1007,$A$8:$A$1007,A733,$B$8:$B$1007,"&lt;="&amp;B733))</x:f>
      </x:c>
      <x:c r="O733" s="20" t="str">
        <x:f>IF(Q733&lt;&gt;"OK","",SUMIFS($M$8:$M$1007,$A$8:$A$1007,A733,$B$8:$B$1007,"&lt;="&amp;B733))</x:f>
      </x:c>
      <x:c r="P733" s="20" t="str">
        <x:f>IF(Q733&lt;&gt;"OK","",MAX(0,-MIN(N733,O733)))</x:f>
      </x:c>
      <x:c r="Q733" s="18" t="str">
        <x:f>IF(A733="",IF(COUNTA(B733:K733)=0,"","Inserisci ID"),IF(COUNTIFS('Diario'!$A$8:$A$507,A733)&lt;&gt;1,"ID assente / duplicato",IF(OR(NOT(ISNUMBER(B733)),B733&lt;1,B733&lt;&gt;INT(B733),COUNTIFS($A$8:$A$1007,A733,$B$8:$B$1007,B733)&lt;&gt;1),"N. esecuzione non valido",IF(OR(NOT(ISNUMBER(C733)),AND(D733&lt;&gt;"Ingresso",D733&lt;&gt;"Uscita"),AND(E733&lt;&gt;"Back",E733&lt;&gt;"Lay")),"Completa data / fase / lato",IF(OR(NOT(ISNUMBER(F733)),F733&lt;=1,NOT(ISNUMBER(G733)),G733&lt;=0),"Correggi quota / stake","OK")))))</x:f>
      </x:c>
    </x:row>
    <x:row r="734" ht="22" customHeight="1">
      <x:c r="A734" s="24"/>
      <x:c r="B734" s="24"/>
      <x:c r="C734" s="26"/>
      <x:c r="D734" s="24"/>
      <x:c r="E734" s="24"/>
      <x:c r="F734" s="28"/>
      <x:c r="G734" s="29"/>
      <x:c r="H734" s="24"/>
      <x:c r="I734" s="24"/>
      <x:c r="J734" s="24"/>
      <x:c r="K734" s="24"/>
      <x:c r="L734" s="20" t="str">
        <x:f>IF(Q734&lt;&gt;"OK","",IF(E734="Back",G734*(F734-1),-G734*(F734-1)))</x:f>
      </x:c>
      <x:c r="M734" s="20" t="str">
        <x:f>IF(Q734&lt;&gt;"OK","",IF(E734="Back",-G734,G734))</x:f>
      </x:c>
      <x:c r="N734" s="20" t="str">
        <x:f>IF(Q734&lt;&gt;"OK","",SUMIFS($L$8:$L$1007,$A$8:$A$1007,A734,$B$8:$B$1007,"&lt;="&amp;B734))</x:f>
      </x:c>
      <x:c r="O734" s="20" t="str">
        <x:f>IF(Q734&lt;&gt;"OK","",SUMIFS($M$8:$M$1007,$A$8:$A$1007,A734,$B$8:$B$1007,"&lt;="&amp;B734))</x:f>
      </x:c>
      <x:c r="P734" s="20" t="str">
        <x:f>IF(Q734&lt;&gt;"OK","",MAX(0,-MIN(N734,O734)))</x:f>
      </x:c>
      <x:c r="Q734" s="18" t="str">
        <x:f>IF(A734="",IF(COUNTA(B734:K734)=0,"","Inserisci ID"),IF(COUNTIFS('Diario'!$A$8:$A$507,A734)&lt;&gt;1,"ID assente / duplicato",IF(OR(NOT(ISNUMBER(B734)),B734&lt;1,B734&lt;&gt;INT(B734),COUNTIFS($A$8:$A$1007,A734,$B$8:$B$1007,B734)&lt;&gt;1),"N. esecuzione non valido",IF(OR(NOT(ISNUMBER(C734)),AND(D734&lt;&gt;"Ingresso",D734&lt;&gt;"Uscita"),AND(E734&lt;&gt;"Back",E734&lt;&gt;"Lay")),"Completa data / fase / lato",IF(OR(NOT(ISNUMBER(F734)),F734&lt;=1,NOT(ISNUMBER(G734)),G734&lt;=0),"Correggi quota / stake","OK")))))</x:f>
      </x:c>
    </x:row>
    <x:row r="735" ht="22" customHeight="1">
      <x:c r="A735" s="24"/>
      <x:c r="B735" s="24"/>
      <x:c r="C735" s="26"/>
      <x:c r="D735" s="24"/>
      <x:c r="E735" s="24"/>
      <x:c r="F735" s="28"/>
      <x:c r="G735" s="29"/>
      <x:c r="H735" s="24"/>
      <x:c r="I735" s="24"/>
      <x:c r="J735" s="24"/>
      <x:c r="K735" s="24"/>
      <x:c r="L735" s="20" t="str">
        <x:f>IF(Q735&lt;&gt;"OK","",IF(E735="Back",G735*(F735-1),-G735*(F735-1)))</x:f>
      </x:c>
      <x:c r="M735" s="20" t="str">
        <x:f>IF(Q735&lt;&gt;"OK","",IF(E735="Back",-G735,G735))</x:f>
      </x:c>
      <x:c r="N735" s="20" t="str">
        <x:f>IF(Q735&lt;&gt;"OK","",SUMIFS($L$8:$L$1007,$A$8:$A$1007,A735,$B$8:$B$1007,"&lt;="&amp;B735))</x:f>
      </x:c>
      <x:c r="O735" s="20" t="str">
        <x:f>IF(Q735&lt;&gt;"OK","",SUMIFS($M$8:$M$1007,$A$8:$A$1007,A735,$B$8:$B$1007,"&lt;="&amp;B735))</x:f>
      </x:c>
      <x:c r="P735" s="20" t="str">
        <x:f>IF(Q735&lt;&gt;"OK","",MAX(0,-MIN(N735,O735)))</x:f>
      </x:c>
      <x:c r="Q735" s="18" t="str">
        <x:f>IF(A735="",IF(COUNTA(B735:K735)=0,"","Inserisci ID"),IF(COUNTIFS('Diario'!$A$8:$A$507,A735)&lt;&gt;1,"ID assente / duplicato",IF(OR(NOT(ISNUMBER(B735)),B735&lt;1,B735&lt;&gt;INT(B735),COUNTIFS($A$8:$A$1007,A735,$B$8:$B$1007,B735)&lt;&gt;1),"N. esecuzione non valido",IF(OR(NOT(ISNUMBER(C735)),AND(D735&lt;&gt;"Ingresso",D735&lt;&gt;"Uscita"),AND(E735&lt;&gt;"Back",E735&lt;&gt;"Lay")),"Completa data / fase / lato",IF(OR(NOT(ISNUMBER(F735)),F735&lt;=1,NOT(ISNUMBER(G735)),G735&lt;=0),"Correggi quota / stake","OK")))))</x:f>
      </x:c>
    </x:row>
    <x:row r="736" ht="22" customHeight="1">
      <x:c r="A736" s="24"/>
      <x:c r="B736" s="24"/>
      <x:c r="C736" s="26"/>
      <x:c r="D736" s="24"/>
      <x:c r="E736" s="24"/>
      <x:c r="F736" s="28"/>
      <x:c r="G736" s="29"/>
      <x:c r="H736" s="24"/>
      <x:c r="I736" s="24"/>
      <x:c r="J736" s="24"/>
      <x:c r="K736" s="24"/>
      <x:c r="L736" s="20" t="str">
        <x:f>IF(Q736&lt;&gt;"OK","",IF(E736="Back",G736*(F736-1),-G736*(F736-1)))</x:f>
      </x:c>
      <x:c r="M736" s="20" t="str">
        <x:f>IF(Q736&lt;&gt;"OK","",IF(E736="Back",-G736,G736))</x:f>
      </x:c>
      <x:c r="N736" s="20" t="str">
        <x:f>IF(Q736&lt;&gt;"OK","",SUMIFS($L$8:$L$1007,$A$8:$A$1007,A736,$B$8:$B$1007,"&lt;="&amp;B736))</x:f>
      </x:c>
      <x:c r="O736" s="20" t="str">
        <x:f>IF(Q736&lt;&gt;"OK","",SUMIFS($M$8:$M$1007,$A$8:$A$1007,A736,$B$8:$B$1007,"&lt;="&amp;B736))</x:f>
      </x:c>
      <x:c r="P736" s="20" t="str">
        <x:f>IF(Q736&lt;&gt;"OK","",MAX(0,-MIN(N736,O736)))</x:f>
      </x:c>
      <x:c r="Q736" s="18" t="str">
        <x:f>IF(A736="",IF(COUNTA(B736:K736)=0,"","Inserisci ID"),IF(COUNTIFS('Diario'!$A$8:$A$507,A736)&lt;&gt;1,"ID assente / duplicato",IF(OR(NOT(ISNUMBER(B736)),B736&lt;1,B736&lt;&gt;INT(B736),COUNTIFS($A$8:$A$1007,A736,$B$8:$B$1007,B736)&lt;&gt;1),"N. esecuzione non valido",IF(OR(NOT(ISNUMBER(C736)),AND(D736&lt;&gt;"Ingresso",D736&lt;&gt;"Uscita"),AND(E736&lt;&gt;"Back",E736&lt;&gt;"Lay")),"Completa data / fase / lato",IF(OR(NOT(ISNUMBER(F736)),F736&lt;=1,NOT(ISNUMBER(G736)),G736&lt;=0),"Correggi quota / stake","OK")))))</x:f>
      </x:c>
    </x:row>
    <x:row r="737" ht="22" customHeight="1">
      <x:c r="A737" s="24"/>
      <x:c r="B737" s="24"/>
      <x:c r="C737" s="26"/>
      <x:c r="D737" s="24"/>
      <x:c r="E737" s="24"/>
      <x:c r="F737" s="28"/>
      <x:c r="G737" s="29"/>
      <x:c r="H737" s="24"/>
      <x:c r="I737" s="24"/>
      <x:c r="J737" s="24"/>
      <x:c r="K737" s="24"/>
      <x:c r="L737" s="20" t="str">
        <x:f>IF(Q737&lt;&gt;"OK","",IF(E737="Back",G737*(F737-1),-G737*(F737-1)))</x:f>
      </x:c>
      <x:c r="M737" s="20" t="str">
        <x:f>IF(Q737&lt;&gt;"OK","",IF(E737="Back",-G737,G737))</x:f>
      </x:c>
      <x:c r="N737" s="20" t="str">
        <x:f>IF(Q737&lt;&gt;"OK","",SUMIFS($L$8:$L$1007,$A$8:$A$1007,A737,$B$8:$B$1007,"&lt;="&amp;B737))</x:f>
      </x:c>
      <x:c r="O737" s="20" t="str">
        <x:f>IF(Q737&lt;&gt;"OK","",SUMIFS($M$8:$M$1007,$A$8:$A$1007,A737,$B$8:$B$1007,"&lt;="&amp;B737))</x:f>
      </x:c>
      <x:c r="P737" s="20" t="str">
        <x:f>IF(Q737&lt;&gt;"OK","",MAX(0,-MIN(N737,O737)))</x:f>
      </x:c>
      <x:c r="Q737" s="18" t="str">
        <x:f>IF(A737="",IF(COUNTA(B737:K737)=0,"","Inserisci ID"),IF(COUNTIFS('Diario'!$A$8:$A$507,A737)&lt;&gt;1,"ID assente / duplicato",IF(OR(NOT(ISNUMBER(B737)),B737&lt;1,B737&lt;&gt;INT(B737),COUNTIFS($A$8:$A$1007,A737,$B$8:$B$1007,B737)&lt;&gt;1),"N. esecuzione non valido",IF(OR(NOT(ISNUMBER(C737)),AND(D737&lt;&gt;"Ingresso",D737&lt;&gt;"Uscita"),AND(E737&lt;&gt;"Back",E737&lt;&gt;"Lay")),"Completa data / fase / lato",IF(OR(NOT(ISNUMBER(F737)),F737&lt;=1,NOT(ISNUMBER(G737)),G737&lt;=0),"Correggi quota / stake","OK")))))</x:f>
      </x:c>
    </x:row>
    <x:row r="738" ht="22" customHeight="1">
      <x:c r="A738" s="24"/>
      <x:c r="B738" s="24"/>
      <x:c r="C738" s="26"/>
      <x:c r="D738" s="24"/>
      <x:c r="E738" s="24"/>
      <x:c r="F738" s="28"/>
      <x:c r="G738" s="29"/>
      <x:c r="H738" s="24"/>
      <x:c r="I738" s="24"/>
      <x:c r="J738" s="24"/>
      <x:c r="K738" s="24"/>
      <x:c r="L738" s="20" t="str">
        <x:f>IF(Q738&lt;&gt;"OK","",IF(E738="Back",G738*(F738-1),-G738*(F738-1)))</x:f>
      </x:c>
      <x:c r="M738" s="20" t="str">
        <x:f>IF(Q738&lt;&gt;"OK","",IF(E738="Back",-G738,G738))</x:f>
      </x:c>
      <x:c r="N738" s="20" t="str">
        <x:f>IF(Q738&lt;&gt;"OK","",SUMIFS($L$8:$L$1007,$A$8:$A$1007,A738,$B$8:$B$1007,"&lt;="&amp;B738))</x:f>
      </x:c>
      <x:c r="O738" s="20" t="str">
        <x:f>IF(Q738&lt;&gt;"OK","",SUMIFS($M$8:$M$1007,$A$8:$A$1007,A738,$B$8:$B$1007,"&lt;="&amp;B738))</x:f>
      </x:c>
      <x:c r="P738" s="20" t="str">
        <x:f>IF(Q738&lt;&gt;"OK","",MAX(0,-MIN(N738,O738)))</x:f>
      </x:c>
      <x:c r="Q738" s="18" t="str">
        <x:f>IF(A738="",IF(COUNTA(B738:K738)=0,"","Inserisci ID"),IF(COUNTIFS('Diario'!$A$8:$A$507,A738)&lt;&gt;1,"ID assente / duplicato",IF(OR(NOT(ISNUMBER(B738)),B738&lt;1,B738&lt;&gt;INT(B738),COUNTIFS($A$8:$A$1007,A738,$B$8:$B$1007,B738)&lt;&gt;1),"N. esecuzione non valido",IF(OR(NOT(ISNUMBER(C738)),AND(D738&lt;&gt;"Ingresso",D738&lt;&gt;"Uscita"),AND(E738&lt;&gt;"Back",E738&lt;&gt;"Lay")),"Completa data / fase / lato",IF(OR(NOT(ISNUMBER(F738)),F738&lt;=1,NOT(ISNUMBER(G738)),G738&lt;=0),"Correggi quota / stake","OK")))))</x:f>
      </x:c>
    </x:row>
    <x:row r="739" ht="22" customHeight="1">
      <x:c r="A739" s="24"/>
      <x:c r="B739" s="24"/>
      <x:c r="C739" s="26"/>
      <x:c r="D739" s="24"/>
      <x:c r="E739" s="24"/>
      <x:c r="F739" s="28"/>
      <x:c r="G739" s="29"/>
      <x:c r="H739" s="24"/>
      <x:c r="I739" s="24"/>
      <x:c r="J739" s="24"/>
      <x:c r="K739" s="24"/>
      <x:c r="L739" s="20" t="str">
        <x:f>IF(Q739&lt;&gt;"OK","",IF(E739="Back",G739*(F739-1),-G739*(F739-1)))</x:f>
      </x:c>
      <x:c r="M739" s="20" t="str">
        <x:f>IF(Q739&lt;&gt;"OK","",IF(E739="Back",-G739,G739))</x:f>
      </x:c>
      <x:c r="N739" s="20" t="str">
        <x:f>IF(Q739&lt;&gt;"OK","",SUMIFS($L$8:$L$1007,$A$8:$A$1007,A739,$B$8:$B$1007,"&lt;="&amp;B739))</x:f>
      </x:c>
      <x:c r="O739" s="20" t="str">
        <x:f>IF(Q739&lt;&gt;"OK","",SUMIFS($M$8:$M$1007,$A$8:$A$1007,A739,$B$8:$B$1007,"&lt;="&amp;B739))</x:f>
      </x:c>
      <x:c r="P739" s="20" t="str">
        <x:f>IF(Q739&lt;&gt;"OK","",MAX(0,-MIN(N739,O739)))</x:f>
      </x:c>
      <x:c r="Q739" s="18" t="str">
        <x:f>IF(A739="",IF(COUNTA(B739:K739)=0,"","Inserisci ID"),IF(COUNTIFS('Diario'!$A$8:$A$507,A739)&lt;&gt;1,"ID assente / duplicato",IF(OR(NOT(ISNUMBER(B739)),B739&lt;1,B739&lt;&gt;INT(B739),COUNTIFS($A$8:$A$1007,A739,$B$8:$B$1007,B739)&lt;&gt;1),"N. esecuzione non valido",IF(OR(NOT(ISNUMBER(C739)),AND(D739&lt;&gt;"Ingresso",D739&lt;&gt;"Uscita"),AND(E739&lt;&gt;"Back",E739&lt;&gt;"Lay")),"Completa data / fase / lato",IF(OR(NOT(ISNUMBER(F739)),F739&lt;=1,NOT(ISNUMBER(G739)),G739&lt;=0),"Correggi quota / stake","OK")))))</x:f>
      </x:c>
    </x:row>
    <x:row r="740" ht="22" customHeight="1">
      <x:c r="A740" s="24"/>
      <x:c r="B740" s="24"/>
      <x:c r="C740" s="26"/>
      <x:c r="D740" s="24"/>
      <x:c r="E740" s="24"/>
      <x:c r="F740" s="28"/>
      <x:c r="G740" s="29"/>
      <x:c r="H740" s="24"/>
      <x:c r="I740" s="24"/>
      <x:c r="J740" s="24"/>
      <x:c r="K740" s="24"/>
      <x:c r="L740" s="20" t="str">
        <x:f>IF(Q740&lt;&gt;"OK","",IF(E740="Back",G740*(F740-1),-G740*(F740-1)))</x:f>
      </x:c>
      <x:c r="M740" s="20" t="str">
        <x:f>IF(Q740&lt;&gt;"OK","",IF(E740="Back",-G740,G740))</x:f>
      </x:c>
      <x:c r="N740" s="20" t="str">
        <x:f>IF(Q740&lt;&gt;"OK","",SUMIFS($L$8:$L$1007,$A$8:$A$1007,A740,$B$8:$B$1007,"&lt;="&amp;B740))</x:f>
      </x:c>
      <x:c r="O740" s="20" t="str">
        <x:f>IF(Q740&lt;&gt;"OK","",SUMIFS($M$8:$M$1007,$A$8:$A$1007,A740,$B$8:$B$1007,"&lt;="&amp;B740))</x:f>
      </x:c>
      <x:c r="P740" s="20" t="str">
        <x:f>IF(Q740&lt;&gt;"OK","",MAX(0,-MIN(N740,O740)))</x:f>
      </x:c>
      <x:c r="Q740" s="18" t="str">
        <x:f>IF(A740="",IF(COUNTA(B740:K740)=0,"","Inserisci ID"),IF(COUNTIFS('Diario'!$A$8:$A$507,A740)&lt;&gt;1,"ID assente / duplicato",IF(OR(NOT(ISNUMBER(B740)),B740&lt;1,B740&lt;&gt;INT(B740),COUNTIFS($A$8:$A$1007,A740,$B$8:$B$1007,B740)&lt;&gt;1),"N. esecuzione non valido",IF(OR(NOT(ISNUMBER(C740)),AND(D740&lt;&gt;"Ingresso",D740&lt;&gt;"Uscita"),AND(E740&lt;&gt;"Back",E740&lt;&gt;"Lay")),"Completa data / fase / lato",IF(OR(NOT(ISNUMBER(F740)),F740&lt;=1,NOT(ISNUMBER(G740)),G740&lt;=0),"Correggi quota / stake","OK")))))</x:f>
      </x:c>
    </x:row>
    <x:row r="741" ht="22" customHeight="1">
      <x:c r="A741" s="24"/>
      <x:c r="B741" s="24"/>
      <x:c r="C741" s="26"/>
      <x:c r="D741" s="24"/>
      <x:c r="E741" s="24"/>
      <x:c r="F741" s="28"/>
      <x:c r="G741" s="29"/>
      <x:c r="H741" s="24"/>
      <x:c r="I741" s="24"/>
      <x:c r="J741" s="24"/>
      <x:c r="K741" s="24"/>
      <x:c r="L741" s="20" t="str">
        <x:f>IF(Q741&lt;&gt;"OK","",IF(E741="Back",G741*(F741-1),-G741*(F741-1)))</x:f>
      </x:c>
      <x:c r="M741" s="20" t="str">
        <x:f>IF(Q741&lt;&gt;"OK","",IF(E741="Back",-G741,G741))</x:f>
      </x:c>
      <x:c r="N741" s="20" t="str">
        <x:f>IF(Q741&lt;&gt;"OK","",SUMIFS($L$8:$L$1007,$A$8:$A$1007,A741,$B$8:$B$1007,"&lt;="&amp;B741))</x:f>
      </x:c>
      <x:c r="O741" s="20" t="str">
        <x:f>IF(Q741&lt;&gt;"OK","",SUMIFS($M$8:$M$1007,$A$8:$A$1007,A741,$B$8:$B$1007,"&lt;="&amp;B741))</x:f>
      </x:c>
      <x:c r="P741" s="20" t="str">
        <x:f>IF(Q741&lt;&gt;"OK","",MAX(0,-MIN(N741,O741)))</x:f>
      </x:c>
      <x:c r="Q741" s="18" t="str">
        <x:f>IF(A741="",IF(COUNTA(B741:K741)=0,"","Inserisci ID"),IF(COUNTIFS('Diario'!$A$8:$A$507,A741)&lt;&gt;1,"ID assente / duplicato",IF(OR(NOT(ISNUMBER(B741)),B741&lt;1,B741&lt;&gt;INT(B741),COUNTIFS($A$8:$A$1007,A741,$B$8:$B$1007,B741)&lt;&gt;1),"N. esecuzione non valido",IF(OR(NOT(ISNUMBER(C741)),AND(D741&lt;&gt;"Ingresso",D741&lt;&gt;"Uscita"),AND(E741&lt;&gt;"Back",E741&lt;&gt;"Lay")),"Completa data / fase / lato",IF(OR(NOT(ISNUMBER(F741)),F741&lt;=1,NOT(ISNUMBER(G741)),G741&lt;=0),"Correggi quota / stake","OK")))))</x:f>
      </x:c>
    </x:row>
    <x:row r="742" ht="22" customHeight="1">
      <x:c r="A742" s="24"/>
      <x:c r="B742" s="24"/>
      <x:c r="C742" s="26"/>
      <x:c r="D742" s="24"/>
      <x:c r="E742" s="24"/>
      <x:c r="F742" s="28"/>
      <x:c r="G742" s="29"/>
      <x:c r="H742" s="24"/>
      <x:c r="I742" s="24"/>
      <x:c r="J742" s="24"/>
      <x:c r="K742" s="24"/>
      <x:c r="L742" s="20" t="str">
        <x:f>IF(Q742&lt;&gt;"OK","",IF(E742="Back",G742*(F742-1),-G742*(F742-1)))</x:f>
      </x:c>
      <x:c r="M742" s="20" t="str">
        <x:f>IF(Q742&lt;&gt;"OK","",IF(E742="Back",-G742,G742))</x:f>
      </x:c>
      <x:c r="N742" s="20" t="str">
        <x:f>IF(Q742&lt;&gt;"OK","",SUMIFS($L$8:$L$1007,$A$8:$A$1007,A742,$B$8:$B$1007,"&lt;="&amp;B742))</x:f>
      </x:c>
      <x:c r="O742" s="20" t="str">
        <x:f>IF(Q742&lt;&gt;"OK","",SUMIFS($M$8:$M$1007,$A$8:$A$1007,A742,$B$8:$B$1007,"&lt;="&amp;B742))</x:f>
      </x:c>
      <x:c r="P742" s="20" t="str">
        <x:f>IF(Q742&lt;&gt;"OK","",MAX(0,-MIN(N742,O742)))</x:f>
      </x:c>
      <x:c r="Q742" s="18" t="str">
        <x:f>IF(A742="",IF(COUNTA(B742:K742)=0,"","Inserisci ID"),IF(COUNTIFS('Diario'!$A$8:$A$507,A742)&lt;&gt;1,"ID assente / duplicato",IF(OR(NOT(ISNUMBER(B742)),B742&lt;1,B742&lt;&gt;INT(B742),COUNTIFS($A$8:$A$1007,A742,$B$8:$B$1007,B742)&lt;&gt;1),"N. esecuzione non valido",IF(OR(NOT(ISNUMBER(C742)),AND(D742&lt;&gt;"Ingresso",D742&lt;&gt;"Uscita"),AND(E742&lt;&gt;"Back",E742&lt;&gt;"Lay")),"Completa data / fase / lato",IF(OR(NOT(ISNUMBER(F742)),F742&lt;=1,NOT(ISNUMBER(G742)),G742&lt;=0),"Correggi quota / stake","OK")))))</x:f>
      </x:c>
    </x:row>
    <x:row r="743" ht="22" customHeight="1">
      <x:c r="A743" s="24"/>
      <x:c r="B743" s="24"/>
      <x:c r="C743" s="26"/>
      <x:c r="D743" s="24"/>
      <x:c r="E743" s="24"/>
      <x:c r="F743" s="28"/>
      <x:c r="G743" s="29"/>
      <x:c r="H743" s="24"/>
      <x:c r="I743" s="24"/>
      <x:c r="J743" s="24"/>
      <x:c r="K743" s="24"/>
      <x:c r="L743" s="20" t="str">
        <x:f>IF(Q743&lt;&gt;"OK","",IF(E743="Back",G743*(F743-1),-G743*(F743-1)))</x:f>
      </x:c>
      <x:c r="M743" s="20" t="str">
        <x:f>IF(Q743&lt;&gt;"OK","",IF(E743="Back",-G743,G743))</x:f>
      </x:c>
      <x:c r="N743" s="20" t="str">
        <x:f>IF(Q743&lt;&gt;"OK","",SUMIFS($L$8:$L$1007,$A$8:$A$1007,A743,$B$8:$B$1007,"&lt;="&amp;B743))</x:f>
      </x:c>
      <x:c r="O743" s="20" t="str">
        <x:f>IF(Q743&lt;&gt;"OK","",SUMIFS($M$8:$M$1007,$A$8:$A$1007,A743,$B$8:$B$1007,"&lt;="&amp;B743))</x:f>
      </x:c>
      <x:c r="P743" s="20" t="str">
        <x:f>IF(Q743&lt;&gt;"OK","",MAX(0,-MIN(N743,O743)))</x:f>
      </x:c>
      <x:c r="Q743" s="18" t="str">
        <x:f>IF(A743="",IF(COUNTA(B743:K743)=0,"","Inserisci ID"),IF(COUNTIFS('Diario'!$A$8:$A$507,A743)&lt;&gt;1,"ID assente / duplicato",IF(OR(NOT(ISNUMBER(B743)),B743&lt;1,B743&lt;&gt;INT(B743),COUNTIFS($A$8:$A$1007,A743,$B$8:$B$1007,B743)&lt;&gt;1),"N. esecuzione non valido",IF(OR(NOT(ISNUMBER(C743)),AND(D743&lt;&gt;"Ingresso",D743&lt;&gt;"Uscita"),AND(E743&lt;&gt;"Back",E743&lt;&gt;"Lay")),"Completa data / fase / lato",IF(OR(NOT(ISNUMBER(F743)),F743&lt;=1,NOT(ISNUMBER(G743)),G743&lt;=0),"Correggi quota / stake","OK")))))</x:f>
      </x:c>
    </x:row>
    <x:row r="744" ht="22" customHeight="1">
      <x:c r="A744" s="24"/>
      <x:c r="B744" s="24"/>
      <x:c r="C744" s="26"/>
      <x:c r="D744" s="24"/>
      <x:c r="E744" s="24"/>
      <x:c r="F744" s="28"/>
      <x:c r="G744" s="29"/>
      <x:c r="H744" s="24"/>
      <x:c r="I744" s="24"/>
      <x:c r="J744" s="24"/>
      <x:c r="K744" s="24"/>
      <x:c r="L744" s="20" t="str">
        <x:f>IF(Q744&lt;&gt;"OK","",IF(E744="Back",G744*(F744-1),-G744*(F744-1)))</x:f>
      </x:c>
      <x:c r="M744" s="20" t="str">
        <x:f>IF(Q744&lt;&gt;"OK","",IF(E744="Back",-G744,G744))</x:f>
      </x:c>
      <x:c r="N744" s="20" t="str">
        <x:f>IF(Q744&lt;&gt;"OK","",SUMIFS($L$8:$L$1007,$A$8:$A$1007,A744,$B$8:$B$1007,"&lt;="&amp;B744))</x:f>
      </x:c>
      <x:c r="O744" s="20" t="str">
        <x:f>IF(Q744&lt;&gt;"OK","",SUMIFS($M$8:$M$1007,$A$8:$A$1007,A744,$B$8:$B$1007,"&lt;="&amp;B744))</x:f>
      </x:c>
      <x:c r="P744" s="20" t="str">
        <x:f>IF(Q744&lt;&gt;"OK","",MAX(0,-MIN(N744,O744)))</x:f>
      </x:c>
      <x:c r="Q744" s="18" t="str">
        <x:f>IF(A744="",IF(COUNTA(B744:K744)=0,"","Inserisci ID"),IF(COUNTIFS('Diario'!$A$8:$A$507,A744)&lt;&gt;1,"ID assente / duplicato",IF(OR(NOT(ISNUMBER(B744)),B744&lt;1,B744&lt;&gt;INT(B744),COUNTIFS($A$8:$A$1007,A744,$B$8:$B$1007,B744)&lt;&gt;1),"N. esecuzione non valido",IF(OR(NOT(ISNUMBER(C744)),AND(D744&lt;&gt;"Ingresso",D744&lt;&gt;"Uscita"),AND(E744&lt;&gt;"Back",E744&lt;&gt;"Lay")),"Completa data / fase / lato",IF(OR(NOT(ISNUMBER(F744)),F744&lt;=1,NOT(ISNUMBER(G744)),G744&lt;=0),"Correggi quota / stake","OK")))))</x:f>
      </x:c>
    </x:row>
    <x:row r="745" ht="22" customHeight="1">
      <x:c r="A745" s="24"/>
      <x:c r="B745" s="24"/>
      <x:c r="C745" s="26"/>
      <x:c r="D745" s="24"/>
      <x:c r="E745" s="24"/>
      <x:c r="F745" s="28"/>
      <x:c r="G745" s="29"/>
      <x:c r="H745" s="24"/>
      <x:c r="I745" s="24"/>
      <x:c r="J745" s="24"/>
      <x:c r="K745" s="24"/>
      <x:c r="L745" s="20" t="str">
        <x:f>IF(Q745&lt;&gt;"OK","",IF(E745="Back",G745*(F745-1),-G745*(F745-1)))</x:f>
      </x:c>
      <x:c r="M745" s="20" t="str">
        <x:f>IF(Q745&lt;&gt;"OK","",IF(E745="Back",-G745,G745))</x:f>
      </x:c>
      <x:c r="N745" s="20" t="str">
        <x:f>IF(Q745&lt;&gt;"OK","",SUMIFS($L$8:$L$1007,$A$8:$A$1007,A745,$B$8:$B$1007,"&lt;="&amp;B745))</x:f>
      </x:c>
      <x:c r="O745" s="20" t="str">
        <x:f>IF(Q745&lt;&gt;"OK","",SUMIFS($M$8:$M$1007,$A$8:$A$1007,A745,$B$8:$B$1007,"&lt;="&amp;B745))</x:f>
      </x:c>
      <x:c r="P745" s="20" t="str">
        <x:f>IF(Q745&lt;&gt;"OK","",MAX(0,-MIN(N745,O745)))</x:f>
      </x:c>
      <x:c r="Q745" s="18" t="str">
        <x:f>IF(A745="",IF(COUNTA(B745:K745)=0,"","Inserisci ID"),IF(COUNTIFS('Diario'!$A$8:$A$507,A745)&lt;&gt;1,"ID assente / duplicato",IF(OR(NOT(ISNUMBER(B745)),B745&lt;1,B745&lt;&gt;INT(B745),COUNTIFS($A$8:$A$1007,A745,$B$8:$B$1007,B745)&lt;&gt;1),"N. esecuzione non valido",IF(OR(NOT(ISNUMBER(C745)),AND(D745&lt;&gt;"Ingresso",D745&lt;&gt;"Uscita"),AND(E745&lt;&gt;"Back",E745&lt;&gt;"Lay")),"Completa data / fase / lato",IF(OR(NOT(ISNUMBER(F745)),F745&lt;=1,NOT(ISNUMBER(G745)),G745&lt;=0),"Correggi quota / stake","OK")))))</x:f>
      </x:c>
    </x:row>
    <x:row r="746" ht="22" customHeight="1">
      <x:c r="A746" s="24"/>
      <x:c r="B746" s="24"/>
      <x:c r="C746" s="26"/>
      <x:c r="D746" s="24"/>
      <x:c r="E746" s="24"/>
      <x:c r="F746" s="28"/>
      <x:c r="G746" s="29"/>
      <x:c r="H746" s="24"/>
      <x:c r="I746" s="24"/>
      <x:c r="J746" s="24"/>
      <x:c r="K746" s="24"/>
      <x:c r="L746" s="20" t="str">
        <x:f>IF(Q746&lt;&gt;"OK","",IF(E746="Back",G746*(F746-1),-G746*(F746-1)))</x:f>
      </x:c>
      <x:c r="M746" s="20" t="str">
        <x:f>IF(Q746&lt;&gt;"OK","",IF(E746="Back",-G746,G746))</x:f>
      </x:c>
      <x:c r="N746" s="20" t="str">
        <x:f>IF(Q746&lt;&gt;"OK","",SUMIFS($L$8:$L$1007,$A$8:$A$1007,A746,$B$8:$B$1007,"&lt;="&amp;B746))</x:f>
      </x:c>
      <x:c r="O746" s="20" t="str">
        <x:f>IF(Q746&lt;&gt;"OK","",SUMIFS($M$8:$M$1007,$A$8:$A$1007,A746,$B$8:$B$1007,"&lt;="&amp;B746))</x:f>
      </x:c>
      <x:c r="P746" s="20" t="str">
        <x:f>IF(Q746&lt;&gt;"OK","",MAX(0,-MIN(N746,O746)))</x:f>
      </x:c>
      <x:c r="Q746" s="18" t="str">
        <x:f>IF(A746="",IF(COUNTA(B746:K746)=0,"","Inserisci ID"),IF(COUNTIFS('Diario'!$A$8:$A$507,A746)&lt;&gt;1,"ID assente / duplicato",IF(OR(NOT(ISNUMBER(B746)),B746&lt;1,B746&lt;&gt;INT(B746),COUNTIFS($A$8:$A$1007,A746,$B$8:$B$1007,B746)&lt;&gt;1),"N. esecuzione non valido",IF(OR(NOT(ISNUMBER(C746)),AND(D746&lt;&gt;"Ingresso",D746&lt;&gt;"Uscita"),AND(E746&lt;&gt;"Back",E746&lt;&gt;"Lay")),"Completa data / fase / lato",IF(OR(NOT(ISNUMBER(F746)),F746&lt;=1,NOT(ISNUMBER(G746)),G746&lt;=0),"Correggi quota / stake","OK")))))</x:f>
      </x:c>
    </x:row>
    <x:row r="747" ht="22" customHeight="1">
      <x:c r="A747" s="24"/>
      <x:c r="B747" s="24"/>
      <x:c r="C747" s="26"/>
      <x:c r="D747" s="24"/>
      <x:c r="E747" s="24"/>
      <x:c r="F747" s="28"/>
      <x:c r="G747" s="29"/>
      <x:c r="H747" s="24"/>
      <x:c r="I747" s="24"/>
      <x:c r="J747" s="24"/>
      <x:c r="K747" s="24"/>
      <x:c r="L747" s="20" t="str">
        <x:f>IF(Q747&lt;&gt;"OK","",IF(E747="Back",G747*(F747-1),-G747*(F747-1)))</x:f>
      </x:c>
      <x:c r="M747" s="20" t="str">
        <x:f>IF(Q747&lt;&gt;"OK","",IF(E747="Back",-G747,G747))</x:f>
      </x:c>
      <x:c r="N747" s="20" t="str">
        <x:f>IF(Q747&lt;&gt;"OK","",SUMIFS($L$8:$L$1007,$A$8:$A$1007,A747,$B$8:$B$1007,"&lt;="&amp;B747))</x:f>
      </x:c>
      <x:c r="O747" s="20" t="str">
        <x:f>IF(Q747&lt;&gt;"OK","",SUMIFS($M$8:$M$1007,$A$8:$A$1007,A747,$B$8:$B$1007,"&lt;="&amp;B747))</x:f>
      </x:c>
      <x:c r="P747" s="20" t="str">
        <x:f>IF(Q747&lt;&gt;"OK","",MAX(0,-MIN(N747,O747)))</x:f>
      </x:c>
      <x:c r="Q747" s="18" t="str">
        <x:f>IF(A747="",IF(COUNTA(B747:K747)=0,"","Inserisci ID"),IF(COUNTIFS('Diario'!$A$8:$A$507,A747)&lt;&gt;1,"ID assente / duplicato",IF(OR(NOT(ISNUMBER(B747)),B747&lt;1,B747&lt;&gt;INT(B747),COUNTIFS($A$8:$A$1007,A747,$B$8:$B$1007,B747)&lt;&gt;1),"N. esecuzione non valido",IF(OR(NOT(ISNUMBER(C747)),AND(D747&lt;&gt;"Ingresso",D747&lt;&gt;"Uscita"),AND(E747&lt;&gt;"Back",E747&lt;&gt;"Lay")),"Completa data / fase / lato",IF(OR(NOT(ISNUMBER(F747)),F747&lt;=1,NOT(ISNUMBER(G747)),G747&lt;=0),"Correggi quota / stake","OK")))))</x:f>
      </x:c>
    </x:row>
    <x:row r="748" ht="22" customHeight="1">
      <x:c r="A748" s="24"/>
      <x:c r="B748" s="24"/>
      <x:c r="C748" s="26"/>
      <x:c r="D748" s="24"/>
      <x:c r="E748" s="24"/>
      <x:c r="F748" s="28"/>
      <x:c r="G748" s="29"/>
      <x:c r="H748" s="24"/>
      <x:c r="I748" s="24"/>
      <x:c r="J748" s="24"/>
      <x:c r="K748" s="24"/>
      <x:c r="L748" s="20" t="str">
        <x:f>IF(Q748&lt;&gt;"OK","",IF(E748="Back",G748*(F748-1),-G748*(F748-1)))</x:f>
      </x:c>
      <x:c r="M748" s="20" t="str">
        <x:f>IF(Q748&lt;&gt;"OK","",IF(E748="Back",-G748,G748))</x:f>
      </x:c>
      <x:c r="N748" s="20" t="str">
        <x:f>IF(Q748&lt;&gt;"OK","",SUMIFS($L$8:$L$1007,$A$8:$A$1007,A748,$B$8:$B$1007,"&lt;="&amp;B748))</x:f>
      </x:c>
      <x:c r="O748" s="20" t="str">
        <x:f>IF(Q748&lt;&gt;"OK","",SUMIFS($M$8:$M$1007,$A$8:$A$1007,A748,$B$8:$B$1007,"&lt;="&amp;B748))</x:f>
      </x:c>
      <x:c r="P748" s="20" t="str">
        <x:f>IF(Q748&lt;&gt;"OK","",MAX(0,-MIN(N748,O748)))</x:f>
      </x:c>
      <x:c r="Q748" s="18" t="str">
        <x:f>IF(A748="",IF(COUNTA(B748:K748)=0,"","Inserisci ID"),IF(COUNTIFS('Diario'!$A$8:$A$507,A748)&lt;&gt;1,"ID assente / duplicato",IF(OR(NOT(ISNUMBER(B748)),B748&lt;1,B748&lt;&gt;INT(B748),COUNTIFS($A$8:$A$1007,A748,$B$8:$B$1007,B748)&lt;&gt;1),"N. esecuzione non valido",IF(OR(NOT(ISNUMBER(C748)),AND(D748&lt;&gt;"Ingresso",D748&lt;&gt;"Uscita"),AND(E748&lt;&gt;"Back",E748&lt;&gt;"Lay")),"Completa data / fase / lato",IF(OR(NOT(ISNUMBER(F748)),F748&lt;=1,NOT(ISNUMBER(G748)),G748&lt;=0),"Correggi quota / stake","OK")))))</x:f>
      </x:c>
    </x:row>
    <x:row r="749" ht="22" customHeight="1">
      <x:c r="A749" s="24"/>
      <x:c r="B749" s="24"/>
      <x:c r="C749" s="26"/>
      <x:c r="D749" s="24"/>
      <x:c r="E749" s="24"/>
      <x:c r="F749" s="28"/>
      <x:c r="G749" s="29"/>
      <x:c r="H749" s="24"/>
      <x:c r="I749" s="24"/>
      <x:c r="J749" s="24"/>
      <x:c r="K749" s="24"/>
      <x:c r="L749" s="20" t="str">
        <x:f>IF(Q749&lt;&gt;"OK","",IF(E749="Back",G749*(F749-1),-G749*(F749-1)))</x:f>
      </x:c>
      <x:c r="M749" s="20" t="str">
        <x:f>IF(Q749&lt;&gt;"OK","",IF(E749="Back",-G749,G749))</x:f>
      </x:c>
      <x:c r="N749" s="20" t="str">
        <x:f>IF(Q749&lt;&gt;"OK","",SUMIFS($L$8:$L$1007,$A$8:$A$1007,A749,$B$8:$B$1007,"&lt;="&amp;B749))</x:f>
      </x:c>
      <x:c r="O749" s="20" t="str">
        <x:f>IF(Q749&lt;&gt;"OK","",SUMIFS($M$8:$M$1007,$A$8:$A$1007,A749,$B$8:$B$1007,"&lt;="&amp;B749))</x:f>
      </x:c>
      <x:c r="P749" s="20" t="str">
        <x:f>IF(Q749&lt;&gt;"OK","",MAX(0,-MIN(N749,O749)))</x:f>
      </x:c>
      <x:c r="Q749" s="18" t="str">
        <x:f>IF(A749="",IF(COUNTA(B749:K749)=0,"","Inserisci ID"),IF(COUNTIFS('Diario'!$A$8:$A$507,A749)&lt;&gt;1,"ID assente / duplicato",IF(OR(NOT(ISNUMBER(B749)),B749&lt;1,B749&lt;&gt;INT(B749),COUNTIFS($A$8:$A$1007,A749,$B$8:$B$1007,B749)&lt;&gt;1),"N. esecuzione non valido",IF(OR(NOT(ISNUMBER(C749)),AND(D749&lt;&gt;"Ingresso",D749&lt;&gt;"Uscita"),AND(E749&lt;&gt;"Back",E749&lt;&gt;"Lay")),"Completa data / fase / lato",IF(OR(NOT(ISNUMBER(F749)),F749&lt;=1,NOT(ISNUMBER(G749)),G749&lt;=0),"Correggi quota / stake","OK")))))</x:f>
      </x:c>
    </x:row>
    <x:row r="750" ht="22" customHeight="1">
      <x:c r="A750" s="24"/>
      <x:c r="B750" s="24"/>
      <x:c r="C750" s="26"/>
      <x:c r="D750" s="24"/>
      <x:c r="E750" s="24"/>
      <x:c r="F750" s="28"/>
      <x:c r="G750" s="29"/>
      <x:c r="H750" s="24"/>
      <x:c r="I750" s="24"/>
      <x:c r="J750" s="24"/>
      <x:c r="K750" s="24"/>
      <x:c r="L750" s="20" t="str">
        <x:f>IF(Q750&lt;&gt;"OK","",IF(E750="Back",G750*(F750-1),-G750*(F750-1)))</x:f>
      </x:c>
      <x:c r="M750" s="20" t="str">
        <x:f>IF(Q750&lt;&gt;"OK","",IF(E750="Back",-G750,G750))</x:f>
      </x:c>
      <x:c r="N750" s="20" t="str">
        <x:f>IF(Q750&lt;&gt;"OK","",SUMIFS($L$8:$L$1007,$A$8:$A$1007,A750,$B$8:$B$1007,"&lt;="&amp;B750))</x:f>
      </x:c>
      <x:c r="O750" s="20" t="str">
        <x:f>IF(Q750&lt;&gt;"OK","",SUMIFS($M$8:$M$1007,$A$8:$A$1007,A750,$B$8:$B$1007,"&lt;="&amp;B750))</x:f>
      </x:c>
      <x:c r="P750" s="20" t="str">
        <x:f>IF(Q750&lt;&gt;"OK","",MAX(0,-MIN(N750,O750)))</x:f>
      </x:c>
      <x:c r="Q750" s="18" t="str">
        <x:f>IF(A750="",IF(COUNTA(B750:K750)=0,"","Inserisci ID"),IF(COUNTIFS('Diario'!$A$8:$A$507,A750)&lt;&gt;1,"ID assente / duplicato",IF(OR(NOT(ISNUMBER(B750)),B750&lt;1,B750&lt;&gt;INT(B750),COUNTIFS($A$8:$A$1007,A750,$B$8:$B$1007,B750)&lt;&gt;1),"N. esecuzione non valido",IF(OR(NOT(ISNUMBER(C750)),AND(D750&lt;&gt;"Ingresso",D750&lt;&gt;"Uscita"),AND(E750&lt;&gt;"Back",E750&lt;&gt;"Lay")),"Completa data / fase / lato",IF(OR(NOT(ISNUMBER(F750)),F750&lt;=1,NOT(ISNUMBER(G750)),G750&lt;=0),"Correggi quota / stake","OK")))))</x:f>
      </x:c>
    </x:row>
    <x:row r="751" ht="22" customHeight="1">
      <x:c r="A751" s="24"/>
      <x:c r="B751" s="24"/>
      <x:c r="C751" s="26"/>
      <x:c r="D751" s="24"/>
      <x:c r="E751" s="24"/>
      <x:c r="F751" s="28"/>
      <x:c r="G751" s="29"/>
      <x:c r="H751" s="24"/>
      <x:c r="I751" s="24"/>
      <x:c r="J751" s="24"/>
      <x:c r="K751" s="24"/>
      <x:c r="L751" s="20" t="str">
        <x:f>IF(Q751&lt;&gt;"OK","",IF(E751="Back",G751*(F751-1),-G751*(F751-1)))</x:f>
      </x:c>
      <x:c r="M751" s="20" t="str">
        <x:f>IF(Q751&lt;&gt;"OK","",IF(E751="Back",-G751,G751))</x:f>
      </x:c>
      <x:c r="N751" s="20" t="str">
        <x:f>IF(Q751&lt;&gt;"OK","",SUMIFS($L$8:$L$1007,$A$8:$A$1007,A751,$B$8:$B$1007,"&lt;="&amp;B751))</x:f>
      </x:c>
      <x:c r="O751" s="20" t="str">
        <x:f>IF(Q751&lt;&gt;"OK","",SUMIFS($M$8:$M$1007,$A$8:$A$1007,A751,$B$8:$B$1007,"&lt;="&amp;B751))</x:f>
      </x:c>
      <x:c r="P751" s="20" t="str">
        <x:f>IF(Q751&lt;&gt;"OK","",MAX(0,-MIN(N751,O751)))</x:f>
      </x:c>
      <x:c r="Q751" s="18" t="str">
        <x:f>IF(A751="",IF(COUNTA(B751:K751)=0,"","Inserisci ID"),IF(COUNTIFS('Diario'!$A$8:$A$507,A751)&lt;&gt;1,"ID assente / duplicato",IF(OR(NOT(ISNUMBER(B751)),B751&lt;1,B751&lt;&gt;INT(B751),COUNTIFS($A$8:$A$1007,A751,$B$8:$B$1007,B751)&lt;&gt;1),"N. esecuzione non valido",IF(OR(NOT(ISNUMBER(C751)),AND(D751&lt;&gt;"Ingresso",D751&lt;&gt;"Uscita"),AND(E751&lt;&gt;"Back",E751&lt;&gt;"Lay")),"Completa data / fase / lato",IF(OR(NOT(ISNUMBER(F751)),F751&lt;=1,NOT(ISNUMBER(G751)),G751&lt;=0),"Correggi quota / stake","OK")))))</x:f>
      </x:c>
    </x:row>
    <x:row r="752" ht="22" customHeight="1">
      <x:c r="A752" s="24"/>
      <x:c r="B752" s="24"/>
      <x:c r="C752" s="26"/>
      <x:c r="D752" s="24"/>
      <x:c r="E752" s="24"/>
      <x:c r="F752" s="28"/>
      <x:c r="G752" s="29"/>
      <x:c r="H752" s="24"/>
      <x:c r="I752" s="24"/>
      <x:c r="J752" s="24"/>
      <x:c r="K752" s="24"/>
      <x:c r="L752" s="20" t="str">
        <x:f>IF(Q752&lt;&gt;"OK","",IF(E752="Back",G752*(F752-1),-G752*(F752-1)))</x:f>
      </x:c>
      <x:c r="M752" s="20" t="str">
        <x:f>IF(Q752&lt;&gt;"OK","",IF(E752="Back",-G752,G752))</x:f>
      </x:c>
      <x:c r="N752" s="20" t="str">
        <x:f>IF(Q752&lt;&gt;"OK","",SUMIFS($L$8:$L$1007,$A$8:$A$1007,A752,$B$8:$B$1007,"&lt;="&amp;B752))</x:f>
      </x:c>
      <x:c r="O752" s="20" t="str">
        <x:f>IF(Q752&lt;&gt;"OK","",SUMIFS($M$8:$M$1007,$A$8:$A$1007,A752,$B$8:$B$1007,"&lt;="&amp;B752))</x:f>
      </x:c>
      <x:c r="P752" s="20" t="str">
        <x:f>IF(Q752&lt;&gt;"OK","",MAX(0,-MIN(N752,O752)))</x:f>
      </x:c>
      <x:c r="Q752" s="18" t="str">
        <x:f>IF(A752="",IF(COUNTA(B752:K752)=0,"","Inserisci ID"),IF(COUNTIFS('Diario'!$A$8:$A$507,A752)&lt;&gt;1,"ID assente / duplicato",IF(OR(NOT(ISNUMBER(B752)),B752&lt;1,B752&lt;&gt;INT(B752),COUNTIFS($A$8:$A$1007,A752,$B$8:$B$1007,B752)&lt;&gt;1),"N. esecuzione non valido",IF(OR(NOT(ISNUMBER(C752)),AND(D752&lt;&gt;"Ingresso",D752&lt;&gt;"Uscita"),AND(E752&lt;&gt;"Back",E752&lt;&gt;"Lay")),"Completa data / fase / lato",IF(OR(NOT(ISNUMBER(F752)),F752&lt;=1,NOT(ISNUMBER(G752)),G752&lt;=0),"Correggi quota / stake","OK")))))</x:f>
      </x:c>
    </x:row>
    <x:row r="753" ht="22" customHeight="1">
      <x:c r="A753" s="24"/>
      <x:c r="B753" s="24"/>
      <x:c r="C753" s="26"/>
      <x:c r="D753" s="24"/>
      <x:c r="E753" s="24"/>
      <x:c r="F753" s="28"/>
      <x:c r="G753" s="29"/>
      <x:c r="H753" s="24"/>
      <x:c r="I753" s="24"/>
      <x:c r="J753" s="24"/>
      <x:c r="K753" s="24"/>
      <x:c r="L753" s="20" t="str">
        <x:f>IF(Q753&lt;&gt;"OK","",IF(E753="Back",G753*(F753-1),-G753*(F753-1)))</x:f>
      </x:c>
      <x:c r="M753" s="20" t="str">
        <x:f>IF(Q753&lt;&gt;"OK","",IF(E753="Back",-G753,G753))</x:f>
      </x:c>
      <x:c r="N753" s="20" t="str">
        <x:f>IF(Q753&lt;&gt;"OK","",SUMIFS($L$8:$L$1007,$A$8:$A$1007,A753,$B$8:$B$1007,"&lt;="&amp;B753))</x:f>
      </x:c>
      <x:c r="O753" s="20" t="str">
        <x:f>IF(Q753&lt;&gt;"OK","",SUMIFS($M$8:$M$1007,$A$8:$A$1007,A753,$B$8:$B$1007,"&lt;="&amp;B753))</x:f>
      </x:c>
      <x:c r="P753" s="20" t="str">
        <x:f>IF(Q753&lt;&gt;"OK","",MAX(0,-MIN(N753,O753)))</x:f>
      </x:c>
      <x:c r="Q753" s="18" t="str">
        <x:f>IF(A753="",IF(COUNTA(B753:K753)=0,"","Inserisci ID"),IF(COUNTIFS('Diario'!$A$8:$A$507,A753)&lt;&gt;1,"ID assente / duplicato",IF(OR(NOT(ISNUMBER(B753)),B753&lt;1,B753&lt;&gt;INT(B753),COUNTIFS($A$8:$A$1007,A753,$B$8:$B$1007,B753)&lt;&gt;1),"N. esecuzione non valido",IF(OR(NOT(ISNUMBER(C753)),AND(D753&lt;&gt;"Ingresso",D753&lt;&gt;"Uscita"),AND(E753&lt;&gt;"Back",E753&lt;&gt;"Lay")),"Completa data / fase / lato",IF(OR(NOT(ISNUMBER(F753)),F753&lt;=1,NOT(ISNUMBER(G753)),G753&lt;=0),"Correggi quota / stake","OK")))))</x:f>
      </x:c>
    </x:row>
    <x:row r="754" ht="22" customHeight="1">
      <x:c r="A754" s="24"/>
      <x:c r="B754" s="24"/>
      <x:c r="C754" s="26"/>
      <x:c r="D754" s="24"/>
      <x:c r="E754" s="24"/>
      <x:c r="F754" s="28"/>
      <x:c r="G754" s="29"/>
      <x:c r="H754" s="24"/>
      <x:c r="I754" s="24"/>
      <x:c r="J754" s="24"/>
      <x:c r="K754" s="24"/>
      <x:c r="L754" s="20" t="str">
        <x:f>IF(Q754&lt;&gt;"OK","",IF(E754="Back",G754*(F754-1),-G754*(F754-1)))</x:f>
      </x:c>
      <x:c r="M754" s="20" t="str">
        <x:f>IF(Q754&lt;&gt;"OK","",IF(E754="Back",-G754,G754))</x:f>
      </x:c>
      <x:c r="N754" s="20" t="str">
        <x:f>IF(Q754&lt;&gt;"OK","",SUMIFS($L$8:$L$1007,$A$8:$A$1007,A754,$B$8:$B$1007,"&lt;="&amp;B754))</x:f>
      </x:c>
      <x:c r="O754" s="20" t="str">
        <x:f>IF(Q754&lt;&gt;"OK","",SUMIFS($M$8:$M$1007,$A$8:$A$1007,A754,$B$8:$B$1007,"&lt;="&amp;B754))</x:f>
      </x:c>
      <x:c r="P754" s="20" t="str">
        <x:f>IF(Q754&lt;&gt;"OK","",MAX(0,-MIN(N754,O754)))</x:f>
      </x:c>
      <x:c r="Q754" s="18" t="str">
        <x:f>IF(A754="",IF(COUNTA(B754:K754)=0,"","Inserisci ID"),IF(COUNTIFS('Diario'!$A$8:$A$507,A754)&lt;&gt;1,"ID assente / duplicato",IF(OR(NOT(ISNUMBER(B754)),B754&lt;1,B754&lt;&gt;INT(B754),COUNTIFS($A$8:$A$1007,A754,$B$8:$B$1007,B754)&lt;&gt;1),"N. esecuzione non valido",IF(OR(NOT(ISNUMBER(C754)),AND(D754&lt;&gt;"Ingresso",D754&lt;&gt;"Uscita"),AND(E754&lt;&gt;"Back",E754&lt;&gt;"Lay")),"Completa data / fase / lato",IF(OR(NOT(ISNUMBER(F754)),F754&lt;=1,NOT(ISNUMBER(G754)),G754&lt;=0),"Correggi quota / stake","OK")))))</x:f>
      </x:c>
    </x:row>
    <x:row r="755" ht="22" customHeight="1">
      <x:c r="A755" s="24"/>
      <x:c r="B755" s="24"/>
      <x:c r="C755" s="26"/>
      <x:c r="D755" s="24"/>
      <x:c r="E755" s="24"/>
      <x:c r="F755" s="28"/>
      <x:c r="G755" s="29"/>
      <x:c r="H755" s="24"/>
      <x:c r="I755" s="24"/>
      <x:c r="J755" s="24"/>
      <x:c r="K755" s="24"/>
      <x:c r="L755" s="20" t="str">
        <x:f>IF(Q755&lt;&gt;"OK","",IF(E755="Back",G755*(F755-1),-G755*(F755-1)))</x:f>
      </x:c>
      <x:c r="M755" s="20" t="str">
        <x:f>IF(Q755&lt;&gt;"OK","",IF(E755="Back",-G755,G755))</x:f>
      </x:c>
      <x:c r="N755" s="20" t="str">
        <x:f>IF(Q755&lt;&gt;"OK","",SUMIFS($L$8:$L$1007,$A$8:$A$1007,A755,$B$8:$B$1007,"&lt;="&amp;B755))</x:f>
      </x:c>
      <x:c r="O755" s="20" t="str">
        <x:f>IF(Q755&lt;&gt;"OK","",SUMIFS($M$8:$M$1007,$A$8:$A$1007,A755,$B$8:$B$1007,"&lt;="&amp;B755))</x:f>
      </x:c>
      <x:c r="P755" s="20" t="str">
        <x:f>IF(Q755&lt;&gt;"OK","",MAX(0,-MIN(N755,O755)))</x:f>
      </x:c>
      <x:c r="Q755" s="18" t="str">
        <x:f>IF(A755="",IF(COUNTA(B755:K755)=0,"","Inserisci ID"),IF(COUNTIFS('Diario'!$A$8:$A$507,A755)&lt;&gt;1,"ID assente / duplicato",IF(OR(NOT(ISNUMBER(B755)),B755&lt;1,B755&lt;&gt;INT(B755),COUNTIFS($A$8:$A$1007,A755,$B$8:$B$1007,B755)&lt;&gt;1),"N. esecuzione non valido",IF(OR(NOT(ISNUMBER(C755)),AND(D755&lt;&gt;"Ingresso",D755&lt;&gt;"Uscita"),AND(E755&lt;&gt;"Back",E755&lt;&gt;"Lay")),"Completa data / fase / lato",IF(OR(NOT(ISNUMBER(F755)),F755&lt;=1,NOT(ISNUMBER(G755)),G755&lt;=0),"Correggi quota / stake","OK")))))</x:f>
      </x:c>
    </x:row>
    <x:row r="756" ht="22" customHeight="1">
      <x:c r="A756" s="24"/>
      <x:c r="B756" s="24"/>
      <x:c r="C756" s="26"/>
      <x:c r="D756" s="24"/>
      <x:c r="E756" s="24"/>
      <x:c r="F756" s="28"/>
      <x:c r="G756" s="29"/>
      <x:c r="H756" s="24"/>
      <x:c r="I756" s="24"/>
      <x:c r="J756" s="24"/>
      <x:c r="K756" s="24"/>
      <x:c r="L756" s="20" t="str">
        <x:f>IF(Q756&lt;&gt;"OK","",IF(E756="Back",G756*(F756-1),-G756*(F756-1)))</x:f>
      </x:c>
      <x:c r="M756" s="20" t="str">
        <x:f>IF(Q756&lt;&gt;"OK","",IF(E756="Back",-G756,G756))</x:f>
      </x:c>
      <x:c r="N756" s="20" t="str">
        <x:f>IF(Q756&lt;&gt;"OK","",SUMIFS($L$8:$L$1007,$A$8:$A$1007,A756,$B$8:$B$1007,"&lt;="&amp;B756))</x:f>
      </x:c>
      <x:c r="O756" s="20" t="str">
        <x:f>IF(Q756&lt;&gt;"OK","",SUMIFS($M$8:$M$1007,$A$8:$A$1007,A756,$B$8:$B$1007,"&lt;="&amp;B756))</x:f>
      </x:c>
      <x:c r="P756" s="20" t="str">
        <x:f>IF(Q756&lt;&gt;"OK","",MAX(0,-MIN(N756,O756)))</x:f>
      </x:c>
      <x:c r="Q756" s="18" t="str">
        <x:f>IF(A756="",IF(COUNTA(B756:K756)=0,"","Inserisci ID"),IF(COUNTIFS('Diario'!$A$8:$A$507,A756)&lt;&gt;1,"ID assente / duplicato",IF(OR(NOT(ISNUMBER(B756)),B756&lt;1,B756&lt;&gt;INT(B756),COUNTIFS($A$8:$A$1007,A756,$B$8:$B$1007,B756)&lt;&gt;1),"N. esecuzione non valido",IF(OR(NOT(ISNUMBER(C756)),AND(D756&lt;&gt;"Ingresso",D756&lt;&gt;"Uscita"),AND(E756&lt;&gt;"Back",E756&lt;&gt;"Lay")),"Completa data / fase / lato",IF(OR(NOT(ISNUMBER(F756)),F756&lt;=1,NOT(ISNUMBER(G756)),G756&lt;=0),"Correggi quota / stake","OK")))))</x:f>
      </x:c>
    </x:row>
    <x:row r="757" ht="22" customHeight="1">
      <x:c r="A757" s="24"/>
      <x:c r="B757" s="24"/>
      <x:c r="C757" s="26"/>
      <x:c r="D757" s="24"/>
      <x:c r="E757" s="24"/>
      <x:c r="F757" s="28"/>
      <x:c r="G757" s="29"/>
      <x:c r="H757" s="24"/>
      <x:c r="I757" s="24"/>
      <x:c r="J757" s="24"/>
      <x:c r="K757" s="24"/>
      <x:c r="L757" s="20" t="str">
        <x:f>IF(Q757&lt;&gt;"OK","",IF(E757="Back",G757*(F757-1),-G757*(F757-1)))</x:f>
      </x:c>
      <x:c r="M757" s="20" t="str">
        <x:f>IF(Q757&lt;&gt;"OK","",IF(E757="Back",-G757,G757))</x:f>
      </x:c>
      <x:c r="N757" s="20" t="str">
        <x:f>IF(Q757&lt;&gt;"OK","",SUMIFS($L$8:$L$1007,$A$8:$A$1007,A757,$B$8:$B$1007,"&lt;="&amp;B757))</x:f>
      </x:c>
      <x:c r="O757" s="20" t="str">
        <x:f>IF(Q757&lt;&gt;"OK","",SUMIFS($M$8:$M$1007,$A$8:$A$1007,A757,$B$8:$B$1007,"&lt;="&amp;B757))</x:f>
      </x:c>
      <x:c r="P757" s="20" t="str">
        <x:f>IF(Q757&lt;&gt;"OK","",MAX(0,-MIN(N757,O757)))</x:f>
      </x:c>
      <x:c r="Q757" s="18" t="str">
        <x:f>IF(A757="",IF(COUNTA(B757:K757)=0,"","Inserisci ID"),IF(COUNTIFS('Diario'!$A$8:$A$507,A757)&lt;&gt;1,"ID assente / duplicato",IF(OR(NOT(ISNUMBER(B757)),B757&lt;1,B757&lt;&gt;INT(B757),COUNTIFS($A$8:$A$1007,A757,$B$8:$B$1007,B757)&lt;&gt;1),"N. esecuzione non valido",IF(OR(NOT(ISNUMBER(C757)),AND(D757&lt;&gt;"Ingresso",D757&lt;&gt;"Uscita"),AND(E757&lt;&gt;"Back",E757&lt;&gt;"Lay")),"Completa data / fase / lato",IF(OR(NOT(ISNUMBER(F757)),F757&lt;=1,NOT(ISNUMBER(G757)),G757&lt;=0),"Correggi quota / stake","OK")))))</x:f>
      </x:c>
    </x:row>
    <x:row r="758" ht="22" customHeight="1">
      <x:c r="A758" s="24"/>
      <x:c r="B758" s="24"/>
      <x:c r="C758" s="26"/>
      <x:c r="D758" s="24"/>
      <x:c r="E758" s="24"/>
      <x:c r="F758" s="28"/>
      <x:c r="G758" s="29"/>
      <x:c r="H758" s="24"/>
      <x:c r="I758" s="24"/>
      <x:c r="J758" s="24"/>
      <x:c r="K758" s="24"/>
      <x:c r="L758" s="20" t="str">
        <x:f>IF(Q758&lt;&gt;"OK","",IF(E758="Back",G758*(F758-1),-G758*(F758-1)))</x:f>
      </x:c>
      <x:c r="M758" s="20" t="str">
        <x:f>IF(Q758&lt;&gt;"OK","",IF(E758="Back",-G758,G758))</x:f>
      </x:c>
      <x:c r="N758" s="20" t="str">
        <x:f>IF(Q758&lt;&gt;"OK","",SUMIFS($L$8:$L$1007,$A$8:$A$1007,A758,$B$8:$B$1007,"&lt;="&amp;B758))</x:f>
      </x:c>
      <x:c r="O758" s="20" t="str">
        <x:f>IF(Q758&lt;&gt;"OK","",SUMIFS($M$8:$M$1007,$A$8:$A$1007,A758,$B$8:$B$1007,"&lt;="&amp;B758))</x:f>
      </x:c>
      <x:c r="P758" s="20" t="str">
        <x:f>IF(Q758&lt;&gt;"OK","",MAX(0,-MIN(N758,O758)))</x:f>
      </x:c>
      <x:c r="Q758" s="18" t="str">
        <x:f>IF(A758="",IF(COUNTA(B758:K758)=0,"","Inserisci ID"),IF(COUNTIFS('Diario'!$A$8:$A$507,A758)&lt;&gt;1,"ID assente / duplicato",IF(OR(NOT(ISNUMBER(B758)),B758&lt;1,B758&lt;&gt;INT(B758),COUNTIFS($A$8:$A$1007,A758,$B$8:$B$1007,B758)&lt;&gt;1),"N. esecuzione non valido",IF(OR(NOT(ISNUMBER(C758)),AND(D758&lt;&gt;"Ingresso",D758&lt;&gt;"Uscita"),AND(E758&lt;&gt;"Back",E758&lt;&gt;"Lay")),"Completa data / fase / lato",IF(OR(NOT(ISNUMBER(F758)),F758&lt;=1,NOT(ISNUMBER(G758)),G758&lt;=0),"Correggi quota / stake","OK")))))</x:f>
      </x:c>
    </x:row>
    <x:row r="759" ht="22" customHeight="1">
      <x:c r="A759" s="24"/>
      <x:c r="B759" s="24"/>
      <x:c r="C759" s="26"/>
      <x:c r="D759" s="24"/>
      <x:c r="E759" s="24"/>
      <x:c r="F759" s="28"/>
      <x:c r="G759" s="29"/>
      <x:c r="H759" s="24"/>
      <x:c r="I759" s="24"/>
      <x:c r="J759" s="24"/>
      <x:c r="K759" s="24"/>
      <x:c r="L759" s="20" t="str">
        <x:f>IF(Q759&lt;&gt;"OK","",IF(E759="Back",G759*(F759-1),-G759*(F759-1)))</x:f>
      </x:c>
      <x:c r="M759" s="20" t="str">
        <x:f>IF(Q759&lt;&gt;"OK","",IF(E759="Back",-G759,G759))</x:f>
      </x:c>
      <x:c r="N759" s="20" t="str">
        <x:f>IF(Q759&lt;&gt;"OK","",SUMIFS($L$8:$L$1007,$A$8:$A$1007,A759,$B$8:$B$1007,"&lt;="&amp;B759))</x:f>
      </x:c>
      <x:c r="O759" s="20" t="str">
        <x:f>IF(Q759&lt;&gt;"OK","",SUMIFS($M$8:$M$1007,$A$8:$A$1007,A759,$B$8:$B$1007,"&lt;="&amp;B759))</x:f>
      </x:c>
      <x:c r="P759" s="20" t="str">
        <x:f>IF(Q759&lt;&gt;"OK","",MAX(0,-MIN(N759,O759)))</x:f>
      </x:c>
      <x:c r="Q759" s="18" t="str">
        <x:f>IF(A759="",IF(COUNTA(B759:K759)=0,"","Inserisci ID"),IF(COUNTIFS('Diario'!$A$8:$A$507,A759)&lt;&gt;1,"ID assente / duplicato",IF(OR(NOT(ISNUMBER(B759)),B759&lt;1,B759&lt;&gt;INT(B759),COUNTIFS($A$8:$A$1007,A759,$B$8:$B$1007,B759)&lt;&gt;1),"N. esecuzione non valido",IF(OR(NOT(ISNUMBER(C759)),AND(D759&lt;&gt;"Ingresso",D759&lt;&gt;"Uscita"),AND(E759&lt;&gt;"Back",E759&lt;&gt;"Lay")),"Completa data / fase / lato",IF(OR(NOT(ISNUMBER(F759)),F759&lt;=1,NOT(ISNUMBER(G759)),G759&lt;=0),"Correggi quota / stake","OK")))))</x:f>
      </x:c>
    </x:row>
    <x:row r="760" ht="22" customHeight="1">
      <x:c r="A760" s="24"/>
      <x:c r="B760" s="24"/>
      <x:c r="C760" s="26"/>
      <x:c r="D760" s="24"/>
      <x:c r="E760" s="24"/>
      <x:c r="F760" s="28"/>
      <x:c r="G760" s="29"/>
      <x:c r="H760" s="24"/>
      <x:c r="I760" s="24"/>
      <x:c r="J760" s="24"/>
      <x:c r="K760" s="24"/>
      <x:c r="L760" s="20" t="str">
        <x:f>IF(Q760&lt;&gt;"OK","",IF(E760="Back",G760*(F760-1),-G760*(F760-1)))</x:f>
      </x:c>
      <x:c r="M760" s="20" t="str">
        <x:f>IF(Q760&lt;&gt;"OK","",IF(E760="Back",-G760,G760))</x:f>
      </x:c>
      <x:c r="N760" s="20" t="str">
        <x:f>IF(Q760&lt;&gt;"OK","",SUMIFS($L$8:$L$1007,$A$8:$A$1007,A760,$B$8:$B$1007,"&lt;="&amp;B760))</x:f>
      </x:c>
      <x:c r="O760" s="20" t="str">
        <x:f>IF(Q760&lt;&gt;"OK","",SUMIFS($M$8:$M$1007,$A$8:$A$1007,A760,$B$8:$B$1007,"&lt;="&amp;B760))</x:f>
      </x:c>
      <x:c r="P760" s="20" t="str">
        <x:f>IF(Q760&lt;&gt;"OK","",MAX(0,-MIN(N760,O760)))</x:f>
      </x:c>
      <x:c r="Q760" s="18" t="str">
        <x:f>IF(A760="",IF(COUNTA(B760:K760)=0,"","Inserisci ID"),IF(COUNTIFS('Diario'!$A$8:$A$507,A760)&lt;&gt;1,"ID assente / duplicato",IF(OR(NOT(ISNUMBER(B760)),B760&lt;1,B760&lt;&gt;INT(B760),COUNTIFS($A$8:$A$1007,A760,$B$8:$B$1007,B760)&lt;&gt;1),"N. esecuzione non valido",IF(OR(NOT(ISNUMBER(C760)),AND(D760&lt;&gt;"Ingresso",D760&lt;&gt;"Uscita"),AND(E760&lt;&gt;"Back",E760&lt;&gt;"Lay")),"Completa data / fase / lato",IF(OR(NOT(ISNUMBER(F760)),F760&lt;=1,NOT(ISNUMBER(G760)),G760&lt;=0),"Correggi quota / stake","OK")))))</x:f>
      </x:c>
    </x:row>
    <x:row r="761" ht="22" customHeight="1">
      <x:c r="A761" s="24"/>
      <x:c r="B761" s="24"/>
      <x:c r="C761" s="26"/>
      <x:c r="D761" s="24"/>
      <x:c r="E761" s="24"/>
      <x:c r="F761" s="28"/>
      <x:c r="G761" s="29"/>
      <x:c r="H761" s="24"/>
      <x:c r="I761" s="24"/>
      <x:c r="J761" s="24"/>
      <x:c r="K761" s="24"/>
      <x:c r="L761" s="20" t="str">
        <x:f>IF(Q761&lt;&gt;"OK","",IF(E761="Back",G761*(F761-1),-G761*(F761-1)))</x:f>
      </x:c>
      <x:c r="M761" s="20" t="str">
        <x:f>IF(Q761&lt;&gt;"OK","",IF(E761="Back",-G761,G761))</x:f>
      </x:c>
      <x:c r="N761" s="20" t="str">
        <x:f>IF(Q761&lt;&gt;"OK","",SUMIFS($L$8:$L$1007,$A$8:$A$1007,A761,$B$8:$B$1007,"&lt;="&amp;B761))</x:f>
      </x:c>
      <x:c r="O761" s="20" t="str">
        <x:f>IF(Q761&lt;&gt;"OK","",SUMIFS($M$8:$M$1007,$A$8:$A$1007,A761,$B$8:$B$1007,"&lt;="&amp;B761))</x:f>
      </x:c>
      <x:c r="P761" s="20" t="str">
        <x:f>IF(Q761&lt;&gt;"OK","",MAX(0,-MIN(N761,O761)))</x:f>
      </x:c>
      <x:c r="Q761" s="18" t="str">
        <x:f>IF(A761="",IF(COUNTA(B761:K761)=0,"","Inserisci ID"),IF(COUNTIFS('Diario'!$A$8:$A$507,A761)&lt;&gt;1,"ID assente / duplicato",IF(OR(NOT(ISNUMBER(B761)),B761&lt;1,B761&lt;&gt;INT(B761),COUNTIFS($A$8:$A$1007,A761,$B$8:$B$1007,B761)&lt;&gt;1),"N. esecuzione non valido",IF(OR(NOT(ISNUMBER(C761)),AND(D761&lt;&gt;"Ingresso",D761&lt;&gt;"Uscita"),AND(E761&lt;&gt;"Back",E761&lt;&gt;"Lay")),"Completa data / fase / lato",IF(OR(NOT(ISNUMBER(F761)),F761&lt;=1,NOT(ISNUMBER(G761)),G761&lt;=0),"Correggi quota / stake","OK")))))</x:f>
      </x:c>
    </x:row>
    <x:row r="762" ht="22" customHeight="1">
      <x:c r="A762" s="24"/>
      <x:c r="B762" s="24"/>
      <x:c r="C762" s="26"/>
      <x:c r="D762" s="24"/>
      <x:c r="E762" s="24"/>
      <x:c r="F762" s="28"/>
      <x:c r="G762" s="29"/>
      <x:c r="H762" s="24"/>
      <x:c r="I762" s="24"/>
      <x:c r="J762" s="24"/>
      <x:c r="K762" s="24"/>
      <x:c r="L762" s="20" t="str">
        <x:f>IF(Q762&lt;&gt;"OK","",IF(E762="Back",G762*(F762-1),-G762*(F762-1)))</x:f>
      </x:c>
      <x:c r="M762" s="20" t="str">
        <x:f>IF(Q762&lt;&gt;"OK","",IF(E762="Back",-G762,G762))</x:f>
      </x:c>
      <x:c r="N762" s="20" t="str">
        <x:f>IF(Q762&lt;&gt;"OK","",SUMIFS($L$8:$L$1007,$A$8:$A$1007,A762,$B$8:$B$1007,"&lt;="&amp;B762))</x:f>
      </x:c>
      <x:c r="O762" s="20" t="str">
        <x:f>IF(Q762&lt;&gt;"OK","",SUMIFS($M$8:$M$1007,$A$8:$A$1007,A762,$B$8:$B$1007,"&lt;="&amp;B762))</x:f>
      </x:c>
      <x:c r="P762" s="20" t="str">
        <x:f>IF(Q762&lt;&gt;"OK","",MAX(0,-MIN(N762,O762)))</x:f>
      </x:c>
      <x:c r="Q762" s="18" t="str">
        <x:f>IF(A762="",IF(COUNTA(B762:K762)=0,"","Inserisci ID"),IF(COUNTIFS('Diario'!$A$8:$A$507,A762)&lt;&gt;1,"ID assente / duplicato",IF(OR(NOT(ISNUMBER(B762)),B762&lt;1,B762&lt;&gt;INT(B762),COUNTIFS($A$8:$A$1007,A762,$B$8:$B$1007,B762)&lt;&gt;1),"N. esecuzione non valido",IF(OR(NOT(ISNUMBER(C762)),AND(D762&lt;&gt;"Ingresso",D762&lt;&gt;"Uscita"),AND(E762&lt;&gt;"Back",E762&lt;&gt;"Lay")),"Completa data / fase / lato",IF(OR(NOT(ISNUMBER(F762)),F762&lt;=1,NOT(ISNUMBER(G762)),G762&lt;=0),"Correggi quota / stake","OK")))))</x:f>
      </x:c>
    </x:row>
    <x:row r="763" ht="22" customHeight="1">
      <x:c r="A763" s="24"/>
      <x:c r="B763" s="24"/>
      <x:c r="C763" s="26"/>
      <x:c r="D763" s="24"/>
      <x:c r="E763" s="24"/>
      <x:c r="F763" s="28"/>
      <x:c r="G763" s="29"/>
      <x:c r="H763" s="24"/>
      <x:c r="I763" s="24"/>
      <x:c r="J763" s="24"/>
      <x:c r="K763" s="24"/>
      <x:c r="L763" s="20" t="str">
        <x:f>IF(Q763&lt;&gt;"OK","",IF(E763="Back",G763*(F763-1),-G763*(F763-1)))</x:f>
      </x:c>
      <x:c r="M763" s="20" t="str">
        <x:f>IF(Q763&lt;&gt;"OK","",IF(E763="Back",-G763,G763))</x:f>
      </x:c>
      <x:c r="N763" s="20" t="str">
        <x:f>IF(Q763&lt;&gt;"OK","",SUMIFS($L$8:$L$1007,$A$8:$A$1007,A763,$B$8:$B$1007,"&lt;="&amp;B763))</x:f>
      </x:c>
      <x:c r="O763" s="20" t="str">
        <x:f>IF(Q763&lt;&gt;"OK","",SUMIFS($M$8:$M$1007,$A$8:$A$1007,A763,$B$8:$B$1007,"&lt;="&amp;B763))</x:f>
      </x:c>
      <x:c r="P763" s="20" t="str">
        <x:f>IF(Q763&lt;&gt;"OK","",MAX(0,-MIN(N763,O763)))</x:f>
      </x:c>
      <x:c r="Q763" s="18" t="str">
        <x:f>IF(A763="",IF(COUNTA(B763:K763)=0,"","Inserisci ID"),IF(COUNTIFS('Diario'!$A$8:$A$507,A763)&lt;&gt;1,"ID assente / duplicato",IF(OR(NOT(ISNUMBER(B763)),B763&lt;1,B763&lt;&gt;INT(B763),COUNTIFS($A$8:$A$1007,A763,$B$8:$B$1007,B763)&lt;&gt;1),"N. esecuzione non valido",IF(OR(NOT(ISNUMBER(C763)),AND(D763&lt;&gt;"Ingresso",D763&lt;&gt;"Uscita"),AND(E763&lt;&gt;"Back",E763&lt;&gt;"Lay")),"Completa data / fase / lato",IF(OR(NOT(ISNUMBER(F763)),F763&lt;=1,NOT(ISNUMBER(G763)),G763&lt;=0),"Correggi quota / stake","OK")))))</x:f>
      </x:c>
    </x:row>
    <x:row r="764" ht="22" customHeight="1">
      <x:c r="A764" s="24"/>
      <x:c r="B764" s="24"/>
      <x:c r="C764" s="26"/>
      <x:c r="D764" s="24"/>
      <x:c r="E764" s="24"/>
      <x:c r="F764" s="28"/>
      <x:c r="G764" s="29"/>
      <x:c r="H764" s="24"/>
      <x:c r="I764" s="24"/>
      <x:c r="J764" s="24"/>
      <x:c r="K764" s="24"/>
      <x:c r="L764" s="20" t="str">
        <x:f>IF(Q764&lt;&gt;"OK","",IF(E764="Back",G764*(F764-1),-G764*(F764-1)))</x:f>
      </x:c>
      <x:c r="M764" s="20" t="str">
        <x:f>IF(Q764&lt;&gt;"OK","",IF(E764="Back",-G764,G764))</x:f>
      </x:c>
      <x:c r="N764" s="20" t="str">
        <x:f>IF(Q764&lt;&gt;"OK","",SUMIFS($L$8:$L$1007,$A$8:$A$1007,A764,$B$8:$B$1007,"&lt;="&amp;B764))</x:f>
      </x:c>
      <x:c r="O764" s="20" t="str">
        <x:f>IF(Q764&lt;&gt;"OK","",SUMIFS($M$8:$M$1007,$A$8:$A$1007,A764,$B$8:$B$1007,"&lt;="&amp;B764))</x:f>
      </x:c>
      <x:c r="P764" s="20" t="str">
        <x:f>IF(Q764&lt;&gt;"OK","",MAX(0,-MIN(N764,O764)))</x:f>
      </x:c>
      <x:c r="Q764" s="18" t="str">
        <x:f>IF(A764="",IF(COUNTA(B764:K764)=0,"","Inserisci ID"),IF(COUNTIFS('Diario'!$A$8:$A$507,A764)&lt;&gt;1,"ID assente / duplicato",IF(OR(NOT(ISNUMBER(B764)),B764&lt;1,B764&lt;&gt;INT(B764),COUNTIFS($A$8:$A$1007,A764,$B$8:$B$1007,B764)&lt;&gt;1),"N. esecuzione non valido",IF(OR(NOT(ISNUMBER(C764)),AND(D764&lt;&gt;"Ingresso",D764&lt;&gt;"Uscita"),AND(E764&lt;&gt;"Back",E764&lt;&gt;"Lay")),"Completa data / fase / lato",IF(OR(NOT(ISNUMBER(F764)),F764&lt;=1,NOT(ISNUMBER(G764)),G764&lt;=0),"Correggi quota / stake","OK")))))</x:f>
      </x:c>
    </x:row>
    <x:row r="765" ht="22" customHeight="1">
      <x:c r="A765" s="24"/>
      <x:c r="B765" s="24"/>
      <x:c r="C765" s="26"/>
      <x:c r="D765" s="24"/>
      <x:c r="E765" s="24"/>
      <x:c r="F765" s="28"/>
      <x:c r="G765" s="29"/>
      <x:c r="H765" s="24"/>
      <x:c r="I765" s="24"/>
      <x:c r="J765" s="24"/>
      <x:c r="K765" s="24"/>
      <x:c r="L765" s="20" t="str">
        <x:f>IF(Q765&lt;&gt;"OK","",IF(E765="Back",G765*(F765-1),-G765*(F765-1)))</x:f>
      </x:c>
      <x:c r="M765" s="20" t="str">
        <x:f>IF(Q765&lt;&gt;"OK","",IF(E765="Back",-G765,G765))</x:f>
      </x:c>
      <x:c r="N765" s="20" t="str">
        <x:f>IF(Q765&lt;&gt;"OK","",SUMIFS($L$8:$L$1007,$A$8:$A$1007,A765,$B$8:$B$1007,"&lt;="&amp;B765))</x:f>
      </x:c>
      <x:c r="O765" s="20" t="str">
        <x:f>IF(Q765&lt;&gt;"OK","",SUMIFS($M$8:$M$1007,$A$8:$A$1007,A765,$B$8:$B$1007,"&lt;="&amp;B765))</x:f>
      </x:c>
      <x:c r="P765" s="20" t="str">
        <x:f>IF(Q765&lt;&gt;"OK","",MAX(0,-MIN(N765,O765)))</x:f>
      </x:c>
      <x:c r="Q765" s="18" t="str">
        <x:f>IF(A765="",IF(COUNTA(B765:K765)=0,"","Inserisci ID"),IF(COUNTIFS('Diario'!$A$8:$A$507,A765)&lt;&gt;1,"ID assente / duplicato",IF(OR(NOT(ISNUMBER(B765)),B765&lt;1,B765&lt;&gt;INT(B765),COUNTIFS($A$8:$A$1007,A765,$B$8:$B$1007,B765)&lt;&gt;1),"N. esecuzione non valido",IF(OR(NOT(ISNUMBER(C765)),AND(D765&lt;&gt;"Ingresso",D765&lt;&gt;"Uscita"),AND(E765&lt;&gt;"Back",E765&lt;&gt;"Lay")),"Completa data / fase / lato",IF(OR(NOT(ISNUMBER(F765)),F765&lt;=1,NOT(ISNUMBER(G765)),G765&lt;=0),"Correggi quota / stake","OK")))))</x:f>
      </x:c>
    </x:row>
    <x:row r="766" ht="22" customHeight="1">
      <x:c r="A766" s="24"/>
      <x:c r="B766" s="24"/>
      <x:c r="C766" s="26"/>
      <x:c r="D766" s="24"/>
      <x:c r="E766" s="24"/>
      <x:c r="F766" s="28"/>
      <x:c r="G766" s="29"/>
      <x:c r="H766" s="24"/>
      <x:c r="I766" s="24"/>
      <x:c r="J766" s="24"/>
      <x:c r="K766" s="24"/>
      <x:c r="L766" s="20" t="str">
        <x:f>IF(Q766&lt;&gt;"OK","",IF(E766="Back",G766*(F766-1),-G766*(F766-1)))</x:f>
      </x:c>
      <x:c r="M766" s="20" t="str">
        <x:f>IF(Q766&lt;&gt;"OK","",IF(E766="Back",-G766,G766))</x:f>
      </x:c>
      <x:c r="N766" s="20" t="str">
        <x:f>IF(Q766&lt;&gt;"OK","",SUMIFS($L$8:$L$1007,$A$8:$A$1007,A766,$B$8:$B$1007,"&lt;="&amp;B766))</x:f>
      </x:c>
      <x:c r="O766" s="20" t="str">
        <x:f>IF(Q766&lt;&gt;"OK","",SUMIFS($M$8:$M$1007,$A$8:$A$1007,A766,$B$8:$B$1007,"&lt;="&amp;B766))</x:f>
      </x:c>
      <x:c r="P766" s="20" t="str">
        <x:f>IF(Q766&lt;&gt;"OK","",MAX(0,-MIN(N766,O766)))</x:f>
      </x:c>
      <x:c r="Q766" s="18" t="str">
        <x:f>IF(A766="",IF(COUNTA(B766:K766)=0,"","Inserisci ID"),IF(COUNTIFS('Diario'!$A$8:$A$507,A766)&lt;&gt;1,"ID assente / duplicato",IF(OR(NOT(ISNUMBER(B766)),B766&lt;1,B766&lt;&gt;INT(B766),COUNTIFS($A$8:$A$1007,A766,$B$8:$B$1007,B766)&lt;&gt;1),"N. esecuzione non valido",IF(OR(NOT(ISNUMBER(C766)),AND(D766&lt;&gt;"Ingresso",D766&lt;&gt;"Uscita"),AND(E766&lt;&gt;"Back",E766&lt;&gt;"Lay")),"Completa data / fase / lato",IF(OR(NOT(ISNUMBER(F766)),F766&lt;=1,NOT(ISNUMBER(G766)),G766&lt;=0),"Correggi quota / stake","OK")))))</x:f>
      </x:c>
    </x:row>
    <x:row r="767" ht="22" customHeight="1">
      <x:c r="A767" s="24"/>
      <x:c r="B767" s="24"/>
      <x:c r="C767" s="26"/>
      <x:c r="D767" s="24"/>
      <x:c r="E767" s="24"/>
      <x:c r="F767" s="28"/>
      <x:c r="G767" s="29"/>
      <x:c r="H767" s="24"/>
      <x:c r="I767" s="24"/>
      <x:c r="J767" s="24"/>
      <x:c r="K767" s="24"/>
      <x:c r="L767" s="20" t="str">
        <x:f>IF(Q767&lt;&gt;"OK","",IF(E767="Back",G767*(F767-1),-G767*(F767-1)))</x:f>
      </x:c>
      <x:c r="M767" s="20" t="str">
        <x:f>IF(Q767&lt;&gt;"OK","",IF(E767="Back",-G767,G767))</x:f>
      </x:c>
      <x:c r="N767" s="20" t="str">
        <x:f>IF(Q767&lt;&gt;"OK","",SUMIFS($L$8:$L$1007,$A$8:$A$1007,A767,$B$8:$B$1007,"&lt;="&amp;B767))</x:f>
      </x:c>
      <x:c r="O767" s="20" t="str">
        <x:f>IF(Q767&lt;&gt;"OK","",SUMIFS($M$8:$M$1007,$A$8:$A$1007,A767,$B$8:$B$1007,"&lt;="&amp;B767))</x:f>
      </x:c>
      <x:c r="P767" s="20" t="str">
        <x:f>IF(Q767&lt;&gt;"OK","",MAX(0,-MIN(N767,O767)))</x:f>
      </x:c>
      <x:c r="Q767" s="18" t="str">
        <x:f>IF(A767="",IF(COUNTA(B767:K767)=0,"","Inserisci ID"),IF(COUNTIFS('Diario'!$A$8:$A$507,A767)&lt;&gt;1,"ID assente / duplicato",IF(OR(NOT(ISNUMBER(B767)),B767&lt;1,B767&lt;&gt;INT(B767),COUNTIFS($A$8:$A$1007,A767,$B$8:$B$1007,B767)&lt;&gt;1),"N. esecuzione non valido",IF(OR(NOT(ISNUMBER(C767)),AND(D767&lt;&gt;"Ingresso",D767&lt;&gt;"Uscita"),AND(E767&lt;&gt;"Back",E767&lt;&gt;"Lay")),"Completa data / fase / lato",IF(OR(NOT(ISNUMBER(F767)),F767&lt;=1,NOT(ISNUMBER(G767)),G767&lt;=0),"Correggi quota / stake","OK")))))</x:f>
      </x:c>
    </x:row>
    <x:row r="768" ht="22" customHeight="1">
      <x:c r="A768" s="24"/>
      <x:c r="B768" s="24"/>
      <x:c r="C768" s="26"/>
      <x:c r="D768" s="24"/>
      <x:c r="E768" s="24"/>
      <x:c r="F768" s="28"/>
      <x:c r="G768" s="29"/>
      <x:c r="H768" s="24"/>
      <x:c r="I768" s="24"/>
      <x:c r="J768" s="24"/>
      <x:c r="K768" s="24"/>
      <x:c r="L768" s="20" t="str">
        <x:f>IF(Q768&lt;&gt;"OK","",IF(E768="Back",G768*(F768-1),-G768*(F768-1)))</x:f>
      </x:c>
      <x:c r="M768" s="20" t="str">
        <x:f>IF(Q768&lt;&gt;"OK","",IF(E768="Back",-G768,G768))</x:f>
      </x:c>
      <x:c r="N768" s="20" t="str">
        <x:f>IF(Q768&lt;&gt;"OK","",SUMIFS($L$8:$L$1007,$A$8:$A$1007,A768,$B$8:$B$1007,"&lt;="&amp;B768))</x:f>
      </x:c>
      <x:c r="O768" s="20" t="str">
        <x:f>IF(Q768&lt;&gt;"OK","",SUMIFS($M$8:$M$1007,$A$8:$A$1007,A768,$B$8:$B$1007,"&lt;="&amp;B768))</x:f>
      </x:c>
      <x:c r="P768" s="20" t="str">
        <x:f>IF(Q768&lt;&gt;"OK","",MAX(0,-MIN(N768,O768)))</x:f>
      </x:c>
      <x:c r="Q768" s="18" t="str">
        <x:f>IF(A768="",IF(COUNTA(B768:K768)=0,"","Inserisci ID"),IF(COUNTIFS('Diario'!$A$8:$A$507,A768)&lt;&gt;1,"ID assente / duplicato",IF(OR(NOT(ISNUMBER(B768)),B768&lt;1,B768&lt;&gt;INT(B768),COUNTIFS($A$8:$A$1007,A768,$B$8:$B$1007,B768)&lt;&gt;1),"N. esecuzione non valido",IF(OR(NOT(ISNUMBER(C768)),AND(D768&lt;&gt;"Ingresso",D768&lt;&gt;"Uscita"),AND(E768&lt;&gt;"Back",E768&lt;&gt;"Lay")),"Completa data / fase / lato",IF(OR(NOT(ISNUMBER(F768)),F768&lt;=1,NOT(ISNUMBER(G768)),G768&lt;=0),"Correggi quota / stake","OK")))))</x:f>
      </x:c>
    </x:row>
    <x:row r="769" ht="22" customHeight="1">
      <x:c r="A769" s="24"/>
      <x:c r="B769" s="24"/>
      <x:c r="C769" s="26"/>
      <x:c r="D769" s="24"/>
      <x:c r="E769" s="24"/>
      <x:c r="F769" s="28"/>
      <x:c r="G769" s="29"/>
      <x:c r="H769" s="24"/>
      <x:c r="I769" s="24"/>
      <x:c r="J769" s="24"/>
      <x:c r="K769" s="24"/>
      <x:c r="L769" s="20" t="str">
        <x:f>IF(Q769&lt;&gt;"OK","",IF(E769="Back",G769*(F769-1),-G769*(F769-1)))</x:f>
      </x:c>
      <x:c r="M769" s="20" t="str">
        <x:f>IF(Q769&lt;&gt;"OK","",IF(E769="Back",-G769,G769))</x:f>
      </x:c>
      <x:c r="N769" s="20" t="str">
        <x:f>IF(Q769&lt;&gt;"OK","",SUMIFS($L$8:$L$1007,$A$8:$A$1007,A769,$B$8:$B$1007,"&lt;="&amp;B769))</x:f>
      </x:c>
      <x:c r="O769" s="20" t="str">
        <x:f>IF(Q769&lt;&gt;"OK","",SUMIFS($M$8:$M$1007,$A$8:$A$1007,A769,$B$8:$B$1007,"&lt;="&amp;B769))</x:f>
      </x:c>
      <x:c r="P769" s="20" t="str">
        <x:f>IF(Q769&lt;&gt;"OK","",MAX(0,-MIN(N769,O769)))</x:f>
      </x:c>
      <x:c r="Q769" s="18" t="str">
        <x:f>IF(A769="",IF(COUNTA(B769:K769)=0,"","Inserisci ID"),IF(COUNTIFS('Diario'!$A$8:$A$507,A769)&lt;&gt;1,"ID assente / duplicato",IF(OR(NOT(ISNUMBER(B769)),B769&lt;1,B769&lt;&gt;INT(B769),COUNTIFS($A$8:$A$1007,A769,$B$8:$B$1007,B769)&lt;&gt;1),"N. esecuzione non valido",IF(OR(NOT(ISNUMBER(C769)),AND(D769&lt;&gt;"Ingresso",D769&lt;&gt;"Uscita"),AND(E769&lt;&gt;"Back",E769&lt;&gt;"Lay")),"Completa data / fase / lato",IF(OR(NOT(ISNUMBER(F769)),F769&lt;=1,NOT(ISNUMBER(G769)),G769&lt;=0),"Correggi quota / stake","OK")))))</x:f>
      </x:c>
    </x:row>
    <x:row r="770" ht="22" customHeight="1">
      <x:c r="A770" s="24"/>
      <x:c r="B770" s="24"/>
      <x:c r="C770" s="26"/>
      <x:c r="D770" s="24"/>
      <x:c r="E770" s="24"/>
      <x:c r="F770" s="28"/>
      <x:c r="G770" s="29"/>
      <x:c r="H770" s="24"/>
      <x:c r="I770" s="24"/>
      <x:c r="J770" s="24"/>
      <x:c r="K770" s="24"/>
      <x:c r="L770" s="20" t="str">
        <x:f>IF(Q770&lt;&gt;"OK","",IF(E770="Back",G770*(F770-1),-G770*(F770-1)))</x:f>
      </x:c>
      <x:c r="M770" s="20" t="str">
        <x:f>IF(Q770&lt;&gt;"OK","",IF(E770="Back",-G770,G770))</x:f>
      </x:c>
      <x:c r="N770" s="20" t="str">
        <x:f>IF(Q770&lt;&gt;"OK","",SUMIFS($L$8:$L$1007,$A$8:$A$1007,A770,$B$8:$B$1007,"&lt;="&amp;B770))</x:f>
      </x:c>
      <x:c r="O770" s="20" t="str">
        <x:f>IF(Q770&lt;&gt;"OK","",SUMIFS($M$8:$M$1007,$A$8:$A$1007,A770,$B$8:$B$1007,"&lt;="&amp;B770))</x:f>
      </x:c>
      <x:c r="P770" s="20" t="str">
        <x:f>IF(Q770&lt;&gt;"OK","",MAX(0,-MIN(N770,O770)))</x:f>
      </x:c>
      <x:c r="Q770" s="18" t="str">
        <x:f>IF(A770="",IF(COUNTA(B770:K770)=0,"","Inserisci ID"),IF(COUNTIFS('Diario'!$A$8:$A$507,A770)&lt;&gt;1,"ID assente / duplicato",IF(OR(NOT(ISNUMBER(B770)),B770&lt;1,B770&lt;&gt;INT(B770),COUNTIFS($A$8:$A$1007,A770,$B$8:$B$1007,B770)&lt;&gt;1),"N. esecuzione non valido",IF(OR(NOT(ISNUMBER(C770)),AND(D770&lt;&gt;"Ingresso",D770&lt;&gt;"Uscita"),AND(E770&lt;&gt;"Back",E770&lt;&gt;"Lay")),"Completa data / fase / lato",IF(OR(NOT(ISNUMBER(F770)),F770&lt;=1,NOT(ISNUMBER(G770)),G770&lt;=0),"Correggi quota / stake","OK")))))</x:f>
      </x:c>
    </x:row>
    <x:row r="771" ht="22" customHeight="1">
      <x:c r="A771" s="24"/>
      <x:c r="B771" s="24"/>
      <x:c r="C771" s="26"/>
      <x:c r="D771" s="24"/>
      <x:c r="E771" s="24"/>
      <x:c r="F771" s="28"/>
      <x:c r="G771" s="29"/>
      <x:c r="H771" s="24"/>
      <x:c r="I771" s="24"/>
      <x:c r="J771" s="24"/>
      <x:c r="K771" s="24"/>
      <x:c r="L771" s="20" t="str">
        <x:f>IF(Q771&lt;&gt;"OK","",IF(E771="Back",G771*(F771-1),-G771*(F771-1)))</x:f>
      </x:c>
      <x:c r="M771" s="20" t="str">
        <x:f>IF(Q771&lt;&gt;"OK","",IF(E771="Back",-G771,G771))</x:f>
      </x:c>
      <x:c r="N771" s="20" t="str">
        <x:f>IF(Q771&lt;&gt;"OK","",SUMIFS($L$8:$L$1007,$A$8:$A$1007,A771,$B$8:$B$1007,"&lt;="&amp;B771))</x:f>
      </x:c>
      <x:c r="O771" s="20" t="str">
        <x:f>IF(Q771&lt;&gt;"OK","",SUMIFS($M$8:$M$1007,$A$8:$A$1007,A771,$B$8:$B$1007,"&lt;="&amp;B771))</x:f>
      </x:c>
      <x:c r="P771" s="20" t="str">
        <x:f>IF(Q771&lt;&gt;"OK","",MAX(0,-MIN(N771,O771)))</x:f>
      </x:c>
      <x:c r="Q771" s="18" t="str">
        <x:f>IF(A771="",IF(COUNTA(B771:K771)=0,"","Inserisci ID"),IF(COUNTIFS('Diario'!$A$8:$A$507,A771)&lt;&gt;1,"ID assente / duplicato",IF(OR(NOT(ISNUMBER(B771)),B771&lt;1,B771&lt;&gt;INT(B771),COUNTIFS($A$8:$A$1007,A771,$B$8:$B$1007,B771)&lt;&gt;1),"N. esecuzione non valido",IF(OR(NOT(ISNUMBER(C771)),AND(D771&lt;&gt;"Ingresso",D771&lt;&gt;"Uscita"),AND(E771&lt;&gt;"Back",E771&lt;&gt;"Lay")),"Completa data / fase / lato",IF(OR(NOT(ISNUMBER(F771)),F771&lt;=1,NOT(ISNUMBER(G771)),G771&lt;=0),"Correggi quota / stake","OK")))))</x:f>
      </x:c>
    </x:row>
    <x:row r="772" ht="22" customHeight="1">
      <x:c r="A772" s="24"/>
      <x:c r="B772" s="24"/>
      <x:c r="C772" s="26"/>
      <x:c r="D772" s="24"/>
      <x:c r="E772" s="24"/>
      <x:c r="F772" s="28"/>
      <x:c r="G772" s="29"/>
      <x:c r="H772" s="24"/>
      <x:c r="I772" s="24"/>
      <x:c r="J772" s="24"/>
      <x:c r="K772" s="24"/>
      <x:c r="L772" s="20" t="str">
        <x:f>IF(Q772&lt;&gt;"OK","",IF(E772="Back",G772*(F772-1),-G772*(F772-1)))</x:f>
      </x:c>
      <x:c r="M772" s="20" t="str">
        <x:f>IF(Q772&lt;&gt;"OK","",IF(E772="Back",-G772,G772))</x:f>
      </x:c>
      <x:c r="N772" s="20" t="str">
        <x:f>IF(Q772&lt;&gt;"OK","",SUMIFS($L$8:$L$1007,$A$8:$A$1007,A772,$B$8:$B$1007,"&lt;="&amp;B772))</x:f>
      </x:c>
      <x:c r="O772" s="20" t="str">
        <x:f>IF(Q772&lt;&gt;"OK","",SUMIFS($M$8:$M$1007,$A$8:$A$1007,A772,$B$8:$B$1007,"&lt;="&amp;B772))</x:f>
      </x:c>
      <x:c r="P772" s="20" t="str">
        <x:f>IF(Q772&lt;&gt;"OK","",MAX(0,-MIN(N772,O772)))</x:f>
      </x:c>
      <x:c r="Q772" s="18" t="str">
        <x:f>IF(A772="",IF(COUNTA(B772:K772)=0,"","Inserisci ID"),IF(COUNTIFS('Diario'!$A$8:$A$507,A772)&lt;&gt;1,"ID assente / duplicato",IF(OR(NOT(ISNUMBER(B772)),B772&lt;1,B772&lt;&gt;INT(B772),COUNTIFS($A$8:$A$1007,A772,$B$8:$B$1007,B772)&lt;&gt;1),"N. esecuzione non valido",IF(OR(NOT(ISNUMBER(C772)),AND(D772&lt;&gt;"Ingresso",D772&lt;&gt;"Uscita"),AND(E772&lt;&gt;"Back",E772&lt;&gt;"Lay")),"Completa data / fase / lato",IF(OR(NOT(ISNUMBER(F772)),F772&lt;=1,NOT(ISNUMBER(G772)),G772&lt;=0),"Correggi quota / stake","OK")))))</x:f>
      </x:c>
    </x:row>
    <x:row r="773" ht="22" customHeight="1">
      <x:c r="A773" s="24"/>
      <x:c r="B773" s="24"/>
      <x:c r="C773" s="26"/>
      <x:c r="D773" s="24"/>
      <x:c r="E773" s="24"/>
      <x:c r="F773" s="28"/>
      <x:c r="G773" s="29"/>
      <x:c r="H773" s="24"/>
      <x:c r="I773" s="24"/>
      <x:c r="J773" s="24"/>
      <x:c r="K773" s="24"/>
      <x:c r="L773" s="20" t="str">
        <x:f>IF(Q773&lt;&gt;"OK","",IF(E773="Back",G773*(F773-1),-G773*(F773-1)))</x:f>
      </x:c>
      <x:c r="M773" s="20" t="str">
        <x:f>IF(Q773&lt;&gt;"OK","",IF(E773="Back",-G773,G773))</x:f>
      </x:c>
      <x:c r="N773" s="20" t="str">
        <x:f>IF(Q773&lt;&gt;"OK","",SUMIFS($L$8:$L$1007,$A$8:$A$1007,A773,$B$8:$B$1007,"&lt;="&amp;B773))</x:f>
      </x:c>
      <x:c r="O773" s="20" t="str">
        <x:f>IF(Q773&lt;&gt;"OK","",SUMIFS($M$8:$M$1007,$A$8:$A$1007,A773,$B$8:$B$1007,"&lt;="&amp;B773))</x:f>
      </x:c>
      <x:c r="P773" s="20" t="str">
        <x:f>IF(Q773&lt;&gt;"OK","",MAX(0,-MIN(N773,O773)))</x:f>
      </x:c>
      <x:c r="Q773" s="18" t="str">
        <x:f>IF(A773="",IF(COUNTA(B773:K773)=0,"","Inserisci ID"),IF(COUNTIFS('Diario'!$A$8:$A$507,A773)&lt;&gt;1,"ID assente / duplicato",IF(OR(NOT(ISNUMBER(B773)),B773&lt;1,B773&lt;&gt;INT(B773),COUNTIFS($A$8:$A$1007,A773,$B$8:$B$1007,B773)&lt;&gt;1),"N. esecuzione non valido",IF(OR(NOT(ISNUMBER(C773)),AND(D773&lt;&gt;"Ingresso",D773&lt;&gt;"Uscita"),AND(E773&lt;&gt;"Back",E773&lt;&gt;"Lay")),"Completa data / fase / lato",IF(OR(NOT(ISNUMBER(F773)),F773&lt;=1,NOT(ISNUMBER(G773)),G773&lt;=0),"Correggi quota / stake","OK")))))</x:f>
      </x:c>
    </x:row>
    <x:row r="774" ht="22" customHeight="1">
      <x:c r="A774" s="24"/>
      <x:c r="B774" s="24"/>
      <x:c r="C774" s="26"/>
      <x:c r="D774" s="24"/>
      <x:c r="E774" s="24"/>
      <x:c r="F774" s="28"/>
      <x:c r="G774" s="29"/>
      <x:c r="H774" s="24"/>
      <x:c r="I774" s="24"/>
      <x:c r="J774" s="24"/>
      <x:c r="K774" s="24"/>
      <x:c r="L774" s="20" t="str">
        <x:f>IF(Q774&lt;&gt;"OK","",IF(E774="Back",G774*(F774-1),-G774*(F774-1)))</x:f>
      </x:c>
      <x:c r="M774" s="20" t="str">
        <x:f>IF(Q774&lt;&gt;"OK","",IF(E774="Back",-G774,G774))</x:f>
      </x:c>
      <x:c r="N774" s="20" t="str">
        <x:f>IF(Q774&lt;&gt;"OK","",SUMIFS($L$8:$L$1007,$A$8:$A$1007,A774,$B$8:$B$1007,"&lt;="&amp;B774))</x:f>
      </x:c>
      <x:c r="O774" s="20" t="str">
        <x:f>IF(Q774&lt;&gt;"OK","",SUMIFS($M$8:$M$1007,$A$8:$A$1007,A774,$B$8:$B$1007,"&lt;="&amp;B774))</x:f>
      </x:c>
      <x:c r="P774" s="20" t="str">
        <x:f>IF(Q774&lt;&gt;"OK","",MAX(0,-MIN(N774,O774)))</x:f>
      </x:c>
      <x:c r="Q774" s="18" t="str">
        <x:f>IF(A774="",IF(COUNTA(B774:K774)=0,"","Inserisci ID"),IF(COUNTIFS('Diario'!$A$8:$A$507,A774)&lt;&gt;1,"ID assente / duplicato",IF(OR(NOT(ISNUMBER(B774)),B774&lt;1,B774&lt;&gt;INT(B774),COUNTIFS($A$8:$A$1007,A774,$B$8:$B$1007,B774)&lt;&gt;1),"N. esecuzione non valido",IF(OR(NOT(ISNUMBER(C774)),AND(D774&lt;&gt;"Ingresso",D774&lt;&gt;"Uscita"),AND(E774&lt;&gt;"Back",E774&lt;&gt;"Lay")),"Completa data / fase / lato",IF(OR(NOT(ISNUMBER(F774)),F774&lt;=1,NOT(ISNUMBER(G774)),G774&lt;=0),"Correggi quota / stake","OK")))))</x:f>
      </x:c>
    </x:row>
    <x:row r="775" ht="22" customHeight="1">
      <x:c r="A775" s="24"/>
      <x:c r="B775" s="24"/>
      <x:c r="C775" s="26"/>
      <x:c r="D775" s="24"/>
      <x:c r="E775" s="24"/>
      <x:c r="F775" s="28"/>
      <x:c r="G775" s="29"/>
      <x:c r="H775" s="24"/>
      <x:c r="I775" s="24"/>
      <x:c r="J775" s="24"/>
      <x:c r="K775" s="24"/>
      <x:c r="L775" s="20" t="str">
        <x:f>IF(Q775&lt;&gt;"OK","",IF(E775="Back",G775*(F775-1),-G775*(F775-1)))</x:f>
      </x:c>
      <x:c r="M775" s="20" t="str">
        <x:f>IF(Q775&lt;&gt;"OK","",IF(E775="Back",-G775,G775))</x:f>
      </x:c>
      <x:c r="N775" s="20" t="str">
        <x:f>IF(Q775&lt;&gt;"OK","",SUMIFS($L$8:$L$1007,$A$8:$A$1007,A775,$B$8:$B$1007,"&lt;="&amp;B775))</x:f>
      </x:c>
      <x:c r="O775" s="20" t="str">
        <x:f>IF(Q775&lt;&gt;"OK","",SUMIFS($M$8:$M$1007,$A$8:$A$1007,A775,$B$8:$B$1007,"&lt;="&amp;B775))</x:f>
      </x:c>
      <x:c r="P775" s="20" t="str">
        <x:f>IF(Q775&lt;&gt;"OK","",MAX(0,-MIN(N775,O775)))</x:f>
      </x:c>
      <x:c r="Q775" s="18" t="str">
        <x:f>IF(A775="",IF(COUNTA(B775:K775)=0,"","Inserisci ID"),IF(COUNTIFS('Diario'!$A$8:$A$507,A775)&lt;&gt;1,"ID assente / duplicato",IF(OR(NOT(ISNUMBER(B775)),B775&lt;1,B775&lt;&gt;INT(B775),COUNTIFS($A$8:$A$1007,A775,$B$8:$B$1007,B775)&lt;&gt;1),"N. esecuzione non valido",IF(OR(NOT(ISNUMBER(C775)),AND(D775&lt;&gt;"Ingresso",D775&lt;&gt;"Uscita"),AND(E775&lt;&gt;"Back",E775&lt;&gt;"Lay")),"Completa data / fase / lato",IF(OR(NOT(ISNUMBER(F775)),F775&lt;=1,NOT(ISNUMBER(G775)),G775&lt;=0),"Correggi quota / stake","OK")))))</x:f>
      </x:c>
    </x:row>
    <x:row r="776" ht="22" customHeight="1">
      <x:c r="A776" s="24"/>
      <x:c r="B776" s="24"/>
      <x:c r="C776" s="26"/>
      <x:c r="D776" s="24"/>
      <x:c r="E776" s="24"/>
      <x:c r="F776" s="28"/>
      <x:c r="G776" s="29"/>
      <x:c r="H776" s="24"/>
      <x:c r="I776" s="24"/>
      <x:c r="J776" s="24"/>
      <x:c r="K776" s="24"/>
      <x:c r="L776" s="20" t="str">
        <x:f>IF(Q776&lt;&gt;"OK","",IF(E776="Back",G776*(F776-1),-G776*(F776-1)))</x:f>
      </x:c>
      <x:c r="M776" s="20" t="str">
        <x:f>IF(Q776&lt;&gt;"OK","",IF(E776="Back",-G776,G776))</x:f>
      </x:c>
      <x:c r="N776" s="20" t="str">
        <x:f>IF(Q776&lt;&gt;"OK","",SUMIFS($L$8:$L$1007,$A$8:$A$1007,A776,$B$8:$B$1007,"&lt;="&amp;B776))</x:f>
      </x:c>
      <x:c r="O776" s="20" t="str">
        <x:f>IF(Q776&lt;&gt;"OK","",SUMIFS($M$8:$M$1007,$A$8:$A$1007,A776,$B$8:$B$1007,"&lt;="&amp;B776))</x:f>
      </x:c>
      <x:c r="P776" s="20" t="str">
        <x:f>IF(Q776&lt;&gt;"OK","",MAX(0,-MIN(N776,O776)))</x:f>
      </x:c>
      <x:c r="Q776" s="18" t="str">
        <x:f>IF(A776="",IF(COUNTA(B776:K776)=0,"","Inserisci ID"),IF(COUNTIFS('Diario'!$A$8:$A$507,A776)&lt;&gt;1,"ID assente / duplicato",IF(OR(NOT(ISNUMBER(B776)),B776&lt;1,B776&lt;&gt;INT(B776),COUNTIFS($A$8:$A$1007,A776,$B$8:$B$1007,B776)&lt;&gt;1),"N. esecuzione non valido",IF(OR(NOT(ISNUMBER(C776)),AND(D776&lt;&gt;"Ingresso",D776&lt;&gt;"Uscita"),AND(E776&lt;&gt;"Back",E776&lt;&gt;"Lay")),"Completa data / fase / lato",IF(OR(NOT(ISNUMBER(F776)),F776&lt;=1,NOT(ISNUMBER(G776)),G776&lt;=0),"Correggi quota / stake","OK")))))</x:f>
      </x:c>
    </x:row>
    <x:row r="777" ht="22" customHeight="1">
      <x:c r="A777" s="24"/>
      <x:c r="B777" s="24"/>
      <x:c r="C777" s="26"/>
      <x:c r="D777" s="24"/>
      <x:c r="E777" s="24"/>
      <x:c r="F777" s="28"/>
      <x:c r="G777" s="29"/>
      <x:c r="H777" s="24"/>
      <x:c r="I777" s="24"/>
      <x:c r="J777" s="24"/>
      <x:c r="K777" s="24"/>
      <x:c r="L777" s="20" t="str">
        <x:f>IF(Q777&lt;&gt;"OK","",IF(E777="Back",G777*(F777-1),-G777*(F777-1)))</x:f>
      </x:c>
      <x:c r="M777" s="20" t="str">
        <x:f>IF(Q777&lt;&gt;"OK","",IF(E777="Back",-G777,G777))</x:f>
      </x:c>
      <x:c r="N777" s="20" t="str">
        <x:f>IF(Q777&lt;&gt;"OK","",SUMIFS($L$8:$L$1007,$A$8:$A$1007,A777,$B$8:$B$1007,"&lt;="&amp;B777))</x:f>
      </x:c>
      <x:c r="O777" s="20" t="str">
        <x:f>IF(Q777&lt;&gt;"OK","",SUMIFS($M$8:$M$1007,$A$8:$A$1007,A777,$B$8:$B$1007,"&lt;="&amp;B777))</x:f>
      </x:c>
      <x:c r="P777" s="20" t="str">
        <x:f>IF(Q777&lt;&gt;"OK","",MAX(0,-MIN(N777,O777)))</x:f>
      </x:c>
      <x:c r="Q777" s="18" t="str">
        <x:f>IF(A777="",IF(COUNTA(B777:K777)=0,"","Inserisci ID"),IF(COUNTIFS('Diario'!$A$8:$A$507,A777)&lt;&gt;1,"ID assente / duplicato",IF(OR(NOT(ISNUMBER(B777)),B777&lt;1,B777&lt;&gt;INT(B777),COUNTIFS($A$8:$A$1007,A777,$B$8:$B$1007,B777)&lt;&gt;1),"N. esecuzione non valido",IF(OR(NOT(ISNUMBER(C777)),AND(D777&lt;&gt;"Ingresso",D777&lt;&gt;"Uscita"),AND(E777&lt;&gt;"Back",E777&lt;&gt;"Lay")),"Completa data / fase / lato",IF(OR(NOT(ISNUMBER(F777)),F777&lt;=1,NOT(ISNUMBER(G777)),G777&lt;=0),"Correggi quota / stake","OK")))))</x:f>
      </x:c>
    </x:row>
    <x:row r="778" ht="22" customHeight="1">
      <x:c r="A778" s="24"/>
      <x:c r="B778" s="24"/>
      <x:c r="C778" s="26"/>
      <x:c r="D778" s="24"/>
      <x:c r="E778" s="24"/>
      <x:c r="F778" s="28"/>
      <x:c r="G778" s="29"/>
      <x:c r="H778" s="24"/>
      <x:c r="I778" s="24"/>
      <x:c r="J778" s="24"/>
      <x:c r="K778" s="24"/>
      <x:c r="L778" s="20" t="str">
        <x:f>IF(Q778&lt;&gt;"OK","",IF(E778="Back",G778*(F778-1),-G778*(F778-1)))</x:f>
      </x:c>
      <x:c r="M778" s="20" t="str">
        <x:f>IF(Q778&lt;&gt;"OK","",IF(E778="Back",-G778,G778))</x:f>
      </x:c>
      <x:c r="N778" s="20" t="str">
        <x:f>IF(Q778&lt;&gt;"OK","",SUMIFS($L$8:$L$1007,$A$8:$A$1007,A778,$B$8:$B$1007,"&lt;="&amp;B778))</x:f>
      </x:c>
      <x:c r="O778" s="20" t="str">
        <x:f>IF(Q778&lt;&gt;"OK","",SUMIFS($M$8:$M$1007,$A$8:$A$1007,A778,$B$8:$B$1007,"&lt;="&amp;B778))</x:f>
      </x:c>
      <x:c r="P778" s="20" t="str">
        <x:f>IF(Q778&lt;&gt;"OK","",MAX(0,-MIN(N778,O778)))</x:f>
      </x:c>
      <x:c r="Q778" s="18" t="str">
        <x:f>IF(A778="",IF(COUNTA(B778:K778)=0,"","Inserisci ID"),IF(COUNTIFS('Diario'!$A$8:$A$507,A778)&lt;&gt;1,"ID assente / duplicato",IF(OR(NOT(ISNUMBER(B778)),B778&lt;1,B778&lt;&gt;INT(B778),COUNTIFS($A$8:$A$1007,A778,$B$8:$B$1007,B778)&lt;&gt;1),"N. esecuzione non valido",IF(OR(NOT(ISNUMBER(C778)),AND(D778&lt;&gt;"Ingresso",D778&lt;&gt;"Uscita"),AND(E778&lt;&gt;"Back",E778&lt;&gt;"Lay")),"Completa data / fase / lato",IF(OR(NOT(ISNUMBER(F778)),F778&lt;=1,NOT(ISNUMBER(G778)),G778&lt;=0),"Correggi quota / stake","OK")))))</x:f>
      </x:c>
    </x:row>
    <x:row r="779" ht="22" customHeight="1">
      <x:c r="A779" s="24"/>
      <x:c r="B779" s="24"/>
      <x:c r="C779" s="26"/>
      <x:c r="D779" s="24"/>
      <x:c r="E779" s="24"/>
      <x:c r="F779" s="28"/>
      <x:c r="G779" s="29"/>
      <x:c r="H779" s="24"/>
      <x:c r="I779" s="24"/>
      <x:c r="J779" s="24"/>
      <x:c r="K779" s="24"/>
      <x:c r="L779" s="20" t="str">
        <x:f>IF(Q779&lt;&gt;"OK","",IF(E779="Back",G779*(F779-1),-G779*(F779-1)))</x:f>
      </x:c>
      <x:c r="M779" s="20" t="str">
        <x:f>IF(Q779&lt;&gt;"OK","",IF(E779="Back",-G779,G779))</x:f>
      </x:c>
      <x:c r="N779" s="20" t="str">
        <x:f>IF(Q779&lt;&gt;"OK","",SUMIFS($L$8:$L$1007,$A$8:$A$1007,A779,$B$8:$B$1007,"&lt;="&amp;B779))</x:f>
      </x:c>
      <x:c r="O779" s="20" t="str">
        <x:f>IF(Q779&lt;&gt;"OK","",SUMIFS($M$8:$M$1007,$A$8:$A$1007,A779,$B$8:$B$1007,"&lt;="&amp;B779))</x:f>
      </x:c>
      <x:c r="P779" s="20" t="str">
        <x:f>IF(Q779&lt;&gt;"OK","",MAX(0,-MIN(N779,O779)))</x:f>
      </x:c>
      <x:c r="Q779" s="18" t="str">
        <x:f>IF(A779="",IF(COUNTA(B779:K779)=0,"","Inserisci ID"),IF(COUNTIFS('Diario'!$A$8:$A$507,A779)&lt;&gt;1,"ID assente / duplicato",IF(OR(NOT(ISNUMBER(B779)),B779&lt;1,B779&lt;&gt;INT(B779),COUNTIFS($A$8:$A$1007,A779,$B$8:$B$1007,B779)&lt;&gt;1),"N. esecuzione non valido",IF(OR(NOT(ISNUMBER(C779)),AND(D779&lt;&gt;"Ingresso",D779&lt;&gt;"Uscita"),AND(E779&lt;&gt;"Back",E779&lt;&gt;"Lay")),"Completa data / fase / lato",IF(OR(NOT(ISNUMBER(F779)),F779&lt;=1,NOT(ISNUMBER(G779)),G779&lt;=0),"Correggi quota / stake","OK")))))</x:f>
      </x:c>
    </x:row>
    <x:row r="780" ht="22" customHeight="1">
      <x:c r="A780" s="24"/>
      <x:c r="B780" s="24"/>
      <x:c r="C780" s="26"/>
      <x:c r="D780" s="24"/>
      <x:c r="E780" s="24"/>
      <x:c r="F780" s="28"/>
      <x:c r="G780" s="29"/>
      <x:c r="H780" s="24"/>
      <x:c r="I780" s="24"/>
      <x:c r="J780" s="24"/>
      <x:c r="K780" s="24"/>
      <x:c r="L780" s="20" t="str">
        <x:f>IF(Q780&lt;&gt;"OK","",IF(E780="Back",G780*(F780-1),-G780*(F780-1)))</x:f>
      </x:c>
      <x:c r="M780" s="20" t="str">
        <x:f>IF(Q780&lt;&gt;"OK","",IF(E780="Back",-G780,G780))</x:f>
      </x:c>
      <x:c r="N780" s="20" t="str">
        <x:f>IF(Q780&lt;&gt;"OK","",SUMIFS($L$8:$L$1007,$A$8:$A$1007,A780,$B$8:$B$1007,"&lt;="&amp;B780))</x:f>
      </x:c>
      <x:c r="O780" s="20" t="str">
        <x:f>IF(Q780&lt;&gt;"OK","",SUMIFS($M$8:$M$1007,$A$8:$A$1007,A780,$B$8:$B$1007,"&lt;="&amp;B780))</x:f>
      </x:c>
      <x:c r="P780" s="20" t="str">
        <x:f>IF(Q780&lt;&gt;"OK","",MAX(0,-MIN(N780,O780)))</x:f>
      </x:c>
      <x:c r="Q780" s="18" t="str">
        <x:f>IF(A780="",IF(COUNTA(B780:K780)=0,"","Inserisci ID"),IF(COUNTIFS('Diario'!$A$8:$A$507,A780)&lt;&gt;1,"ID assente / duplicato",IF(OR(NOT(ISNUMBER(B780)),B780&lt;1,B780&lt;&gt;INT(B780),COUNTIFS($A$8:$A$1007,A780,$B$8:$B$1007,B780)&lt;&gt;1),"N. esecuzione non valido",IF(OR(NOT(ISNUMBER(C780)),AND(D780&lt;&gt;"Ingresso",D780&lt;&gt;"Uscita"),AND(E780&lt;&gt;"Back",E780&lt;&gt;"Lay")),"Completa data / fase / lato",IF(OR(NOT(ISNUMBER(F780)),F780&lt;=1,NOT(ISNUMBER(G780)),G780&lt;=0),"Correggi quota / stake","OK")))))</x:f>
      </x:c>
    </x:row>
    <x:row r="781" ht="22" customHeight="1">
      <x:c r="A781" s="24"/>
      <x:c r="B781" s="24"/>
      <x:c r="C781" s="26"/>
      <x:c r="D781" s="24"/>
      <x:c r="E781" s="24"/>
      <x:c r="F781" s="28"/>
      <x:c r="G781" s="29"/>
      <x:c r="H781" s="24"/>
      <x:c r="I781" s="24"/>
      <x:c r="J781" s="24"/>
      <x:c r="K781" s="24"/>
      <x:c r="L781" s="20" t="str">
        <x:f>IF(Q781&lt;&gt;"OK","",IF(E781="Back",G781*(F781-1),-G781*(F781-1)))</x:f>
      </x:c>
      <x:c r="M781" s="20" t="str">
        <x:f>IF(Q781&lt;&gt;"OK","",IF(E781="Back",-G781,G781))</x:f>
      </x:c>
      <x:c r="N781" s="20" t="str">
        <x:f>IF(Q781&lt;&gt;"OK","",SUMIFS($L$8:$L$1007,$A$8:$A$1007,A781,$B$8:$B$1007,"&lt;="&amp;B781))</x:f>
      </x:c>
      <x:c r="O781" s="20" t="str">
        <x:f>IF(Q781&lt;&gt;"OK","",SUMIFS($M$8:$M$1007,$A$8:$A$1007,A781,$B$8:$B$1007,"&lt;="&amp;B781))</x:f>
      </x:c>
      <x:c r="P781" s="20" t="str">
        <x:f>IF(Q781&lt;&gt;"OK","",MAX(0,-MIN(N781,O781)))</x:f>
      </x:c>
      <x:c r="Q781" s="18" t="str">
        <x:f>IF(A781="",IF(COUNTA(B781:K781)=0,"","Inserisci ID"),IF(COUNTIFS('Diario'!$A$8:$A$507,A781)&lt;&gt;1,"ID assente / duplicato",IF(OR(NOT(ISNUMBER(B781)),B781&lt;1,B781&lt;&gt;INT(B781),COUNTIFS($A$8:$A$1007,A781,$B$8:$B$1007,B781)&lt;&gt;1),"N. esecuzione non valido",IF(OR(NOT(ISNUMBER(C781)),AND(D781&lt;&gt;"Ingresso",D781&lt;&gt;"Uscita"),AND(E781&lt;&gt;"Back",E781&lt;&gt;"Lay")),"Completa data / fase / lato",IF(OR(NOT(ISNUMBER(F781)),F781&lt;=1,NOT(ISNUMBER(G781)),G781&lt;=0),"Correggi quota / stake","OK")))))</x:f>
      </x:c>
    </x:row>
    <x:row r="782" ht="22" customHeight="1">
      <x:c r="A782" s="24"/>
      <x:c r="B782" s="24"/>
      <x:c r="C782" s="26"/>
      <x:c r="D782" s="24"/>
      <x:c r="E782" s="24"/>
      <x:c r="F782" s="28"/>
      <x:c r="G782" s="29"/>
      <x:c r="H782" s="24"/>
      <x:c r="I782" s="24"/>
      <x:c r="J782" s="24"/>
      <x:c r="K782" s="24"/>
      <x:c r="L782" s="20" t="str">
        <x:f>IF(Q782&lt;&gt;"OK","",IF(E782="Back",G782*(F782-1),-G782*(F782-1)))</x:f>
      </x:c>
      <x:c r="M782" s="20" t="str">
        <x:f>IF(Q782&lt;&gt;"OK","",IF(E782="Back",-G782,G782))</x:f>
      </x:c>
      <x:c r="N782" s="20" t="str">
        <x:f>IF(Q782&lt;&gt;"OK","",SUMIFS($L$8:$L$1007,$A$8:$A$1007,A782,$B$8:$B$1007,"&lt;="&amp;B782))</x:f>
      </x:c>
      <x:c r="O782" s="20" t="str">
        <x:f>IF(Q782&lt;&gt;"OK","",SUMIFS($M$8:$M$1007,$A$8:$A$1007,A782,$B$8:$B$1007,"&lt;="&amp;B782))</x:f>
      </x:c>
      <x:c r="P782" s="20" t="str">
        <x:f>IF(Q782&lt;&gt;"OK","",MAX(0,-MIN(N782,O782)))</x:f>
      </x:c>
      <x:c r="Q782" s="18" t="str">
        <x:f>IF(A782="",IF(COUNTA(B782:K782)=0,"","Inserisci ID"),IF(COUNTIFS('Diario'!$A$8:$A$507,A782)&lt;&gt;1,"ID assente / duplicato",IF(OR(NOT(ISNUMBER(B782)),B782&lt;1,B782&lt;&gt;INT(B782),COUNTIFS($A$8:$A$1007,A782,$B$8:$B$1007,B782)&lt;&gt;1),"N. esecuzione non valido",IF(OR(NOT(ISNUMBER(C782)),AND(D782&lt;&gt;"Ingresso",D782&lt;&gt;"Uscita"),AND(E782&lt;&gt;"Back",E782&lt;&gt;"Lay")),"Completa data / fase / lato",IF(OR(NOT(ISNUMBER(F782)),F782&lt;=1,NOT(ISNUMBER(G782)),G782&lt;=0),"Correggi quota / stake","OK")))))</x:f>
      </x:c>
    </x:row>
    <x:row r="783" ht="22" customHeight="1">
      <x:c r="A783" s="24"/>
      <x:c r="B783" s="24"/>
      <x:c r="C783" s="26"/>
      <x:c r="D783" s="24"/>
      <x:c r="E783" s="24"/>
      <x:c r="F783" s="28"/>
      <x:c r="G783" s="29"/>
      <x:c r="H783" s="24"/>
      <x:c r="I783" s="24"/>
      <x:c r="J783" s="24"/>
      <x:c r="K783" s="24"/>
      <x:c r="L783" s="20" t="str">
        <x:f>IF(Q783&lt;&gt;"OK","",IF(E783="Back",G783*(F783-1),-G783*(F783-1)))</x:f>
      </x:c>
      <x:c r="M783" s="20" t="str">
        <x:f>IF(Q783&lt;&gt;"OK","",IF(E783="Back",-G783,G783))</x:f>
      </x:c>
      <x:c r="N783" s="20" t="str">
        <x:f>IF(Q783&lt;&gt;"OK","",SUMIFS($L$8:$L$1007,$A$8:$A$1007,A783,$B$8:$B$1007,"&lt;="&amp;B783))</x:f>
      </x:c>
      <x:c r="O783" s="20" t="str">
        <x:f>IF(Q783&lt;&gt;"OK","",SUMIFS($M$8:$M$1007,$A$8:$A$1007,A783,$B$8:$B$1007,"&lt;="&amp;B783))</x:f>
      </x:c>
      <x:c r="P783" s="20" t="str">
        <x:f>IF(Q783&lt;&gt;"OK","",MAX(0,-MIN(N783,O783)))</x:f>
      </x:c>
      <x:c r="Q783" s="18" t="str">
        <x:f>IF(A783="",IF(COUNTA(B783:K783)=0,"","Inserisci ID"),IF(COUNTIFS('Diario'!$A$8:$A$507,A783)&lt;&gt;1,"ID assente / duplicato",IF(OR(NOT(ISNUMBER(B783)),B783&lt;1,B783&lt;&gt;INT(B783),COUNTIFS($A$8:$A$1007,A783,$B$8:$B$1007,B783)&lt;&gt;1),"N. esecuzione non valido",IF(OR(NOT(ISNUMBER(C783)),AND(D783&lt;&gt;"Ingresso",D783&lt;&gt;"Uscita"),AND(E783&lt;&gt;"Back",E783&lt;&gt;"Lay")),"Completa data / fase / lato",IF(OR(NOT(ISNUMBER(F783)),F783&lt;=1,NOT(ISNUMBER(G783)),G783&lt;=0),"Correggi quota / stake","OK")))))</x:f>
      </x:c>
    </x:row>
    <x:row r="784" ht="22" customHeight="1">
      <x:c r="A784" s="24"/>
      <x:c r="B784" s="24"/>
      <x:c r="C784" s="26"/>
      <x:c r="D784" s="24"/>
      <x:c r="E784" s="24"/>
      <x:c r="F784" s="28"/>
      <x:c r="G784" s="29"/>
      <x:c r="H784" s="24"/>
      <x:c r="I784" s="24"/>
      <x:c r="J784" s="24"/>
      <x:c r="K784" s="24"/>
      <x:c r="L784" s="20" t="str">
        <x:f>IF(Q784&lt;&gt;"OK","",IF(E784="Back",G784*(F784-1),-G784*(F784-1)))</x:f>
      </x:c>
      <x:c r="M784" s="20" t="str">
        <x:f>IF(Q784&lt;&gt;"OK","",IF(E784="Back",-G784,G784))</x:f>
      </x:c>
      <x:c r="N784" s="20" t="str">
        <x:f>IF(Q784&lt;&gt;"OK","",SUMIFS($L$8:$L$1007,$A$8:$A$1007,A784,$B$8:$B$1007,"&lt;="&amp;B784))</x:f>
      </x:c>
      <x:c r="O784" s="20" t="str">
        <x:f>IF(Q784&lt;&gt;"OK","",SUMIFS($M$8:$M$1007,$A$8:$A$1007,A784,$B$8:$B$1007,"&lt;="&amp;B784))</x:f>
      </x:c>
      <x:c r="P784" s="20" t="str">
        <x:f>IF(Q784&lt;&gt;"OK","",MAX(0,-MIN(N784,O784)))</x:f>
      </x:c>
      <x:c r="Q784" s="18" t="str">
        <x:f>IF(A784="",IF(COUNTA(B784:K784)=0,"","Inserisci ID"),IF(COUNTIFS('Diario'!$A$8:$A$507,A784)&lt;&gt;1,"ID assente / duplicato",IF(OR(NOT(ISNUMBER(B784)),B784&lt;1,B784&lt;&gt;INT(B784),COUNTIFS($A$8:$A$1007,A784,$B$8:$B$1007,B784)&lt;&gt;1),"N. esecuzione non valido",IF(OR(NOT(ISNUMBER(C784)),AND(D784&lt;&gt;"Ingresso",D784&lt;&gt;"Uscita"),AND(E784&lt;&gt;"Back",E784&lt;&gt;"Lay")),"Completa data / fase / lato",IF(OR(NOT(ISNUMBER(F784)),F784&lt;=1,NOT(ISNUMBER(G784)),G784&lt;=0),"Correggi quota / stake","OK")))))</x:f>
      </x:c>
    </x:row>
    <x:row r="785" ht="22" customHeight="1">
      <x:c r="A785" s="24"/>
      <x:c r="B785" s="24"/>
      <x:c r="C785" s="26"/>
      <x:c r="D785" s="24"/>
      <x:c r="E785" s="24"/>
      <x:c r="F785" s="28"/>
      <x:c r="G785" s="29"/>
      <x:c r="H785" s="24"/>
      <x:c r="I785" s="24"/>
      <x:c r="J785" s="24"/>
      <x:c r="K785" s="24"/>
      <x:c r="L785" s="20" t="str">
        <x:f>IF(Q785&lt;&gt;"OK","",IF(E785="Back",G785*(F785-1),-G785*(F785-1)))</x:f>
      </x:c>
      <x:c r="M785" s="20" t="str">
        <x:f>IF(Q785&lt;&gt;"OK","",IF(E785="Back",-G785,G785))</x:f>
      </x:c>
      <x:c r="N785" s="20" t="str">
        <x:f>IF(Q785&lt;&gt;"OK","",SUMIFS($L$8:$L$1007,$A$8:$A$1007,A785,$B$8:$B$1007,"&lt;="&amp;B785))</x:f>
      </x:c>
      <x:c r="O785" s="20" t="str">
        <x:f>IF(Q785&lt;&gt;"OK","",SUMIFS($M$8:$M$1007,$A$8:$A$1007,A785,$B$8:$B$1007,"&lt;="&amp;B785))</x:f>
      </x:c>
      <x:c r="P785" s="20" t="str">
        <x:f>IF(Q785&lt;&gt;"OK","",MAX(0,-MIN(N785,O785)))</x:f>
      </x:c>
      <x:c r="Q785" s="18" t="str">
        <x:f>IF(A785="",IF(COUNTA(B785:K785)=0,"","Inserisci ID"),IF(COUNTIFS('Diario'!$A$8:$A$507,A785)&lt;&gt;1,"ID assente / duplicato",IF(OR(NOT(ISNUMBER(B785)),B785&lt;1,B785&lt;&gt;INT(B785),COUNTIFS($A$8:$A$1007,A785,$B$8:$B$1007,B785)&lt;&gt;1),"N. esecuzione non valido",IF(OR(NOT(ISNUMBER(C785)),AND(D785&lt;&gt;"Ingresso",D785&lt;&gt;"Uscita"),AND(E785&lt;&gt;"Back",E785&lt;&gt;"Lay")),"Completa data / fase / lato",IF(OR(NOT(ISNUMBER(F785)),F785&lt;=1,NOT(ISNUMBER(G785)),G785&lt;=0),"Correggi quota / stake","OK")))))</x:f>
      </x:c>
    </x:row>
    <x:row r="786" ht="22" customHeight="1">
      <x:c r="A786" s="24"/>
      <x:c r="B786" s="24"/>
      <x:c r="C786" s="26"/>
      <x:c r="D786" s="24"/>
      <x:c r="E786" s="24"/>
      <x:c r="F786" s="28"/>
      <x:c r="G786" s="29"/>
      <x:c r="H786" s="24"/>
      <x:c r="I786" s="24"/>
      <x:c r="J786" s="24"/>
      <x:c r="K786" s="24"/>
      <x:c r="L786" s="20" t="str">
        <x:f>IF(Q786&lt;&gt;"OK","",IF(E786="Back",G786*(F786-1),-G786*(F786-1)))</x:f>
      </x:c>
      <x:c r="M786" s="20" t="str">
        <x:f>IF(Q786&lt;&gt;"OK","",IF(E786="Back",-G786,G786))</x:f>
      </x:c>
      <x:c r="N786" s="20" t="str">
        <x:f>IF(Q786&lt;&gt;"OK","",SUMIFS($L$8:$L$1007,$A$8:$A$1007,A786,$B$8:$B$1007,"&lt;="&amp;B786))</x:f>
      </x:c>
      <x:c r="O786" s="20" t="str">
        <x:f>IF(Q786&lt;&gt;"OK","",SUMIFS($M$8:$M$1007,$A$8:$A$1007,A786,$B$8:$B$1007,"&lt;="&amp;B786))</x:f>
      </x:c>
      <x:c r="P786" s="20" t="str">
        <x:f>IF(Q786&lt;&gt;"OK","",MAX(0,-MIN(N786,O786)))</x:f>
      </x:c>
      <x:c r="Q786" s="18" t="str">
        <x:f>IF(A786="",IF(COUNTA(B786:K786)=0,"","Inserisci ID"),IF(COUNTIFS('Diario'!$A$8:$A$507,A786)&lt;&gt;1,"ID assente / duplicato",IF(OR(NOT(ISNUMBER(B786)),B786&lt;1,B786&lt;&gt;INT(B786),COUNTIFS($A$8:$A$1007,A786,$B$8:$B$1007,B786)&lt;&gt;1),"N. esecuzione non valido",IF(OR(NOT(ISNUMBER(C786)),AND(D786&lt;&gt;"Ingresso",D786&lt;&gt;"Uscita"),AND(E786&lt;&gt;"Back",E786&lt;&gt;"Lay")),"Completa data / fase / lato",IF(OR(NOT(ISNUMBER(F786)),F786&lt;=1,NOT(ISNUMBER(G786)),G786&lt;=0),"Correggi quota / stake","OK")))))</x:f>
      </x:c>
    </x:row>
    <x:row r="787" ht="22" customHeight="1">
      <x:c r="A787" s="24"/>
      <x:c r="B787" s="24"/>
      <x:c r="C787" s="26"/>
      <x:c r="D787" s="24"/>
      <x:c r="E787" s="24"/>
      <x:c r="F787" s="28"/>
      <x:c r="G787" s="29"/>
      <x:c r="H787" s="24"/>
      <x:c r="I787" s="24"/>
      <x:c r="J787" s="24"/>
      <x:c r="K787" s="24"/>
      <x:c r="L787" s="20" t="str">
        <x:f>IF(Q787&lt;&gt;"OK","",IF(E787="Back",G787*(F787-1),-G787*(F787-1)))</x:f>
      </x:c>
      <x:c r="M787" s="20" t="str">
        <x:f>IF(Q787&lt;&gt;"OK","",IF(E787="Back",-G787,G787))</x:f>
      </x:c>
      <x:c r="N787" s="20" t="str">
        <x:f>IF(Q787&lt;&gt;"OK","",SUMIFS($L$8:$L$1007,$A$8:$A$1007,A787,$B$8:$B$1007,"&lt;="&amp;B787))</x:f>
      </x:c>
      <x:c r="O787" s="20" t="str">
        <x:f>IF(Q787&lt;&gt;"OK","",SUMIFS($M$8:$M$1007,$A$8:$A$1007,A787,$B$8:$B$1007,"&lt;="&amp;B787))</x:f>
      </x:c>
      <x:c r="P787" s="20" t="str">
        <x:f>IF(Q787&lt;&gt;"OK","",MAX(0,-MIN(N787,O787)))</x:f>
      </x:c>
      <x:c r="Q787" s="18" t="str">
        <x:f>IF(A787="",IF(COUNTA(B787:K787)=0,"","Inserisci ID"),IF(COUNTIFS('Diario'!$A$8:$A$507,A787)&lt;&gt;1,"ID assente / duplicato",IF(OR(NOT(ISNUMBER(B787)),B787&lt;1,B787&lt;&gt;INT(B787),COUNTIFS($A$8:$A$1007,A787,$B$8:$B$1007,B787)&lt;&gt;1),"N. esecuzione non valido",IF(OR(NOT(ISNUMBER(C787)),AND(D787&lt;&gt;"Ingresso",D787&lt;&gt;"Uscita"),AND(E787&lt;&gt;"Back",E787&lt;&gt;"Lay")),"Completa data / fase / lato",IF(OR(NOT(ISNUMBER(F787)),F787&lt;=1,NOT(ISNUMBER(G787)),G787&lt;=0),"Correggi quota / stake","OK")))))</x:f>
      </x:c>
    </x:row>
    <x:row r="788" ht="22" customHeight="1">
      <x:c r="A788" s="24"/>
      <x:c r="B788" s="24"/>
      <x:c r="C788" s="26"/>
      <x:c r="D788" s="24"/>
      <x:c r="E788" s="24"/>
      <x:c r="F788" s="28"/>
      <x:c r="G788" s="29"/>
      <x:c r="H788" s="24"/>
      <x:c r="I788" s="24"/>
      <x:c r="J788" s="24"/>
      <x:c r="K788" s="24"/>
      <x:c r="L788" s="20" t="str">
        <x:f>IF(Q788&lt;&gt;"OK","",IF(E788="Back",G788*(F788-1),-G788*(F788-1)))</x:f>
      </x:c>
      <x:c r="M788" s="20" t="str">
        <x:f>IF(Q788&lt;&gt;"OK","",IF(E788="Back",-G788,G788))</x:f>
      </x:c>
      <x:c r="N788" s="20" t="str">
        <x:f>IF(Q788&lt;&gt;"OK","",SUMIFS($L$8:$L$1007,$A$8:$A$1007,A788,$B$8:$B$1007,"&lt;="&amp;B788))</x:f>
      </x:c>
      <x:c r="O788" s="20" t="str">
        <x:f>IF(Q788&lt;&gt;"OK","",SUMIFS($M$8:$M$1007,$A$8:$A$1007,A788,$B$8:$B$1007,"&lt;="&amp;B788))</x:f>
      </x:c>
      <x:c r="P788" s="20" t="str">
        <x:f>IF(Q788&lt;&gt;"OK","",MAX(0,-MIN(N788,O788)))</x:f>
      </x:c>
      <x:c r="Q788" s="18" t="str">
        <x:f>IF(A788="",IF(COUNTA(B788:K788)=0,"","Inserisci ID"),IF(COUNTIFS('Diario'!$A$8:$A$507,A788)&lt;&gt;1,"ID assente / duplicato",IF(OR(NOT(ISNUMBER(B788)),B788&lt;1,B788&lt;&gt;INT(B788),COUNTIFS($A$8:$A$1007,A788,$B$8:$B$1007,B788)&lt;&gt;1),"N. esecuzione non valido",IF(OR(NOT(ISNUMBER(C788)),AND(D788&lt;&gt;"Ingresso",D788&lt;&gt;"Uscita"),AND(E788&lt;&gt;"Back",E788&lt;&gt;"Lay")),"Completa data / fase / lato",IF(OR(NOT(ISNUMBER(F788)),F788&lt;=1,NOT(ISNUMBER(G788)),G788&lt;=0),"Correggi quota / stake","OK")))))</x:f>
      </x:c>
    </x:row>
    <x:row r="789" ht="22" customHeight="1">
      <x:c r="A789" s="24"/>
      <x:c r="B789" s="24"/>
      <x:c r="C789" s="26"/>
      <x:c r="D789" s="24"/>
      <x:c r="E789" s="24"/>
      <x:c r="F789" s="28"/>
      <x:c r="G789" s="29"/>
      <x:c r="H789" s="24"/>
      <x:c r="I789" s="24"/>
      <x:c r="J789" s="24"/>
      <x:c r="K789" s="24"/>
      <x:c r="L789" s="20" t="str">
        <x:f>IF(Q789&lt;&gt;"OK","",IF(E789="Back",G789*(F789-1),-G789*(F789-1)))</x:f>
      </x:c>
      <x:c r="M789" s="20" t="str">
        <x:f>IF(Q789&lt;&gt;"OK","",IF(E789="Back",-G789,G789))</x:f>
      </x:c>
      <x:c r="N789" s="20" t="str">
        <x:f>IF(Q789&lt;&gt;"OK","",SUMIFS($L$8:$L$1007,$A$8:$A$1007,A789,$B$8:$B$1007,"&lt;="&amp;B789))</x:f>
      </x:c>
      <x:c r="O789" s="20" t="str">
        <x:f>IF(Q789&lt;&gt;"OK","",SUMIFS($M$8:$M$1007,$A$8:$A$1007,A789,$B$8:$B$1007,"&lt;="&amp;B789))</x:f>
      </x:c>
      <x:c r="P789" s="20" t="str">
        <x:f>IF(Q789&lt;&gt;"OK","",MAX(0,-MIN(N789,O789)))</x:f>
      </x:c>
      <x:c r="Q789" s="18" t="str">
        <x:f>IF(A789="",IF(COUNTA(B789:K789)=0,"","Inserisci ID"),IF(COUNTIFS('Diario'!$A$8:$A$507,A789)&lt;&gt;1,"ID assente / duplicato",IF(OR(NOT(ISNUMBER(B789)),B789&lt;1,B789&lt;&gt;INT(B789),COUNTIFS($A$8:$A$1007,A789,$B$8:$B$1007,B789)&lt;&gt;1),"N. esecuzione non valido",IF(OR(NOT(ISNUMBER(C789)),AND(D789&lt;&gt;"Ingresso",D789&lt;&gt;"Uscita"),AND(E789&lt;&gt;"Back",E789&lt;&gt;"Lay")),"Completa data / fase / lato",IF(OR(NOT(ISNUMBER(F789)),F789&lt;=1,NOT(ISNUMBER(G789)),G789&lt;=0),"Correggi quota / stake","OK")))))</x:f>
      </x:c>
    </x:row>
    <x:row r="790" ht="22" customHeight="1">
      <x:c r="A790" s="24"/>
      <x:c r="B790" s="24"/>
      <x:c r="C790" s="26"/>
      <x:c r="D790" s="24"/>
      <x:c r="E790" s="24"/>
      <x:c r="F790" s="28"/>
      <x:c r="G790" s="29"/>
      <x:c r="H790" s="24"/>
      <x:c r="I790" s="24"/>
      <x:c r="J790" s="24"/>
      <x:c r="K790" s="24"/>
      <x:c r="L790" s="20" t="str">
        <x:f>IF(Q790&lt;&gt;"OK","",IF(E790="Back",G790*(F790-1),-G790*(F790-1)))</x:f>
      </x:c>
      <x:c r="M790" s="20" t="str">
        <x:f>IF(Q790&lt;&gt;"OK","",IF(E790="Back",-G790,G790))</x:f>
      </x:c>
      <x:c r="N790" s="20" t="str">
        <x:f>IF(Q790&lt;&gt;"OK","",SUMIFS($L$8:$L$1007,$A$8:$A$1007,A790,$B$8:$B$1007,"&lt;="&amp;B790))</x:f>
      </x:c>
      <x:c r="O790" s="20" t="str">
        <x:f>IF(Q790&lt;&gt;"OK","",SUMIFS($M$8:$M$1007,$A$8:$A$1007,A790,$B$8:$B$1007,"&lt;="&amp;B790))</x:f>
      </x:c>
      <x:c r="P790" s="20" t="str">
        <x:f>IF(Q790&lt;&gt;"OK","",MAX(0,-MIN(N790,O790)))</x:f>
      </x:c>
      <x:c r="Q790" s="18" t="str">
        <x:f>IF(A790="",IF(COUNTA(B790:K790)=0,"","Inserisci ID"),IF(COUNTIFS('Diario'!$A$8:$A$507,A790)&lt;&gt;1,"ID assente / duplicato",IF(OR(NOT(ISNUMBER(B790)),B790&lt;1,B790&lt;&gt;INT(B790),COUNTIFS($A$8:$A$1007,A790,$B$8:$B$1007,B790)&lt;&gt;1),"N. esecuzione non valido",IF(OR(NOT(ISNUMBER(C790)),AND(D790&lt;&gt;"Ingresso",D790&lt;&gt;"Uscita"),AND(E790&lt;&gt;"Back",E790&lt;&gt;"Lay")),"Completa data / fase / lato",IF(OR(NOT(ISNUMBER(F790)),F790&lt;=1,NOT(ISNUMBER(G790)),G790&lt;=0),"Correggi quota / stake","OK")))))</x:f>
      </x:c>
    </x:row>
    <x:row r="791" ht="22" customHeight="1">
      <x:c r="A791" s="24"/>
      <x:c r="B791" s="24"/>
      <x:c r="C791" s="26"/>
      <x:c r="D791" s="24"/>
      <x:c r="E791" s="24"/>
      <x:c r="F791" s="28"/>
      <x:c r="G791" s="29"/>
      <x:c r="H791" s="24"/>
      <x:c r="I791" s="24"/>
      <x:c r="J791" s="24"/>
      <x:c r="K791" s="24"/>
      <x:c r="L791" s="20" t="str">
        <x:f>IF(Q791&lt;&gt;"OK","",IF(E791="Back",G791*(F791-1),-G791*(F791-1)))</x:f>
      </x:c>
      <x:c r="M791" s="20" t="str">
        <x:f>IF(Q791&lt;&gt;"OK","",IF(E791="Back",-G791,G791))</x:f>
      </x:c>
      <x:c r="N791" s="20" t="str">
        <x:f>IF(Q791&lt;&gt;"OK","",SUMIFS($L$8:$L$1007,$A$8:$A$1007,A791,$B$8:$B$1007,"&lt;="&amp;B791))</x:f>
      </x:c>
      <x:c r="O791" s="20" t="str">
        <x:f>IF(Q791&lt;&gt;"OK","",SUMIFS($M$8:$M$1007,$A$8:$A$1007,A791,$B$8:$B$1007,"&lt;="&amp;B791))</x:f>
      </x:c>
      <x:c r="P791" s="20" t="str">
        <x:f>IF(Q791&lt;&gt;"OK","",MAX(0,-MIN(N791,O791)))</x:f>
      </x:c>
      <x:c r="Q791" s="18" t="str">
        <x:f>IF(A791="",IF(COUNTA(B791:K791)=0,"","Inserisci ID"),IF(COUNTIFS('Diario'!$A$8:$A$507,A791)&lt;&gt;1,"ID assente / duplicato",IF(OR(NOT(ISNUMBER(B791)),B791&lt;1,B791&lt;&gt;INT(B791),COUNTIFS($A$8:$A$1007,A791,$B$8:$B$1007,B791)&lt;&gt;1),"N. esecuzione non valido",IF(OR(NOT(ISNUMBER(C791)),AND(D791&lt;&gt;"Ingresso",D791&lt;&gt;"Uscita"),AND(E791&lt;&gt;"Back",E791&lt;&gt;"Lay")),"Completa data / fase / lato",IF(OR(NOT(ISNUMBER(F791)),F791&lt;=1,NOT(ISNUMBER(G791)),G791&lt;=0),"Correggi quota / stake","OK")))))</x:f>
      </x:c>
    </x:row>
    <x:row r="792" ht="22" customHeight="1">
      <x:c r="A792" s="24"/>
      <x:c r="B792" s="24"/>
      <x:c r="C792" s="26"/>
      <x:c r="D792" s="24"/>
      <x:c r="E792" s="24"/>
      <x:c r="F792" s="28"/>
      <x:c r="G792" s="29"/>
      <x:c r="H792" s="24"/>
      <x:c r="I792" s="24"/>
      <x:c r="J792" s="24"/>
      <x:c r="K792" s="24"/>
      <x:c r="L792" s="20" t="str">
        <x:f>IF(Q792&lt;&gt;"OK","",IF(E792="Back",G792*(F792-1),-G792*(F792-1)))</x:f>
      </x:c>
      <x:c r="M792" s="20" t="str">
        <x:f>IF(Q792&lt;&gt;"OK","",IF(E792="Back",-G792,G792))</x:f>
      </x:c>
      <x:c r="N792" s="20" t="str">
        <x:f>IF(Q792&lt;&gt;"OK","",SUMIFS($L$8:$L$1007,$A$8:$A$1007,A792,$B$8:$B$1007,"&lt;="&amp;B792))</x:f>
      </x:c>
      <x:c r="O792" s="20" t="str">
        <x:f>IF(Q792&lt;&gt;"OK","",SUMIFS($M$8:$M$1007,$A$8:$A$1007,A792,$B$8:$B$1007,"&lt;="&amp;B792))</x:f>
      </x:c>
      <x:c r="P792" s="20" t="str">
        <x:f>IF(Q792&lt;&gt;"OK","",MAX(0,-MIN(N792,O792)))</x:f>
      </x:c>
      <x:c r="Q792" s="18" t="str">
        <x:f>IF(A792="",IF(COUNTA(B792:K792)=0,"","Inserisci ID"),IF(COUNTIFS('Diario'!$A$8:$A$507,A792)&lt;&gt;1,"ID assente / duplicato",IF(OR(NOT(ISNUMBER(B792)),B792&lt;1,B792&lt;&gt;INT(B792),COUNTIFS($A$8:$A$1007,A792,$B$8:$B$1007,B792)&lt;&gt;1),"N. esecuzione non valido",IF(OR(NOT(ISNUMBER(C792)),AND(D792&lt;&gt;"Ingresso",D792&lt;&gt;"Uscita"),AND(E792&lt;&gt;"Back",E792&lt;&gt;"Lay")),"Completa data / fase / lato",IF(OR(NOT(ISNUMBER(F792)),F792&lt;=1,NOT(ISNUMBER(G792)),G792&lt;=0),"Correggi quota / stake","OK")))))</x:f>
      </x:c>
    </x:row>
    <x:row r="793" ht="22" customHeight="1">
      <x:c r="A793" s="24"/>
      <x:c r="B793" s="24"/>
      <x:c r="C793" s="26"/>
      <x:c r="D793" s="24"/>
      <x:c r="E793" s="24"/>
      <x:c r="F793" s="28"/>
      <x:c r="G793" s="29"/>
      <x:c r="H793" s="24"/>
      <x:c r="I793" s="24"/>
      <x:c r="J793" s="24"/>
      <x:c r="K793" s="24"/>
      <x:c r="L793" s="20" t="str">
        <x:f>IF(Q793&lt;&gt;"OK","",IF(E793="Back",G793*(F793-1),-G793*(F793-1)))</x:f>
      </x:c>
      <x:c r="M793" s="20" t="str">
        <x:f>IF(Q793&lt;&gt;"OK","",IF(E793="Back",-G793,G793))</x:f>
      </x:c>
      <x:c r="N793" s="20" t="str">
        <x:f>IF(Q793&lt;&gt;"OK","",SUMIFS($L$8:$L$1007,$A$8:$A$1007,A793,$B$8:$B$1007,"&lt;="&amp;B793))</x:f>
      </x:c>
      <x:c r="O793" s="20" t="str">
        <x:f>IF(Q793&lt;&gt;"OK","",SUMIFS($M$8:$M$1007,$A$8:$A$1007,A793,$B$8:$B$1007,"&lt;="&amp;B793))</x:f>
      </x:c>
      <x:c r="P793" s="20" t="str">
        <x:f>IF(Q793&lt;&gt;"OK","",MAX(0,-MIN(N793,O793)))</x:f>
      </x:c>
      <x:c r="Q793" s="18" t="str">
        <x:f>IF(A793="",IF(COUNTA(B793:K793)=0,"","Inserisci ID"),IF(COUNTIFS('Diario'!$A$8:$A$507,A793)&lt;&gt;1,"ID assente / duplicato",IF(OR(NOT(ISNUMBER(B793)),B793&lt;1,B793&lt;&gt;INT(B793),COUNTIFS($A$8:$A$1007,A793,$B$8:$B$1007,B793)&lt;&gt;1),"N. esecuzione non valido",IF(OR(NOT(ISNUMBER(C793)),AND(D793&lt;&gt;"Ingresso",D793&lt;&gt;"Uscita"),AND(E793&lt;&gt;"Back",E793&lt;&gt;"Lay")),"Completa data / fase / lato",IF(OR(NOT(ISNUMBER(F793)),F793&lt;=1,NOT(ISNUMBER(G793)),G793&lt;=0),"Correggi quota / stake","OK")))))</x:f>
      </x:c>
    </x:row>
    <x:row r="794" ht="22" customHeight="1">
      <x:c r="A794" s="24"/>
      <x:c r="B794" s="24"/>
      <x:c r="C794" s="26"/>
      <x:c r="D794" s="24"/>
      <x:c r="E794" s="24"/>
      <x:c r="F794" s="28"/>
      <x:c r="G794" s="29"/>
      <x:c r="H794" s="24"/>
      <x:c r="I794" s="24"/>
      <x:c r="J794" s="24"/>
      <x:c r="K794" s="24"/>
      <x:c r="L794" s="20" t="str">
        <x:f>IF(Q794&lt;&gt;"OK","",IF(E794="Back",G794*(F794-1),-G794*(F794-1)))</x:f>
      </x:c>
      <x:c r="M794" s="20" t="str">
        <x:f>IF(Q794&lt;&gt;"OK","",IF(E794="Back",-G794,G794))</x:f>
      </x:c>
      <x:c r="N794" s="20" t="str">
        <x:f>IF(Q794&lt;&gt;"OK","",SUMIFS($L$8:$L$1007,$A$8:$A$1007,A794,$B$8:$B$1007,"&lt;="&amp;B794))</x:f>
      </x:c>
      <x:c r="O794" s="20" t="str">
        <x:f>IF(Q794&lt;&gt;"OK","",SUMIFS($M$8:$M$1007,$A$8:$A$1007,A794,$B$8:$B$1007,"&lt;="&amp;B794))</x:f>
      </x:c>
      <x:c r="P794" s="20" t="str">
        <x:f>IF(Q794&lt;&gt;"OK","",MAX(0,-MIN(N794,O794)))</x:f>
      </x:c>
      <x:c r="Q794" s="18" t="str">
        <x:f>IF(A794="",IF(COUNTA(B794:K794)=0,"","Inserisci ID"),IF(COUNTIFS('Diario'!$A$8:$A$507,A794)&lt;&gt;1,"ID assente / duplicato",IF(OR(NOT(ISNUMBER(B794)),B794&lt;1,B794&lt;&gt;INT(B794),COUNTIFS($A$8:$A$1007,A794,$B$8:$B$1007,B794)&lt;&gt;1),"N. esecuzione non valido",IF(OR(NOT(ISNUMBER(C794)),AND(D794&lt;&gt;"Ingresso",D794&lt;&gt;"Uscita"),AND(E794&lt;&gt;"Back",E794&lt;&gt;"Lay")),"Completa data / fase / lato",IF(OR(NOT(ISNUMBER(F794)),F794&lt;=1,NOT(ISNUMBER(G794)),G794&lt;=0),"Correggi quota / stake","OK")))))</x:f>
      </x:c>
    </x:row>
    <x:row r="795" ht="22" customHeight="1">
      <x:c r="A795" s="24"/>
      <x:c r="B795" s="24"/>
      <x:c r="C795" s="26"/>
      <x:c r="D795" s="24"/>
      <x:c r="E795" s="24"/>
      <x:c r="F795" s="28"/>
      <x:c r="G795" s="29"/>
      <x:c r="H795" s="24"/>
      <x:c r="I795" s="24"/>
      <x:c r="J795" s="24"/>
      <x:c r="K795" s="24"/>
      <x:c r="L795" s="20" t="str">
        <x:f>IF(Q795&lt;&gt;"OK","",IF(E795="Back",G795*(F795-1),-G795*(F795-1)))</x:f>
      </x:c>
      <x:c r="M795" s="20" t="str">
        <x:f>IF(Q795&lt;&gt;"OK","",IF(E795="Back",-G795,G795))</x:f>
      </x:c>
      <x:c r="N795" s="20" t="str">
        <x:f>IF(Q795&lt;&gt;"OK","",SUMIFS($L$8:$L$1007,$A$8:$A$1007,A795,$B$8:$B$1007,"&lt;="&amp;B795))</x:f>
      </x:c>
      <x:c r="O795" s="20" t="str">
        <x:f>IF(Q795&lt;&gt;"OK","",SUMIFS($M$8:$M$1007,$A$8:$A$1007,A795,$B$8:$B$1007,"&lt;="&amp;B795))</x:f>
      </x:c>
      <x:c r="P795" s="20" t="str">
        <x:f>IF(Q795&lt;&gt;"OK","",MAX(0,-MIN(N795,O795)))</x:f>
      </x:c>
      <x:c r="Q795" s="18" t="str">
        <x:f>IF(A795="",IF(COUNTA(B795:K795)=0,"","Inserisci ID"),IF(COUNTIFS('Diario'!$A$8:$A$507,A795)&lt;&gt;1,"ID assente / duplicato",IF(OR(NOT(ISNUMBER(B795)),B795&lt;1,B795&lt;&gt;INT(B795),COUNTIFS($A$8:$A$1007,A795,$B$8:$B$1007,B795)&lt;&gt;1),"N. esecuzione non valido",IF(OR(NOT(ISNUMBER(C795)),AND(D795&lt;&gt;"Ingresso",D795&lt;&gt;"Uscita"),AND(E795&lt;&gt;"Back",E795&lt;&gt;"Lay")),"Completa data / fase / lato",IF(OR(NOT(ISNUMBER(F795)),F795&lt;=1,NOT(ISNUMBER(G795)),G795&lt;=0),"Correggi quota / stake","OK")))))</x:f>
      </x:c>
    </x:row>
    <x:row r="796" ht="22" customHeight="1">
      <x:c r="A796" s="24"/>
      <x:c r="B796" s="24"/>
      <x:c r="C796" s="26"/>
      <x:c r="D796" s="24"/>
      <x:c r="E796" s="24"/>
      <x:c r="F796" s="28"/>
      <x:c r="G796" s="29"/>
      <x:c r="H796" s="24"/>
      <x:c r="I796" s="24"/>
      <x:c r="J796" s="24"/>
      <x:c r="K796" s="24"/>
      <x:c r="L796" s="20" t="str">
        <x:f>IF(Q796&lt;&gt;"OK","",IF(E796="Back",G796*(F796-1),-G796*(F796-1)))</x:f>
      </x:c>
      <x:c r="M796" s="20" t="str">
        <x:f>IF(Q796&lt;&gt;"OK","",IF(E796="Back",-G796,G796))</x:f>
      </x:c>
      <x:c r="N796" s="20" t="str">
        <x:f>IF(Q796&lt;&gt;"OK","",SUMIFS($L$8:$L$1007,$A$8:$A$1007,A796,$B$8:$B$1007,"&lt;="&amp;B796))</x:f>
      </x:c>
      <x:c r="O796" s="20" t="str">
        <x:f>IF(Q796&lt;&gt;"OK","",SUMIFS($M$8:$M$1007,$A$8:$A$1007,A796,$B$8:$B$1007,"&lt;="&amp;B796))</x:f>
      </x:c>
      <x:c r="P796" s="20" t="str">
        <x:f>IF(Q796&lt;&gt;"OK","",MAX(0,-MIN(N796,O796)))</x:f>
      </x:c>
      <x:c r="Q796" s="18" t="str">
        <x:f>IF(A796="",IF(COUNTA(B796:K796)=0,"","Inserisci ID"),IF(COUNTIFS('Diario'!$A$8:$A$507,A796)&lt;&gt;1,"ID assente / duplicato",IF(OR(NOT(ISNUMBER(B796)),B796&lt;1,B796&lt;&gt;INT(B796),COUNTIFS($A$8:$A$1007,A796,$B$8:$B$1007,B796)&lt;&gt;1),"N. esecuzione non valido",IF(OR(NOT(ISNUMBER(C796)),AND(D796&lt;&gt;"Ingresso",D796&lt;&gt;"Uscita"),AND(E796&lt;&gt;"Back",E796&lt;&gt;"Lay")),"Completa data / fase / lato",IF(OR(NOT(ISNUMBER(F796)),F796&lt;=1,NOT(ISNUMBER(G796)),G796&lt;=0),"Correggi quota / stake","OK")))))</x:f>
      </x:c>
    </x:row>
    <x:row r="797" ht="22" customHeight="1">
      <x:c r="A797" s="24"/>
      <x:c r="B797" s="24"/>
      <x:c r="C797" s="26"/>
      <x:c r="D797" s="24"/>
      <x:c r="E797" s="24"/>
      <x:c r="F797" s="28"/>
      <x:c r="G797" s="29"/>
      <x:c r="H797" s="24"/>
      <x:c r="I797" s="24"/>
      <x:c r="J797" s="24"/>
      <x:c r="K797" s="24"/>
      <x:c r="L797" s="20" t="str">
        <x:f>IF(Q797&lt;&gt;"OK","",IF(E797="Back",G797*(F797-1),-G797*(F797-1)))</x:f>
      </x:c>
      <x:c r="M797" s="20" t="str">
        <x:f>IF(Q797&lt;&gt;"OK","",IF(E797="Back",-G797,G797))</x:f>
      </x:c>
      <x:c r="N797" s="20" t="str">
        <x:f>IF(Q797&lt;&gt;"OK","",SUMIFS($L$8:$L$1007,$A$8:$A$1007,A797,$B$8:$B$1007,"&lt;="&amp;B797))</x:f>
      </x:c>
      <x:c r="O797" s="20" t="str">
        <x:f>IF(Q797&lt;&gt;"OK","",SUMIFS($M$8:$M$1007,$A$8:$A$1007,A797,$B$8:$B$1007,"&lt;="&amp;B797))</x:f>
      </x:c>
      <x:c r="P797" s="20" t="str">
        <x:f>IF(Q797&lt;&gt;"OK","",MAX(0,-MIN(N797,O797)))</x:f>
      </x:c>
      <x:c r="Q797" s="18" t="str">
        <x:f>IF(A797="",IF(COUNTA(B797:K797)=0,"","Inserisci ID"),IF(COUNTIFS('Diario'!$A$8:$A$507,A797)&lt;&gt;1,"ID assente / duplicato",IF(OR(NOT(ISNUMBER(B797)),B797&lt;1,B797&lt;&gt;INT(B797),COUNTIFS($A$8:$A$1007,A797,$B$8:$B$1007,B797)&lt;&gt;1),"N. esecuzione non valido",IF(OR(NOT(ISNUMBER(C797)),AND(D797&lt;&gt;"Ingresso",D797&lt;&gt;"Uscita"),AND(E797&lt;&gt;"Back",E797&lt;&gt;"Lay")),"Completa data / fase / lato",IF(OR(NOT(ISNUMBER(F797)),F797&lt;=1,NOT(ISNUMBER(G797)),G797&lt;=0),"Correggi quota / stake","OK")))))</x:f>
      </x:c>
    </x:row>
    <x:row r="798" ht="22" customHeight="1">
      <x:c r="A798" s="24"/>
      <x:c r="B798" s="24"/>
      <x:c r="C798" s="26"/>
      <x:c r="D798" s="24"/>
      <x:c r="E798" s="24"/>
      <x:c r="F798" s="28"/>
      <x:c r="G798" s="29"/>
      <x:c r="H798" s="24"/>
      <x:c r="I798" s="24"/>
      <x:c r="J798" s="24"/>
      <x:c r="K798" s="24"/>
      <x:c r="L798" s="20" t="str">
        <x:f>IF(Q798&lt;&gt;"OK","",IF(E798="Back",G798*(F798-1),-G798*(F798-1)))</x:f>
      </x:c>
      <x:c r="M798" s="20" t="str">
        <x:f>IF(Q798&lt;&gt;"OK","",IF(E798="Back",-G798,G798))</x:f>
      </x:c>
      <x:c r="N798" s="20" t="str">
        <x:f>IF(Q798&lt;&gt;"OK","",SUMIFS($L$8:$L$1007,$A$8:$A$1007,A798,$B$8:$B$1007,"&lt;="&amp;B798))</x:f>
      </x:c>
      <x:c r="O798" s="20" t="str">
        <x:f>IF(Q798&lt;&gt;"OK","",SUMIFS($M$8:$M$1007,$A$8:$A$1007,A798,$B$8:$B$1007,"&lt;="&amp;B798))</x:f>
      </x:c>
      <x:c r="P798" s="20" t="str">
        <x:f>IF(Q798&lt;&gt;"OK","",MAX(0,-MIN(N798,O798)))</x:f>
      </x:c>
      <x:c r="Q798" s="18" t="str">
        <x:f>IF(A798="",IF(COUNTA(B798:K798)=0,"","Inserisci ID"),IF(COUNTIFS('Diario'!$A$8:$A$507,A798)&lt;&gt;1,"ID assente / duplicato",IF(OR(NOT(ISNUMBER(B798)),B798&lt;1,B798&lt;&gt;INT(B798),COUNTIFS($A$8:$A$1007,A798,$B$8:$B$1007,B798)&lt;&gt;1),"N. esecuzione non valido",IF(OR(NOT(ISNUMBER(C798)),AND(D798&lt;&gt;"Ingresso",D798&lt;&gt;"Uscita"),AND(E798&lt;&gt;"Back",E798&lt;&gt;"Lay")),"Completa data / fase / lato",IF(OR(NOT(ISNUMBER(F798)),F798&lt;=1,NOT(ISNUMBER(G798)),G798&lt;=0),"Correggi quota / stake","OK")))))</x:f>
      </x:c>
    </x:row>
    <x:row r="799" ht="22" customHeight="1">
      <x:c r="A799" s="24"/>
      <x:c r="B799" s="24"/>
      <x:c r="C799" s="26"/>
      <x:c r="D799" s="24"/>
      <x:c r="E799" s="24"/>
      <x:c r="F799" s="28"/>
      <x:c r="G799" s="29"/>
      <x:c r="H799" s="24"/>
      <x:c r="I799" s="24"/>
      <x:c r="J799" s="24"/>
      <x:c r="K799" s="24"/>
      <x:c r="L799" s="20" t="str">
        <x:f>IF(Q799&lt;&gt;"OK","",IF(E799="Back",G799*(F799-1),-G799*(F799-1)))</x:f>
      </x:c>
      <x:c r="M799" s="20" t="str">
        <x:f>IF(Q799&lt;&gt;"OK","",IF(E799="Back",-G799,G799))</x:f>
      </x:c>
      <x:c r="N799" s="20" t="str">
        <x:f>IF(Q799&lt;&gt;"OK","",SUMIFS($L$8:$L$1007,$A$8:$A$1007,A799,$B$8:$B$1007,"&lt;="&amp;B799))</x:f>
      </x:c>
      <x:c r="O799" s="20" t="str">
        <x:f>IF(Q799&lt;&gt;"OK","",SUMIFS($M$8:$M$1007,$A$8:$A$1007,A799,$B$8:$B$1007,"&lt;="&amp;B799))</x:f>
      </x:c>
      <x:c r="P799" s="20" t="str">
        <x:f>IF(Q799&lt;&gt;"OK","",MAX(0,-MIN(N799,O799)))</x:f>
      </x:c>
      <x:c r="Q799" s="18" t="str">
        <x:f>IF(A799="",IF(COUNTA(B799:K799)=0,"","Inserisci ID"),IF(COUNTIFS('Diario'!$A$8:$A$507,A799)&lt;&gt;1,"ID assente / duplicato",IF(OR(NOT(ISNUMBER(B799)),B799&lt;1,B799&lt;&gt;INT(B799),COUNTIFS($A$8:$A$1007,A799,$B$8:$B$1007,B799)&lt;&gt;1),"N. esecuzione non valido",IF(OR(NOT(ISNUMBER(C799)),AND(D799&lt;&gt;"Ingresso",D799&lt;&gt;"Uscita"),AND(E799&lt;&gt;"Back",E799&lt;&gt;"Lay")),"Completa data / fase / lato",IF(OR(NOT(ISNUMBER(F799)),F799&lt;=1,NOT(ISNUMBER(G799)),G799&lt;=0),"Correggi quota / stake","OK")))))</x:f>
      </x:c>
    </x:row>
    <x:row r="800" ht="22" customHeight="1">
      <x:c r="A800" s="24"/>
      <x:c r="B800" s="24"/>
      <x:c r="C800" s="26"/>
      <x:c r="D800" s="24"/>
      <x:c r="E800" s="24"/>
      <x:c r="F800" s="28"/>
      <x:c r="G800" s="29"/>
      <x:c r="H800" s="24"/>
      <x:c r="I800" s="24"/>
      <x:c r="J800" s="24"/>
      <x:c r="K800" s="24"/>
      <x:c r="L800" s="20" t="str">
        <x:f>IF(Q800&lt;&gt;"OK","",IF(E800="Back",G800*(F800-1),-G800*(F800-1)))</x:f>
      </x:c>
      <x:c r="M800" s="20" t="str">
        <x:f>IF(Q800&lt;&gt;"OK","",IF(E800="Back",-G800,G800))</x:f>
      </x:c>
      <x:c r="N800" s="20" t="str">
        <x:f>IF(Q800&lt;&gt;"OK","",SUMIFS($L$8:$L$1007,$A$8:$A$1007,A800,$B$8:$B$1007,"&lt;="&amp;B800))</x:f>
      </x:c>
      <x:c r="O800" s="20" t="str">
        <x:f>IF(Q800&lt;&gt;"OK","",SUMIFS($M$8:$M$1007,$A$8:$A$1007,A800,$B$8:$B$1007,"&lt;="&amp;B800))</x:f>
      </x:c>
      <x:c r="P800" s="20" t="str">
        <x:f>IF(Q800&lt;&gt;"OK","",MAX(0,-MIN(N800,O800)))</x:f>
      </x:c>
      <x:c r="Q800" s="18" t="str">
        <x:f>IF(A800="",IF(COUNTA(B800:K800)=0,"","Inserisci ID"),IF(COUNTIFS('Diario'!$A$8:$A$507,A800)&lt;&gt;1,"ID assente / duplicato",IF(OR(NOT(ISNUMBER(B800)),B800&lt;1,B800&lt;&gt;INT(B800),COUNTIFS($A$8:$A$1007,A800,$B$8:$B$1007,B800)&lt;&gt;1),"N. esecuzione non valido",IF(OR(NOT(ISNUMBER(C800)),AND(D800&lt;&gt;"Ingresso",D800&lt;&gt;"Uscita"),AND(E800&lt;&gt;"Back",E800&lt;&gt;"Lay")),"Completa data / fase / lato",IF(OR(NOT(ISNUMBER(F800)),F800&lt;=1,NOT(ISNUMBER(G800)),G800&lt;=0),"Correggi quota / stake","OK")))))</x:f>
      </x:c>
    </x:row>
    <x:row r="801" ht="22" customHeight="1">
      <x:c r="A801" s="24"/>
      <x:c r="B801" s="24"/>
      <x:c r="C801" s="26"/>
      <x:c r="D801" s="24"/>
      <x:c r="E801" s="24"/>
      <x:c r="F801" s="28"/>
      <x:c r="G801" s="29"/>
      <x:c r="H801" s="24"/>
      <x:c r="I801" s="24"/>
      <x:c r="J801" s="24"/>
      <x:c r="K801" s="24"/>
      <x:c r="L801" s="20" t="str">
        <x:f>IF(Q801&lt;&gt;"OK","",IF(E801="Back",G801*(F801-1),-G801*(F801-1)))</x:f>
      </x:c>
      <x:c r="M801" s="20" t="str">
        <x:f>IF(Q801&lt;&gt;"OK","",IF(E801="Back",-G801,G801))</x:f>
      </x:c>
      <x:c r="N801" s="20" t="str">
        <x:f>IF(Q801&lt;&gt;"OK","",SUMIFS($L$8:$L$1007,$A$8:$A$1007,A801,$B$8:$B$1007,"&lt;="&amp;B801))</x:f>
      </x:c>
      <x:c r="O801" s="20" t="str">
        <x:f>IF(Q801&lt;&gt;"OK","",SUMIFS($M$8:$M$1007,$A$8:$A$1007,A801,$B$8:$B$1007,"&lt;="&amp;B801))</x:f>
      </x:c>
      <x:c r="P801" s="20" t="str">
        <x:f>IF(Q801&lt;&gt;"OK","",MAX(0,-MIN(N801,O801)))</x:f>
      </x:c>
      <x:c r="Q801" s="18" t="str">
        <x:f>IF(A801="",IF(COUNTA(B801:K801)=0,"","Inserisci ID"),IF(COUNTIFS('Diario'!$A$8:$A$507,A801)&lt;&gt;1,"ID assente / duplicato",IF(OR(NOT(ISNUMBER(B801)),B801&lt;1,B801&lt;&gt;INT(B801),COUNTIFS($A$8:$A$1007,A801,$B$8:$B$1007,B801)&lt;&gt;1),"N. esecuzione non valido",IF(OR(NOT(ISNUMBER(C801)),AND(D801&lt;&gt;"Ingresso",D801&lt;&gt;"Uscita"),AND(E801&lt;&gt;"Back",E801&lt;&gt;"Lay")),"Completa data / fase / lato",IF(OR(NOT(ISNUMBER(F801)),F801&lt;=1,NOT(ISNUMBER(G801)),G801&lt;=0),"Correggi quota / stake","OK")))))</x:f>
      </x:c>
    </x:row>
    <x:row r="802" ht="22" customHeight="1">
      <x:c r="A802" s="24"/>
      <x:c r="B802" s="24"/>
      <x:c r="C802" s="26"/>
      <x:c r="D802" s="24"/>
      <x:c r="E802" s="24"/>
      <x:c r="F802" s="28"/>
      <x:c r="G802" s="29"/>
      <x:c r="H802" s="24"/>
      <x:c r="I802" s="24"/>
      <x:c r="J802" s="24"/>
      <x:c r="K802" s="24"/>
      <x:c r="L802" s="20" t="str">
        <x:f>IF(Q802&lt;&gt;"OK","",IF(E802="Back",G802*(F802-1),-G802*(F802-1)))</x:f>
      </x:c>
      <x:c r="M802" s="20" t="str">
        <x:f>IF(Q802&lt;&gt;"OK","",IF(E802="Back",-G802,G802))</x:f>
      </x:c>
      <x:c r="N802" s="20" t="str">
        <x:f>IF(Q802&lt;&gt;"OK","",SUMIFS($L$8:$L$1007,$A$8:$A$1007,A802,$B$8:$B$1007,"&lt;="&amp;B802))</x:f>
      </x:c>
      <x:c r="O802" s="20" t="str">
        <x:f>IF(Q802&lt;&gt;"OK","",SUMIFS($M$8:$M$1007,$A$8:$A$1007,A802,$B$8:$B$1007,"&lt;="&amp;B802))</x:f>
      </x:c>
      <x:c r="P802" s="20" t="str">
        <x:f>IF(Q802&lt;&gt;"OK","",MAX(0,-MIN(N802,O802)))</x:f>
      </x:c>
      <x:c r="Q802" s="18" t="str">
        <x:f>IF(A802="",IF(COUNTA(B802:K802)=0,"","Inserisci ID"),IF(COUNTIFS('Diario'!$A$8:$A$507,A802)&lt;&gt;1,"ID assente / duplicato",IF(OR(NOT(ISNUMBER(B802)),B802&lt;1,B802&lt;&gt;INT(B802),COUNTIFS($A$8:$A$1007,A802,$B$8:$B$1007,B802)&lt;&gt;1),"N. esecuzione non valido",IF(OR(NOT(ISNUMBER(C802)),AND(D802&lt;&gt;"Ingresso",D802&lt;&gt;"Uscita"),AND(E802&lt;&gt;"Back",E802&lt;&gt;"Lay")),"Completa data / fase / lato",IF(OR(NOT(ISNUMBER(F802)),F802&lt;=1,NOT(ISNUMBER(G802)),G802&lt;=0),"Correggi quota / stake","OK")))))</x:f>
      </x:c>
    </x:row>
    <x:row r="803" ht="22" customHeight="1">
      <x:c r="A803" s="24"/>
      <x:c r="B803" s="24"/>
      <x:c r="C803" s="26"/>
      <x:c r="D803" s="24"/>
      <x:c r="E803" s="24"/>
      <x:c r="F803" s="28"/>
      <x:c r="G803" s="29"/>
      <x:c r="H803" s="24"/>
      <x:c r="I803" s="24"/>
      <x:c r="J803" s="24"/>
      <x:c r="K803" s="24"/>
      <x:c r="L803" s="20" t="str">
        <x:f>IF(Q803&lt;&gt;"OK","",IF(E803="Back",G803*(F803-1),-G803*(F803-1)))</x:f>
      </x:c>
      <x:c r="M803" s="20" t="str">
        <x:f>IF(Q803&lt;&gt;"OK","",IF(E803="Back",-G803,G803))</x:f>
      </x:c>
      <x:c r="N803" s="20" t="str">
        <x:f>IF(Q803&lt;&gt;"OK","",SUMIFS($L$8:$L$1007,$A$8:$A$1007,A803,$B$8:$B$1007,"&lt;="&amp;B803))</x:f>
      </x:c>
      <x:c r="O803" s="20" t="str">
        <x:f>IF(Q803&lt;&gt;"OK","",SUMIFS($M$8:$M$1007,$A$8:$A$1007,A803,$B$8:$B$1007,"&lt;="&amp;B803))</x:f>
      </x:c>
      <x:c r="P803" s="20" t="str">
        <x:f>IF(Q803&lt;&gt;"OK","",MAX(0,-MIN(N803,O803)))</x:f>
      </x:c>
      <x:c r="Q803" s="18" t="str">
        <x:f>IF(A803="",IF(COUNTA(B803:K803)=0,"","Inserisci ID"),IF(COUNTIFS('Diario'!$A$8:$A$507,A803)&lt;&gt;1,"ID assente / duplicato",IF(OR(NOT(ISNUMBER(B803)),B803&lt;1,B803&lt;&gt;INT(B803),COUNTIFS($A$8:$A$1007,A803,$B$8:$B$1007,B803)&lt;&gt;1),"N. esecuzione non valido",IF(OR(NOT(ISNUMBER(C803)),AND(D803&lt;&gt;"Ingresso",D803&lt;&gt;"Uscita"),AND(E803&lt;&gt;"Back",E803&lt;&gt;"Lay")),"Completa data / fase / lato",IF(OR(NOT(ISNUMBER(F803)),F803&lt;=1,NOT(ISNUMBER(G803)),G803&lt;=0),"Correggi quota / stake","OK")))))</x:f>
      </x:c>
    </x:row>
    <x:row r="804" ht="22" customHeight="1">
      <x:c r="A804" s="24"/>
      <x:c r="B804" s="24"/>
      <x:c r="C804" s="26"/>
      <x:c r="D804" s="24"/>
      <x:c r="E804" s="24"/>
      <x:c r="F804" s="28"/>
      <x:c r="G804" s="29"/>
      <x:c r="H804" s="24"/>
      <x:c r="I804" s="24"/>
      <x:c r="J804" s="24"/>
      <x:c r="K804" s="24"/>
      <x:c r="L804" s="20" t="str">
        <x:f>IF(Q804&lt;&gt;"OK","",IF(E804="Back",G804*(F804-1),-G804*(F804-1)))</x:f>
      </x:c>
      <x:c r="M804" s="20" t="str">
        <x:f>IF(Q804&lt;&gt;"OK","",IF(E804="Back",-G804,G804))</x:f>
      </x:c>
      <x:c r="N804" s="20" t="str">
        <x:f>IF(Q804&lt;&gt;"OK","",SUMIFS($L$8:$L$1007,$A$8:$A$1007,A804,$B$8:$B$1007,"&lt;="&amp;B804))</x:f>
      </x:c>
      <x:c r="O804" s="20" t="str">
        <x:f>IF(Q804&lt;&gt;"OK","",SUMIFS($M$8:$M$1007,$A$8:$A$1007,A804,$B$8:$B$1007,"&lt;="&amp;B804))</x:f>
      </x:c>
      <x:c r="P804" s="20" t="str">
        <x:f>IF(Q804&lt;&gt;"OK","",MAX(0,-MIN(N804,O804)))</x:f>
      </x:c>
      <x:c r="Q804" s="18" t="str">
        <x:f>IF(A804="",IF(COUNTA(B804:K804)=0,"","Inserisci ID"),IF(COUNTIFS('Diario'!$A$8:$A$507,A804)&lt;&gt;1,"ID assente / duplicato",IF(OR(NOT(ISNUMBER(B804)),B804&lt;1,B804&lt;&gt;INT(B804),COUNTIFS($A$8:$A$1007,A804,$B$8:$B$1007,B804)&lt;&gt;1),"N. esecuzione non valido",IF(OR(NOT(ISNUMBER(C804)),AND(D804&lt;&gt;"Ingresso",D804&lt;&gt;"Uscita"),AND(E804&lt;&gt;"Back",E804&lt;&gt;"Lay")),"Completa data / fase / lato",IF(OR(NOT(ISNUMBER(F804)),F804&lt;=1,NOT(ISNUMBER(G804)),G804&lt;=0),"Correggi quota / stake","OK")))))</x:f>
      </x:c>
    </x:row>
    <x:row r="805" ht="22" customHeight="1">
      <x:c r="A805" s="24"/>
      <x:c r="B805" s="24"/>
      <x:c r="C805" s="26"/>
      <x:c r="D805" s="24"/>
      <x:c r="E805" s="24"/>
      <x:c r="F805" s="28"/>
      <x:c r="G805" s="29"/>
      <x:c r="H805" s="24"/>
      <x:c r="I805" s="24"/>
      <x:c r="J805" s="24"/>
      <x:c r="K805" s="24"/>
      <x:c r="L805" s="20" t="str">
        <x:f>IF(Q805&lt;&gt;"OK","",IF(E805="Back",G805*(F805-1),-G805*(F805-1)))</x:f>
      </x:c>
      <x:c r="M805" s="20" t="str">
        <x:f>IF(Q805&lt;&gt;"OK","",IF(E805="Back",-G805,G805))</x:f>
      </x:c>
      <x:c r="N805" s="20" t="str">
        <x:f>IF(Q805&lt;&gt;"OK","",SUMIFS($L$8:$L$1007,$A$8:$A$1007,A805,$B$8:$B$1007,"&lt;="&amp;B805))</x:f>
      </x:c>
      <x:c r="O805" s="20" t="str">
        <x:f>IF(Q805&lt;&gt;"OK","",SUMIFS($M$8:$M$1007,$A$8:$A$1007,A805,$B$8:$B$1007,"&lt;="&amp;B805))</x:f>
      </x:c>
      <x:c r="P805" s="20" t="str">
        <x:f>IF(Q805&lt;&gt;"OK","",MAX(0,-MIN(N805,O805)))</x:f>
      </x:c>
      <x:c r="Q805" s="18" t="str">
        <x:f>IF(A805="",IF(COUNTA(B805:K805)=0,"","Inserisci ID"),IF(COUNTIFS('Diario'!$A$8:$A$507,A805)&lt;&gt;1,"ID assente / duplicato",IF(OR(NOT(ISNUMBER(B805)),B805&lt;1,B805&lt;&gt;INT(B805),COUNTIFS($A$8:$A$1007,A805,$B$8:$B$1007,B805)&lt;&gt;1),"N. esecuzione non valido",IF(OR(NOT(ISNUMBER(C805)),AND(D805&lt;&gt;"Ingresso",D805&lt;&gt;"Uscita"),AND(E805&lt;&gt;"Back",E805&lt;&gt;"Lay")),"Completa data / fase / lato",IF(OR(NOT(ISNUMBER(F805)),F805&lt;=1,NOT(ISNUMBER(G805)),G805&lt;=0),"Correggi quota / stake","OK")))))</x:f>
      </x:c>
    </x:row>
    <x:row r="806" ht="22" customHeight="1">
      <x:c r="A806" s="24"/>
      <x:c r="B806" s="24"/>
      <x:c r="C806" s="26"/>
      <x:c r="D806" s="24"/>
      <x:c r="E806" s="24"/>
      <x:c r="F806" s="28"/>
      <x:c r="G806" s="29"/>
      <x:c r="H806" s="24"/>
      <x:c r="I806" s="24"/>
      <x:c r="J806" s="24"/>
      <x:c r="K806" s="24"/>
      <x:c r="L806" s="20" t="str">
        <x:f>IF(Q806&lt;&gt;"OK","",IF(E806="Back",G806*(F806-1),-G806*(F806-1)))</x:f>
      </x:c>
      <x:c r="M806" s="20" t="str">
        <x:f>IF(Q806&lt;&gt;"OK","",IF(E806="Back",-G806,G806))</x:f>
      </x:c>
      <x:c r="N806" s="20" t="str">
        <x:f>IF(Q806&lt;&gt;"OK","",SUMIFS($L$8:$L$1007,$A$8:$A$1007,A806,$B$8:$B$1007,"&lt;="&amp;B806))</x:f>
      </x:c>
      <x:c r="O806" s="20" t="str">
        <x:f>IF(Q806&lt;&gt;"OK","",SUMIFS($M$8:$M$1007,$A$8:$A$1007,A806,$B$8:$B$1007,"&lt;="&amp;B806))</x:f>
      </x:c>
      <x:c r="P806" s="20" t="str">
        <x:f>IF(Q806&lt;&gt;"OK","",MAX(0,-MIN(N806,O806)))</x:f>
      </x:c>
      <x:c r="Q806" s="18" t="str">
        <x:f>IF(A806="",IF(COUNTA(B806:K806)=0,"","Inserisci ID"),IF(COUNTIFS('Diario'!$A$8:$A$507,A806)&lt;&gt;1,"ID assente / duplicato",IF(OR(NOT(ISNUMBER(B806)),B806&lt;1,B806&lt;&gt;INT(B806),COUNTIFS($A$8:$A$1007,A806,$B$8:$B$1007,B806)&lt;&gt;1),"N. esecuzione non valido",IF(OR(NOT(ISNUMBER(C806)),AND(D806&lt;&gt;"Ingresso",D806&lt;&gt;"Uscita"),AND(E806&lt;&gt;"Back",E806&lt;&gt;"Lay")),"Completa data / fase / lato",IF(OR(NOT(ISNUMBER(F806)),F806&lt;=1,NOT(ISNUMBER(G806)),G806&lt;=0),"Correggi quota / stake","OK")))))</x:f>
      </x:c>
    </x:row>
    <x:row r="807" ht="22" customHeight="1">
      <x:c r="A807" s="24"/>
      <x:c r="B807" s="24"/>
      <x:c r="C807" s="26"/>
      <x:c r="D807" s="24"/>
      <x:c r="E807" s="24"/>
      <x:c r="F807" s="28"/>
      <x:c r="G807" s="29"/>
      <x:c r="H807" s="24"/>
      <x:c r="I807" s="24"/>
      <x:c r="J807" s="24"/>
      <x:c r="K807" s="24"/>
      <x:c r="L807" s="20" t="str">
        <x:f>IF(Q807&lt;&gt;"OK","",IF(E807="Back",G807*(F807-1),-G807*(F807-1)))</x:f>
      </x:c>
      <x:c r="M807" s="20" t="str">
        <x:f>IF(Q807&lt;&gt;"OK","",IF(E807="Back",-G807,G807))</x:f>
      </x:c>
      <x:c r="N807" s="20" t="str">
        <x:f>IF(Q807&lt;&gt;"OK","",SUMIFS($L$8:$L$1007,$A$8:$A$1007,A807,$B$8:$B$1007,"&lt;="&amp;B807))</x:f>
      </x:c>
      <x:c r="O807" s="20" t="str">
        <x:f>IF(Q807&lt;&gt;"OK","",SUMIFS($M$8:$M$1007,$A$8:$A$1007,A807,$B$8:$B$1007,"&lt;="&amp;B807))</x:f>
      </x:c>
      <x:c r="P807" s="20" t="str">
        <x:f>IF(Q807&lt;&gt;"OK","",MAX(0,-MIN(N807,O807)))</x:f>
      </x:c>
      <x:c r="Q807" s="18" t="str">
        <x:f>IF(A807="",IF(COUNTA(B807:K807)=0,"","Inserisci ID"),IF(COUNTIFS('Diario'!$A$8:$A$507,A807)&lt;&gt;1,"ID assente / duplicato",IF(OR(NOT(ISNUMBER(B807)),B807&lt;1,B807&lt;&gt;INT(B807),COUNTIFS($A$8:$A$1007,A807,$B$8:$B$1007,B807)&lt;&gt;1),"N. esecuzione non valido",IF(OR(NOT(ISNUMBER(C807)),AND(D807&lt;&gt;"Ingresso",D807&lt;&gt;"Uscita"),AND(E807&lt;&gt;"Back",E807&lt;&gt;"Lay")),"Completa data / fase / lato",IF(OR(NOT(ISNUMBER(F807)),F807&lt;=1,NOT(ISNUMBER(G807)),G807&lt;=0),"Correggi quota / stake","OK")))))</x:f>
      </x:c>
    </x:row>
    <x:row r="808" ht="22" customHeight="1">
      <x:c r="A808" s="24"/>
      <x:c r="B808" s="24"/>
      <x:c r="C808" s="26"/>
      <x:c r="D808" s="24"/>
      <x:c r="E808" s="24"/>
      <x:c r="F808" s="28"/>
      <x:c r="G808" s="29"/>
      <x:c r="H808" s="24"/>
      <x:c r="I808" s="24"/>
      <x:c r="J808" s="24"/>
      <x:c r="K808" s="24"/>
      <x:c r="L808" s="20" t="str">
        <x:f>IF(Q808&lt;&gt;"OK","",IF(E808="Back",G808*(F808-1),-G808*(F808-1)))</x:f>
      </x:c>
      <x:c r="M808" s="20" t="str">
        <x:f>IF(Q808&lt;&gt;"OK","",IF(E808="Back",-G808,G808))</x:f>
      </x:c>
      <x:c r="N808" s="20" t="str">
        <x:f>IF(Q808&lt;&gt;"OK","",SUMIFS($L$8:$L$1007,$A$8:$A$1007,A808,$B$8:$B$1007,"&lt;="&amp;B808))</x:f>
      </x:c>
      <x:c r="O808" s="20" t="str">
        <x:f>IF(Q808&lt;&gt;"OK","",SUMIFS($M$8:$M$1007,$A$8:$A$1007,A808,$B$8:$B$1007,"&lt;="&amp;B808))</x:f>
      </x:c>
      <x:c r="P808" s="20" t="str">
        <x:f>IF(Q808&lt;&gt;"OK","",MAX(0,-MIN(N808,O808)))</x:f>
      </x:c>
      <x:c r="Q808" s="18" t="str">
        <x:f>IF(A808="",IF(COUNTA(B808:K808)=0,"","Inserisci ID"),IF(COUNTIFS('Diario'!$A$8:$A$507,A808)&lt;&gt;1,"ID assente / duplicato",IF(OR(NOT(ISNUMBER(B808)),B808&lt;1,B808&lt;&gt;INT(B808),COUNTIFS($A$8:$A$1007,A808,$B$8:$B$1007,B808)&lt;&gt;1),"N. esecuzione non valido",IF(OR(NOT(ISNUMBER(C808)),AND(D808&lt;&gt;"Ingresso",D808&lt;&gt;"Uscita"),AND(E808&lt;&gt;"Back",E808&lt;&gt;"Lay")),"Completa data / fase / lato",IF(OR(NOT(ISNUMBER(F808)),F808&lt;=1,NOT(ISNUMBER(G808)),G808&lt;=0),"Correggi quota / stake","OK")))))</x:f>
      </x:c>
    </x:row>
    <x:row r="809" ht="22" customHeight="1">
      <x:c r="A809" s="24"/>
      <x:c r="B809" s="24"/>
      <x:c r="C809" s="26"/>
      <x:c r="D809" s="24"/>
      <x:c r="E809" s="24"/>
      <x:c r="F809" s="28"/>
      <x:c r="G809" s="29"/>
      <x:c r="H809" s="24"/>
      <x:c r="I809" s="24"/>
      <x:c r="J809" s="24"/>
      <x:c r="K809" s="24"/>
      <x:c r="L809" s="20" t="str">
        <x:f>IF(Q809&lt;&gt;"OK","",IF(E809="Back",G809*(F809-1),-G809*(F809-1)))</x:f>
      </x:c>
      <x:c r="M809" s="20" t="str">
        <x:f>IF(Q809&lt;&gt;"OK","",IF(E809="Back",-G809,G809))</x:f>
      </x:c>
      <x:c r="N809" s="20" t="str">
        <x:f>IF(Q809&lt;&gt;"OK","",SUMIFS($L$8:$L$1007,$A$8:$A$1007,A809,$B$8:$B$1007,"&lt;="&amp;B809))</x:f>
      </x:c>
      <x:c r="O809" s="20" t="str">
        <x:f>IF(Q809&lt;&gt;"OK","",SUMIFS($M$8:$M$1007,$A$8:$A$1007,A809,$B$8:$B$1007,"&lt;="&amp;B809))</x:f>
      </x:c>
      <x:c r="P809" s="20" t="str">
        <x:f>IF(Q809&lt;&gt;"OK","",MAX(0,-MIN(N809,O809)))</x:f>
      </x:c>
      <x:c r="Q809" s="18" t="str">
        <x:f>IF(A809="",IF(COUNTA(B809:K809)=0,"","Inserisci ID"),IF(COUNTIFS('Diario'!$A$8:$A$507,A809)&lt;&gt;1,"ID assente / duplicato",IF(OR(NOT(ISNUMBER(B809)),B809&lt;1,B809&lt;&gt;INT(B809),COUNTIFS($A$8:$A$1007,A809,$B$8:$B$1007,B809)&lt;&gt;1),"N. esecuzione non valido",IF(OR(NOT(ISNUMBER(C809)),AND(D809&lt;&gt;"Ingresso",D809&lt;&gt;"Uscita"),AND(E809&lt;&gt;"Back",E809&lt;&gt;"Lay")),"Completa data / fase / lato",IF(OR(NOT(ISNUMBER(F809)),F809&lt;=1,NOT(ISNUMBER(G809)),G809&lt;=0),"Correggi quota / stake","OK")))))</x:f>
      </x:c>
    </x:row>
    <x:row r="810" ht="22" customHeight="1">
      <x:c r="A810" s="24"/>
      <x:c r="B810" s="24"/>
      <x:c r="C810" s="26"/>
      <x:c r="D810" s="24"/>
      <x:c r="E810" s="24"/>
      <x:c r="F810" s="28"/>
      <x:c r="G810" s="29"/>
      <x:c r="H810" s="24"/>
      <x:c r="I810" s="24"/>
      <x:c r="J810" s="24"/>
      <x:c r="K810" s="24"/>
      <x:c r="L810" s="20" t="str">
        <x:f>IF(Q810&lt;&gt;"OK","",IF(E810="Back",G810*(F810-1),-G810*(F810-1)))</x:f>
      </x:c>
      <x:c r="M810" s="20" t="str">
        <x:f>IF(Q810&lt;&gt;"OK","",IF(E810="Back",-G810,G810))</x:f>
      </x:c>
      <x:c r="N810" s="20" t="str">
        <x:f>IF(Q810&lt;&gt;"OK","",SUMIFS($L$8:$L$1007,$A$8:$A$1007,A810,$B$8:$B$1007,"&lt;="&amp;B810))</x:f>
      </x:c>
      <x:c r="O810" s="20" t="str">
        <x:f>IF(Q810&lt;&gt;"OK","",SUMIFS($M$8:$M$1007,$A$8:$A$1007,A810,$B$8:$B$1007,"&lt;="&amp;B810))</x:f>
      </x:c>
      <x:c r="P810" s="20" t="str">
        <x:f>IF(Q810&lt;&gt;"OK","",MAX(0,-MIN(N810,O810)))</x:f>
      </x:c>
      <x:c r="Q810" s="18" t="str">
        <x:f>IF(A810="",IF(COUNTA(B810:K810)=0,"","Inserisci ID"),IF(COUNTIFS('Diario'!$A$8:$A$507,A810)&lt;&gt;1,"ID assente / duplicato",IF(OR(NOT(ISNUMBER(B810)),B810&lt;1,B810&lt;&gt;INT(B810),COUNTIFS($A$8:$A$1007,A810,$B$8:$B$1007,B810)&lt;&gt;1),"N. esecuzione non valido",IF(OR(NOT(ISNUMBER(C810)),AND(D810&lt;&gt;"Ingresso",D810&lt;&gt;"Uscita"),AND(E810&lt;&gt;"Back",E810&lt;&gt;"Lay")),"Completa data / fase / lato",IF(OR(NOT(ISNUMBER(F810)),F810&lt;=1,NOT(ISNUMBER(G810)),G810&lt;=0),"Correggi quota / stake","OK")))))</x:f>
      </x:c>
    </x:row>
    <x:row r="811" ht="22" customHeight="1">
      <x:c r="A811" s="24"/>
      <x:c r="B811" s="24"/>
      <x:c r="C811" s="26"/>
      <x:c r="D811" s="24"/>
      <x:c r="E811" s="24"/>
      <x:c r="F811" s="28"/>
      <x:c r="G811" s="29"/>
      <x:c r="H811" s="24"/>
      <x:c r="I811" s="24"/>
      <x:c r="J811" s="24"/>
      <x:c r="K811" s="24"/>
      <x:c r="L811" s="20" t="str">
        <x:f>IF(Q811&lt;&gt;"OK","",IF(E811="Back",G811*(F811-1),-G811*(F811-1)))</x:f>
      </x:c>
      <x:c r="M811" s="20" t="str">
        <x:f>IF(Q811&lt;&gt;"OK","",IF(E811="Back",-G811,G811))</x:f>
      </x:c>
      <x:c r="N811" s="20" t="str">
        <x:f>IF(Q811&lt;&gt;"OK","",SUMIFS($L$8:$L$1007,$A$8:$A$1007,A811,$B$8:$B$1007,"&lt;="&amp;B811))</x:f>
      </x:c>
      <x:c r="O811" s="20" t="str">
        <x:f>IF(Q811&lt;&gt;"OK","",SUMIFS($M$8:$M$1007,$A$8:$A$1007,A811,$B$8:$B$1007,"&lt;="&amp;B811))</x:f>
      </x:c>
      <x:c r="P811" s="20" t="str">
        <x:f>IF(Q811&lt;&gt;"OK","",MAX(0,-MIN(N811,O811)))</x:f>
      </x:c>
      <x:c r="Q811" s="18" t="str">
        <x:f>IF(A811="",IF(COUNTA(B811:K811)=0,"","Inserisci ID"),IF(COUNTIFS('Diario'!$A$8:$A$507,A811)&lt;&gt;1,"ID assente / duplicato",IF(OR(NOT(ISNUMBER(B811)),B811&lt;1,B811&lt;&gt;INT(B811),COUNTIFS($A$8:$A$1007,A811,$B$8:$B$1007,B811)&lt;&gt;1),"N. esecuzione non valido",IF(OR(NOT(ISNUMBER(C811)),AND(D811&lt;&gt;"Ingresso",D811&lt;&gt;"Uscita"),AND(E811&lt;&gt;"Back",E811&lt;&gt;"Lay")),"Completa data / fase / lato",IF(OR(NOT(ISNUMBER(F811)),F811&lt;=1,NOT(ISNUMBER(G811)),G811&lt;=0),"Correggi quota / stake","OK")))))</x:f>
      </x:c>
    </x:row>
    <x:row r="812" ht="22" customHeight="1">
      <x:c r="A812" s="24"/>
      <x:c r="B812" s="24"/>
      <x:c r="C812" s="26"/>
      <x:c r="D812" s="24"/>
      <x:c r="E812" s="24"/>
      <x:c r="F812" s="28"/>
      <x:c r="G812" s="29"/>
      <x:c r="H812" s="24"/>
      <x:c r="I812" s="24"/>
      <x:c r="J812" s="24"/>
      <x:c r="K812" s="24"/>
      <x:c r="L812" s="20" t="str">
        <x:f>IF(Q812&lt;&gt;"OK","",IF(E812="Back",G812*(F812-1),-G812*(F812-1)))</x:f>
      </x:c>
      <x:c r="M812" s="20" t="str">
        <x:f>IF(Q812&lt;&gt;"OK","",IF(E812="Back",-G812,G812))</x:f>
      </x:c>
      <x:c r="N812" s="20" t="str">
        <x:f>IF(Q812&lt;&gt;"OK","",SUMIFS($L$8:$L$1007,$A$8:$A$1007,A812,$B$8:$B$1007,"&lt;="&amp;B812))</x:f>
      </x:c>
      <x:c r="O812" s="20" t="str">
        <x:f>IF(Q812&lt;&gt;"OK","",SUMIFS($M$8:$M$1007,$A$8:$A$1007,A812,$B$8:$B$1007,"&lt;="&amp;B812))</x:f>
      </x:c>
      <x:c r="P812" s="20" t="str">
        <x:f>IF(Q812&lt;&gt;"OK","",MAX(0,-MIN(N812,O812)))</x:f>
      </x:c>
      <x:c r="Q812" s="18" t="str">
        <x:f>IF(A812="",IF(COUNTA(B812:K812)=0,"","Inserisci ID"),IF(COUNTIFS('Diario'!$A$8:$A$507,A812)&lt;&gt;1,"ID assente / duplicato",IF(OR(NOT(ISNUMBER(B812)),B812&lt;1,B812&lt;&gt;INT(B812),COUNTIFS($A$8:$A$1007,A812,$B$8:$B$1007,B812)&lt;&gt;1),"N. esecuzione non valido",IF(OR(NOT(ISNUMBER(C812)),AND(D812&lt;&gt;"Ingresso",D812&lt;&gt;"Uscita"),AND(E812&lt;&gt;"Back",E812&lt;&gt;"Lay")),"Completa data / fase / lato",IF(OR(NOT(ISNUMBER(F812)),F812&lt;=1,NOT(ISNUMBER(G812)),G812&lt;=0),"Correggi quota / stake","OK")))))</x:f>
      </x:c>
    </x:row>
    <x:row r="813" ht="22" customHeight="1">
      <x:c r="A813" s="24"/>
      <x:c r="B813" s="24"/>
      <x:c r="C813" s="26"/>
      <x:c r="D813" s="24"/>
      <x:c r="E813" s="24"/>
      <x:c r="F813" s="28"/>
      <x:c r="G813" s="29"/>
      <x:c r="H813" s="24"/>
      <x:c r="I813" s="24"/>
      <x:c r="J813" s="24"/>
      <x:c r="K813" s="24"/>
      <x:c r="L813" s="20" t="str">
        <x:f>IF(Q813&lt;&gt;"OK","",IF(E813="Back",G813*(F813-1),-G813*(F813-1)))</x:f>
      </x:c>
      <x:c r="M813" s="20" t="str">
        <x:f>IF(Q813&lt;&gt;"OK","",IF(E813="Back",-G813,G813))</x:f>
      </x:c>
      <x:c r="N813" s="20" t="str">
        <x:f>IF(Q813&lt;&gt;"OK","",SUMIFS($L$8:$L$1007,$A$8:$A$1007,A813,$B$8:$B$1007,"&lt;="&amp;B813))</x:f>
      </x:c>
      <x:c r="O813" s="20" t="str">
        <x:f>IF(Q813&lt;&gt;"OK","",SUMIFS($M$8:$M$1007,$A$8:$A$1007,A813,$B$8:$B$1007,"&lt;="&amp;B813))</x:f>
      </x:c>
      <x:c r="P813" s="20" t="str">
        <x:f>IF(Q813&lt;&gt;"OK","",MAX(0,-MIN(N813,O813)))</x:f>
      </x:c>
      <x:c r="Q813" s="18" t="str">
        <x:f>IF(A813="",IF(COUNTA(B813:K813)=0,"","Inserisci ID"),IF(COUNTIFS('Diario'!$A$8:$A$507,A813)&lt;&gt;1,"ID assente / duplicato",IF(OR(NOT(ISNUMBER(B813)),B813&lt;1,B813&lt;&gt;INT(B813),COUNTIFS($A$8:$A$1007,A813,$B$8:$B$1007,B813)&lt;&gt;1),"N. esecuzione non valido",IF(OR(NOT(ISNUMBER(C813)),AND(D813&lt;&gt;"Ingresso",D813&lt;&gt;"Uscita"),AND(E813&lt;&gt;"Back",E813&lt;&gt;"Lay")),"Completa data / fase / lato",IF(OR(NOT(ISNUMBER(F813)),F813&lt;=1,NOT(ISNUMBER(G813)),G813&lt;=0),"Correggi quota / stake","OK")))))</x:f>
      </x:c>
    </x:row>
    <x:row r="814" ht="22" customHeight="1">
      <x:c r="A814" s="24"/>
      <x:c r="B814" s="24"/>
      <x:c r="C814" s="26"/>
      <x:c r="D814" s="24"/>
      <x:c r="E814" s="24"/>
      <x:c r="F814" s="28"/>
      <x:c r="G814" s="29"/>
      <x:c r="H814" s="24"/>
      <x:c r="I814" s="24"/>
      <x:c r="J814" s="24"/>
      <x:c r="K814" s="24"/>
      <x:c r="L814" s="20" t="str">
        <x:f>IF(Q814&lt;&gt;"OK","",IF(E814="Back",G814*(F814-1),-G814*(F814-1)))</x:f>
      </x:c>
      <x:c r="M814" s="20" t="str">
        <x:f>IF(Q814&lt;&gt;"OK","",IF(E814="Back",-G814,G814))</x:f>
      </x:c>
      <x:c r="N814" s="20" t="str">
        <x:f>IF(Q814&lt;&gt;"OK","",SUMIFS($L$8:$L$1007,$A$8:$A$1007,A814,$B$8:$B$1007,"&lt;="&amp;B814))</x:f>
      </x:c>
      <x:c r="O814" s="20" t="str">
        <x:f>IF(Q814&lt;&gt;"OK","",SUMIFS($M$8:$M$1007,$A$8:$A$1007,A814,$B$8:$B$1007,"&lt;="&amp;B814))</x:f>
      </x:c>
      <x:c r="P814" s="20" t="str">
        <x:f>IF(Q814&lt;&gt;"OK","",MAX(0,-MIN(N814,O814)))</x:f>
      </x:c>
      <x:c r="Q814" s="18" t="str">
        <x:f>IF(A814="",IF(COUNTA(B814:K814)=0,"","Inserisci ID"),IF(COUNTIFS('Diario'!$A$8:$A$507,A814)&lt;&gt;1,"ID assente / duplicato",IF(OR(NOT(ISNUMBER(B814)),B814&lt;1,B814&lt;&gt;INT(B814),COUNTIFS($A$8:$A$1007,A814,$B$8:$B$1007,B814)&lt;&gt;1),"N. esecuzione non valido",IF(OR(NOT(ISNUMBER(C814)),AND(D814&lt;&gt;"Ingresso",D814&lt;&gt;"Uscita"),AND(E814&lt;&gt;"Back",E814&lt;&gt;"Lay")),"Completa data / fase / lato",IF(OR(NOT(ISNUMBER(F814)),F814&lt;=1,NOT(ISNUMBER(G814)),G814&lt;=0),"Correggi quota / stake","OK")))))</x:f>
      </x:c>
    </x:row>
    <x:row r="815" ht="22" customHeight="1">
      <x:c r="A815" s="24"/>
      <x:c r="B815" s="24"/>
      <x:c r="C815" s="26"/>
      <x:c r="D815" s="24"/>
      <x:c r="E815" s="24"/>
      <x:c r="F815" s="28"/>
      <x:c r="G815" s="29"/>
      <x:c r="H815" s="24"/>
      <x:c r="I815" s="24"/>
      <x:c r="J815" s="24"/>
      <x:c r="K815" s="24"/>
      <x:c r="L815" s="20" t="str">
        <x:f>IF(Q815&lt;&gt;"OK","",IF(E815="Back",G815*(F815-1),-G815*(F815-1)))</x:f>
      </x:c>
      <x:c r="M815" s="20" t="str">
        <x:f>IF(Q815&lt;&gt;"OK","",IF(E815="Back",-G815,G815))</x:f>
      </x:c>
      <x:c r="N815" s="20" t="str">
        <x:f>IF(Q815&lt;&gt;"OK","",SUMIFS($L$8:$L$1007,$A$8:$A$1007,A815,$B$8:$B$1007,"&lt;="&amp;B815))</x:f>
      </x:c>
      <x:c r="O815" s="20" t="str">
        <x:f>IF(Q815&lt;&gt;"OK","",SUMIFS($M$8:$M$1007,$A$8:$A$1007,A815,$B$8:$B$1007,"&lt;="&amp;B815))</x:f>
      </x:c>
      <x:c r="P815" s="20" t="str">
        <x:f>IF(Q815&lt;&gt;"OK","",MAX(0,-MIN(N815,O815)))</x:f>
      </x:c>
      <x:c r="Q815" s="18" t="str">
        <x:f>IF(A815="",IF(COUNTA(B815:K815)=0,"","Inserisci ID"),IF(COUNTIFS('Diario'!$A$8:$A$507,A815)&lt;&gt;1,"ID assente / duplicato",IF(OR(NOT(ISNUMBER(B815)),B815&lt;1,B815&lt;&gt;INT(B815),COUNTIFS($A$8:$A$1007,A815,$B$8:$B$1007,B815)&lt;&gt;1),"N. esecuzione non valido",IF(OR(NOT(ISNUMBER(C815)),AND(D815&lt;&gt;"Ingresso",D815&lt;&gt;"Uscita"),AND(E815&lt;&gt;"Back",E815&lt;&gt;"Lay")),"Completa data / fase / lato",IF(OR(NOT(ISNUMBER(F815)),F815&lt;=1,NOT(ISNUMBER(G815)),G815&lt;=0),"Correggi quota / stake","OK")))))</x:f>
      </x:c>
    </x:row>
    <x:row r="816" ht="22" customHeight="1">
      <x:c r="A816" s="24"/>
      <x:c r="B816" s="24"/>
      <x:c r="C816" s="26"/>
      <x:c r="D816" s="24"/>
      <x:c r="E816" s="24"/>
      <x:c r="F816" s="28"/>
      <x:c r="G816" s="29"/>
      <x:c r="H816" s="24"/>
      <x:c r="I816" s="24"/>
      <x:c r="J816" s="24"/>
      <x:c r="K816" s="24"/>
      <x:c r="L816" s="20" t="str">
        <x:f>IF(Q816&lt;&gt;"OK","",IF(E816="Back",G816*(F816-1),-G816*(F816-1)))</x:f>
      </x:c>
      <x:c r="M816" s="20" t="str">
        <x:f>IF(Q816&lt;&gt;"OK","",IF(E816="Back",-G816,G816))</x:f>
      </x:c>
      <x:c r="N816" s="20" t="str">
        <x:f>IF(Q816&lt;&gt;"OK","",SUMIFS($L$8:$L$1007,$A$8:$A$1007,A816,$B$8:$B$1007,"&lt;="&amp;B816))</x:f>
      </x:c>
      <x:c r="O816" s="20" t="str">
        <x:f>IF(Q816&lt;&gt;"OK","",SUMIFS($M$8:$M$1007,$A$8:$A$1007,A816,$B$8:$B$1007,"&lt;="&amp;B816))</x:f>
      </x:c>
      <x:c r="P816" s="20" t="str">
        <x:f>IF(Q816&lt;&gt;"OK","",MAX(0,-MIN(N816,O816)))</x:f>
      </x:c>
      <x:c r="Q816" s="18" t="str">
        <x:f>IF(A816="",IF(COUNTA(B816:K816)=0,"","Inserisci ID"),IF(COUNTIFS('Diario'!$A$8:$A$507,A816)&lt;&gt;1,"ID assente / duplicato",IF(OR(NOT(ISNUMBER(B816)),B816&lt;1,B816&lt;&gt;INT(B816),COUNTIFS($A$8:$A$1007,A816,$B$8:$B$1007,B816)&lt;&gt;1),"N. esecuzione non valido",IF(OR(NOT(ISNUMBER(C816)),AND(D816&lt;&gt;"Ingresso",D816&lt;&gt;"Uscita"),AND(E816&lt;&gt;"Back",E816&lt;&gt;"Lay")),"Completa data / fase / lato",IF(OR(NOT(ISNUMBER(F816)),F816&lt;=1,NOT(ISNUMBER(G816)),G816&lt;=0),"Correggi quota / stake","OK")))))</x:f>
      </x:c>
    </x:row>
    <x:row r="817" ht="22" customHeight="1">
      <x:c r="A817" s="24"/>
      <x:c r="B817" s="24"/>
      <x:c r="C817" s="26"/>
      <x:c r="D817" s="24"/>
      <x:c r="E817" s="24"/>
      <x:c r="F817" s="28"/>
      <x:c r="G817" s="29"/>
      <x:c r="H817" s="24"/>
      <x:c r="I817" s="24"/>
      <x:c r="J817" s="24"/>
      <x:c r="K817" s="24"/>
      <x:c r="L817" s="20" t="str">
        <x:f>IF(Q817&lt;&gt;"OK","",IF(E817="Back",G817*(F817-1),-G817*(F817-1)))</x:f>
      </x:c>
      <x:c r="M817" s="20" t="str">
        <x:f>IF(Q817&lt;&gt;"OK","",IF(E817="Back",-G817,G817))</x:f>
      </x:c>
      <x:c r="N817" s="20" t="str">
        <x:f>IF(Q817&lt;&gt;"OK","",SUMIFS($L$8:$L$1007,$A$8:$A$1007,A817,$B$8:$B$1007,"&lt;="&amp;B817))</x:f>
      </x:c>
      <x:c r="O817" s="20" t="str">
        <x:f>IF(Q817&lt;&gt;"OK","",SUMIFS($M$8:$M$1007,$A$8:$A$1007,A817,$B$8:$B$1007,"&lt;="&amp;B817))</x:f>
      </x:c>
      <x:c r="P817" s="20" t="str">
        <x:f>IF(Q817&lt;&gt;"OK","",MAX(0,-MIN(N817,O817)))</x:f>
      </x:c>
      <x:c r="Q817" s="18" t="str">
        <x:f>IF(A817="",IF(COUNTA(B817:K817)=0,"","Inserisci ID"),IF(COUNTIFS('Diario'!$A$8:$A$507,A817)&lt;&gt;1,"ID assente / duplicato",IF(OR(NOT(ISNUMBER(B817)),B817&lt;1,B817&lt;&gt;INT(B817),COUNTIFS($A$8:$A$1007,A817,$B$8:$B$1007,B817)&lt;&gt;1),"N. esecuzione non valido",IF(OR(NOT(ISNUMBER(C817)),AND(D817&lt;&gt;"Ingresso",D817&lt;&gt;"Uscita"),AND(E817&lt;&gt;"Back",E817&lt;&gt;"Lay")),"Completa data / fase / lato",IF(OR(NOT(ISNUMBER(F817)),F817&lt;=1,NOT(ISNUMBER(G817)),G817&lt;=0),"Correggi quota / stake","OK")))))</x:f>
      </x:c>
    </x:row>
    <x:row r="818" ht="22" customHeight="1">
      <x:c r="A818" s="24"/>
      <x:c r="B818" s="24"/>
      <x:c r="C818" s="26"/>
      <x:c r="D818" s="24"/>
      <x:c r="E818" s="24"/>
      <x:c r="F818" s="28"/>
      <x:c r="G818" s="29"/>
      <x:c r="H818" s="24"/>
      <x:c r="I818" s="24"/>
      <x:c r="J818" s="24"/>
      <x:c r="K818" s="24"/>
      <x:c r="L818" s="20" t="str">
        <x:f>IF(Q818&lt;&gt;"OK","",IF(E818="Back",G818*(F818-1),-G818*(F818-1)))</x:f>
      </x:c>
      <x:c r="M818" s="20" t="str">
        <x:f>IF(Q818&lt;&gt;"OK","",IF(E818="Back",-G818,G818))</x:f>
      </x:c>
      <x:c r="N818" s="20" t="str">
        <x:f>IF(Q818&lt;&gt;"OK","",SUMIFS($L$8:$L$1007,$A$8:$A$1007,A818,$B$8:$B$1007,"&lt;="&amp;B818))</x:f>
      </x:c>
      <x:c r="O818" s="20" t="str">
        <x:f>IF(Q818&lt;&gt;"OK","",SUMIFS($M$8:$M$1007,$A$8:$A$1007,A818,$B$8:$B$1007,"&lt;="&amp;B818))</x:f>
      </x:c>
      <x:c r="P818" s="20" t="str">
        <x:f>IF(Q818&lt;&gt;"OK","",MAX(0,-MIN(N818,O818)))</x:f>
      </x:c>
      <x:c r="Q818" s="18" t="str">
        <x:f>IF(A818="",IF(COUNTA(B818:K818)=0,"","Inserisci ID"),IF(COUNTIFS('Diario'!$A$8:$A$507,A818)&lt;&gt;1,"ID assente / duplicato",IF(OR(NOT(ISNUMBER(B818)),B818&lt;1,B818&lt;&gt;INT(B818),COUNTIFS($A$8:$A$1007,A818,$B$8:$B$1007,B818)&lt;&gt;1),"N. esecuzione non valido",IF(OR(NOT(ISNUMBER(C818)),AND(D818&lt;&gt;"Ingresso",D818&lt;&gt;"Uscita"),AND(E818&lt;&gt;"Back",E818&lt;&gt;"Lay")),"Completa data / fase / lato",IF(OR(NOT(ISNUMBER(F818)),F818&lt;=1,NOT(ISNUMBER(G818)),G818&lt;=0),"Correggi quota / stake","OK")))))</x:f>
      </x:c>
    </x:row>
    <x:row r="819" ht="22" customHeight="1">
      <x:c r="A819" s="24"/>
      <x:c r="B819" s="24"/>
      <x:c r="C819" s="26"/>
      <x:c r="D819" s="24"/>
      <x:c r="E819" s="24"/>
      <x:c r="F819" s="28"/>
      <x:c r="G819" s="29"/>
      <x:c r="H819" s="24"/>
      <x:c r="I819" s="24"/>
      <x:c r="J819" s="24"/>
      <x:c r="K819" s="24"/>
      <x:c r="L819" s="20" t="str">
        <x:f>IF(Q819&lt;&gt;"OK","",IF(E819="Back",G819*(F819-1),-G819*(F819-1)))</x:f>
      </x:c>
      <x:c r="M819" s="20" t="str">
        <x:f>IF(Q819&lt;&gt;"OK","",IF(E819="Back",-G819,G819))</x:f>
      </x:c>
      <x:c r="N819" s="20" t="str">
        <x:f>IF(Q819&lt;&gt;"OK","",SUMIFS($L$8:$L$1007,$A$8:$A$1007,A819,$B$8:$B$1007,"&lt;="&amp;B819))</x:f>
      </x:c>
      <x:c r="O819" s="20" t="str">
        <x:f>IF(Q819&lt;&gt;"OK","",SUMIFS($M$8:$M$1007,$A$8:$A$1007,A819,$B$8:$B$1007,"&lt;="&amp;B819))</x:f>
      </x:c>
      <x:c r="P819" s="20" t="str">
        <x:f>IF(Q819&lt;&gt;"OK","",MAX(0,-MIN(N819,O819)))</x:f>
      </x:c>
      <x:c r="Q819" s="18" t="str">
        <x:f>IF(A819="",IF(COUNTA(B819:K819)=0,"","Inserisci ID"),IF(COUNTIFS('Diario'!$A$8:$A$507,A819)&lt;&gt;1,"ID assente / duplicato",IF(OR(NOT(ISNUMBER(B819)),B819&lt;1,B819&lt;&gt;INT(B819),COUNTIFS($A$8:$A$1007,A819,$B$8:$B$1007,B819)&lt;&gt;1),"N. esecuzione non valido",IF(OR(NOT(ISNUMBER(C819)),AND(D819&lt;&gt;"Ingresso",D819&lt;&gt;"Uscita"),AND(E819&lt;&gt;"Back",E819&lt;&gt;"Lay")),"Completa data / fase / lato",IF(OR(NOT(ISNUMBER(F819)),F819&lt;=1,NOT(ISNUMBER(G819)),G819&lt;=0),"Correggi quota / stake","OK")))))</x:f>
      </x:c>
    </x:row>
    <x:row r="820" ht="22" customHeight="1">
      <x:c r="A820" s="24"/>
      <x:c r="B820" s="24"/>
      <x:c r="C820" s="26"/>
      <x:c r="D820" s="24"/>
      <x:c r="E820" s="24"/>
      <x:c r="F820" s="28"/>
      <x:c r="G820" s="29"/>
      <x:c r="H820" s="24"/>
      <x:c r="I820" s="24"/>
      <x:c r="J820" s="24"/>
      <x:c r="K820" s="24"/>
      <x:c r="L820" s="20" t="str">
        <x:f>IF(Q820&lt;&gt;"OK","",IF(E820="Back",G820*(F820-1),-G820*(F820-1)))</x:f>
      </x:c>
      <x:c r="M820" s="20" t="str">
        <x:f>IF(Q820&lt;&gt;"OK","",IF(E820="Back",-G820,G820))</x:f>
      </x:c>
      <x:c r="N820" s="20" t="str">
        <x:f>IF(Q820&lt;&gt;"OK","",SUMIFS($L$8:$L$1007,$A$8:$A$1007,A820,$B$8:$B$1007,"&lt;="&amp;B820))</x:f>
      </x:c>
      <x:c r="O820" s="20" t="str">
        <x:f>IF(Q820&lt;&gt;"OK","",SUMIFS($M$8:$M$1007,$A$8:$A$1007,A820,$B$8:$B$1007,"&lt;="&amp;B820))</x:f>
      </x:c>
      <x:c r="P820" s="20" t="str">
        <x:f>IF(Q820&lt;&gt;"OK","",MAX(0,-MIN(N820,O820)))</x:f>
      </x:c>
      <x:c r="Q820" s="18" t="str">
        <x:f>IF(A820="",IF(COUNTA(B820:K820)=0,"","Inserisci ID"),IF(COUNTIFS('Diario'!$A$8:$A$507,A820)&lt;&gt;1,"ID assente / duplicato",IF(OR(NOT(ISNUMBER(B820)),B820&lt;1,B820&lt;&gt;INT(B820),COUNTIFS($A$8:$A$1007,A820,$B$8:$B$1007,B820)&lt;&gt;1),"N. esecuzione non valido",IF(OR(NOT(ISNUMBER(C820)),AND(D820&lt;&gt;"Ingresso",D820&lt;&gt;"Uscita"),AND(E820&lt;&gt;"Back",E820&lt;&gt;"Lay")),"Completa data / fase / lato",IF(OR(NOT(ISNUMBER(F820)),F820&lt;=1,NOT(ISNUMBER(G820)),G820&lt;=0),"Correggi quota / stake","OK")))))</x:f>
      </x:c>
    </x:row>
    <x:row r="821" ht="22" customHeight="1">
      <x:c r="A821" s="24"/>
      <x:c r="B821" s="24"/>
      <x:c r="C821" s="26"/>
      <x:c r="D821" s="24"/>
      <x:c r="E821" s="24"/>
      <x:c r="F821" s="28"/>
      <x:c r="G821" s="29"/>
      <x:c r="H821" s="24"/>
      <x:c r="I821" s="24"/>
      <x:c r="J821" s="24"/>
      <x:c r="K821" s="24"/>
      <x:c r="L821" s="20" t="str">
        <x:f>IF(Q821&lt;&gt;"OK","",IF(E821="Back",G821*(F821-1),-G821*(F821-1)))</x:f>
      </x:c>
      <x:c r="M821" s="20" t="str">
        <x:f>IF(Q821&lt;&gt;"OK","",IF(E821="Back",-G821,G821))</x:f>
      </x:c>
      <x:c r="N821" s="20" t="str">
        <x:f>IF(Q821&lt;&gt;"OK","",SUMIFS($L$8:$L$1007,$A$8:$A$1007,A821,$B$8:$B$1007,"&lt;="&amp;B821))</x:f>
      </x:c>
      <x:c r="O821" s="20" t="str">
        <x:f>IF(Q821&lt;&gt;"OK","",SUMIFS($M$8:$M$1007,$A$8:$A$1007,A821,$B$8:$B$1007,"&lt;="&amp;B821))</x:f>
      </x:c>
      <x:c r="P821" s="20" t="str">
        <x:f>IF(Q821&lt;&gt;"OK","",MAX(0,-MIN(N821,O821)))</x:f>
      </x:c>
      <x:c r="Q821" s="18" t="str">
        <x:f>IF(A821="",IF(COUNTA(B821:K821)=0,"","Inserisci ID"),IF(COUNTIFS('Diario'!$A$8:$A$507,A821)&lt;&gt;1,"ID assente / duplicato",IF(OR(NOT(ISNUMBER(B821)),B821&lt;1,B821&lt;&gt;INT(B821),COUNTIFS($A$8:$A$1007,A821,$B$8:$B$1007,B821)&lt;&gt;1),"N. esecuzione non valido",IF(OR(NOT(ISNUMBER(C821)),AND(D821&lt;&gt;"Ingresso",D821&lt;&gt;"Uscita"),AND(E821&lt;&gt;"Back",E821&lt;&gt;"Lay")),"Completa data / fase / lato",IF(OR(NOT(ISNUMBER(F821)),F821&lt;=1,NOT(ISNUMBER(G821)),G821&lt;=0),"Correggi quota / stake","OK")))))</x:f>
      </x:c>
    </x:row>
    <x:row r="822" ht="22" customHeight="1">
      <x:c r="A822" s="24"/>
      <x:c r="B822" s="24"/>
      <x:c r="C822" s="26"/>
      <x:c r="D822" s="24"/>
      <x:c r="E822" s="24"/>
      <x:c r="F822" s="28"/>
      <x:c r="G822" s="29"/>
      <x:c r="H822" s="24"/>
      <x:c r="I822" s="24"/>
      <x:c r="J822" s="24"/>
      <x:c r="K822" s="24"/>
      <x:c r="L822" s="20" t="str">
        <x:f>IF(Q822&lt;&gt;"OK","",IF(E822="Back",G822*(F822-1),-G822*(F822-1)))</x:f>
      </x:c>
      <x:c r="M822" s="20" t="str">
        <x:f>IF(Q822&lt;&gt;"OK","",IF(E822="Back",-G822,G822))</x:f>
      </x:c>
      <x:c r="N822" s="20" t="str">
        <x:f>IF(Q822&lt;&gt;"OK","",SUMIFS($L$8:$L$1007,$A$8:$A$1007,A822,$B$8:$B$1007,"&lt;="&amp;B822))</x:f>
      </x:c>
      <x:c r="O822" s="20" t="str">
        <x:f>IF(Q822&lt;&gt;"OK","",SUMIFS($M$8:$M$1007,$A$8:$A$1007,A822,$B$8:$B$1007,"&lt;="&amp;B822))</x:f>
      </x:c>
      <x:c r="P822" s="20" t="str">
        <x:f>IF(Q822&lt;&gt;"OK","",MAX(0,-MIN(N822,O822)))</x:f>
      </x:c>
      <x:c r="Q822" s="18" t="str">
        <x:f>IF(A822="",IF(COUNTA(B822:K822)=0,"","Inserisci ID"),IF(COUNTIFS('Diario'!$A$8:$A$507,A822)&lt;&gt;1,"ID assente / duplicato",IF(OR(NOT(ISNUMBER(B822)),B822&lt;1,B822&lt;&gt;INT(B822),COUNTIFS($A$8:$A$1007,A822,$B$8:$B$1007,B822)&lt;&gt;1),"N. esecuzione non valido",IF(OR(NOT(ISNUMBER(C822)),AND(D822&lt;&gt;"Ingresso",D822&lt;&gt;"Uscita"),AND(E822&lt;&gt;"Back",E822&lt;&gt;"Lay")),"Completa data / fase / lato",IF(OR(NOT(ISNUMBER(F822)),F822&lt;=1,NOT(ISNUMBER(G822)),G822&lt;=0),"Correggi quota / stake","OK")))))</x:f>
      </x:c>
    </x:row>
    <x:row r="823" ht="22" customHeight="1">
      <x:c r="A823" s="24"/>
      <x:c r="B823" s="24"/>
      <x:c r="C823" s="26"/>
      <x:c r="D823" s="24"/>
      <x:c r="E823" s="24"/>
      <x:c r="F823" s="28"/>
      <x:c r="G823" s="29"/>
      <x:c r="H823" s="24"/>
      <x:c r="I823" s="24"/>
      <x:c r="J823" s="24"/>
      <x:c r="K823" s="24"/>
      <x:c r="L823" s="20" t="str">
        <x:f>IF(Q823&lt;&gt;"OK","",IF(E823="Back",G823*(F823-1),-G823*(F823-1)))</x:f>
      </x:c>
      <x:c r="M823" s="20" t="str">
        <x:f>IF(Q823&lt;&gt;"OK","",IF(E823="Back",-G823,G823))</x:f>
      </x:c>
      <x:c r="N823" s="20" t="str">
        <x:f>IF(Q823&lt;&gt;"OK","",SUMIFS($L$8:$L$1007,$A$8:$A$1007,A823,$B$8:$B$1007,"&lt;="&amp;B823))</x:f>
      </x:c>
      <x:c r="O823" s="20" t="str">
        <x:f>IF(Q823&lt;&gt;"OK","",SUMIFS($M$8:$M$1007,$A$8:$A$1007,A823,$B$8:$B$1007,"&lt;="&amp;B823))</x:f>
      </x:c>
      <x:c r="P823" s="20" t="str">
        <x:f>IF(Q823&lt;&gt;"OK","",MAX(0,-MIN(N823,O823)))</x:f>
      </x:c>
      <x:c r="Q823" s="18" t="str">
        <x:f>IF(A823="",IF(COUNTA(B823:K823)=0,"","Inserisci ID"),IF(COUNTIFS('Diario'!$A$8:$A$507,A823)&lt;&gt;1,"ID assente / duplicato",IF(OR(NOT(ISNUMBER(B823)),B823&lt;1,B823&lt;&gt;INT(B823),COUNTIFS($A$8:$A$1007,A823,$B$8:$B$1007,B823)&lt;&gt;1),"N. esecuzione non valido",IF(OR(NOT(ISNUMBER(C823)),AND(D823&lt;&gt;"Ingresso",D823&lt;&gt;"Uscita"),AND(E823&lt;&gt;"Back",E823&lt;&gt;"Lay")),"Completa data / fase / lato",IF(OR(NOT(ISNUMBER(F823)),F823&lt;=1,NOT(ISNUMBER(G823)),G823&lt;=0),"Correggi quota / stake","OK")))))</x:f>
      </x:c>
    </x:row>
    <x:row r="824" ht="22" customHeight="1">
      <x:c r="A824" s="24"/>
      <x:c r="B824" s="24"/>
      <x:c r="C824" s="26"/>
      <x:c r="D824" s="24"/>
      <x:c r="E824" s="24"/>
      <x:c r="F824" s="28"/>
      <x:c r="G824" s="29"/>
      <x:c r="H824" s="24"/>
      <x:c r="I824" s="24"/>
      <x:c r="J824" s="24"/>
      <x:c r="K824" s="24"/>
      <x:c r="L824" s="20" t="str">
        <x:f>IF(Q824&lt;&gt;"OK","",IF(E824="Back",G824*(F824-1),-G824*(F824-1)))</x:f>
      </x:c>
      <x:c r="M824" s="20" t="str">
        <x:f>IF(Q824&lt;&gt;"OK","",IF(E824="Back",-G824,G824))</x:f>
      </x:c>
      <x:c r="N824" s="20" t="str">
        <x:f>IF(Q824&lt;&gt;"OK","",SUMIFS($L$8:$L$1007,$A$8:$A$1007,A824,$B$8:$B$1007,"&lt;="&amp;B824))</x:f>
      </x:c>
      <x:c r="O824" s="20" t="str">
        <x:f>IF(Q824&lt;&gt;"OK","",SUMIFS($M$8:$M$1007,$A$8:$A$1007,A824,$B$8:$B$1007,"&lt;="&amp;B824))</x:f>
      </x:c>
      <x:c r="P824" s="20" t="str">
        <x:f>IF(Q824&lt;&gt;"OK","",MAX(0,-MIN(N824,O824)))</x:f>
      </x:c>
      <x:c r="Q824" s="18" t="str">
        <x:f>IF(A824="",IF(COUNTA(B824:K824)=0,"","Inserisci ID"),IF(COUNTIFS('Diario'!$A$8:$A$507,A824)&lt;&gt;1,"ID assente / duplicato",IF(OR(NOT(ISNUMBER(B824)),B824&lt;1,B824&lt;&gt;INT(B824),COUNTIFS($A$8:$A$1007,A824,$B$8:$B$1007,B824)&lt;&gt;1),"N. esecuzione non valido",IF(OR(NOT(ISNUMBER(C824)),AND(D824&lt;&gt;"Ingresso",D824&lt;&gt;"Uscita"),AND(E824&lt;&gt;"Back",E824&lt;&gt;"Lay")),"Completa data / fase / lato",IF(OR(NOT(ISNUMBER(F824)),F824&lt;=1,NOT(ISNUMBER(G824)),G824&lt;=0),"Correggi quota / stake","OK")))))</x:f>
      </x:c>
    </x:row>
    <x:row r="825" ht="22" customHeight="1">
      <x:c r="A825" s="24"/>
      <x:c r="B825" s="24"/>
      <x:c r="C825" s="26"/>
      <x:c r="D825" s="24"/>
      <x:c r="E825" s="24"/>
      <x:c r="F825" s="28"/>
      <x:c r="G825" s="29"/>
      <x:c r="H825" s="24"/>
      <x:c r="I825" s="24"/>
      <x:c r="J825" s="24"/>
      <x:c r="K825" s="24"/>
      <x:c r="L825" s="20" t="str">
        <x:f>IF(Q825&lt;&gt;"OK","",IF(E825="Back",G825*(F825-1),-G825*(F825-1)))</x:f>
      </x:c>
      <x:c r="M825" s="20" t="str">
        <x:f>IF(Q825&lt;&gt;"OK","",IF(E825="Back",-G825,G825))</x:f>
      </x:c>
      <x:c r="N825" s="20" t="str">
        <x:f>IF(Q825&lt;&gt;"OK","",SUMIFS($L$8:$L$1007,$A$8:$A$1007,A825,$B$8:$B$1007,"&lt;="&amp;B825))</x:f>
      </x:c>
      <x:c r="O825" s="20" t="str">
        <x:f>IF(Q825&lt;&gt;"OK","",SUMIFS($M$8:$M$1007,$A$8:$A$1007,A825,$B$8:$B$1007,"&lt;="&amp;B825))</x:f>
      </x:c>
      <x:c r="P825" s="20" t="str">
        <x:f>IF(Q825&lt;&gt;"OK","",MAX(0,-MIN(N825,O825)))</x:f>
      </x:c>
      <x:c r="Q825" s="18" t="str">
        <x:f>IF(A825="",IF(COUNTA(B825:K825)=0,"","Inserisci ID"),IF(COUNTIFS('Diario'!$A$8:$A$507,A825)&lt;&gt;1,"ID assente / duplicato",IF(OR(NOT(ISNUMBER(B825)),B825&lt;1,B825&lt;&gt;INT(B825),COUNTIFS($A$8:$A$1007,A825,$B$8:$B$1007,B825)&lt;&gt;1),"N. esecuzione non valido",IF(OR(NOT(ISNUMBER(C825)),AND(D825&lt;&gt;"Ingresso",D825&lt;&gt;"Uscita"),AND(E825&lt;&gt;"Back",E825&lt;&gt;"Lay")),"Completa data / fase / lato",IF(OR(NOT(ISNUMBER(F825)),F825&lt;=1,NOT(ISNUMBER(G825)),G825&lt;=0),"Correggi quota / stake","OK")))))</x:f>
      </x:c>
    </x:row>
    <x:row r="826" ht="22" customHeight="1">
      <x:c r="A826" s="24"/>
      <x:c r="B826" s="24"/>
      <x:c r="C826" s="26"/>
      <x:c r="D826" s="24"/>
      <x:c r="E826" s="24"/>
      <x:c r="F826" s="28"/>
      <x:c r="G826" s="29"/>
      <x:c r="H826" s="24"/>
      <x:c r="I826" s="24"/>
      <x:c r="J826" s="24"/>
      <x:c r="K826" s="24"/>
      <x:c r="L826" s="20" t="str">
        <x:f>IF(Q826&lt;&gt;"OK","",IF(E826="Back",G826*(F826-1),-G826*(F826-1)))</x:f>
      </x:c>
      <x:c r="M826" s="20" t="str">
        <x:f>IF(Q826&lt;&gt;"OK","",IF(E826="Back",-G826,G826))</x:f>
      </x:c>
      <x:c r="N826" s="20" t="str">
        <x:f>IF(Q826&lt;&gt;"OK","",SUMIFS($L$8:$L$1007,$A$8:$A$1007,A826,$B$8:$B$1007,"&lt;="&amp;B826))</x:f>
      </x:c>
      <x:c r="O826" s="20" t="str">
        <x:f>IF(Q826&lt;&gt;"OK","",SUMIFS($M$8:$M$1007,$A$8:$A$1007,A826,$B$8:$B$1007,"&lt;="&amp;B826))</x:f>
      </x:c>
      <x:c r="P826" s="20" t="str">
        <x:f>IF(Q826&lt;&gt;"OK","",MAX(0,-MIN(N826,O826)))</x:f>
      </x:c>
      <x:c r="Q826" s="18" t="str">
        <x:f>IF(A826="",IF(COUNTA(B826:K826)=0,"","Inserisci ID"),IF(COUNTIFS('Diario'!$A$8:$A$507,A826)&lt;&gt;1,"ID assente / duplicato",IF(OR(NOT(ISNUMBER(B826)),B826&lt;1,B826&lt;&gt;INT(B826),COUNTIFS($A$8:$A$1007,A826,$B$8:$B$1007,B826)&lt;&gt;1),"N. esecuzione non valido",IF(OR(NOT(ISNUMBER(C826)),AND(D826&lt;&gt;"Ingresso",D826&lt;&gt;"Uscita"),AND(E826&lt;&gt;"Back",E826&lt;&gt;"Lay")),"Completa data / fase / lato",IF(OR(NOT(ISNUMBER(F826)),F826&lt;=1,NOT(ISNUMBER(G826)),G826&lt;=0),"Correggi quota / stake","OK")))))</x:f>
      </x:c>
    </x:row>
    <x:row r="827" ht="22" customHeight="1">
      <x:c r="A827" s="24"/>
      <x:c r="B827" s="24"/>
      <x:c r="C827" s="26"/>
      <x:c r="D827" s="24"/>
      <x:c r="E827" s="24"/>
      <x:c r="F827" s="28"/>
      <x:c r="G827" s="29"/>
      <x:c r="H827" s="24"/>
      <x:c r="I827" s="24"/>
      <x:c r="J827" s="24"/>
      <x:c r="K827" s="24"/>
      <x:c r="L827" s="20" t="str">
        <x:f>IF(Q827&lt;&gt;"OK","",IF(E827="Back",G827*(F827-1),-G827*(F827-1)))</x:f>
      </x:c>
      <x:c r="M827" s="20" t="str">
        <x:f>IF(Q827&lt;&gt;"OK","",IF(E827="Back",-G827,G827))</x:f>
      </x:c>
      <x:c r="N827" s="20" t="str">
        <x:f>IF(Q827&lt;&gt;"OK","",SUMIFS($L$8:$L$1007,$A$8:$A$1007,A827,$B$8:$B$1007,"&lt;="&amp;B827))</x:f>
      </x:c>
      <x:c r="O827" s="20" t="str">
        <x:f>IF(Q827&lt;&gt;"OK","",SUMIFS($M$8:$M$1007,$A$8:$A$1007,A827,$B$8:$B$1007,"&lt;="&amp;B827))</x:f>
      </x:c>
      <x:c r="P827" s="20" t="str">
        <x:f>IF(Q827&lt;&gt;"OK","",MAX(0,-MIN(N827,O827)))</x:f>
      </x:c>
      <x:c r="Q827" s="18" t="str">
        <x:f>IF(A827="",IF(COUNTA(B827:K827)=0,"","Inserisci ID"),IF(COUNTIFS('Diario'!$A$8:$A$507,A827)&lt;&gt;1,"ID assente / duplicato",IF(OR(NOT(ISNUMBER(B827)),B827&lt;1,B827&lt;&gt;INT(B827),COUNTIFS($A$8:$A$1007,A827,$B$8:$B$1007,B827)&lt;&gt;1),"N. esecuzione non valido",IF(OR(NOT(ISNUMBER(C827)),AND(D827&lt;&gt;"Ingresso",D827&lt;&gt;"Uscita"),AND(E827&lt;&gt;"Back",E827&lt;&gt;"Lay")),"Completa data / fase / lato",IF(OR(NOT(ISNUMBER(F827)),F827&lt;=1,NOT(ISNUMBER(G827)),G827&lt;=0),"Correggi quota / stake","OK")))))</x:f>
      </x:c>
    </x:row>
    <x:row r="828" ht="22" customHeight="1">
      <x:c r="A828" s="24"/>
      <x:c r="B828" s="24"/>
      <x:c r="C828" s="26"/>
      <x:c r="D828" s="24"/>
      <x:c r="E828" s="24"/>
      <x:c r="F828" s="28"/>
      <x:c r="G828" s="29"/>
      <x:c r="H828" s="24"/>
      <x:c r="I828" s="24"/>
      <x:c r="J828" s="24"/>
      <x:c r="K828" s="24"/>
      <x:c r="L828" s="20" t="str">
        <x:f>IF(Q828&lt;&gt;"OK","",IF(E828="Back",G828*(F828-1),-G828*(F828-1)))</x:f>
      </x:c>
      <x:c r="M828" s="20" t="str">
        <x:f>IF(Q828&lt;&gt;"OK","",IF(E828="Back",-G828,G828))</x:f>
      </x:c>
      <x:c r="N828" s="20" t="str">
        <x:f>IF(Q828&lt;&gt;"OK","",SUMIFS($L$8:$L$1007,$A$8:$A$1007,A828,$B$8:$B$1007,"&lt;="&amp;B828))</x:f>
      </x:c>
      <x:c r="O828" s="20" t="str">
        <x:f>IF(Q828&lt;&gt;"OK","",SUMIFS($M$8:$M$1007,$A$8:$A$1007,A828,$B$8:$B$1007,"&lt;="&amp;B828))</x:f>
      </x:c>
      <x:c r="P828" s="20" t="str">
        <x:f>IF(Q828&lt;&gt;"OK","",MAX(0,-MIN(N828,O828)))</x:f>
      </x:c>
      <x:c r="Q828" s="18" t="str">
        <x:f>IF(A828="",IF(COUNTA(B828:K828)=0,"","Inserisci ID"),IF(COUNTIFS('Diario'!$A$8:$A$507,A828)&lt;&gt;1,"ID assente / duplicato",IF(OR(NOT(ISNUMBER(B828)),B828&lt;1,B828&lt;&gt;INT(B828),COUNTIFS($A$8:$A$1007,A828,$B$8:$B$1007,B828)&lt;&gt;1),"N. esecuzione non valido",IF(OR(NOT(ISNUMBER(C828)),AND(D828&lt;&gt;"Ingresso",D828&lt;&gt;"Uscita"),AND(E828&lt;&gt;"Back",E828&lt;&gt;"Lay")),"Completa data / fase / lato",IF(OR(NOT(ISNUMBER(F828)),F828&lt;=1,NOT(ISNUMBER(G828)),G828&lt;=0),"Correggi quota / stake","OK")))))</x:f>
      </x:c>
    </x:row>
    <x:row r="829" ht="22" customHeight="1">
      <x:c r="A829" s="24"/>
      <x:c r="B829" s="24"/>
      <x:c r="C829" s="26"/>
      <x:c r="D829" s="24"/>
      <x:c r="E829" s="24"/>
      <x:c r="F829" s="28"/>
      <x:c r="G829" s="29"/>
      <x:c r="H829" s="24"/>
      <x:c r="I829" s="24"/>
      <x:c r="J829" s="24"/>
      <x:c r="K829" s="24"/>
      <x:c r="L829" s="20" t="str">
        <x:f>IF(Q829&lt;&gt;"OK","",IF(E829="Back",G829*(F829-1),-G829*(F829-1)))</x:f>
      </x:c>
      <x:c r="M829" s="20" t="str">
        <x:f>IF(Q829&lt;&gt;"OK","",IF(E829="Back",-G829,G829))</x:f>
      </x:c>
      <x:c r="N829" s="20" t="str">
        <x:f>IF(Q829&lt;&gt;"OK","",SUMIFS($L$8:$L$1007,$A$8:$A$1007,A829,$B$8:$B$1007,"&lt;="&amp;B829))</x:f>
      </x:c>
      <x:c r="O829" s="20" t="str">
        <x:f>IF(Q829&lt;&gt;"OK","",SUMIFS($M$8:$M$1007,$A$8:$A$1007,A829,$B$8:$B$1007,"&lt;="&amp;B829))</x:f>
      </x:c>
      <x:c r="P829" s="20" t="str">
        <x:f>IF(Q829&lt;&gt;"OK","",MAX(0,-MIN(N829,O829)))</x:f>
      </x:c>
      <x:c r="Q829" s="18" t="str">
        <x:f>IF(A829="",IF(COUNTA(B829:K829)=0,"","Inserisci ID"),IF(COUNTIFS('Diario'!$A$8:$A$507,A829)&lt;&gt;1,"ID assente / duplicato",IF(OR(NOT(ISNUMBER(B829)),B829&lt;1,B829&lt;&gt;INT(B829),COUNTIFS($A$8:$A$1007,A829,$B$8:$B$1007,B829)&lt;&gt;1),"N. esecuzione non valido",IF(OR(NOT(ISNUMBER(C829)),AND(D829&lt;&gt;"Ingresso",D829&lt;&gt;"Uscita"),AND(E829&lt;&gt;"Back",E829&lt;&gt;"Lay")),"Completa data / fase / lato",IF(OR(NOT(ISNUMBER(F829)),F829&lt;=1,NOT(ISNUMBER(G829)),G829&lt;=0),"Correggi quota / stake","OK")))))</x:f>
      </x:c>
    </x:row>
    <x:row r="830" ht="22" customHeight="1">
      <x:c r="A830" s="24"/>
      <x:c r="B830" s="24"/>
      <x:c r="C830" s="26"/>
      <x:c r="D830" s="24"/>
      <x:c r="E830" s="24"/>
      <x:c r="F830" s="28"/>
      <x:c r="G830" s="29"/>
      <x:c r="H830" s="24"/>
      <x:c r="I830" s="24"/>
      <x:c r="J830" s="24"/>
      <x:c r="K830" s="24"/>
      <x:c r="L830" s="20" t="str">
        <x:f>IF(Q830&lt;&gt;"OK","",IF(E830="Back",G830*(F830-1),-G830*(F830-1)))</x:f>
      </x:c>
      <x:c r="M830" s="20" t="str">
        <x:f>IF(Q830&lt;&gt;"OK","",IF(E830="Back",-G830,G830))</x:f>
      </x:c>
      <x:c r="N830" s="20" t="str">
        <x:f>IF(Q830&lt;&gt;"OK","",SUMIFS($L$8:$L$1007,$A$8:$A$1007,A830,$B$8:$B$1007,"&lt;="&amp;B830))</x:f>
      </x:c>
      <x:c r="O830" s="20" t="str">
        <x:f>IF(Q830&lt;&gt;"OK","",SUMIFS($M$8:$M$1007,$A$8:$A$1007,A830,$B$8:$B$1007,"&lt;="&amp;B830))</x:f>
      </x:c>
      <x:c r="P830" s="20" t="str">
        <x:f>IF(Q830&lt;&gt;"OK","",MAX(0,-MIN(N830,O830)))</x:f>
      </x:c>
      <x:c r="Q830" s="18" t="str">
        <x:f>IF(A830="",IF(COUNTA(B830:K830)=0,"","Inserisci ID"),IF(COUNTIFS('Diario'!$A$8:$A$507,A830)&lt;&gt;1,"ID assente / duplicato",IF(OR(NOT(ISNUMBER(B830)),B830&lt;1,B830&lt;&gt;INT(B830),COUNTIFS($A$8:$A$1007,A830,$B$8:$B$1007,B830)&lt;&gt;1),"N. esecuzione non valido",IF(OR(NOT(ISNUMBER(C830)),AND(D830&lt;&gt;"Ingresso",D830&lt;&gt;"Uscita"),AND(E830&lt;&gt;"Back",E830&lt;&gt;"Lay")),"Completa data / fase / lato",IF(OR(NOT(ISNUMBER(F830)),F830&lt;=1,NOT(ISNUMBER(G830)),G830&lt;=0),"Correggi quota / stake","OK")))))</x:f>
      </x:c>
    </x:row>
    <x:row r="831" ht="22" customHeight="1">
      <x:c r="A831" s="24"/>
      <x:c r="B831" s="24"/>
      <x:c r="C831" s="26"/>
      <x:c r="D831" s="24"/>
      <x:c r="E831" s="24"/>
      <x:c r="F831" s="28"/>
      <x:c r="G831" s="29"/>
      <x:c r="H831" s="24"/>
      <x:c r="I831" s="24"/>
      <x:c r="J831" s="24"/>
      <x:c r="K831" s="24"/>
      <x:c r="L831" s="20" t="str">
        <x:f>IF(Q831&lt;&gt;"OK","",IF(E831="Back",G831*(F831-1),-G831*(F831-1)))</x:f>
      </x:c>
      <x:c r="M831" s="20" t="str">
        <x:f>IF(Q831&lt;&gt;"OK","",IF(E831="Back",-G831,G831))</x:f>
      </x:c>
      <x:c r="N831" s="20" t="str">
        <x:f>IF(Q831&lt;&gt;"OK","",SUMIFS($L$8:$L$1007,$A$8:$A$1007,A831,$B$8:$B$1007,"&lt;="&amp;B831))</x:f>
      </x:c>
      <x:c r="O831" s="20" t="str">
        <x:f>IF(Q831&lt;&gt;"OK","",SUMIFS($M$8:$M$1007,$A$8:$A$1007,A831,$B$8:$B$1007,"&lt;="&amp;B831))</x:f>
      </x:c>
      <x:c r="P831" s="20" t="str">
        <x:f>IF(Q831&lt;&gt;"OK","",MAX(0,-MIN(N831,O831)))</x:f>
      </x:c>
      <x:c r="Q831" s="18" t="str">
        <x:f>IF(A831="",IF(COUNTA(B831:K831)=0,"","Inserisci ID"),IF(COUNTIFS('Diario'!$A$8:$A$507,A831)&lt;&gt;1,"ID assente / duplicato",IF(OR(NOT(ISNUMBER(B831)),B831&lt;1,B831&lt;&gt;INT(B831),COUNTIFS($A$8:$A$1007,A831,$B$8:$B$1007,B831)&lt;&gt;1),"N. esecuzione non valido",IF(OR(NOT(ISNUMBER(C831)),AND(D831&lt;&gt;"Ingresso",D831&lt;&gt;"Uscita"),AND(E831&lt;&gt;"Back",E831&lt;&gt;"Lay")),"Completa data / fase / lato",IF(OR(NOT(ISNUMBER(F831)),F831&lt;=1,NOT(ISNUMBER(G831)),G831&lt;=0),"Correggi quota / stake","OK")))))</x:f>
      </x:c>
    </x:row>
    <x:row r="832" ht="22" customHeight="1">
      <x:c r="A832" s="24"/>
      <x:c r="B832" s="24"/>
      <x:c r="C832" s="26"/>
      <x:c r="D832" s="24"/>
      <x:c r="E832" s="24"/>
      <x:c r="F832" s="28"/>
      <x:c r="G832" s="29"/>
      <x:c r="H832" s="24"/>
      <x:c r="I832" s="24"/>
      <x:c r="J832" s="24"/>
      <x:c r="K832" s="24"/>
      <x:c r="L832" s="20" t="str">
        <x:f>IF(Q832&lt;&gt;"OK","",IF(E832="Back",G832*(F832-1),-G832*(F832-1)))</x:f>
      </x:c>
      <x:c r="M832" s="20" t="str">
        <x:f>IF(Q832&lt;&gt;"OK","",IF(E832="Back",-G832,G832))</x:f>
      </x:c>
      <x:c r="N832" s="20" t="str">
        <x:f>IF(Q832&lt;&gt;"OK","",SUMIFS($L$8:$L$1007,$A$8:$A$1007,A832,$B$8:$B$1007,"&lt;="&amp;B832))</x:f>
      </x:c>
      <x:c r="O832" s="20" t="str">
        <x:f>IF(Q832&lt;&gt;"OK","",SUMIFS($M$8:$M$1007,$A$8:$A$1007,A832,$B$8:$B$1007,"&lt;="&amp;B832))</x:f>
      </x:c>
      <x:c r="P832" s="20" t="str">
        <x:f>IF(Q832&lt;&gt;"OK","",MAX(0,-MIN(N832,O832)))</x:f>
      </x:c>
      <x:c r="Q832" s="18" t="str">
        <x:f>IF(A832="",IF(COUNTA(B832:K832)=0,"","Inserisci ID"),IF(COUNTIFS('Diario'!$A$8:$A$507,A832)&lt;&gt;1,"ID assente / duplicato",IF(OR(NOT(ISNUMBER(B832)),B832&lt;1,B832&lt;&gt;INT(B832),COUNTIFS($A$8:$A$1007,A832,$B$8:$B$1007,B832)&lt;&gt;1),"N. esecuzione non valido",IF(OR(NOT(ISNUMBER(C832)),AND(D832&lt;&gt;"Ingresso",D832&lt;&gt;"Uscita"),AND(E832&lt;&gt;"Back",E832&lt;&gt;"Lay")),"Completa data / fase / lato",IF(OR(NOT(ISNUMBER(F832)),F832&lt;=1,NOT(ISNUMBER(G832)),G832&lt;=0),"Correggi quota / stake","OK")))))</x:f>
      </x:c>
    </x:row>
    <x:row r="833" ht="22" customHeight="1">
      <x:c r="A833" s="24"/>
      <x:c r="B833" s="24"/>
      <x:c r="C833" s="26"/>
      <x:c r="D833" s="24"/>
      <x:c r="E833" s="24"/>
      <x:c r="F833" s="28"/>
      <x:c r="G833" s="29"/>
      <x:c r="H833" s="24"/>
      <x:c r="I833" s="24"/>
      <x:c r="J833" s="24"/>
      <x:c r="K833" s="24"/>
      <x:c r="L833" s="20" t="str">
        <x:f>IF(Q833&lt;&gt;"OK","",IF(E833="Back",G833*(F833-1),-G833*(F833-1)))</x:f>
      </x:c>
      <x:c r="M833" s="20" t="str">
        <x:f>IF(Q833&lt;&gt;"OK","",IF(E833="Back",-G833,G833))</x:f>
      </x:c>
      <x:c r="N833" s="20" t="str">
        <x:f>IF(Q833&lt;&gt;"OK","",SUMIFS($L$8:$L$1007,$A$8:$A$1007,A833,$B$8:$B$1007,"&lt;="&amp;B833))</x:f>
      </x:c>
      <x:c r="O833" s="20" t="str">
        <x:f>IF(Q833&lt;&gt;"OK","",SUMIFS($M$8:$M$1007,$A$8:$A$1007,A833,$B$8:$B$1007,"&lt;="&amp;B833))</x:f>
      </x:c>
      <x:c r="P833" s="20" t="str">
        <x:f>IF(Q833&lt;&gt;"OK","",MAX(0,-MIN(N833,O833)))</x:f>
      </x:c>
      <x:c r="Q833" s="18" t="str">
        <x:f>IF(A833="",IF(COUNTA(B833:K833)=0,"","Inserisci ID"),IF(COUNTIFS('Diario'!$A$8:$A$507,A833)&lt;&gt;1,"ID assente / duplicato",IF(OR(NOT(ISNUMBER(B833)),B833&lt;1,B833&lt;&gt;INT(B833),COUNTIFS($A$8:$A$1007,A833,$B$8:$B$1007,B833)&lt;&gt;1),"N. esecuzione non valido",IF(OR(NOT(ISNUMBER(C833)),AND(D833&lt;&gt;"Ingresso",D833&lt;&gt;"Uscita"),AND(E833&lt;&gt;"Back",E833&lt;&gt;"Lay")),"Completa data / fase / lato",IF(OR(NOT(ISNUMBER(F833)),F833&lt;=1,NOT(ISNUMBER(G833)),G833&lt;=0),"Correggi quota / stake","OK")))))</x:f>
      </x:c>
    </x:row>
    <x:row r="834" ht="22" customHeight="1">
      <x:c r="A834" s="24"/>
      <x:c r="B834" s="24"/>
      <x:c r="C834" s="26"/>
      <x:c r="D834" s="24"/>
      <x:c r="E834" s="24"/>
      <x:c r="F834" s="28"/>
      <x:c r="G834" s="29"/>
      <x:c r="H834" s="24"/>
      <x:c r="I834" s="24"/>
      <x:c r="J834" s="24"/>
      <x:c r="K834" s="24"/>
      <x:c r="L834" s="20" t="str">
        <x:f>IF(Q834&lt;&gt;"OK","",IF(E834="Back",G834*(F834-1),-G834*(F834-1)))</x:f>
      </x:c>
      <x:c r="M834" s="20" t="str">
        <x:f>IF(Q834&lt;&gt;"OK","",IF(E834="Back",-G834,G834))</x:f>
      </x:c>
      <x:c r="N834" s="20" t="str">
        <x:f>IF(Q834&lt;&gt;"OK","",SUMIFS($L$8:$L$1007,$A$8:$A$1007,A834,$B$8:$B$1007,"&lt;="&amp;B834))</x:f>
      </x:c>
      <x:c r="O834" s="20" t="str">
        <x:f>IF(Q834&lt;&gt;"OK","",SUMIFS($M$8:$M$1007,$A$8:$A$1007,A834,$B$8:$B$1007,"&lt;="&amp;B834))</x:f>
      </x:c>
      <x:c r="P834" s="20" t="str">
        <x:f>IF(Q834&lt;&gt;"OK","",MAX(0,-MIN(N834,O834)))</x:f>
      </x:c>
      <x:c r="Q834" s="18" t="str">
        <x:f>IF(A834="",IF(COUNTA(B834:K834)=0,"","Inserisci ID"),IF(COUNTIFS('Diario'!$A$8:$A$507,A834)&lt;&gt;1,"ID assente / duplicato",IF(OR(NOT(ISNUMBER(B834)),B834&lt;1,B834&lt;&gt;INT(B834),COUNTIFS($A$8:$A$1007,A834,$B$8:$B$1007,B834)&lt;&gt;1),"N. esecuzione non valido",IF(OR(NOT(ISNUMBER(C834)),AND(D834&lt;&gt;"Ingresso",D834&lt;&gt;"Uscita"),AND(E834&lt;&gt;"Back",E834&lt;&gt;"Lay")),"Completa data / fase / lato",IF(OR(NOT(ISNUMBER(F834)),F834&lt;=1,NOT(ISNUMBER(G834)),G834&lt;=0),"Correggi quota / stake","OK")))))</x:f>
      </x:c>
    </x:row>
    <x:row r="835" ht="22" customHeight="1">
      <x:c r="A835" s="24"/>
      <x:c r="B835" s="24"/>
      <x:c r="C835" s="26"/>
      <x:c r="D835" s="24"/>
      <x:c r="E835" s="24"/>
      <x:c r="F835" s="28"/>
      <x:c r="G835" s="29"/>
      <x:c r="H835" s="24"/>
      <x:c r="I835" s="24"/>
      <x:c r="J835" s="24"/>
      <x:c r="K835" s="24"/>
      <x:c r="L835" s="20" t="str">
        <x:f>IF(Q835&lt;&gt;"OK","",IF(E835="Back",G835*(F835-1),-G835*(F835-1)))</x:f>
      </x:c>
      <x:c r="M835" s="20" t="str">
        <x:f>IF(Q835&lt;&gt;"OK","",IF(E835="Back",-G835,G835))</x:f>
      </x:c>
      <x:c r="N835" s="20" t="str">
        <x:f>IF(Q835&lt;&gt;"OK","",SUMIFS($L$8:$L$1007,$A$8:$A$1007,A835,$B$8:$B$1007,"&lt;="&amp;B835))</x:f>
      </x:c>
      <x:c r="O835" s="20" t="str">
        <x:f>IF(Q835&lt;&gt;"OK","",SUMIFS($M$8:$M$1007,$A$8:$A$1007,A835,$B$8:$B$1007,"&lt;="&amp;B835))</x:f>
      </x:c>
      <x:c r="P835" s="20" t="str">
        <x:f>IF(Q835&lt;&gt;"OK","",MAX(0,-MIN(N835,O835)))</x:f>
      </x:c>
      <x:c r="Q835" s="18" t="str">
        <x:f>IF(A835="",IF(COUNTA(B835:K835)=0,"","Inserisci ID"),IF(COUNTIFS('Diario'!$A$8:$A$507,A835)&lt;&gt;1,"ID assente / duplicato",IF(OR(NOT(ISNUMBER(B835)),B835&lt;1,B835&lt;&gt;INT(B835),COUNTIFS($A$8:$A$1007,A835,$B$8:$B$1007,B835)&lt;&gt;1),"N. esecuzione non valido",IF(OR(NOT(ISNUMBER(C835)),AND(D835&lt;&gt;"Ingresso",D835&lt;&gt;"Uscita"),AND(E835&lt;&gt;"Back",E835&lt;&gt;"Lay")),"Completa data / fase / lato",IF(OR(NOT(ISNUMBER(F835)),F835&lt;=1,NOT(ISNUMBER(G835)),G835&lt;=0),"Correggi quota / stake","OK")))))</x:f>
      </x:c>
    </x:row>
    <x:row r="836" ht="22" customHeight="1">
      <x:c r="A836" s="24"/>
      <x:c r="B836" s="24"/>
      <x:c r="C836" s="26"/>
      <x:c r="D836" s="24"/>
      <x:c r="E836" s="24"/>
      <x:c r="F836" s="28"/>
      <x:c r="G836" s="29"/>
      <x:c r="H836" s="24"/>
      <x:c r="I836" s="24"/>
      <x:c r="J836" s="24"/>
      <x:c r="K836" s="24"/>
      <x:c r="L836" s="20" t="str">
        <x:f>IF(Q836&lt;&gt;"OK","",IF(E836="Back",G836*(F836-1),-G836*(F836-1)))</x:f>
      </x:c>
      <x:c r="M836" s="20" t="str">
        <x:f>IF(Q836&lt;&gt;"OK","",IF(E836="Back",-G836,G836))</x:f>
      </x:c>
      <x:c r="N836" s="20" t="str">
        <x:f>IF(Q836&lt;&gt;"OK","",SUMIFS($L$8:$L$1007,$A$8:$A$1007,A836,$B$8:$B$1007,"&lt;="&amp;B836))</x:f>
      </x:c>
      <x:c r="O836" s="20" t="str">
        <x:f>IF(Q836&lt;&gt;"OK","",SUMIFS($M$8:$M$1007,$A$8:$A$1007,A836,$B$8:$B$1007,"&lt;="&amp;B836))</x:f>
      </x:c>
      <x:c r="P836" s="20" t="str">
        <x:f>IF(Q836&lt;&gt;"OK","",MAX(0,-MIN(N836,O836)))</x:f>
      </x:c>
      <x:c r="Q836" s="18" t="str">
        <x:f>IF(A836="",IF(COUNTA(B836:K836)=0,"","Inserisci ID"),IF(COUNTIFS('Diario'!$A$8:$A$507,A836)&lt;&gt;1,"ID assente / duplicato",IF(OR(NOT(ISNUMBER(B836)),B836&lt;1,B836&lt;&gt;INT(B836),COUNTIFS($A$8:$A$1007,A836,$B$8:$B$1007,B836)&lt;&gt;1),"N. esecuzione non valido",IF(OR(NOT(ISNUMBER(C836)),AND(D836&lt;&gt;"Ingresso",D836&lt;&gt;"Uscita"),AND(E836&lt;&gt;"Back",E836&lt;&gt;"Lay")),"Completa data / fase / lato",IF(OR(NOT(ISNUMBER(F836)),F836&lt;=1,NOT(ISNUMBER(G836)),G836&lt;=0),"Correggi quota / stake","OK")))))</x:f>
      </x:c>
    </x:row>
    <x:row r="837" ht="22" customHeight="1">
      <x:c r="A837" s="24"/>
      <x:c r="B837" s="24"/>
      <x:c r="C837" s="26"/>
      <x:c r="D837" s="24"/>
      <x:c r="E837" s="24"/>
      <x:c r="F837" s="28"/>
      <x:c r="G837" s="29"/>
      <x:c r="H837" s="24"/>
      <x:c r="I837" s="24"/>
      <x:c r="J837" s="24"/>
      <x:c r="K837" s="24"/>
      <x:c r="L837" s="20" t="str">
        <x:f>IF(Q837&lt;&gt;"OK","",IF(E837="Back",G837*(F837-1),-G837*(F837-1)))</x:f>
      </x:c>
      <x:c r="M837" s="20" t="str">
        <x:f>IF(Q837&lt;&gt;"OK","",IF(E837="Back",-G837,G837))</x:f>
      </x:c>
      <x:c r="N837" s="20" t="str">
        <x:f>IF(Q837&lt;&gt;"OK","",SUMIFS($L$8:$L$1007,$A$8:$A$1007,A837,$B$8:$B$1007,"&lt;="&amp;B837))</x:f>
      </x:c>
      <x:c r="O837" s="20" t="str">
        <x:f>IF(Q837&lt;&gt;"OK","",SUMIFS($M$8:$M$1007,$A$8:$A$1007,A837,$B$8:$B$1007,"&lt;="&amp;B837))</x:f>
      </x:c>
      <x:c r="P837" s="20" t="str">
        <x:f>IF(Q837&lt;&gt;"OK","",MAX(0,-MIN(N837,O837)))</x:f>
      </x:c>
      <x:c r="Q837" s="18" t="str">
        <x:f>IF(A837="",IF(COUNTA(B837:K837)=0,"","Inserisci ID"),IF(COUNTIFS('Diario'!$A$8:$A$507,A837)&lt;&gt;1,"ID assente / duplicato",IF(OR(NOT(ISNUMBER(B837)),B837&lt;1,B837&lt;&gt;INT(B837),COUNTIFS($A$8:$A$1007,A837,$B$8:$B$1007,B837)&lt;&gt;1),"N. esecuzione non valido",IF(OR(NOT(ISNUMBER(C837)),AND(D837&lt;&gt;"Ingresso",D837&lt;&gt;"Uscita"),AND(E837&lt;&gt;"Back",E837&lt;&gt;"Lay")),"Completa data / fase / lato",IF(OR(NOT(ISNUMBER(F837)),F837&lt;=1,NOT(ISNUMBER(G837)),G837&lt;=0),"Correggi quota / stake","OK")))))</x:f>
      </x:c>
    </x:row>
    <x:row r="838" ht="22" customHeight="1">
      <x:c r="A838" s="24"/>
      <x:c r="B838" s="24"/>
      <x:c r="C838" s="26"/>
      <x:c r="D838" s="24"/>
      <x:c r="E838" s="24"/>
      <x:c r="F838" s="28"/>
      <x:c r="G838" s="29"/>
      <x:c r="H838" s="24"/>
      <x:c r="I838" s="24"/>
      <x:c r="J838" s="24"/>
      <x:c r="K838" s="24"/>
      <x:c r="L838" s="20" t="str">
        <x:f>IF(Q838&lt;&gt;"OK","",IF(E838="Back",G838*(F838-1),-G838*(F838-1)))</x:f>
      </x:c>
      <x:c r="M838" s="20" t="str">
        <x:f>IF(Q838&lt;&gt;"OK","",IF(E838="Back",-G838,G838))</x:f>
      </x:c>
      <x:c r="N838" s="20" t="str">
        <x:f>IF(Q838&lt;&gt;"OK","",SUMIFS($L$8:$L$1007,$A$8:$A$1007,A838,$B$8:$B$1007,"&lt;="&amp;B838))</x:f>
      </x:c>
      <x:c r="O838" s="20" t="str">
        <x:f>IF(Q838&lt;&gt;"OK","",SUMIFS($M$8:$M$1007,$A$8:$A$1007,A838,$B$8:$B$1007,"&lt;="&amp;B838))</x:f>
      </x:c>
      <x:c r="P838" s="20" t="str">
        <x:f>IF(Q838&lt;&gt;"OK","",MAX(0,-MIN(N838,O838)))</x:f>
      </x:c>
      <x:c r="Q838" s="18" t="str">
        <x:f>IF(A838="",IF(COUNTA(B838:K838)=0,"","Inserisci ID"),IF(COUNTIFS('Diario'!$A$8:$A$507,A838)&lt;&gt;1,"ID assente / duplicato",IF(OR(NOT(ISNUMBER(B838)),B838&lt;1,B838&lt;&gt;INT(B838),COUNTIFS($A$8:$A$1007,A838,$B$8:$B$1007,B838)&lt;&gt;1),"N. esecuzione non valido",IF(OR(NOT(ISNUMBER(C838)),AND(D838&lt;&gt;"Ingresso",D838&lt;&gt;"Uscita"),AND(E838&lt;&gt;"Back",E838&lt;&gt;"Lay")),"Completa data / fase / lato",IF(OR(NOT(ISNUMBER(F838)),F838&lt;=1,NOT(ISNUMBER(G838)),G838&lt;=0),"Correggi quota / stake","OK")))))</x:f>
      </x:c>
    </x:row>
    <x:row r="839" ht="22" customHeight="1">
      <x:c r="A839" s="24"/>
      <x:c r="B839" s="24"/>
      <x:c r="C839" s="26"/>
      <x:c r="D839" s="24"/>
      <x:c r="E839" s="24"/>
      <x:c r="F839" s="28"/>
      <x:c r="G839" s="29"/>
      <x:c r="H839" s="24"/>
      <x:c r="I839" s="24"/>
      <x:c r="J839" s="24"/>
      <x:c r="K839" s="24"/>
      <x:c r="L839" s="20" t="str">
        <x:f>IF(Q839&lt;&gt;"OK","",IF(E839="Back",G839*(F839-1),-G839*(F839-1)))</x:f>
      </x:c>
      <x:c r="M839" s="20" t="str">
        <x:f>IF(Q839&lt;&gt;"OK","",IF(E839="Back",-G839,G839))</x:f>
      </x:c>
      <x:c r="N839" s="20" t="str">
        <x:f>IF(Q839&lt;&gt;"OK","",SUMIFS($L$8:$L$1007,$A$8:$A$1007,A839,$B$8:$B$1007,"&lt;="&amp;B839))</x:f>
      </x:c>
      <x:c r="O839" s="20" t="str">
        <x:f>IF(Q839&lt;&gt;"OK","",SUMIFS($M$8:$M$1007,$A$8:$A$1007,A839,$B$8:$B$1007,"&lt;="&amp;B839))</x:f>
      </x:c>
      <x:c r="P839" s="20" t="str">
        <x:f>IF(Q839&lt;&gt;"OK","",MAX(0,-MIN(N839,O839)))</x:f>
      </x:c>
      <x:c r="Q839" s="18" t="str">
        <x:f>IF(A839="",IF(COUNTA(B839:K839)=0,"","Inserisci ID"),IF(COUNTIFS('Diario'!$A$8:$A$507,A839)&lt;&gt;1,"ID assente / duplicato",IF(OR(NOT(ISNUMBER(B839)),B839&lt;1,B839&lt;&gt;INT(B839),COUNTIFS($A$8:$A$1007,A839,$B$8:$B$1007,B839)&lt;&gt;1),"N. esecuzione non valido",IF(OR(NOT(ISNUMBER(C839)),AND(D839&lt;&gt;"Ingresso",D839&lt;&gt;"Uscita"),AND(E839&lt;&gt;"Back",E839&lt;&gt;"Lay")),"Completa data / fase / lato",IF(OR(NOT(ISNUMBER(F839)),F839&lt;=1,NOT(ISNUMBER(G839)),G839&lt;=0),"Correggi quota / stake","OK")))))</x:f>
      </x:c>
    </x:row>
    <x:row r="840" ht="22" customHeight="1">
      <x:c r="A840" s="24"/>
      <x:c r="B840" s="24"/>
      <x:c r="C840" s="26"/>
      <x:c r="D840" s="24"/>
      <x:c r="E840" s="24"/>
      <x:c r="F840" s="28"/>
      <x:c r="G840" s="29"/>
      <x:c r="H840" s="24"/>
      <x:c r="I840" s="24"/>
      <x:c r="J840" s="24"/>
      <x:c r="K840" s="24"/>
      <x:c r="L840" s="20" t="str">
        <x:f>IF(Q840&lt;&gt;"OK","",IF(E840="Back",G840*(F840-1),-G840*(F840-1)))</x:f>
      </x:c>
      <x:c r="M840" s="20" t="str">
        <x:f>IF(Q840&lt;&gt;"OK","",IF(E840="Back",-G840,G840))</x:f>
      </x:c>
      <x:c r="N840" s="20" t="str">
        <x:f>IF(Q840&lt;&gt;"OK","",SUMIFS($L$8:$L$1007,$A$8:$A$1007,A840,$B$8:$B$1007,"&lt;="&amp;B840))</x:f>
      </x:c>
      <x:c r="O840" s="20" t="str">
        <x:f>IF(Q840&lt;&gt;"OK","",SUMIFS($M$8:$M$1007,$A$8:$A$1007,A840,$B$8:$B$1007,"&lt;="&amp;B840))</x:f>
      </x:c>
      <x:c r="P840" s="20" t="str">
        <x:f>IF(Q840&lt;&gt;"OK","",MAX(0,-MIN(N840,O840)))</x:f>
      </x:c>
      <x:c r="Q840" s="18" t="str">
        <x:f>IF(A840="",IF(COUNTA(B840:K840)=0,"","Inserisci ID"),IF(COUNTIFS('Diario'!$A$8:$A$507,A840)&lt;&gt;1,"ID assente / duplicato",IF(OR(NOT(ISNUMBER(B840)),B840&lt;1,B840&lt;&gt;INT(B840),COUNTIFS($A$8:$A$1007,A840,$B$8:$B$1007,B840)&lt;&gt;1),"N. esecuzione non valido",IF(OR(NOT(ISNUMBER(C840)),AND(D840&lt;&gt;"Ingresso",D840&lt;&gt;"Uscita"),AND(E840&lt;&gt;"Back",E840&lt;&gt;"Lay")),"Completa data / fase / lato",IF(OR(NOT(ISNUMBER(F840)),F840&lt;=1,NOT(ISNUMBER(G840)),G840&lt;=0),"Correggi quota / stake","OK")))))</x:f>
      </x:c>
    </x:row>
    <x:row r="841" ht="22" customHeight="1">
      <x:c r="A841" s="24"/>
      <x:c r="B841" s="24"/>
      <x:c r="C841" s="26"/>
      <x:c r="D841" s="24"/>
      <x:c r="E841" s="24"/>
      <x:c r="F841" s="28"/>
      <x:c r="G841" s="29"/>
      <x:c r="H841" s="24"/>
      <x:c r="I841" s="24"/>
      <x:c r="J841" s="24"/>
      <x:c r="K841" s="24"/>
      <x:c r="L841" s="20" t="str">
        <x:f>IF(Q841&lt;&gt;"OK","",IF(E841="Back",G841*(F841-1),-G841*(F841-1)))</x:f>
      </x:c>
      <x:c r="M841" s="20" t="str">
        <x:f>IF(Q841&lt;&gt;"OK","",IF(E841="Back",-G841,G841))</x:f>
      </x:c>
      <x:c r="N841" s="20" t="str">
        <x:f>IF(Q841&lt;&gt;"OK","",SUMIFS($L$8:$L$1007,$A$8:$A$1007,A841,$B$8:$B$1007,"&lt;="&amp;B841))</x:f>
      </x:c>
      <x:c r="O841" s="20" t="str">
        <x:f>IF(Q841&lt;&gt;"OK","",SUMIFS($M$8:$M$1007,$A$8:$A$1007,A841,$B$8:$B$1007,"&lt;="&amp;B841))</x:f>
      </x:c>
      <x:c r="P841" s="20" t="str">
        <x:f>IF(Q841&lt;&gt;"OK","",MAX(0,-MIN(N841,O841)))</x:f>
      </x:c>
      <x:c r="Q841" s="18" t="str">
        <x:f>IF(A841="",IF(COUNTA(B841:K841)=0,"","Inserisci ID"),IF(COUNTIFS('Diario'!$A$8:$A$507,A841)&lt;&gt;1,"ID assente / duplicato",IF(OR(NOT(ISNUMBER(B841)),B841&lt;1,B841&lt;&gt;INT(B841),COUNTIFS($A$8:$A$1007,A841,$B$8:$B$1007,B841)&lt;&gt;1),"N. esecuzione non valido",IF(OR(NOT(ISNUMBER(C841)),AND(D841&lt;&gt;"Ingresso",D841&lt;&gt;"Uscita"),AND(E841&lt;&gt;"Back",E841&lt;&gt;"Lay")),"Completa data / fase / lato",IF(OR(NOT(ISNUMBER(F841)),F841&lt;=1,NOT(ISNUMBER(G841)),G841&lt;=0),"Correggi quota / stake","OK")))))</x:f>
      </x:c>
    </x:row>
    <x:row r="842" ht="22" customHeight="1">
      <x:c r="A842" s="24"/>
      <x:c r="B842" s="24"/>
      <x:c r="C842" s="26"/>
      <x:c r="D842" s="24"/>
      <x:c r="E842" s="24"/>
      <x:c r="F842" s="28"/>
      <x:c r="G842" s="29"/>
      <x:c r="H842" s="24"/>
      <x:c r="I842" s="24"/>
      <x:c r="J842" s="24"/>
      <x:c r="K842" s="24"/>
      <x:c r="L842" s="20" t="str">
        <x:f>IF(Q842&lt;&gt;"OK","",IF(E842="Back",G842*(F842-1),-G842*(F842-1)))</x:f>
      </x:c>
      <x:c r="M842" s="20" t="str">
        <x:f>IF(Q842&lt;&gt;"OK","",IF(E842="Back",-G842,G842))</x:f>
      </x:c>
      <x:c r="N842" s="20" t="str">
        <x:f>IF(Q842&lt;&gt;"OK","",SUMIFS($L$8:$L$1007,$A$8:$A$1007,A842,$B$8:$B$1007,"&lt;="&amp;B842))</x:f>
      </x:c>
      <x:c r="O842" s="20" t="str">
        <x:f>IF(Q842&lt;&gt;"OK","",SUMIFS($M$8:$M$1007,$A$8:$A$1007,A842,$B$8:$B$1007,"&lt;="&amp;B842))</x:f>
      </x:c>
      <x:c r="P842" s="20" t="str">
        <x:f>IF(Q842&lt;&gt;"OK","",MAX(0,-MIN(N842,O842)))</x:f>
      </x:c>
      <x:c r="Q842" s="18" t="str">
        <x:f>IF(A842="",IF(COUNTA(B842:K842)=0,"","Inserisci ID"),IF(COUNTIFS('Diario'!$A$8:$A$507,A842)&lt;&gt;1,"ID assente / duplicato",IF(OR(NOT(ISNUMBER(B842)),B842&lt;1,B842&lt;&gt;INT(B842),COUNTIFS($A$8:$A$1007,A842,$B$8:$B$1007,B842)&lt;&gt;1),"N. esecuzione non valido",IF(OR(NOT(ISNUMBER(C842)),AND(D842&lt;&gt;"Ingresso",D842&lt;&gt;"Uscita"),AND(E842&lt;&gt;"Back",E842&lt;&gt;"Lay")),"Completa data / fase / lato",IF(OR(NOT(ISNUMBER(F842)),F842&lt;=1,NOT(ISNUMBER(G842)),G842&lt;=0),"Correggi quota / stake","OK")))))</x:f>
      </x:c>
    </x:row>
    <x:row r="843" ht="22" customHeight="1">
      <x:c r="A843" s="24"/>
      <x:c r="B843" s="24"/>
      <x:c r="C843" s="26"/>
      <x:c r="D843" s="24"/>
      <x:c r="E843" s="24"/>
      <x:c r="F843" s="28"/>
      <x:c r="G843" s="29"/>
      <x:c r="H843" s="24"/>
      <x:c r="I843" s="24"/>
      <x:c r="J843" s="24"/>
      <x:c r="K843" s="24"/>
      <x:c r="L843" s="20" t="str">
        <x:f>IF(Q843&lt;&gt;"OK","",IF(E843="Back",G843*(F843-1),-G843*(F843-1)))</x:f>
      </x:c>
      <x:c r="M843" s="20" t="str">
        <x:f>IF(Q843&lt;&gt;"OK","",IF(E843="Back",-G843,G843))</x:f>
      </x:c>
      <x:c r="N843" s="20" t="str">
        <x:f>IF(Q843&lt;&gt;"OK","",SUMIFS($L$8:$L$1007,$A$8:$A$1007,A843,$B$8:$B$1007,"&lt;="&amp;B843))</x:f>
      </x:c>
      <x:c r="O843" s="20" t="str">
        <x:f>IF(Q843&lt;&gt;"OK","",SUMIFS($M$8:$M$1007,$A$8:$A$1007,A843,$B$8:$B$1007,"&lt;="&amp;B843))</x:f>
      </x:c>
      <x:c r="P843" s="20" t="str">
        <x:f>IF(Q843&lt;&gt;"OK","",MAX(0,-MIN(N843,O843)))</x:f>
      </x:c>
      <x:c r="Q843" s="18" t="str">
        <x:f>IF(A843="",IF(COUNTA(B843:K843)=0,"","Inserisci ID"),IF(COUNTIFS('Diario'!$A$8:$A$507,A843)&lt;&gt;1,"ID assente / duplicato",IF(OR(NOT(ISNUMBER(B843)),B843&lt;1,B843&lt;&gt;INT(B843),COUNTIFS($A$8:$A$1007,A843,$B$8:$B$1007,B843)&lt;&gt;1),"N. esecuzione non valido",IF(OR(NOT(ISNUMBER(C843)),AND(D843&lt;&gt;"Ingresso",D843&lt;&gt;"Uscita"),AND(E843&lt;&gt;"Back",E843&lt;&gt;"Lay")),"Completa data / fase / lato",IF(OR(NOT(ISNUMBER(F843)),F843&lt;=1,NOT(ISNUMBER(G843)),G843&lt;=0),"Correggi quota / stake","OK")))))</x:f>
      </x:c>
    </x:row>
    <x:row r="844" ht="22" customHeight="1">
      <x:c r="A844" s="24"/>
      <x:c r="B844" s="24"/>
      <x:c r="C844" s="26"/>
      <x:c r="D844" s="24"/>
      <x:c r="E844" s="24"/>
      <x:c r="F844" s="28"/>
      <x:c r="G844" s="29"/>
      <x:c r="H844" s="24"/>
      <x:c r="I844" s="24"/>
      <x:c r="J844" s="24"/>
      <x:c r="K844" s="24"/>
      <x:c r="L844" s="20" t="str">
        <x:f>IF(Q844&lt;&gt;"OK","",IF(E844="Back",G844*(F844-1),-G844*(F844-1)))</x:f>
      </x:c>
      <x:c r="M844" s="20" t="str">
        <x:f>IF(Q844&lt;&gt;"OK","",IF(E844="Back",-G844,G844))</x:f>
      </x:c>
      <x:c r="N844" s="20" t="str">
        <x:f>IF(Q844&lt;&gt;"OK","",SUMIFS($L$8:$L$1007,$A$8:$A$1007,A844,$B$8:$B$1007,"&lt;="&amp;B844))</x:f>
      </x:c>
      <x:c r="O844" s="20" t="str">
        <x:f>IF(Q844&lt;&gt;"OK","",SUMIFS($M$8:$M$1007,$A$8:$A$1007,A844,$B$8:$B$1007,"&lt;="&amp;B844))</x:f>
      </x:c>
      <x:c r="P844" s="20" t="str">
        <x:f>IF(Q844&lt;&gt;"OK","",MAX(0,-MIN(N844,O844)))</x:f>
      </x:c>
      <x:c r="Q844" s="18" t="str">
        <x:f>IF(A844="",IF(COUNTA(B844:K844)=0,"","Inserisci ID"),IF(COUNTIFS('Diario'!$A$8:$A$507,A844)&lt;&gt;1,"ID assente / duplicato",IF(OR(NOT(ISNUMBER(B844)),B844&lt;1,B844&lt;&gt;INT(B844),COUNTIFS($A$8:$A$1007,A844,$B$8:$B$1007,B844)&lt;&gt;1),"N. esecuzione non valido",IF(OR(NOT(ISNUMBER(C844)),AND(D844&lt;&gt;"Ingresso",D844&lt;&gt;"Uscita"),AND(E844&lt;&gt;"Back",E844&lt;&gt;"Lay")),"Completa data / fase / lato",IF(OR(NOT(ISNUMBER(F844)),F844&lt;=1,NOT(ISNUMBER(G844)),G844&lt;=0),"Correggi quota / stake","OK")))))</x:f>
      </x:c>
    </x:row>
    <x:row r="845" ht="22" customHeight="1">
      <x:c r="A845" s="24"/>
      <x:c r="B845" s="24"/>
      <x:c r="C845" s="26"/>
      <x:c r="D845" s="24"/>
      <x:c r="E845" s="24"/>
      <x:c r="F845" s="28"/>
      <x:c r="G845" s="29"/>
      <x:c r="H845" s="24"/>
      <x:c r="I845" s="24"/>
      <x:c r="J845" s="24"/>
      <x:c r="K845" s="24"/>
      <x:c r="L845" s="20" t="str">
        <x:f>IF(Q845&lt;&gt;"OK","",IF(E845="Back",G845*(F845-1),-G845*(F845-1)))</x:f>
      </x:c>
      <x:c r="M845" s="20" t="str">
        <x:f>IF(Q845&lt;&gt;"OK","",IF(E845="Back",-G845,G845))</x:f>
      </x:c>
      <x:c r="N845" s="20" t="str">
        <x:f>IF(Q845&lt;&gt;"OK","",SUMIFS($L$8:$L$1007,$A$8:$A$1007,A845,$B$8:$B$1007,"&lt;="&amp;B845))</x:f>
      </x:c>
      <x:c r="O845" s="20" t="str">
        <x:f>IF(Q845&lt;&gt;"OK","",SUMIFS($M$8:$M$1007,$A$8:$A$1007,A845,$B$8:$B$1007,"&lt;="&amp;B845))</x:f>
      </x:c>
      <x:c r="P845" s="20" t="str">
        <x:f>IF(Q845&lt;&gt;"OK","",MAX(0,-MIN(N845,O845)))</x:f>
      </x:c>
      <x:c r="Q845" s="18" t="str">
        <x:f>IF(A845="",IF(COUNTA(B845:K845)=0,"","Inserisci ID"),IF(COUNTIFS('Diario'!$A$8:$A$507,A845)&lt;&gt;1,"ID assente / duplicato",IF(OR(NOT(ISNUMBER(B845)),B845&lt;1,B845&lt;&gt;INT(B845),COUNTIFS($A$8:$A$1007,A845,$B$8:$B$1007,B845)&lt;&gt;1),"N. esecuzione non valido",IF(OR(NOT(ISNUMBER(C845)),AND(D845&lt;&gt;"Ingresso",D845&lt;&gt;"Uscita"),AND(E845&lt;&gt;"Back",E845&lt;&gt;"Lay")),"Completa data / fase / lato",IF(OR(NOT(ISNUMBER(F845)),F845&lt;=1,NOT(ISNUMBER(G845)),G845&lt;=0),"Correggi quota / stake","OK")))))</x:f>
      </x:c>
    </x:row>
    <x:row r="846" ht="22" customHeight="1">
      <x:c r="A846" s="24"/>
      <x:c r="B846" s="24"/>
      <x:c r="C846" s="26"/>
      <x:c r="D846" s="24"/>
      <x:c r="E846" s="24"/>
      <x:c r="F846" s="28"/>
      <x:c r="G846" s="29"/>
      <x:c r="H846" s="24"/>
      <x:c r="I846" s="24"/>
      <x:c r="J846" s="24"/>
      <x:c r="K846" s="24"/>
      <x:c r="L846" s="20" t="str">
        <x:f>IF(Q846&lt;&gt;"OK","",IF(E846="Back",G846*(F846-1),-G846*(F846-1)))</x:f>
      </x:c>
      <x:c r="M846" s="20" t="str">
        <x:f>IF(Q846&lt;&gt;"OK","",IF(E846="Back",-G846,G846))</x:f>
      </x:c>
      <x:c r="N846" s="20" t="str">
        <x:f>IF(Q846&lt;&gt;"OK","",SUMIFS($L$8:$L$1007,$A$8:$A$1007,A846,$B$8:$B$1007,"&lt;="&amp;B846))</x:f>
      </x:c>
      <x:c r="O846" s="20" t="str">
        <x:f>IF(Q846&lt;&gt;"OK","",SUMIFS($M$8:$M$1007,$A$8:$A$1007,A846,$B$8:$B$1007,"&lt;="&amp;B846))</x:f>
      </x:c>
      <x:c r="P846" s="20" t="str">
        <x:f>IF(Q846&lt;&gt;"OK","",MAX(0,-MIN(N846,O846)))</x:f>
      </x:c>
      <x:c r="Q846" s="18" t="str">
        <x:f>IF(A846="",IF(COUNTA(B846:K846)=0,"","Inserisci ID"),IF(COUNTIFS('Diario'!$A$8:$A$507,A846)&lt;&gt;1,"ID assente / duplicato",IF(OR(NOT(ISNUMBER(B846)),B846&lt;1,B846&lt;&gt;INT(B846),COUNTIFS($A$8:$A$1007,A846,$B$8:$B$1007,B846)&lt;&gt;1),"N. esecuzione non valido",IF(OR(NOT(ISNUMBER(C846)),AND(D846&lt;&gt;"Ingresso",D846&lt;&gt;"Uscita"),AND(E846&lt;&gt;"Back",E846&lt;&gt;"Lay")),"Completa data / fase / lato",IF(OR(NOT(ISNUMBER(F846)),F846&lt;=1,NOT(ISNUMBER(G846)),G846&lt;=0),"Correggi quota / stake","OK")))))</x:f>
      </x:c>
    </x:row>
    <x:row r="847" ht="22" customHeight="1">
      <x:c r="A847" s="24"/>
      <x:c r="B847" s="24"/>
      <x:c r="C847" s="26"/>
      <x:c r="D847" s="24"/>
      <x:c r="E847" s="24"/>
      <x:c r="F847" s="28"/>
      <x:c r="G847" s="29"/>
      <x:c r="H847" s="24"/>
      <x:c r="I847" s="24"/>
      <x:c r="J847" s="24"/>
      <x:c r="K847" s="24"/>
      <x:c r="L847" s="20" t="str">
        <x:f>IF(Q847&lt;&gt;"OK","",IF(E847="Back",G847*(F847-1),-G847*(F847-1)))</x:f>
      </x:c>
      <x:c r="M847" s="20" t="str">
        <x:f>IF(Q847&lt;&gt;"OK","",IF(E847="Back",-G847,G847))</x:f>
      </x:c>
      <x:c r="N847" s="20" t="str">
        <x:f>IF(Q847&lt;&gt;"OK","",SUMIFS($L$8:$L$1007,$A$8:$A$1007,A847,$B$8:$B$1007,"&lt;="&amp;B847))</x:f>
      </x:c>
      <x:c r="O847" s="20" t="str">
        <x:f>IF(Q847&lt;&gt;"OK","",SUMIFS($M$8:$M$1007,$A$8:$A$1007,A847,$B$8:$B$1007,"&lt;="&amp;B847))</x:f>
      </x:c>
      <x:c r="P847" s="20" t="str">
        <x:f>IF(Q847&lt;&gt;"OK","",MAX(0,-MIN(N847,O847)))</x:f>
      </x:c>
      <x:c r="Q847" s="18" t="str">
        <x:f>IF(A847="",IF(COUNTA(B847:K847)=0,"","Inserisci ID"),IF(COUNTIFS('Diario'!$A$8:$A$507,A847)&lt;&gt;1,"ID assente / duplicato",IF(OR(NOT(ISNUMBER(B847)),B847&lt;1,B847&lt;&gt;INT(B847),COUNTIFS($A$8:$A$1007,A847,$B$8:$B$1007,B847)&lt;&gt;1),"N. esecuzione non valido",IF(OR(NOT(ISNUMBER(C847)),AND(D847&lt;&gt;"Ingresso",D847&lt;&gt;"Uscita"),AND(E847&lt;&gt;"Back",E847&lt;&gt;"Lay")),"Completa data / fase / lato",IF(OR(NOT(ISNUMBER(F847)),F847&lt;=1,NOT(ISNUMBER(G847)),G847&lt;=0),"Correggi quota / stake","OK")))))</x:f>
      </x:c>
    </x:row>
    <x:row r="848" ht="22" customHeight="1">
      <x:c r="A848" s="24"/>
      <x:c r="B848" s="24"/>
      <x:c r="C848" s="26"/>
      <x:c r="D848" s="24"/>
      <x:c r="E848" s="24"/>
      <x:c r="F848" s="28"/>
      <x:c r="G848" s="29"/>
      <x:c r="H848" s="24"/>
      <x:c r="I848" s="24"/>
      <x:c r="J848" s="24"/>
      <x:c r="K848" s="24"/>
      <x:c r="L848" s="20" t="str">
        <x:f>IF(Q848&lt;&gt;"OK","",IF(E848="Back",G848*(F848-1),-G848*(F848-1)))</x:f>
      </x:c>
      <x:c r="M848" s="20" t="str">
        <x:f>IF(Q848&lt;&gt;"OK","",IF(E848="Back",-G848,G848))</x:f>
      </x:c>
      <x:c r="N848" s="20" t="str">
        <x:f>IF(Q848&lt;&gt;"OK","",SUMIFS($L$8:$L$1007,$A$8:$A$1007,A848,$B$8:$B$1007,"&lt;="&amp;B848))</x:f>
      </x:c>
      <x:c r="O848" s="20" t="str">
        <x:f>IF(Q848&lt;&gt;"OK","",SUMIFS($M$8:$M$1007,$A$8:$A$1007,A848,$B$8:$B$1007,"&lt;="&amp;B848))</x:f>
      </x:c>
      <x:c r="P848" s="20" t="str">
        <x:f>IF(Q848&lt;&gt;"OK","",MAX(0,-MIN(N848,O848)))</x:f>
      </x:c>
      <x:c r="Q848" s="18" t="str">
        <x:f>IF(A848="",IF(COUNTA(B848:K848)=0,"","Inserisci ID"),IF(COUNTIFS('Diario'!$A$8:$A$507,A848)&lt;&gt;1,"ID assente / duplicato",IF(OR(NOT(ISNUMBER(B848)),B848&lt;1,B848&lt;&gt;INT(B848),COUNTIFS($A$8:$A$1007,A848,$B$8:$B$1007,B848)&lt;&gt;1),"N. esecuzione non valido",IF(OR(NOT(ISNUMBER(C848)),AND(D848&lt;&gt;"Ingresso",D848&lt;&gt;"Uscita"),AND(E848&lt;&gt;"Back",E848&lt;&gt;"Lay")),"Completa data / fase / lato",IF(OR(NOT(ISNUMBER(F848)),F848&lt;=1,NOT(ISNUMBER(G848)),G848&lt;=0),"Correggi quota / stake","OK")))))</x:f>
      </x:c>
    </x:row>
    <x:row r="849" ht="22" customHeight="1">
      <x:c r="A849" s="24"/>
      <x:c r="B849" s="24"/>
      <x:c r="C849" s="26"/>
      <x:c r="D849" s="24"/>
      <x:c r="E849" s="24"/>
      <x:c r="F849" s="28"/>
      <x:c r="G849" s="29"/>
      <x:c r="H849" s="24"/>
      <x:c r="I849" s="24"/>
      <x:c r="J849" s="24"/>
      <x:c r="K849" s="24"/>
      <x:c r="L849" s="20" t="str">
        <x:f>IF(Q849&lt;&gt;"OK","",IF(E849="Back",G849*(F849-1),-G849*(F849-1)))</x:f>
      </x:c>
      <x:c r="M849" s="20" t="str">
        <x:f>IF(Q849&lt;&gt;"OK","",IF(E849="Back",-G849,G849))</x:f>
      </x:c>
      <x:c r="N849" s="20" t="str">
        <x:f>IF(Q849&lt;&gt;"OK","",SUMIFS($L$8:$L$1007,$A$8:$A$1007,A849,$B$8:$B$1007,"&lt;="&amp;B849))</x:f>
      </x:c>
      <x:c r="O849" s="20" t="str">
        <x:f>IF(Q849&lt;&gt;"OK","",SUMIFS($M$8:$M$1007,$A$8:$A$1007,A849,$B$8:$B$1007,"&lt;="&amp;B849))</x:f>
      </x:c>
      <x:c r="P849" s="20" t="str">
        <x:f>IF(Q849&lt;&gt;"OK","",MAX(0,-MIN(N849,O849)))</x:f>
      </x:c>
      <x:c r="Q849" s="18" t="str">
        <x:f>IF(A849="",IF(COUNTA(B849:K849)=0,"","Inserisci ID"),IF(COUNTIFS('Diario'!$A$8:$A$507,A849)&lt;&gt;1,"ID assente / duplicato",IF(OR(NOT(ISNUMBER(B849)),B849&lt;1,B849&lt;&gt;INT(B849),COUNTIFS($A$8:$A$1007,A849,$B$8:$B$1007,B849)&lt;&gt;1),"N. esecuzione non valido",IF(OR(NOT(ISNUMBER(C849)),AND(D849&lt;&gt;"Ingresso",D849&lt;&gt;"Uscita"),AND(E849&lt;&gt;"Back",E849&lt;&gt;"Lay")),"Completa data / fase / lato",IF(OR(NOT(ISNUMBER(F849)),F849&lt;=1,NOT(ISNUMBER(G849)),G849&lt;=0),"Correggi quota / stake","OK")))))</x:f>
      </x:c>
    </x:row>
    <x:row r="850" ht="22" customHeight="1">
      <x:c r="A850" s="24"/>
      <x:c r="B850" s="24"/>
      <x:c r="C850" s="26"/>
      <x:c r="D850" s="24"/>
      <x:c r="E850" s="24"/>
      <x:c r="F850" s="28"/>
      <x:c r="G850" s="29"/>
      <x:c r="H850" s="24"/>
      <x:c r="I850" s="24"/>
      <x:c r="J850" s="24"/>
      <x:c r="K850" s="24"/>
      <x:c r="L850" s="20" t="str">
        <x:f>IF(Q850&lt;&gt;"OK","",IF(E850="Back",G850*(F850-1),-G850*(F850-1)))</x:f>
      </x:c>
      <x:c r="M850" s="20" t="str">
        <x:f>IF(Q850&lt;&gt;"OK","",IF(E850="Back",-G850,G850))</x:f>
      </x:c>
      <x:c r="N850" s="20" t="str">
        <x:f>IF(Q850&lt;&gt;"OK","",SUMIFS($L$8:$L$1007,$A$8:$A$1007,A850,$B$8:$B$1007,"&lt;="&amp;B850))</x:f>
      </x:c>
      <x:c r="O850" s="20" t="str">
        <x:f>IF(Q850&lt;&gt;"OK","",SUMIFS($M$8:$M$1007,$A$8:$A$1007,A850,$B$8:$B$1007,"&lt;="&amp;B850))</x:f>
      </x:c>
      <x:c r="P850" s="20" t="str">
        <x:f>IF(Q850&lt;&gt;"OK","",MAX(0,-MIN(N850,O850)))</x:f>
      </x:c>
      <x:c r="Q850" s="18" t="str">
        <x:f>IF(A850="",IF(COUNTA(B850:K850)=0,"","Inserisci ID"),IF(COUNTIFS('Diario'!$A$8:$A$507,A850)&lt;&gt;1,"ID assente / duplicato",IF(OR(NOT(ISNUMBER(B850)),B850&lt;1,B850&lt;&gt;INT(B850),COUNTIFS($A$8:$A$1007,A850,$B$8:$B$1007,B850)&lt;&gt;1),"N. esecuzione non valido",IF(OR(NOT(ISNUMBER(C850)),AND(D850&lt;&gt;"Ingresso",D850&lt;&gt;"Uscita"),AND(E850&lt;&gt;"Back",E850&lt;&gt;"Lay")),"Completa data / fase / lato",IF(OR(NOT(ISNUMBER(F850)),F850&lt;=1,NOT(ISNUMBER(G850)),G850&lt;=0),"Correggi quota / stake","OK")))))</x:f>
      </x:c>
    </x:row>
    <x:row r="851" ht="22" customHeight="1">
      <x:c r="A851" s="24"/>
      <x:c r="B851" s="24"/>
      <x:c r="C851" s="26"/>
      <x:c r="D851" s="24"/>
      <x:c r="E851" s="24"/>
      <x:c r="F851" s="28"/>
      <x:c r="G851" s="29"/>
      <x:c r="H851" s="24"/>
      <x:c r="I851" s="24"/>
      <x:c r="J851" s="24"/>
      <x:c r="K851" s="24"/>
      <x:c r="L851" s="20" t="str">
        <x:f>IF(Q851&lt;&gt;"OK","",IF(E851="Back",G851*(F851-1),-G851*(F851-1)))</x:f>
      </x:c>
      <x:c r="M851" s="20" t="str">
        <x:f>IF(Q851&lt;&gt;"OK","",IF(E851="Back",-G851,G851))</x:f>
      </x:c>
      <x:c r="N851" s="20" t="str">
        <x:f>IF(Q851&lt;&gt;"OK","",SUMIFS($L$8:$L$1007,$A$8:$A$1007,A851,$B$8:$B$1007,"&lt;="&amp;B851))</x:f>
      </x:c>
      <x:c r="O851" s="20" t="str">
        <x:f>IF(Q851&lt;&gt;"OK","",SUMIFS($M$8:$M$1007,$A$8:$A$1007,A851,$B$8:$B$1007,"&lt;="&amp;B851))</x:f>
      </x:c>
      <x:c r="P851" s="20" t="str">
        <x:f>IF(Q851&lt;&gt;"OK","",MAX(0,-MIN(N851,O851)))</x:f>
      </x:c>
      <x:c r="Q851" s="18" t="str">
        <x:f>IF(A851="",IF(COUNTA(B851:K851)=0,"","Inserisci ID"),IF(COUNTIFS('Diario'!$A$8:$A$507,A851)&lt;&gt;1,"ID assente / duplicato",IF(OR(NOT(ISNUMBER(B851)),B851&lt;1,B851&lt;&gt;INT(B851),COUNTIFS($A$8:$A$1007,A851,$B$8:$B$1007,B851)&lt;&gt;1),"N. esecuzione non valido",IF(OR(NOT(ISNUMBER(C851)),AND(D851&lt;&gt;"Ingresso",D851&lt;&gt;"Uscita"),AND(E851&lt;&gt;"Back",E851&lt;&gt;"Lay")),"Completa data / fase / lato",IF(OR(NOT(ISNUMBER(F851)),F851&lt;=1,NOT(ISNUMBER(G851)),G851&lt;=0),"Correggi quota / stake","OK")))))</x:f>
      </x:c>
    </x:row>
    <x:row r="852" ht="22" customHeight="1">
      <x:c r="A852" s="24"/>
      <x:c r="B852" s="24"/>
      <x:c r="C852" s="26"/>
      <x:c r="D852" s="24"/>
      <x:c r="E852" s="24"/>
      <x:c r="F852" s="28"/>
      <x:c r="G852" s="29"/>
      <x:c r="H852" s="24"/>
      <x:c r="I852" s="24"/>
      <x:c r="J852" s="24"/>
      <x:c r="K852" s="24"/>
      <x:c r="L852" s="20" t="str">
        <x:f>IF(Q852&lt;&gt;"OK","",IF(E852="Back",G852*(F852-1),-G852*(F852-1)))</x:f>
      </x:c>
      <x:c r="M852" s="20" t="str">
        <x:f>IF(Q852&lt;&gt;"OK","",IF(E852="Back",-G852,G852))</x:f>
      </x:c>
      <x:c r="N852" s="20" t="str">
        <x:f>IF(Q852&lt;&gt;"OK","",SUMIFS($L$8:$L$1007,$A$8:$A$1007,A852,$B$8:$B$1007,"&lt;="&amp;B852))</x:f>
      </x:c>
      <x:c r="O852" s="20" t="str">
        <x:f>IF(Q852&lt;&gt;"OK","",SUMIFS($M$8:$M$1007,$A$8:$A$1007,A852,$B$8:$B$1007,"&lt;="&amp;B852))</x:f>
      </x:c>
      <x:c r="P852" s="20" t="str">
        <x:f>IF(Q852&lt;&gt;"OK","",MAX(0,-MIN(N852,O852)))</x:f>
      </x:c>
      <x:c r="Q852" s="18" t="str">
        <x:f>IF(A852="",IF(COUNTA(B852:K852)=0,"","Inserisci ID"),IF(COUNTIFS('Diario'!$A$8:$A$507,A852)&lt;&gt;1,"ID assente / duplicato",IF(OR(NOT(ISNUMBER(B852)),B852&lt;1,B852&lt;&gt;INT(B852),COUNTIFS($A$8:$A$1007,A852,$B$8:$B$1007,B852)&lt;&gt;1),"N. esecuzione non valido",IF(OR(NOT(ISNUMBER(C852)),AND(D852&lt;&gt;"Ingresso",D852&lt;&gt;"Uscita"),AND(E852&lt;&gt;"Back",E852&lt;&gt;"Lay")),"Completa data / fase / lato",IF(OR(NOT(ISNUMBER(F852)),F852&lt;=1,NOT(ISNUMBER(G852)),G852&lt;=0),"Correggi quota / stake","OK")))))</x:f>
      </x:c>
    </x:row>
    <x:row r="853" ht="22" customHeight="1">
      <x:c r="A853" s="24"/>
      <x:c r="B853" s="24"/>
      <x:c r="C853" s="26"/>
      <x:c r="D853" s="24"/>
      <x:c r="E853" s="24"/>
      <x:c r="F853" s="28"/>
      <x:c r="G853" s="29"/>
      <x:c r="H853" s="24"/>
      <x:c r="I853" s="24"/>
      <x:c r="J853" s="24"/>
      <x:c r="K853" s="24"/>
      <x:c r="L853" s="20" t="str">
        <x:f>IF(Q853&lt;&gt;"OK","",IF(E853="Back",G853*(F853-1),-G853*(F853-1)))</x:f>
      </x:c>
      <x:c r="M853" s="20" t="str">
        <x:f>IF(Q853&lt;&gt;"OK","",IF(E853="Back",-G853,G853))</x:f>
      </x:c>
      <x:c r="N853" s="20" t="str">
        <x:f>IF(Q853&lt;&gt;"OK","",SUMIFS($L$8:$L$1007,$A$8:$A$1007,A853,$B$8:$B$1007,"&lt;="&amp;B853))</x:f>
      </x:c>
      <x:c r="O853" s="20" t="str">
        <x:f>IF(Q853&lt;&gt;"OK","",SUMIFS($M$8:$M$1007,$A$8:$A$1007,A853,$B$8:$B$1007,"&lt;="&amp;B853))</x:f>
      </x:c>
      <x:c r="P853" s="20" t="str">
        <x:f>IF(Q853&lt;&gt;"OK","",MAX(0,-MIN(N853,O853)))</x:f>
      </x:c>
      <x:c r="Q853" s="18" t="str">
        <x:f>IF(A853="",IF(COUNTA(B853:K853)=0,"","Inserisci ID"),IF(COUNTIFS('Diario'!$A$8:$A$507,A853)&lt;&gt;1,"ID assente / duplicato",IF(OR(NOT(ISNUMBER(B853)),B853&lt;1,B853&lt;&gt;INT(B853),COUNTIFS($A$8:$A$1007,A853,$B$8:$B$1007,B853)&lt;&gt;1),"N. esecuzione non valido",IF(OR(NOT(ISNUMBER(C853)),AND(D853&lt;&gt;"Ingresso",D853&lt;&gt;"Uscita"),AND(E853&lt;&gt;"Back",E853&lt;&gt;"Lay")),"Completa data / fase / lato",IF(OR(NOT(ISNUMBER(F853)),F853&lt;=1,NOT(ISNUMBER(G853)),G853&lt;=0),"Correggi quota / stake","OK")))))</x:f>
      </x:c>
    </x:row>
    <x:row r="854" ht="22" customHeight="1">
      <x:c r="A854" s="24"/>
      <x:c r="B854" s="24"/>
      <x:c r="C854" s="26"/>
      <x:c r="D854" s="24"/>
      <x:c r="E854" s="24"/>
      <x:c r="F854" s="28"/>
      <x:c r="G854" s="29"/>
      <x:c r="H854" s="24"/>
      <x:c r="I854" s="24"/>
      <x:c r="J854" s="24"/>
      <x:c r="K854" s="24"/>
      <x:c r="L854" s="20" t="str">
        <x:f>IF(Q854&lt;&gt;"OK","",IF(E854="Back",G854*(F854-1),-G854*(F854-1)))</x:f>
      </x:c>
      <x:c r="M854" s="20" t="str">
        <x:f>IF(Q854&lt;&gt;"OK","",IF(E854="Back",-G854,G854))</x:f>
      </x:c>
      <x:c r="N854" s="20" t="str">
        <x:f>IF(Q854&lt;&gt;"OK","",SUMIFS($L$8:$L$1007,$A$8:$A$1007,A854,$B$8:$B$1007,"&lt;="&amp;B854))</x:f>
      </x:c>
      <x:c r="O854" s="20" t="str">
        <x:f>IF(Q854&lt;&gt;"OK","",SUMIFS($M$8:$M$1007,$A$8:$A$1007,A854,$B$8:$B$1007,"&lt;="&amp;B854))</x:f>
      </x:c>
      <x:c r="P854" s="20" t="str">
        <x:f>IF(Q854&lt;&gt;"OK","",MAX(0,-MIN(N854,O854)))</x:f>
      </x:c>
      <x:c r="Q854" s="18" t="str">
        <x:f>IF(A854="",IF(COUNTA(B854:K854)=0,"","Inserisci ID"),IF(COUNTIFS('Diario'!$A$8:$A$507,A854)&lt;&gt;1,"ID assente / duplicato",IF(OR(NOT(ISNUMBER(B854)),B854&lt;1,B854&lt;&gt;INT(B854),COUNTIFS($A$8:$A$1007,A854,$B$8:$B$1007,B854)&lt;&gt;1),"N. esecuzione non valido",IF(OR(NOT(ISNUMBER(C854)),AND(D854&lt;&gt;"Ingresso",D854&lt;&gt;"Uscita"),AND(E854&lt;&gt;"Back",E854&lt;&gt;"Lay")),"Completa data / fase / lato",IF(OR(NOT(ISNUMBER(F854)),F854&lt;=1,NOT(ISNUMBER(G854)),G854&lt;=0),"Correggi quota / stake","OK")))))</x:f>
      </x:c>
    </x:row>
    <x:row r="855" ht="22" customHeight="1">
      <x:c r="A855" s="24"/>
      <x:c r="B855" s="24"/>
      <x:c r="C855" s="26"/>
      <x:c r="D855" s="24"/>
      <x:c r="E855" s="24"/>
      <x:c r="F855" s="28"/>
      <x:c r="G855" s="29"/>
      <x:c r="H855" s="24"/>
      <x:c r="I855" s="24"/>
      <x:c r="J855" s="24"/>
      <x:c r="K855" s="24"/>
      <x:c r="L855" s="20" t="str">
        <x:f>IF(Q855&lt;&gt;"OK","",IF(E855="Back",G855*(F855-1),-G855*(F855-1)))</x:f>
      </x:c>
      <x:c r="M855" s="20" t="str">
        <x:f>IF(Q855&lt;&gt;"OK","",IF(E855="Back",-G855,G855))</x:f>
      </x:c>
      <x:c r="N855" s="20" t="str">
        <x:f>IF(Q855&lt;&gt;"OK","",SUMIFS($L$8:$L$1007,$A$8:$A$1007,A855,$B$8:$B$1007,"&lt;="&amp;B855))</x:f>
      </x:c>
      <x:c r="O855" s="20" t="str">
        <x:f>IF(Q855&lt;&gt;"OK","",SUMIFS($M$8:$M$1007,$A$8:$A$1007,A855,$B$8:$B$1007,"&lt;="&amp;B855))</x:f>
      </x:c>
      <x:c r="P855" s="20" t="str">
        <x:f>IF(Q855&lt;&gt;"OK","",MAX(0,-MIN(N855,O855)))</x:f>
      </x:c>
      <x:c r="Q855" s="18" t="str">
        <x:f>IF(A855="",IF(COUNTA(B855:K855)=0,"","Inserisci ID"),IF(COUNTIFS('Diario'!$A$8:$A$507,A855)&lt;&gt;1,"ID assente / duplicato",IF(OR(NOT(ISNUMBER(B855)),B855&lt;1,B855&lt;&gt;INT(B855),COUNTIFS($A$8:$A$1007,A855,$B$8:$B$1007,B855)&lt;&gt;1),"N. esecuzione non valido",IF(OR(NOT(ISNUMBER(C855)),AND(D855&lt;&gt;"Ingresso",D855&lt;&gt;"Uscita"),AND(E855&lt;&gt;"Back",E855&lt;&gt;"Lay")),"Completa data / fase / lato",IF(OR(NOT(ISNUMBER(F855)),F855&lt;=1,NOT(ISNUMBER(G855)),G855&lt;=0),"Correggi quota / stake","OK")))))</x:f>
      </x:c>
    </x:row>
    <x:row r="856" ht="22" customHeight="1">
      <x:c r="A856" s="24"/>
      <x:c r="B856" s="24"/>
      <x:c r="C856" s="26"/>
      <x:c r="D856" s="24"/>
      <x:c r="E856" s="24"/>
      <x:c r="F856" s="28"/>
      <x:c r="G856" s="29"/>
      <x:c r="H856" s="24"/>
      <x:c r="I856" s="24"/>
      <x:c r="J856" s="24"/>
      <x:c r="K856" s="24"/>
      <x:c r="L856" s="20" t="str">
        <x:f>IF(Q856&lt;&gt;"OK","",IF(E856="Back",G856*(F856-1),-G856*(F856-1)))</x:f>
      </x:c>
      <x:c r="M856" s="20" t="str">
        <x:f>IF(Q856&lt;&gt;"OK","",IF(E856="Back",-G856,G856))</x:f>
      </x:c>
      <x:c r="N856" s="20" t="str">
        <x:f>IF(Q856&lt;&gt;"OK","",SUMIFS($L$8:$L$1007,$A$8:$A$1007,A856,$B$8:$B$1007,"&lt;="&amp;B856))</x:f>
      </x:c>
      <x:c r="O856" s="20" t="str">
        <x:f>IF(Q856&lt;&gt;"OK","",SUMIFS($M$8:$M$1007,$A$8:$A$1007,A856,$B$8:$B$1007,"&lt;="&amp;B856))</x:f>
      </x:c>
      <x:c r="P856" s="20" t="str">
        <x:f>IF(Q856&lt;&gt;"OK","",MAX(0,-MIN(N856,O856)))</x:f>
      </x:c>
      <x:c r="Q856" s="18" t="str">
        <x:f>IF(A856="",IF(COUNTA(B856:K856)=0,"","Inserisci ID"),IF(COUNTIFS('Diario'!$A$8:$A$507,A856)&lt;&gt;1,"ID assente / duplicato",IF(OR(NOT(ISNUMBER(B856)),B856&lt;1,B856&lt;&gt;INT(B856),COUNTIFS($A$8:$A$1007,A856,$B$8:$B$1007,B856)&lt;&gt;1),"N. esecuzione non valido",IF(OR(NOT(ISNUMBER(C856)),AND(D856&lt;&gt;"Ingresso",D856&lt;&gt;"Uscita"),AND(E856&lt;&gt;"Back",E856&lt;&gt;"Lay")),"Completa data / fase / lato",IF(OR(NOT(ISNUMBER(F856)),F856&lt;=1,NOT(ISNUMBER(G856)),G856&lt;=0),"Correggi quota / stake","OK")))))</x:f>
      </x:c>
    </x:row>
    <x:row r="857" ht="22" customHeight="1">
      <x:c r="A857" s="24"/>
      <x:c r="B857" s="24"/>
      <x:c r="C857" s="26"/>
      <x:c r="D857" s="24"/>
      <x:c r="E857" s="24"/>
      <x:c r="F857" s="28"/>
      <x:c r="G857" s="29"/>
      <x:c r="H857" s="24"/>
      <x:c r="I857" s="24"/>
      <x:c r="J857" s="24"/>
      <x:c r="K857" s="24"/>
      <x:c r="L857" s="20" t="str">
        <x:f>IF(Q857&lt;&gt;"OK","",IF(E857="Back",G857*(F857-1),-G857*(F857-1)))</x:f>
      </x:c>
      <x:c r="M857" s="20" t="str">
        <x:f>IF(Q857&lt;&gt;"OK","",IF(E857="Back",-G857,G857))</x:f>
      </x:c>
      <x:c r="N857" s="20" t="str">
        <x:f>IF(Q857&lt;&gt;"OK","",SUMIFS($L$8:$L$1007,$A$8:$A$1007,A857,$B$8:$B$1007,"&lt;="&amp;B857))</x:f>
      </x:c>
      <x:c r="O857" s="20" t="str">
        <x:f>IF(Q857&lt;&gt;"OK","",SUMIFS($M$8:$M$1007,$A$8:$A$1007,A857,$B$8:$B$1007,"&lt;="&amp;B857))</x:f>
      </x:c>
      <x:c r="P857" s="20" t="str">
        <x:f>IF(Q857&lt;&gt;"OK","",MAX(0,-MIN(N857,O857)))</x:f>
      </x:c>
      <x:c r="Q857" s="18" t="str">
        <x:f>IF(A857="",IF(COUNTA(B857:K857)=0,"","Inserisci ID"),IF(COUNTIFS('Diario'!$A$8:$A$507,A857)&lt;&gt;1,"ID assente / duplicato",IF(OR(NOT(ISNUMBER(B857)),B857&lt;1,B857&lt;&gt;INT(B857),COUNTIFS($A$8:$A$1007,A857,$B$8:$B$1007,B857)&lt;&gt;1),"N. esecuzione non valido",IF(OR(NOT(ISNUMBER(C857)),AND(D857&lt;&gt;"Ingresso",D857&lt;&gt;"Uscita"),AND(E857&lt;&gt;"Back",E857&lt;&gt;"Lay")),"Completa data / fase / lato",IF(OR(NOT(ISNUMBER(F857)),F857&lt;=1,NOT(ISNUMBER(G857)),G857&lt;=0),"Correggi quota / stake","OK")))))</x:f>
      </x:c>
    </x:row>
    <x:row r="858" ht="22" customHeight="1">
      <x:c r="A858" s="24"/>
      <x:c r="B858" s="24"/>
      <x:c r="C858" s="26"/>
      <x:c r="D858" s="24"/>
      <x:c r="E858" s="24"/>
      <x:c r="F858" s="28"/>
      <x:c r="G858" s="29"/>
      <x:c r="H858" s="24"/>
      <x:c r="I858" s="24"/>
      <x:c r="J858" s="24"/>
      <x:c r="K858" s="24"/>
      <x:c r="L858" s="20" t="str">
        <x:f>IF(Q858&lt;&gt;"OK","",IF(E858="Back",G858*(F858-1),-G858*(F858-1)))</x:f>
      </x:c>
      <x:c r="M858" s="20" t="str">
        <x:f>IF(Q858&lt;&gt;"OK","",IF(E858="Back",-G858,G858))</x:f>
      </x:c>
      <x:c r="N858" s="20" t="str">
        <x:f>IF(Q858&lt;&gt;"OK","",SUMIFS($L$8:$L$1007,$A$8:$A$1007,A858,$B$8:$B$1007,"&lt;="&amp;B858))</x:f>
      </x:c>
      <x:c r="O858" s="20" t="str">
        <x:f>IF(Q858&lt;&gt;"OK","",SUMIFS($M$8:$M$1007,$A$8:$A$1007,A858,$B$8:$B$1007,"&lt;="&amp;B858))</x:f>
      </x:c>
      <x:c r="P858" s="20" t="str">
        <x:f>IF(Q858&lt;&gt;"OK","",MAX(0,-MIN(N858,O858)))</x:f>
      </x:c>
      <x:c r="Q858" s="18" t="str">
        <x:f>IF(A858="",IF(COUNTA(B858:K858)=0,"","Inserisci ID"),IF(COUNTIFS('Diario'!$A$8:$A$507,A858)&lt;&gt;1,"ID assente / duplicato",IF(OR(NOT(ISNUMBER(B858)),B858&lt;1,B858&lt;&gt;INT(B858),COUNTIFS($A$8:$A$1007,A858,$B$8:$B$1007,B858)&lt;&gt;1),"N. esecuzione non valido",IF(OR(NOT(ISNUMBER(C858)),AND(D858&lt;&gt;"Ingresso",D858&lt;&gt;"Uscita"),AND(E858&lt;&gt;"Back",E858&lt;&gt;"Lay")),"Completa data / fase / lato",IF(OR(NOT(ISNUMBER(F858)),F858&lt;=1,NOT(ISNUMBER(G858)),G858&lt;=0),"Correggi quota / stake","OK")))))</x:f>
      </x:c>
    </x:row>
    <x:row r="859" ht="22" customHeight="1">
      <x:c r="A859" s="24"/>
      <x:c r="B859" s="24"/>
      <x:c r="C859" s="26"/>
      <x:c r="D859" s="24"/>
      <x:c r="E859" s="24"/>
      <x:c r="F859" s="28"/>
      <x:c r="G859" s="29"/>
      <x:c r="H859" s="24"/>
      <x:c r="I859" s="24"/>
      <x:c r="J859" s="24"/>
      <x:c r="K859" s="24"/>
      <x:c r="L859" s="20" t="str">
        <x:f>IF(Q859&lt;&gt;"OK","",IF(E859="Back",G859*(F859-1),-G859*(F859-1)))</x:f>
      </x:c>
      <x:c r="M859" s="20" t="str">
        <x:f>IF(Q859&lt;&gt;"OK","",IF(E859="Back",-G859,G859))</x:f>
      </x:c>
      <x:c r="N859" s="20" t="str">
        <x:f>IF(Q859&lt;&gt;"OK","",SUMIFS($L$8:$L$1007,$A$8:$A$1007,A859,$B$8:$B$1007,"&lt;="&amp;B859))</x:f>
      </x:c>
      <x:c r="O859" s="20" t="str">
        <x:f>IF(Q859&lt;&gt;"OK","",SUMIFS($M$8:$M$1007,$A$8:$A$1007,A859,$B$8:$B$1007,"&lt;="&amp;B859))</x:f>
      </x:c>
      <x:c r="P859" s="20" t="str">
        <x:f>IF(Q859&lt;&gt;"OK","",MAX(0,-MIN(N859,O859)))</x:f>
      </x:c>
      <x:c r="Q859" s="18" t="str">
        <x:f>IF(A859="",IF(COUNTA(B859:K859)=0,"","Inserisci ID"),IF(COUNTIFS('Diario'!$A$8:$A$507,A859)&lt;&gt;1,"ID assente / duplicato",IF(OR(NOT(ISNUMBER(B859)),B859&lt;1,B859&lt;&gt;INT(B859),COUNTIFS($A$8:$A$1007,A859,$B$8:$B$1007,B859)&lt;&gt;1),"N. esecuzione non valido",IF(OR(NOT(ISNUMBER(C859)),AND(D859&lt;&gt;"Ingresso",D859&lt;&gt;"Uscita"),AND(E859&lt;&gt;"Back",E859&lt;&gt;"Lay")),"Completa data / fase / lato",IF(OR(NOT(ISNUMBER(F859)),F859&lt;=1,NOT(ISNUMBER(G859)),G859&lt;=0),"Correggi quota / stake","OK")))))</x:f>
      </x:c>
    </x:row>
    <x:row r="860" ht="22" customHeight="1">
      <x:c r="A860" s="24"/>
      <x:c r="B860" s="24"/>
      <x:c r="C860" s="26"/>
      <x:c r="D860" s="24"/>
      <x:c r="E860" s="24"/>
      <x:c r="F860" s="28"/>
      <x:c r="G860" s="29"/>
      <x:c r="H860" s="24"/>
      <x:c r="I860" s="24"/>
      <x:c r="J860" s="24"/>
      <x:c r="K860" s="24"/>
      <x:c r="L860" s="20" t="str">
        <x:f>IF(Q860&lt;&gt;"OK","",IF(E860="Back",G860*(F860-1),-G860*(F860-1)))</x:f>
      </x:c>
      <x:c r="M860" s="20" t="str">
        <x:f>IF(Q860&lt;&gt;"OK","",IF(E860="Back",-G860,G860))</x:f>
      </x:c>
      <x:c r="N860" s="20" t="str">
        <x:f>IF(Q860&lt;&gt;"OK","",SUMIFS($L$8:$L$1007,$A$8:$A$1007,A860,$B$8:$B$1007,"&lt;="&amp;B860))</x:f>
      </x:c>
      <x:c r="O860" s="20" t="str">
        <x:f>IF(Q860&lt;&gt;"OK","",SUMIFS($M$8:$M$1007,$A$8:$A$1007,A860,$B$8:$B$1007,"&lt;="&amp;B860))</x:f>
      </x:c>
      <x:c r="P860" s="20" t="str">
        <x:f>IF(Q860&lt;&gt;"OK","",MAX(0,-MIN(N860,O860)))</x:f>
      </x:c>
      <x:c r="Q860" s="18" t="str">
        <x:f>IF(A860="",IF(COUNTA(B860:K860)=0,"","Inserisci ID"),IF(COUNTIFS('Diario'!$A$8:$A$507,A860)&lt;&gt;1,"ID assente / duplicato",IF(OR(NOT(ISNUMBER(B860)),B860&lt;1,B860&lt;&gt;INT(B860),COUNTIFS($A$8:$A$1007,A860,$B$8:$B$1007,B860)&lt;&gt;1),"N. esecuzione non valido",IF(OR(NOT(ISNUMBER(C860)),AND(D860&lt;&gt;"Ingresso",D860&lt;&gt;"Uscita"),AND(E860&lt;&gt;"Back",E860&lt;&gt;"Lay")),"Completa data / fase / lato",IF(OR(NOT(ISNUMBER(F860)),F860&lt;=1,NOT(ISNUMBER(G860)),G860&lt;=0),"Correggi quota / stake","OK")))))</x:f>
      </x:c>
    </x:row>
    <x:row r="861" ht="22" customHeight="1">
      <x:c r="A861" s="24"/>
      <x:c r="B861" s="24"/>
      <x:c r="C861" s="26"/>
      <x:c r="D861" s="24"/>
      <x:c r="E861" s="24"/>
      <x:c r="F861" s="28"/>
      <x:c r="G861" s="29"/>
      <x:c r="H861" s="24"/>
      <x:c r="I861" s="24"/>
      <x:c r="J861" s="24"/>
      <x:c r="K861" s="24"/>
      <x:c r="L861" s="20" t="str">
        <x:f>IF(Q861&lt;&gt;"OK","",IF(E861="Back",G861*(F861-1),-G861*(F861-1)))</x:f>
      </x:c>
      <x:c r="M861" s="20" t="str">
        <x:f>IF(Q861&lt;&gt;"OK","",IF(E861="Back",-G861,G861))</x:f>
      </x:c>
      <x:c r="N861" s="20" t="str">
        <x:f>IF(Q861&lt;&gt;"OK","",SUMIFS($L$8:$L$1007,$A$8:$A$1007,A861,$B$8:$B$1007,"&lt;="&amp;B861))</x:f>
      </x:c>
      <x:c r="O861" s="20" t="str">
        <x:f>IF(Q861&lt;&gt;"OK","",SUMIFS($M$8:$M$1007,$A$8:$A$1007,A861,$B$8:$B$1007,"&lt;="&amp;B861))</x:f>
      </x:c>
      <x:c r="P861" s="20" t="str">
        <x:f>IF(Q861&lt;&gt;"OK","",MAX(0,-MIN(N861,O861)))</x:f>
      </x:c>
      <x:c r="Q861" s="18" t="str">
        <x:f>IF(A861="",IF(COUNTA(B861:K861)=0,"","Inserisci ID"),IF(COUNTIFS('Diario'!$A$8:$A$507,A861)&lt;&gt;1,"ID assente / duplicato",IF(OR(NOT(ISNUMBER(B861)),B861&lt;1,B861&lt;&gt;INT(B861),COUNTIFS($A$8:$A$1007,A861,$B$8:$B$1007,B861)&lt;&gt;1),"N. esecuzione non valido",IF(OR(NOT(ISNUMBER(C861)),AND(D861&lt;&gt;"Ingresso",D861&lt;&gt;"Uscita"),AND(E861&lt;&gt;"Back",E861&lt;&gt;"Lay")),"Completa data / fase / lato",IF(OR(NOT(ISNUMBER(F861)),F861&lt;=1,NOT(ISNUMBER(G861)),G861&lt;=0),"Correggi quota / stake","OK")))))</x:f>
      </x:c>
    </x:row>
    <x:row r="862" ht="22" customHeight="1">
      <x:c r="A862" s="24"/>
      <x:c r="B862" s="24"/>
      <x:c r="C862" s="26"/>
      <x:c r="D862" s="24"/>
      <x:c r="E862" s="24"/>
      <x:c r="F862" s="28"/>
      <x:c r="G862" s="29"/>
      <x:c r="H862" s="24"/>
      <x:c r="I862" s="24"/>
      <x:c r="J862" s="24"/>
      <x:c r="K862" s="24"/>
      <x:c r="L862" s="20" t="str">
        <x:f>IF(Q862&lt;&gt;"OK","",IF(E862="Back",G862*(F862-1),-G862*(F862-1)))</x:f>
      </x:c>
      <x:c r="M862" s="20" t="str">
        <x:f>IF(Q862&lt;&gt;"OK","",IF(E862="Back",-G862,G862))</x:f>
      </x:c>
      <x:c r="N862" s="20" t="str">
        <x:f>IF(Q862&lt;&gt;"OK","",SUMIFS($L$8:$L$1007,$A$8:$A$1007,A862,$B$8:$B$1007,"&lt;="&amp;B862))</x:f>
      </x:c>
      <x:c r="O862" s="20" t="str">
        <x:f>IF(Q862&lt;&gt;"OK","",SUMIFS($M$8:$M$1007,$A$8:$A$1007,A862,$B$8:$B$1007,"&lt;="&amp;B862))</x:f>
      </x:c>
      <x:c r="P862" s="20" t="str">
        <x:f>IF(Q862&lt;&gt;"OK","",MAX(0,-MIN(N862,O862)))</x:f>
      </x:c>
      <x:c r="Q862" s="18" t="str">
        <x:f>IF(A862="",IF(COUNTA(B862:K862)=0,"","Inserisci ID"),IF(COUNTIFS('Diario'!$A$8:$A$507,A862)&lt;&gt;1,"ID assente / duplicato",IF(OR(NOT(ISNUMBER(B862)),B862&lt;1,B862&lt;&gt;INT(B862),COUNTIFS($A$8:$A$1007,A862,$B$8:$B$1007,B862)&lt;&gt;1),"N. esecuzione non valido",IF(OR(NOT(ISNUMBER(C862)),AND(D862&lt;&gt;"Ingresso",D862&lt;&gt;"Uscita"),AND(E862&lt;&gt;"Back",E862&lt;&gt;"Lay")),"Completa data / fase / lato",IF(OR(NOT(ISNUMBER(F862)),F862&lt;=1,NOT(ISNUMBER(G862)),G862&lt;=0),"Correggi quota / stake","OK")))))</x:f>
      </x:c>
    </x:row>
    <x:row r="863" ht="22" customHeight="1">
      <x:c r="A863" s="24"/>
      <x:c r="B863" s="24"/>
      <x:c r="C863" s="26"/>
      <x:c r="D863" s="24"/>
      <x:c r="E863" s="24"/>
      <x:c r="F863" s="28"/>
      <x:c r="G863" s="29"/>
      <x:c r="H863" s="24"/>
      <x:c r="I863" s="24"/>
      <x:c r="J863" s="24"/>
      <x:c r="K863" s="24"/>
      <x:c r="L863" s="20" t="str">
        <x:f>IF(Q863&lt;&gt;"OK","",IF(E863="Back",G863*(F863-1),-G863*(F863-1)))</x:f>
      </x:c>
      <x:c r="M863" s="20" t="str">
        <x:f>IF(Q863&lt;&gt;"OK","",IF(E863="Back",-G863,G863))</x:f>
      </x:c>
      <x:c r="N863" s="20" t="str">
        <x:f>IF(Q863&lt;&gt;"OK","",SUMIFS($L$8:$L$1007,$A$8:$A$1007,A863,$B$8:$B$1007,"&lt;="&amp;B863))</x:f>
      </x:c>
      <x:c r="O863" s="20" t="str">
        <x:f>IF(Q863&lt;&gt;"OK","",SUMIFS($M$8:$M$1007,$A$8:$A$1007,A863,$B$8:$B$1007,"&lt;="&amp;B863))</x:f>
      </x:c>
      <x:c r="P863" s="20" t="str">
        <x:f>IF(Q863&lt;&gt;"OK","",MAX(0,-MIN(N863,O863)))</x:f>
      </x:c>
      <x:c r="Q863" s="18" t="str">
        <x:f>IF(A863="",IF(COUNTA(B863:K863)=0,"","Inserisci ID"),IF(COUNTIFS('Diario'!$A$8:$A$507,A863)&lt;&gt;1,"ID assente / duplicato",IF(OR(NOT(ISNUMBER(B863)),B863&lt;1,B863&lt;&gt;INT(B863),COUNTIFS($A$8:$A$1007,A863,$B$8:$B$1007,B863)&lt;&gt;1),"N. esecuzione non valido",IF(OR(NOT(ISNUMBER(C863)),AND(D863&lt;&gt;"Ingresso",D863&lt;&gt;"Uscita"),AND(E863&lt;&gt;"Back",E863&lt;&gt;"Lay")),"Completa data / fase / lato",IF(OR(NOT(ISNUMBER(F863)),F863&lt;=1,NOT(ISNUMBER(G863)),G863&lt;=0),"Correggi quota / stake","OK")))))</x:f>
      </x:c>
    </x:row>
    <x:row r="864" ht="22" customHeight="1">
      <x:c r="A864" s="24"/>
      <x:c r="B864" s="24"/>
      <x:c r="C864" s="26"/>
      <x:c r="D864" s="24"/>
      <x:c r="E864" s="24"/>
      <x:c r="F864" s="28"/>
      <x:c r="G864" s="29"/>
      <x:c r="H864" s="24"/>
      <x:c r="I864" s="24"/>
      <x:c r="J864" s="24"/>
      <x:c r="K864" s="24"/>
      <x:c r="L864" s="20" t="str">
        <x:f>IF(Q864&lt;&gt;"OK","",IF(E864="Back",G864*(F864-1),-G864*(F864-1)))</x:f>
      </x:c>
      <x:c r="M864" s="20" t="str">
        <x:f>IF(Q864&lt;&gt;"OK","",IF(E864="Back",-G864,G864))</x:f>
      </x:c>
      <x:c r="N864" s="20" t="str">
        <x:f>IF(Q864&lt;&gt;"OK","",SUMIFS($L$8:$L$1007,$A$8:$A$1007,A864,$B$8:$B$1007,"&lt;="&amp;B864))</x:f>
      </x:c>
      <x:c r="O864" s="20" t="str">
        <x:f>IF(Q864&lt;&gt;"OK","",SUMIFS($M$8:$M$1007,$A$8:$A$1007,A864,$B$8:$B$1007,"&lt;="&amp;B864))</x:f>
      </x:c>
      <x:c r="P864" s="20" t="str">
        <x:f>IF(Q864&lt;&gt;"OK","",MAX(0,-MIN(N864,O864)))</x:f>
      </x:c>
      <x:c r="Q864" s="18" t="str">
        <x:f>IF(A864="",IF(COUNTA(B864:K864)=0,"","Inserisci ID"),IF(COUNTIFS('Diario'!$A$8:$A$507,A864)&lt;&gt;1,"ID assente / duplicato",IF(OR(NOT(ISNUMBER(B864)),B864&lt;1,B864&lt;&gt;INT(B864),COUNTIFS($A$8:$A$1007,A864,$B$8:$B$1007,B864)&lt;&gt;1),"N. esecuzione non valido",IF(OR(NOT(ISNUMBER(C864)),AND(D864&lt;&gt;"Ingresso",D864&lt;&gt;"Uscita"),AND(E864&lt;&gt;"Back",E864&lt;&gt;"Lay")),"Completa data / fase / lato",IF(OR(NOT(ISNUMBER(F864)),F864&lt;=1,NOT(ISNUMBER(G864)),G864&lt;=0),"Correggi quota / stake","OK")))))</x:f>
      </x:c>
    </x:row>
    <x:row r="865" ht="22" customHeight="1">
      <x:c r="A865" s="24"/>
      <x:c r="B865" s="24"/>
      <x:c r="C865" s="26"/>
      <x:c r="D865" s="24"/>
      <x:c r="E865" s="24"/>
      <x:c r="F865" s="28"/>
      <x:c r="G865" s="29"/>
      <x:c r="H865" s="24"/>
      <x:c r="I865" s="24"/>
      <x:c r="J865" s="24"/>
      <x:c r="K865" s="24"/>
      <x:c r="L865" s="20" t="str">
        <x:f>IF(Q865&lt;&gt;"OK","",IF(E865="Back",G865*(F865-1),-G865*(F865-1)))</x:f>
      </x:c>
      <x:c r="M865" s="20" t="str">
        <x:f>IF(Q865&lt;&gt;"OK","",IF(E865="Back",-G865,G865))</x:f>
      </x:c>
      <x:c r="N865" s="20" t="str">
        <x:f>IF(Q865&lt;&gt;"OK","",SUMIFS($L$8:$L$1007,$A$8:$A$1007,A865,$B$8:$B$1007,"&lt;="&amp;B865))</x:f>
      </x:c>
      <x:c r="O865" s="20" t="str">
        <x:f>IF(Q865&lt;&gt;"OK","",SUMIFS($M$8:$M$1007,$A$8:$A$1007,A865,$B$8:$B$1007,"&lt;="&amp;B865))</x:f>
      </x:c>
      <x:c r="P865" s="20" t="str">
        <x:f>IF(Q865&lt;&gt;"OK","",MAX(0,-MIN(N865,O865)))</x:f>
      </x:c>
      <x:c r="Q865" s="18" t="str">
        <x:f>IF(A865="",IF(COUNTA(B865:K865)=0,"","Inserisci ID"),IF(COUNTIFS('Diario'!$A$8:$A$507,A865)&lt;&gt;1,"ID assente / duplicato",IF(OR(NOT(ISNUMBER(B865)),B865&lt;1,B865&lt;&gt;INT(B865),COUNTIFS($A$8:$A$1007,A865,$B$8:$B$1007,B865)&lt;&gt;1),"N. esecuzione non valido",IF(OR(NOT(ISNUMBER(C865)),AND(D865&lt;&gt;"Ingresso",D865&lt;&gt;"Uscita"),AND(E865&lt;&gt;"Back",E865&lt;&gt;"Lay")),"Completa data / fase / lato",IF(OR(NOT(ISNUMBER(F865)),F865&lt;=1,NOT(ISNUMBER(G865)),G865&lt;=0),"Correggi quota / stake","OK")))))</x:f>
      </x:c>
    </x:row>
    <x:row r="866" ht="22" customHeight="1">
      <x:c r="A866" s="24"/>
      <x:c r="B866" s="24"/>
      <x:c r="C866" s="26"/>
      <x:c r="D866" s="24"/>
      <x:c r="E866" s="24"/>
      <x:c r="F866" s="28"/>
      <x:c r="G866" s="29"/>
      <x:c r="H866" s="24"/>
      <x:c r="I866" s="24"/>
      <x:c r="J866" s="24"/>
      <x:c r="K866" s="24"/>
      <x:c r="L866" s="20" t="str">
        <x:f>IF(Q866&lt;&gt;"OK","",IF(E866="Back",G866*(F866-1),-G866*(F866-1)))</x:f>
      </x:c>
      <x:c r="M866" s="20" t="str">
        <x:f>IF(Q866&lt;&gt;"OK","",IF(E866="Back",-G866,G866))</x:f>
      </x:c>
      <x:c r="N866" s="20" t="str">
        <x:f>IF(Q866&lt;&gt;"OK","",SUMIFS($L$8:$L$1007,$A$8:$A$1007,A866,$B$8:$B$1007,"&lt;="&amp;B866))</x:f>
      </x:c>
      <x:c r="O866" s="20" t="str">
        <x:f>IF(Q866&lt;&gt;"OK","",SUMIFS($M$8:$M$1007,$A$8:$A$1007,A866,$B$8:$B$1007,"&lt;="&amp;B866))</x:f>
      </x:c>
      <x:c r="P866" s="20" t="str">
        <x:f>IF(Q866&lt;&gt;"OK","",MAX(0,-MIN(N866,O866)))</x:f>
      </x:c>
      <x:c r="Q866" s="18" t="str">
        <x:f>IF(A866="",IF(COUNTA(B866:K866)=0,"","Inserisci ID"),IF(COUNTIFS('Diario'!$A$8:$A$507,A866)&lt;&gt;1,"ID assente / duplicato",IF(OR(NOT(ISNUMBER(B866)),B866&lt;1,B866&lt;&gt;INT(B866),COUNTIFS($A$8:$A$1007,A866,$B$8:$B$1007,B866)&lt;&gt;1),"N. esecuzione non valido",IF(OR(NOT(ISNUMBER(C866)),AND(D866&lt;&gt;"Ingresso",D866&lt;&gt;"Uscita"),AND(E866&lt;&gt;"Back",E866&lt;&gt;"Lay")),"Completa data / fase / lato",IF(OR(NOT(ISNUMBER(F866)),F866&lt;=1,NOT(ISNUMBER(G866)),G866&lt;=0),"Correggi quota / stake","OK")))))</x:f>
      </x:c>
    </x:row>
    <x:row r="867" ht="22" customHeight="1">
      <x:c r="A867" s="24"/>
      <x:c r="B867" s="24"/>
      <x:c r="C867" s="26"/>
      <x:c r="D867" s="24"/>
      <x:c r="E867" s="24"/>
      <x:c r="F867" s="28"/>
      <x:c r="G867" s="29"/>
      <x:c r="H867" s="24"/>
      <x:c r="I867" s="24"/>
      <x:c r="J867" s="24"/>
      <x:c r="K867" s="24"/>
      <x:c r="L867" s="20" t="str">
        <x:f>IF(Q867&lt;&gt;"OK","",IF(E867="Back",G867*(F867-1),-G867*(F867-1)))</x:f>
      </x:c>
      <x:c r="M867" s="20" t="str">
        <x:f>IF(Q867&lt;&gt;"OK","",IF(E867="Back",-G867,G867))</x:f>
      </x:c>
      <x:c r="N867" s="20" t="str">
        <x:f>IF(Q867&lt;&gt;"OK","",SUMIFS($L$8:$L$1007,$A$8:$A$1007,A867,$B$8:$B$1007,"&lt;="&amp;B867))</x:f>
      </x:c>
      <x:c r="O867" s="20" t="str">
        <x:f>IF(Q867&lt;&gt;"OK","",SUMIFS($M$8:$M$1007,$A$8:$A$1007,A867,$B$8:$B$1007,"&lt;="&amp;B867))</x:f>
      </x:c>
      <x:c r="P867" s="20" t="str">
        <x:f>IF(Q867&lt;&gt;"OK","",MAX(0,-MIN(N867,O867)))</x:f>
      </x:c>
      <x:c r="Q867" s="18" t="str">
        <x:f>IF(A867="",IF(COUNTA(B867:K867)=0,"","Inserisci ID"),IF(COUNTIFS('Diario'!$A$8:$A$507,A867)&lt;&gt;1,"ID assente / duplicato",IF(OR(NOT(ISNUMBER(B867)),B867&lt;1,B867&lt;&gt;INT(B867),COUNTIFS($A$8:$A$1007,A867,$B$8:$B$1007,B867)&lt;&gt;1),"N. esecuzione non valido",IF(OR(NOT(ISNUMBER(C867)),AND(D867&lt;&gt;"Ingresso",D867&lt;&gt;"Uscita"),AND(E867&lt;&gt;"Back",E867&lt;&gt;"Lay")),"Completa data / fase / lato",IF(OR(NOT(ISNUMBER(F867)),F867&lt;=1,NOT(ISNUMBER(G867)),G867&lt;=0),"Correggi quota / stake","OK")))))</x:f>
      </x:c>
    </x:row>
    <x:row r="868" ht="22" customHeight="1">
      <x:c r="A868" s="24"/>
      <x:c r="B868" s="24"/>
      <x:c r="C868" s="26"/>
      <x:c r="D868" s="24"/>
      <x:c r="E868" s="24"/>
      <x:c r="F868" s="28"/>
      <x:c r="G868" s="29"/>
      <x:c r="H868" s="24"/>
      <x:c r="I868" s="24"/>
      <x:c r="J868" s="24"/>
      <x:c r="K868" s="24"/>
      <x:c r="L868" s="20" t="str">
        <x:f>IF(Q868&lt;&gt;"OK","",IF(E868="Back",G868*(F868-1),-G868*(F868-1)))</x:f>
      </x:c>
      <x:c r="M868" s="20" t="str">
        <x:f>IF(Q868&lt;&gt;"OK","",IF(E868="Back",-G868,G868))</x:f>
      </x:c>
      <x:c r="N868" s="20" t="str">
        <x:f>IF(Q868&lt;&gt;"OK","",SUMIFS($L$8:$L$1007,$A$8:$A$1007,A868,$B$8:$B$1007,"&lt;="&amp;B868))</x:f>
      </x:c>
      <x:c r="O868" s="20" t="str">
        <x:f>IF(Q868&lt;&gt;"OK","",SUMIFS($M$8:$M$1007,$A$8:$A$1007,A868,$B$8:$B$1007,"&lt;="&amp;B868))</x:f>
      </x:c>
      <x:c r="P868" s="20" t="str">
        <x:f>IF(Q868&lt;&gt;"OK","",MAX(0,-MIN(N868,O868)))</x:f>
      </x:c>
      <x:c r="Q868" s="18" t="str">
        <x:f>IF(A868="",IF(COUNTA(B868:K868)=0,"","Inserisci ID"),IF(COUNTIFS('Diario'!$A$8:$A$507,A868)&lt;&gt;1,"ID assente / duplicato",IF(OR(NOT(ISNUMBER(B868)),B868&lt;1,B868&lt;&gt;INT(B868),COUNTIFS($A$8:$A$1007,A868,$B$8:$B$1007,B868)&lt;&gt;1),"N. esecuzione non valido",IF(OR(NOT(ISNUMBER(C868)),AND(D868&lt;&gt;"Ingresso",D868&lt;&gt;"Uscita"),AND(E868&lt;&gt;"Back",E868&lt;&gt;"Lay")),"Completa data / fase / lato",IF(OR(NOT(ISNUMBER(F868)),F868&lt;=1,NOT(ISNUMBER(G868)),G868&lt;=0),"Correggi quota / stake","OK")))))</x:f>
      </x:c>
    </x:row>
    <x:row r="869" ht="22" customHeight="1">
      <x:c r="A869" s="24"/>
      <x:c r="B869" s="24"/>
      <x:c r="C869" s="26"/>
      <x:c r="D869" s="24"/>
      <x:c r="E869" s="24"/>
      <x:c r="F869" s="28"/>
      <x:c r="G869" s="29"/>
      <x:c r="H869" s="24"/>
      <x:c r="I869" s="24"/>
      <x:c r="J869" s="24"/>
      <x:c r="K869" s="24"/>
      <x:c r="L869" s="20" t="str">
        <x:f>IF(Q869&lt;&gt;"OK","",IF(E869="Back",G869*(F869-1),-G869*(F869-1)))</x:f>
      </x:c>
      <x:c r="M869" s="20" t="str">
        <x:f>IF(Q869&lt;&gt;"OK","",IF(E869="Back",-G869,G869))</x:f>
      </x:c>
      <x:c r="N869" s="20" t="str">
        <x:f>IF(Q869&lt;&gt;"OK","",SUMIFS($L$8:$L$1007,$A$8:$A$1007,A869,$B$8:$B$1007,"&lt;="&amp;B869))</x:f>
      </x:c>
      <x:c r="O869" s="20" t="str">
        <x:f>IF(Q869&lt;&gt;"OK","",SUMIFS($M$8:$M$1007,$A$8:$A$1007,A869,$B$8:$B$1007,"&lt;="&amp;B869))</x:f>
      </x:c>
      <x:c r="P869" s="20" t="str">
        <x:f>IF(Q869&lt;&gt;"OK","",MAX(0,-MIN(N869,O869)))</x:f>
      </x:c>
      <x:c r="Q869" s="18" t="str">
        <x:f>IF(A869="",IF(COUNTA(B869:K869)=0,"","Inserisci ID"),IF(COUNTIFS('Diario'!$A$8:$A$507,A869)&lt;&gt;1,"ID assente / duplicato",IF(OR(NOT(ISNUMBER(B869)),B869&lt;1,B869&lt;&gt;INT(B869),COUNTIFS($A$8:$A$1007,A869,$B$8:$B$1007,B869)&lt;&gt;1),"N. esecuzione non valido",IF(OR(NOT(ISNUMBER(C869)),AND(D869&lt;&gt;"Ingresso",D869&lt;&gt;"Uscita"),AND(E869&lt;&gt;"Back",E869&lt;&gt;"Lay")),"Completa data / fase / lato",IF(OR(NOT(ISNUMBER(F869)),F869&lt;=1,NOT(ISNUMBER(G869)),G869&lt;=0),"Correggi quota / stake","OK")))))</x:f>
      </x:c>
    </x:row>
    <x:row r="870" ht="22" customHeight="1">
      <x:c r="A870" s="24"/>
      <x:c r="B870" s="24"/>
      <x:c r="C870" s="26"/>
      <x:c r="D870" s="24"/>
      <x:c r="E870" s="24"/>
      <x:c r="F870" s="28"/>
      <x:c r="G870" s="29"/>
      <x:c r="H870" s="24"/>
      <x:c r="I870" s="24"/>
      <x:c r="J870" s="24"/>
      <x:c r="K870" s="24"/>
      <x:c r="L870" s="20" t="str">
        <x:f>IF(Q870&lt;&gt;"OK","",IF(E870="Back",G870*(F870-1),-G870*(F870-1)))</x:f>
      </x:c>
      <x:c r="M870" s="20" t="str">
        <x:f>IF(Q870&lt;&gt;"OK","",IF(E870="Back",-G870,G870))</x:f>
      </x:c>
      <x:c r="N870" s="20" t="str">
        <x:f>IF(Q870&lt;&gt;"OK","",SUMIFS($L$8:$L$1007,$A$8:$A$1007,A870,$B$8:$B$1007,"&lt;="&amp;B870))</x:f>
      </x:c>
      <x:c r="O870" s="20" t="str">
        <x:f>IF(Q870&lt;&gt;"OK","",SUMIFS($M$8:$M$1007,$A$8:$A$1007,A870,$B$8:$B$1007,"&lt;="&amp;B870))</x:f>
      </x:c>
      <x:c r="P870" s="20" t="str">
        <x:f>IF(Q870&lt;&gt;"OK","",MAX(0,-MIN(N870,O870)))</x:f>
      </x:c>
      <x:c r="Q870" s="18" t="str">
        <x:f>IF(A870="",IF(COUNTA(B870:K870)=0,"","Inserisci ID"),IF(COUNTIFS('Diario'!$A$8:$A$507,A870)&lt;&gt;1,"ID assente / duplicato",IF(OR(NOT(ISNUMBER(B870)),B870&lt;1,B870&lt;&gt;INT(B870),COUNTIFS($A$8:$A$1007,A870,$B$8:$B$1007,B870)&lt;&gt;1),"N. esecuzione non valido",IF(OR(NOT(ISNUMBER(C870)),AND(D870&lt;&gt;"Ingresso",D870&lt;&gt;"Uscita"),AND(E870&lt;&gt;"Back",E870&lt;&gt;"Lay")),"Completa data / fase / lato",IF(OR(NOT(ISNUMBER(F870)),F870&lt;=1,NOT(ISNUMBER(G870)),G870&lt;=0),"Correggi quota / stake","OK")))))</x:f>
      </x:c>
    </x:row>
    <x:row r="871" ht="22" customHeight="1">
      <x:c r="A871" s="24"/>
      <x:c r="B871" s="24"/>
      <x:c r="C871" s="26"/>
      <x:c r="D871" s="24"/>
      <x:c r="E871" s="24"/>
      <x:c r="F871" s="28"/>
      <x:c r="G871" s="29"/>
      <x:c r="H871" s="24"/>
      <x:c r="I871" s="24"/>
      <x:c r="J871" s="24"/>
      <x:c r="K871" s="24"/>
      <x:c r="L871" s="20" t="str">
        <x:f>IF(Q871&lt;&gt;"OK","",IF(E871="Back",G871*(F871-1),-G871*(F871-1)))</x:f>
      </x:c>
      <x:c r="M871" s="20" t="str">
        <x:f>IF(Q871&lt;&gt;"OK","",IF(E871="Back",-G871,G871))</x:f>
      </x:c>
      <x:c r="N871" s="20" t="str">
        <x:f>IF(Q871&lt;&gt;"OK","",SUMIFS($L$8:$L$1007,$A$8:$A$1007,A871,$B$8:$B$1007,"&lt;="&amp;B871))</x:f>
      </x:c>
      <x:c r="O871" s="20" t="str">
        <x:f>IF(Q871&lt;&gt;"OK","",SUMIFS($M$8:$M$1007,$A$8:$A$1007,A871,$B$8:$B$1007,"&lt;="&amp;B871))</x:f>
      </x:c>
      <x:c r="P871" s="20" t="str">
        <x:f>IF(Q871&lt;&gt;"OK","",MAX(0,-MIN(N871,O871)))</x:f>
      </x:c>
      <x:c r="Q871" s="18" t="str">
        <x:f>IF(A871="",IF(COUNTA(B871:K871)=0,"","Inserisci ID"),IF(COUNTIFS('Diario'!$A$8:$A$507,A871)&lt;&gt;1,"ID assente / duplicato",IF(OR(NOT(ISNUMBER(B871)),B871&lt;1,B871&lt;&gt;INT(B871),COUNTIFS($A$8:$A$1007,A871,$B$8:$B$1007,B871)&lt;&gt;1),"N. esecuzione non valido",IF(OR(NOT(ISNUMBER(C871)),AND(D871&lt;&gt;"Ingresso",D871&lt;&gt;"Uscita"),AND(E871&lt;&gt;"Back",E871&lt;&gt;"Lay")),"Completa data / fase / lato",IF(OR(NOT(ISNUMBER(F871)),F871&lt;=1,NOT(ISNUMBER(G871)),G871&lt;=0),"Correggi quota / stake","OK")))))</x:f>
      </x:c>
    </x:row>
    <x:row r="872" ht="22" customHeight="1">
      <x:c r="A872" s="24"/>
      <x:c r="B872" s="24"/>
      <x:c r="C872" s="26"/>
      <x:c r="D872" s="24"/>
      <x:c r="E872" s="24"/>
      <x:c r="F872" s="28"/>
      <x:c r="G872" s="29"/>
      <x:c r="H872" s="24"/>
      <x:c r="I872" s="24"/>
      <x:c r="J872" s="24"/>
      <x:c r="K872" s="24"/>
      <x:c r="L872" s="20" t="str">
        <x:f>IF(Q872&lt;&gt;"OK","",IF(E872="Back",G872*(F872-1),-G872*(F872-1)))</x:f>
      </x:c>
      <x:c r="M872" s="20" t="str">
        <x:f>IF(Q872&lt;&gt;"OK","",IF(E872="Back",-G872,G872))</x:f>
      </x:c>
      <x:c r="N872" s="20" t="str">
        <x:f>IF(Q872&lt;&gt;"OK","",SUMIFS($L$8:$L$1007,$A$8:$A$1007,A872,$B$8:$B$1007,"&lt;="&amp;B872))</x:f>
      </x:c>
      <x:c r="O872" s="20" t="str">
        <x:f>IF(Q872&lt;&gt;"OK","",SUMIFS($M$8:$M$1007,$A$8:$A$1007,A872,$B$8:$B$1007,"&lt;="&amp;B872))</x:f>
      </x:c>
      <x:c r="P872" s="20" t="str">
        <x:f>IF(Q872&lt;&gt;"OK","",MAX(0,-MIN(N872,O872)))</x:f>
      </x:c>
      <x:c r="Q872" s="18" t="str">
        <x:f>IF(A872="",IF(COUNTA(B872:K872)=0,"","Inserisci ID"),IF(COUNTIFS('Diario'!$A$8:$A$507,A872)&lt;&gt;1,"ID assente / duplicato",IF(OR(NOT(ISNUMBER(B872)),B872&lt;1,B872&lt;&gt;INT(B872),COUNTIFS($A$8:$A$1007,A872,$B$8:$B$1007,B872)&lt;&gt;1),"N. esecuzione non valido",IF(OR(NOT(ISNUMBER(C872)),AND(D872&lt;&gt;"Ingresso",D872&lt;&gt;"Uscita"),AND(E872&lt;&gt;"Back",E872&lt;&gt;"Lay")),"Completa data / fase / lato",IF(OR(NOT(ISNUMBER(F872)),F872&lt;=1,NOT(ISNUMBER(G872)),G872&lt;=0),"Correggi quota / stake","OK")))))</x:f>
      </x:c>
    </x:row>
    <x:row r="873" ht="22" customHeight="1">
      <x:c r="A873" s="24"/>
      <x:c r="B873" s="24"/>
      <x:c r="C873" s="26"/>
      <x:c r="D873" s="24"/>
      <x:c r="E873" s="24"/>
      <x:c r="F873" s="28"/>
      <x:c r="G873" s="29"/>
      <x:c r="H873" s="24"/>
      <x:c r="I873" s="24"/>
      <x:c r="J873" s="24"/>
      <x:c r="K873" s="24"/>
      <x:c r="L873" s="20" t="str">
        <x:f>IF(Q873&lt;&gt;"OK","",IF(E873="Back",G873*(F873-1),-G873*(F873-1)))</x:f>
      </x:c>
      <x:c r="M873" s="20" t="str">
        <x:f>IF(Q873&lt;&gt;"OK","",IF(E873="Back",-G873,G873))</x:f>
      </x:c>
      <x:c r="N873" s="20" t="str">
        <x:f>IF(Q873&lt;&gt;"OK","",SUMIFS($L$8:$L$1007,$A$8:$A$1007,A873,$B$8:$B$1007,"&lt;="&amp;B873))</x:f>
      </x:c>
      <x:c r="O873" s="20" t="str">
        <x:f>IF(Q873&lt;&gt;"OK","",SUMIFS($M$8:$M$1007,$A$8:$A$1007,A873,$B$8:$B$1007,"&lt;="&amp;B873))</x:f>
      </x:c>
      <x:c r="P873" s="20" t="str">
        <x:f>IF(Q873&lt;&gt;"OK","",MAX(0,-MIN(N873,O873)))</x:f>
      </x:c>
      <x:c r="Q873" s="18" t="str">
        <x:f>IF(A873="",IF(COUNTA(B873:K873)=0,"","Inserisci ID"),IF(COUNTIFS('Diario'!$A$8:$A$507,A873)&lt;&gt;1,"ID assente / duplicato",IF(OR(NOT(ISNUMBER(B873)),B873&lt;1,B873&lt;&gt;INT(B873),COUNTIFS($A$8:$A$1007,A873,$B$8:$B$1007,B873)&lt;&gt;1),"N. esecuzione non valido",IF(OR(NOT(ISNUMBER(C873)),AND(D873&lt;&gt;"Ingresso",D873&lt;&gt;"Uscita"),AND(E873&lt;&gt;"Back",E873&lt;&gt;"Lay")),"Completa data / fase / lato",IF(OR(NOT(ISNUMBER(F873)),F873&lt;=1,NOT(ISNUMBER(G873)),G873&lt;=0),"Correggi quota / stake","OK")))))</x:f>
      </x:c>
    </x:row>
    <x:row r="874" ht="22" customHeight="1">
      <x:c r="A874" s="24"/>
      <x:c r="B874" s="24"/>
      <x:c r="C874" s="26"/>
      <x:c r="D874" s="24"/>
      <x:c r="E874" s="24"/>
      <x:c r="F874" s="28"/>
      <x:c r="G874" s="29"/>
      <x:c r="H874" s="24"/>
      <x:c r="I874" s="24"/>
      <x:c r="J874" s="24"/>
      <x:c r="K874" s="24"/>
      <x:c r="L874" s="20" t="str">
        <x:f>IF(Q874&lt;&gt;"OK","",IF(E874="Back",G874*(F874-1),-G874*(F874-1)))</x:f>
      </x:c>
      <x:c r="M874" s="20" t="str">
        <x:f>IF(Q874&lt;&gt;"OK","",IF(E874="Back",-G874,G874))</x:f>
      </x:c>
      <x:c r="N874" s="20" t="str">
        <x:f>IF(Q874&lt;&gt;"OK","",SUMIFS($L$8:$L$1007,$A$8:$A$1007,A874,$B$8:$B$1007,"&lt;="&amp;B874))</x:f>
      </x:c>
      <x:c r="O874" s="20" t="str">
        <x:f>IF(Q874&lt;&gt;"OK","",SUMIFS($M$8:$M$1007,$A$8:$A$1007,A874,$B$8:$B$1007,"&lt;="&amp;B874))</x:f>
      </x:c>
      <x:c r="P874" s="20" t="str">
        <x:f>IF(Q874&lt;&gt;"OK","",MAX(0,-MIN(N874,O874)))</x:f>
      </x:c>
      <x:c r="Q874" s="18" t="str">
        <x:f>IF(A874="",IF(COUNTA(B874:K874)=0,"","Inserisci ID"),IF(COUNTIFS('Diario'!$A$8:$A$507,A874)&lt;&gt;1,"ID assente / duplicato",IF(OR(NOT(ISNUMBER(B874)),B874&lt;1,B874&lt;&gt;INT(B874),COUNTIFS($A$8:$A$1007,A874,$B$8:$B$1007,B874)&lt;&gt;1),"N. esecuzione non valido",IF(OR(NOT(ISNUMBER(C874)),AND(D874&lt;&gt;"Ingresso",D874&lt;&gt;"Uscita"),AND(E874&lt;&gt;"Back",E874&lt;&gt;"Lay")),"Completa data / fase / lato",IF(OR(NOT(ISNUMBER(F874)),F874&lt;=1,NOT(ISNUMBER(G874)),G874&lt;=0),"Correggi quota / stake","OK")))))</x:f>
      </x:c>
    </x:row>
    <x:row r="875" ht="22" customHeight="1">
      <x:c r="A875" s="24"/>
      <x:c r="B875" s="24"/>
      <x:c r="C875" s="26"/>
      <x:c r="D875" s="24"/>
      <x:c r="E875" s="24"/>
      <x:c r="F875" s="28"/>
      <x:c r="G875" s="29"/>
      <x:c r="H875" s="24"/>
      <x:c r="I875" s="24"/>
      <x:c r="J875" s="24"/>
      <x:c r="K875" s="24"/>
      <x:c r="L875" s="20" t="str">
        <x:f>IF(Q875&lt;&gt;"OK","",IF(E875="Back",G875*(F875-1),-G875*(F875-1)))</x:f>
      </x:c>
      <x:c r="M875" s="20" t="str">
        <x:f>IF(Q875&lt;&gt;"OK","",IF(E875="Back",-G875,G875))</x:f>
      </x:c>
      <x:c r="N875" s="20" t="str">
        <x:f>IF(Q875&lt;&gt;"OK","",SUMIFS($L$8:$L$1007,$A$8:$A$1007,A875,$B$8:$B$1007,"&lt;="&amp;B875))</x:f>
      </x:c>
      <x:c r="O875" s="20" t="str">
        <x:f>IF(Q875&lt;&gt;"OK","",SUMIFS($M$8:$M$1007,$A$8:$A$1007,A875,$B$8:$B$1007,"&lt;="&amp;B875))</x:f>
      </x:c>
      <x:c r="P875" s="20" t="str">
        <x:f>IF(Q875&lt;&gt;"OK","",MAX(0,-MIN(N875,O875)))</x:f>
      </x:c>
      <x:c r="Q875" s="18" t="str">
        <x:f>IF(A875="",IF(COUNTA(B875:K875)=0,"","Inserisci ID"),IF(COUNTIFS('Diario'!$A$8:$A$507,A875)&lt;&gt;1,"ID assente / duplicato",IF(OR(NOT(ISNUMBER(B875)),B875&lt;1,B875&lt;&gt;INT(B875),COUNTIFS($A$8:$A$1007,A875,$B$8:$B$1007,B875)&lt;&gt;1),"N. esecuzione non valido",IF(OR(NOT(ISNUMBER(C875)),AND(D875&lt;&gt;"Ingresso",D875&lt;&gt;"Uscita"),AND(E875&lt;&gt;"Back",E875&lt;&gt;"Lay")),"Completa data / fase / lato",IF(OR(NOT(ISNUMBER(F875)),F875&lt;=1,NOT(ISNUMBER(G875)),G875&lt;=0),"Correggi quota / stake","OK")))))</x:f>
      </x:c>
    </x:row>
    <x:row r="876" ht="22" customHeight="1">
      <x:c r="A876" s="24"/>
      <x:c r="B876" s="24"/>
      <x:c r="C876" s="26"/>
      <x:c r="D876" s="24"/>
      <x:c r="E876" s="24"/>
      <x:c r="F876" s="28"/>
      <x:c r="G876" s="29"/>
      <x:c r="H876" s="24"/>
      <x:c r="I876" s="24"/>
      <x:c r="J876" s="24"/>
      <x:c r="K876" s="24"/>
      <x:c r="L876" s="20" t="str">
        <x:f>IF(Q876&lt;&gt;"OK","",IF(E876="Back",G876*(F876-1),-G876*(F876-1)))</x:f>
      </x:c>
      <x:c r="M876" s="20" t="str">
        <x:f>IF(Q876&lt;&gt;"OK","",IF(E876="Back",-G876,G876))</x:f>
      </x:c>
      <x:c r="N876" s="20" t="str">
        <x:f>IF(Q876&lt;&gt;"OK","",SUMIFS($L$8:$L$1007,$A$8:$A$1007,A876,$B$8:$B$1007,"&lt;="&amp;B876))</x:f>
      </x:c>
      <x:c r="O876" s="20" t="str">
        <x:f>IF(Q876&lt;&gt;"OK","",SUMIFS($M$8:$M$1007,$A$8:$A$1007,A876,$B$8:$B$1007,"&lt;="&amp;B876))</x:f>
      </x:c>
      <x:c r="P876" s="20" t="str">
        <x:f>IF(Q876&lt;&gt;"OK","",MAX(0,-MIN(N876,O876)))</x:f>
      </x:c>
      <x:c r="Q876" s="18" t="str">
        <x:f>IF(A876="",IF(COUNTA(B876:K876)=0,"","Inserisci ID"),IF(COUNTIFS('Diario'!$A$8:$A$507,A876)&lt;&gt;1,"ID assente / duplicato",IF(OR(NOT(ISNUMBER(B876)),B876&lt;1,B876&lt;&gt;INT(B876),COUNTIFS($A$8:$A$1007,A876,$B$8:$B$1007,B876)&lt;&gt;1),"N. esecuzione non valido",IF(OR(NOT(ISNUMBER(C876)),AND(D876&lt;&gt;"Ingresso",D876&lt;&gt;"Uscita"),AND(E876&lt;&gt;"Back",E876&lt;&gt;"Lay")),"Completa data / fase / lato",IF(OR(NOT(ISNUMBER(F876)),F876&lt;=1,NOT(ISNUMBER(G876)),G876&lt;=0),"Correggi quota / stake","OK")))))</x:f>
      </x:c>
    </x:row>
    <x:row r="877" ht="22" customHeight="1">
      <x:c r="A877" s="24"/>
      <x:c r="B877" s="24"/>
      <x:c r="C877" s="26"/>
      <x:c r="D877" s="24"/>
      <x:c r="E877" s="24"/>
      <x:c r="F877" s="28"/>
      <x:c r="G877" s="29"/>
      <x:c r="H877" s="24"/>
      <x:c r="I877" s="24"/>
      <x:c r="J877" s="24"/>
      <x:c r="K877" s="24"/>
      <x:c r="L877" s="20" t="str">
        <x:f>IF(Q877&lt;&gt;"OK","",IF(E877="Back",G877*(F877-1),-G877*(F877-1)))</x:f>
      </x:c>
      <x:c r="M877" s="20" t="str">
        <x:f>IF(Q877&lt;&gt;"OK","",IF(E877="Back",-G877,G877))</x:f>
      </x:c>
      <x:c r="N877" s="20" t="str">
        <x:f>IF(Q877&lt;&gt;"OK","",SUMIFS($L$8:$L$1007,$A$8:$A$1007,A877,$B$8:$B$1007,"&lt;="&amp;B877))</x:f>
      </x:c>
      <x:c r="O877" s="20" t="str">
        <x:f>IF(Q877&lt;&gt;"OK","",SUMIFS($M$8:$M$1007,$A$8:$A$1007,A877,$B$8:$B$1007,"&lt;="&amp;B877))</x:f>
      </x:c>
      <x:c r="P877" s="20" t="str">
        <x:f>IF(Q877&lt;&gt;"OK","",MAX(0,-MIN(N877,O877)))</x:f>
      </x:c>
      <x:c r="Q877" s="18" t="str">
        <x:f>IF(A877="",IF(COUNTA(B877:K877)=0,"","Inserisci ID"),IF(COUNTIFS('Diario'!$A$8:$A$507,A877)&lt;&gt;1,"ID assente / duplicato",IF(OR(NOT(ISNUMBER(B877)),B877&lt;1,B877&lt;&gt;INT(B877),COUNTIFS($A$8:$A$1007,A877,$B$8:$B$1007,B877)&lt;&gt;1),"N. esecuzione non valido",IF(OR(NOT(ISNUMBER(C877)),AND(D877&lt;&gt;"Ingresso",D877&lt;&gt;"Uscita"),AND(E877&lt;&gt;"Back",E877&lt;&gt;"Lay")),"Completa data / fase / lato",IF(OR(NOT(ISNUMBER(F877)),F877&lt;=1,NOT(ISNUMBER(G877)),G877&lt;=0),"Correggi quota / stake","OK")))))</x:f>
      </x:c>
    </x:row>
    <x:row r="878" ht="22" customHeight="1">
      <x:c r="A878" s="24"/>
      <x:c r="B878" s="24"/>
      <x:c r="C878" s="26"/>
      <x:c r="D878" s="24"/>
      <x:c r="E878" s="24"/>
      <x:c r="F878" s="28"/>
      <x:c r="G878" s="29"/>
      <x:c r="H878" s="24"/>
      <x:c r="I878" s="24"/>
      <x:c r="J878" s="24"/>
      <x:c r="K878" s="24"/>
      <x:c r="L878" s="20" t="str">
        <x:f>IF(Q878&lt;&gt;"OK","",IF(E878="Back",G878*(F878-1),-G878*(F878-1)))</x:f>
      </x:c>
      <x:c r="M878" s="20" t="str">
        <x:f>IF(Q878&lt;&gt;"OK","",IF(E878="Back",-G878,G878))</x:f>
      </x:c>
      <x:c r="N878" s="20" t="str">
        <x:f>IF(Q878&lt;&gt;"OK","",SUMIFS($L$8:$L$1007,$A$8:$A$1007,A878,$B$8:$B$1007,"&lt;="&amp;B878))</x:f>
      </x:c>
      <x:c r="O878" s="20" t="str">
        <x:f>IF(Q878&lt;&gt;"OK","",SUMIFS($M$8:$M$1007,$A$8:$A$1007,A878,$B$8:$B$1007,"&lt;="&amp;B878))</x:f>
      </x:c>
      <x:c r="P878" s="20" t="str">
        <x:f>IF(Q878&lt;&gt;"OK","",MAX(0,-MIN(N878,O878)))</x:f>
      </x:c>
      <x:c r="Q878" s="18" t="str">
        <x:f>IF(A878="",IF(COUNTA(B878:K878)=0,"","Inserisci ID"),IF(COUNTIFS('Diario'!$A$8:$A$507,A878)&lt;&gt;1,"ID assente / duplicato",IF(OR(NOT(ISNUMBER(B878)),B878&lt;1,B878&lt;&gt;INT(B878),COUNTIFS($A$8:$A$1007,A878,$B$8:$B$1007,B878)&lt;&gt;1),"N. esecuzione non valido",IF(OR(NOT(ISNUMBER(C878)),AND(D878&lt;&gt;"Ingresso",D878&lt;&gt;"Uscita"),AND(E878&lt;&gt;"Back",E878&lt;&gt;"Lay")),"Completa data / fase / lato",IF(OR(NOT(ISNUMBER(F878)),F878&lt;=1,NOT(ISNUMBER(G878)),G878&lt;=0),"Correggi quota / stake","OK")))))</x:f>
      </x:c>
    </x:row>
    <x:row r="879" ht="22" customHeight="1">
      <x:c r="A879" s="24"/>
      <x:c r="B879" s="24"/>
      <x:c r="C879" s="26"/>
      <x:c r="D879" s="24"/>
      <x:c r="E879" s="24"/>
      <x:c r="F879" s="28"/>
      <x:c r="G879" s="29"/>
      <x:c r="H879" s="24"/>
      <x:c r="I879" s="24"/>
      <x:c r="J879" s="24"/>
      <x:c r="K879" s="24"/>
      <x:c r="L879" s="20" t="str">
        <x:f>IF(Q879&lt;&gt;"OK","",IF(E879="Back",G879*(F879-1),-G879*(F879-1)))</x:f>
      </x:c>
      <x:c r="M879" s="20" t="str">
        <x:f>IF(Q879&lt;&gt;"OK","",IF(E879="Back",-G879,G879))</x:f>
      </x:c>
      <x:c r="N879" s="20" t="str">
        <x:f>IF(Q879&lt;&gt;"OK","",SUMIFS($L$8:$L$1007,$A$8:$A$1007,A879,$B$8:$B$1007,"&lt;="&amp;B879))</x:f>
      </x:c>
      <x:c r="O879" s="20" t="str">
        <x:f>IF(Q879&lt;&gt;"OK","",SUMIFS($M$8:$M$1007,$A$8:$A$1007,A879,$B$8:$B$1007,"&lt;="&amp;B879))</x:f>
      </x:c>
      <x:c r="P879" s="20" t="str">
        <x:f>IF(Q879&lt;&gt;"OK","",MAX(0,-MIN(N879,O879)))</x:f>
      </x:c>
      <x:c r="Q879" s="18" t="str">
        <x:f>IF(A879="",IF(COUNTA(B879:K879)=0,"","Inserisci ID"),IF(COUNTIFS('Diario'!$A$8:$A$507,A879)&lt;&gt;1,"ID assente / duplicato",IF(OR(NOT(ISNUMBER(B879)),B879&lt;1,B879&lt;&gt;INT(B879),COUNTIFS($A$8:$A$1007,A879,$B$8:$B$1007,B879)&lt;&gt;1),"N. esecuzione non valido",IF(OR(NOT(ISNUMBER(C879)),AND(D879&lt;&gt;"Ingresso",D879&lt;&gt;"Uscita"),AND(E879&lt;&gt;"Back",E879&lt;&gt;"Lay")),"Completa data / fase / lato",IF(OR(NOT(ISNUMBER(F879)),F879&lt;=1,NOT(ISNUMBER(G879)),G879&lt;=0),"Correggi quota / stake","OK")))))</x:f>
      </x:c>
    </x:row>
    <x:row r="880" ht="22" customHeight="1">
      <x:c r="A880" s="24"/>
      <x:c r="B880" s="24"/>
      <x:c r="C880" s="26"/>
      <x:c r="D880" s="24"/>
      <x:c r="E880" s="24"/>
      <x:c r="F880" s="28"/>
      <x:c r="G880" s="29"/>
      <x:c r="H880" s="24"/>
      <x:c r="I880" s="24"/>
      <x:c r="J880" s="24"/>
      <x:c r="K880" s="24"/>
      <x:c r="L880" s="20" t="str">
        <x:f>IF(Q880&lt;&gt;"OK","",IF(E880="Back",G880*(F880-1),-G880*(F880-1)))</x:f>
      </x:c>
      <x:c r="M880" s="20" t="str">
        <x:f>IF(Q880&lt;&gt;"OK","",IF(E880="Back",-G880,G880))</x:f>
      </x:c>
      <x:c r="N880" s="20" t="str">
        <x:f>IF(Q880&lt;&gt;"OK","",SUMIFS($L$8:$L$1007,$A$8:$A$1007,A880,$B$8:$B$1007,"&lt;="&amp;B880))</x:f>
      </x:c>
      <x:c r="O880" s="20" t="str">
        <x:f>IF(Q880&lt;&gt;"OK","",SUMIFS($M$8:$M$1007,$A$8:$A$1007,A880,$B$8:$B$1007,"&lt;="&amp;B880))</x:f>
      </x:c>
      <x:c r="P880" s="20" t="str">
        <x:f>IF(Q880&lt;&gt;"OK","",MAX(0,-MIN(N880,O880)))</x:f>
      </x:c>
      <x:c r="Q880" s="18" t="str">
        <x:f>IF(A880="",IF(COUNTA(B880:K880)=0,"","Inserisci ID"),IF(COUNTIFS('Diario'!$A$8:$A$507,A880)&lt;&gt;1,"ID assente / duplicato",IF(OR(NOT(ISNUMBER(B880)),B880&lt;1,B880&lt;&gt;INT(B880),COUNTIFS($A$8:$A$1007,A880,$B$8:$B$1007,B880)&lt;&gt;1),"N. esecuzione non valido",IF(OR(NOT(ISNUMBER(C880)),AND(D880&lt;&gt;"Ingresso",D880&lt;&gt;"Uscita"),AND(E880&lt;&gt;"Back",E880&lt;&gt;"Lay")),"Completa data / fase / lato",IF(OR(NOT(ISNUMBER(F880)),F880&lt;=1,NOT(ISNUMBER(G880)),G880&lt;=0),"Correggi quota / stake","OK")))))</x:f>
      </x:c>
    </x:row>
    <x:row r="881" ht="22" customHeight="1">
      <x:c r="A881" s="24"/>
      <x:c r="B881" s="24"/>
      <x:c r="C881" s="26"/>
      <x:c r="D881" s="24"/>
      <x:c r="E881" s="24"/>
      <x:c r="F881" s="28"/>
      <x:c r="G881" s="29"/>
      <x:c r="H881" s="24"/>
      <x:c r="I881" s="24"/>
      <x:c r="J881" s="24"/>
      <x:c r="K881" s="24"/>
      <x:c r="L881" s="20" t="str">
        <x:f>IF(Q881&lt;&gt;"OK","",IF(E881="Back",G881*(F881-1),-G881*(F881-1)))</x:f>
      </x:c>
      <x:c r="M881" s="20" t="str">
        <x:f>IF(Q881&lt;&gt;"OK","",IF(E881="Back",-G881,G881))</x:f>
      </x:c>
      <x:c r="N881" s="20" t="str">
        <x:f>IF(Q881&lt;&gt;"OK","",SUMIFS($L$8:$L$1007,$A$8:$A$1007,A881,$B$8:$B$1007,"&lt;="&amp;B881))</x:f>
      </x:c>
      <x:c r="O881" s="20" t="str">
        <x:f>IF(Q881&lt;&gt;"OK","",SUMIFS($M$8:$M$1007,$A$8:$A$1007,A881,$B$8:$B$1007,"&lt;="&amp;B881))</x:f>
      </x:c>
      <x:c r="P881" s="20" t="str">
        <x:f>IF(Q881&lt;&gt;"OK","",MAX(0,-MIN(N881,O881)))</x:f>
      </x:c>
      <x:c r="Q881" s="18" t="str">
        <x:f>IF(A881="",IF(COUNTA(B881:K881)=0,"","Inserisci ID"),IF(COUNTIFS('Diario'!$A$8:$A$507,A881)&lt;&gt;1,"ID assente / duplicato",IF(OR(NOT(ISNUMBER(B881)),B881&lt;1,B881&lt;&gt;INT(B881),COUNTIFS($A$8:$A$1007,A881,$B$8:$B$1007,B881)&lt;&gt;1),"N. esecuzione non valido",IF(OR(NOT(ISNUMBER(C881)),AND(D881&lt;&gt;"Ingresso",D881&lt;&gt;"Uscita"),AND(E881&lt;&gt;"Back",E881&lt;&gt;"Lay")),"Completa data / fase / lato",IF(OR(NOT(ISNUMBER(F881)),F881&lt;=1,NOT(ISNUMBER(G881)),G881&lt;=0),"Correggi quota / stake","OK")))))</x:f>
      </x:c>
    </x:row>
    <x:row r="882" ht="22" customHeight="1">
      <x:c r="A882" s="24"/>
      <x:c r="B882" s="24"/>
      <x:c r="C882" s="26"/>
      <x:c r="D882" s="24"/>
      <x:c r="E882" s="24"/>
      <x:c r="F882" s="28"/>
      <x:c r="G882" s="29"/>
      <x:c r="H882" s="24"/>
      <x:c r="I882" s="24"/>
      <x:c r="J882" s="24"/>
      <x:c r="K882" s="24"/>
      <x:c r="L882" s="20" t="str">
        <x:f>IF(Q882&lt;&gt;"OK","",IF(E882="Back",G882*(F882-1),-G882*(F882-1)))</x:f>
      </x:c>
      <x:c r="M882" s="20" t="str">
        <x:f>IF(Q882&lt;&gt;"OK","",IF(E882="Back",-G882,G882))</x:f>
      </x:c>
      <x:c r="N882" s="20" t="str">
        <x:f>IF(Q882&lt;&gt;"OK","",SUMIFS($L$8:$L$1007,$A$8:$A$1007,A882,$B$8:$B$1007,"&lt;="&amp;B882))</x:f>
      </x:c>
      <x:c r="O882" s="20" t="str">
        <x:f>IF(Q882&lt;&gt;"OK","",SUMIFS($M$8:$M$1007,$A$8:$A$1007,A882,$B$8:$B$1007,"&lt;="&amp;B882))</x:f>
      </x:c>
      <x:c r="P882" s="20" t="str">
        <x:f>IF(Q882&lt;&gt;"OK","",MAX(0,-MIN(N882,O882)))</x:f>
      </x:c>
      <x:c r="Q882" s="18" t="str">
        <x:f>IF(A882="",IF(COUNTA(B882:K882)=0,"","Inserisci ID"),IF(COUNTIFS('Diario'!$A$8:$A$507,A882)&lt;&gt;1,"ID assente / duplicato",IF(OR(NOT(ISNUMBER(B882)),B882&lt;1,B882&lt;&gt;INT(B882),COUNTIFS($A$8:$A$1007,A882,$B$8:$B$1007,B882)&lt;&gt;1),"N. esecuzione non valido",IF(OR(NOT(ISNUMBER(C882)),AND(D882&lt;&gt;"Ingresso",D882&lt;&gt;"Uscita"),AND(E882&lt;&gt;"Back",E882&lt;&gt;"Lay")),"Completa data / fase / lato",IF(OR(NOT(ISNUMBER(F882)),F882&lt;=1,NOT(ISNUMBER(G882)),G882&lt;=0),"Correggi quota / stake","OK")))))</x:f>
      </x:c>
    </x:row>
    <x:row r="883" ht="22" customHeight="1">
      <x:c r="A883" s="24"/>
      <x:c r="B883" s="24"/>
      <x:c r="C883" s="26"/>
      <x:c r="D883" s="24"/>
      <x:c r="E883" s="24"/>
      <x:c r="F883" s="28"/>
      <x:c r="G883" s="29"/>
      <x:c r="H883" s="24"/>
      <x:c r="I883" s="24"/>
      <x:c r="J883" s="24"/>
      <x:c r="K883" s="24"/>
      <x:c r="L883" s="20" t="str">
        <x:f>IF(Q883&lt;&gt;"OK","",IF(E883="Back",G883*(F883-1),-G883*(F883-1)))</x:f>
      </x:c>
      <x:c r="M883" s="20" t="str">
        <x:f>IF(Q883&lt;&gt;"OK","",IF(E883="Back",-G883,G883))</x:f>
      </x:c>
      <x:c r="N883" s="20" t="str">
        <x:f>IF(Q883&lt;&gt;"OK","",SUMIFS($L$8:$L$1007,$A$8:$A$1007,A883,$B$8:$B$1007,"&lt;="&amp;B883))</x:f>
      </x:c>
      <x:c r="O883" s="20" t="str">
        <x:f>IF(Q883&lt;&gt;"OK","",SUMIFS($M$8:$M$1007,$A$8:$A$1007,A883,$B$8:$B$1007,"&lt;="&amp;B883))</x:f>
      </x:c>
      <x:c r="P883" s="20" t="str">
        <x:f>IF(Q883&lt;&gt;"OK","",MAX(0,-MIN(N883,O883)))</x:f>
      </x:c>
      <x:c r="Q883" s="18" t="str">
        <x:f>IF(A883="",IF(COUNTA(B883:K883)=0,"","Inserisci ID"),IF(COUNTIFS('Diario'!$A$8:$A$507,A883)&lt;&gt;1,"ID assente / duplicato",IF(OR(NOT(ISNUMBER(B883)),B883&lt;1,B883&lt;&gt;INT(B883),COUNTIFS($A$8:$A$1007,A883,$B$8:$B$1007,B883)&lt;&gt;1),"N. esecuzione non valido",IF(OR(NOT(ISNUMBER(C883)),AND(D883&lt;&gt;"Ingresso",D883&lt;&gt;"Uscita"),AND(E883&lt;&gt;"Back",E883&lt;&gt;"Lay")),"Completa data / fase / lato",IF(OR(NOT(ISNUMBER(F883)),F883&lt;=1,NOT(ISNUMBER(G883)),G883&lt;=0),"Correggi quota / stake","OK")))))</x:f>
      </x:c>
    </x:row>
    <x:row r="884" ht="22" customHeight="1">
      <x:c r="A884" s="24"/>
      <x:c r="B884" s="24"/>
      <x:c r="C884" s="26"/>
      <x:c r="D884" s="24"/>
      <x:c r="E884" s="24"/>
      <x:c r="F884" s="28"/>
      <x:c r="G884" s="29"/>
      <x:c r="H884" s="24"/>
      <x:c r="I884" s="24"/>
      <x:c r="J884" s="24"/>
      <x:c r="K884" s="24"/>
      <x:c r="L884" s="20" t="str">
        <x:f>IF(Q884&lt;&gt;"OK","",IF(E884="Back",G884*(F884-1),-G884*(F884-1)))</x:f>
      </x:c>
      <x:c r="M884" s="20" t="str">
        <x:f>IF(Q884&lt;&gt;"OK","",IF(E884="Back",-G884,G884))</x:f>
      </x:c>
      <x:c r="N884" s="20" t="str">
        <x:f>IF(Q884&lt;&gt;"OK","",SUMIFS($L$8:$L$1007,$A$8:$A$1007,A884,$B$8:$B$1007,"&lt;="&amp;B884))</x:f>
      </x:c>
      <x:c r="O884" s="20" t="str">
        <x:f>IF(Q884&lt;&gt;"OK","",SUMIFS($M$8:$M$1007,$A$8:$A$1007,A884,$B$8:$B$1007,"&lt;="&amp;B884))</x:f>
      </x:c>
      <x:c r="P884" s="20" t="str">
        <x:f>IF(Q884&lt;&gt;"OK","",MAX(0,-MIN(N884,O884)))</x:f>
      </x:c>
      <x:c r="Q884" s="18" t="str">
        <x:f>IF(A884="",IF(COUNTA(B884:K884)=0,"","Inserisci ID"),IF(COUNTIFS('Diario'!$A$8:$A$507,A884)&lt;&gt;1,"ID assente / duplicato",IF(OR(NOT(ISNUMBER(B884)),B884&lt;1,B884&lt;&gt;INT(B884),COUNTIFS($A$8:$A$1007,A884,$B$8:$B$1007,B884)&lt;&gt;1),"N. esecuzione non valido",IF(OR(NOT(ISNUMBER(C884)),AND(D884&lt;&gt;"Ingresso",D884&lt;&gt;"Uscita"),AND(E884&lt;&gt;"Back",E884&lt;&gt;"Lay")),"Completa data / fase / lato",IF(OR(NOT(ISNUMBER(F884)),F884&lt;=1,NOT(ISNUMBER(G884)),G884&lt;=0),"Correggi quota / stake","OK")))))</x:f>
      </x:c>
    </x:row>
    <x:row r="885" ht="22" customHeight="1">
      <x:c r="A885" s="24"/>
      <x:c r="B885" s="24"/>
      <x:c r="C885" s="26"/>
      <x:c r="D885" s="24"/>
      <x:c r="E885" s="24"/>
      <x:c r="F885" s="28"/>
      <x:c r="G885" s="29"/>
      <x:c r="H885" s="24"/>
      <x:c r="I885" s="24"/>
      <x:c r="J885" s="24"/>
      <x:c r="K885" s="24"/>
      <x:c r="L885" s="20" t="str">
        <x:f>IF(Q885&lt;&gt;"OK","",IF(E885="Back",G885*(F885-1),-G885*(F885-1)))</x:f>
      </x:c>
      <x:c r="M885" s="20" t="str">
        <x:f>IF(Q885&lt;&gt;"OK","",IF(E885="Back",-G885,G885))</x:f>
      </x:c>
      <x:c r="N885" s="20" t="str">
        <x:f>IF(Q885&lt;&gt;"OK","",SUMIFS($L$8:$L$1007,$A$8:$A$1007,A885,$B$8:$B$1007,"&lt;="&amp;B885))</x:f>
      </x:c>
      <x:c r="O885" s="20" t="str">
        <x:f>IF(Q885&lt;&gt;"OK","",SUMIFS($M$8:$M$1007,$A$8:$A$1007,A885,$B$8:$B$1007,"&lt;="&amp;B885))</x:f>
      </x:c>
      <x:c r="P885" s="20" t="str">
        <x:f>IF(Q885&lt;&gt;"OK","",MAX(0,-MIN(N885,O885)))</x:f>
      </x:c>
      <x:c r="Q885" s="18" t="str">
        <x:f>IF(A885="",IF(COUNTA(B885:K885)=0,"","Inserisci ID"),IF(COUNTIFS('Diario'!$A$8:$A$507,A885)&lt;&gt;1,"ID assente / duplicato",IF(OR(NOT(ISNUMBER(B885)),B885&lt;1,B885&lt;&gt;INT(B885),COUNTIFS($A$8:$A$1007,A885,$B$8:$B$1007,B885)&lt;&gt;1),"N. esecuzione non valido",IF(OR(NOT(ISNUMBER(C885)),AND(D885&lt;&gt;"Ingresso",D885&lt;&gt;"Uscita"),AND(E885&lt;&gt;"Back",E885&lt;&gt;"Lay")),"Completa data / fase / lato",IF(OR(NOT(ISNUMBER(F885)),F885&lt;=1,NOT(ISNUMBER(G885)),G885&lt;=0),"Correggi quota / stake","OK")))))</x:f>
      </x:c>
    </x:row>
    <x:row r="886" ht="22" customHeight="1">
      <x:c r="A886" s="24"/>
      <x:c r="B886" s="24"/>
      <x:c r="C886" s="26"/>
      <x:c r="D886" s="24"/>
      <x:c r="E886" s="24"/>
      <x:c r="F886" s="28"/>
      <x:c r="G886" s="29"/>
      <x:c r="H886" s="24"/>
      <x:c r="I886" s="24"/>
      <x:c r="J886" s="24"/>
      <x:c r="K886" s="24"/>
      <x:c r="L886" s="20" t="str">
        <x:f>IF(Q886&lt;&gt;"OK","",IF(E886="Back",G886*(F886-1),-G886*(F886-1)))</x:f>
      </x:c>
      <x:c r="M886" s="20" t="str">
        <x:f>IF(Q886&lt;&gt;"OK","",IF(E886="Back",-G886,G886))</x:f>
      </x:c>
      <x:c r="N886" s="20" t="str">
        <x:f>IF(Q886&lt;&gt;"OK","",SUMIFS($L$8:$L$1007,$A$8:$A$1007,A886,$B$8:$B$1007,"&lt;="&amp;B886))</x:f>
      </x:c>
      <x:c r="O886" s="20" t="str">
        <x:f>IF(Q886&lt;&gt;"OK","",SUMIFS($M$8:$M$1007,$A$8:$A$1007,A886,$B$8:$B$1007,"&lt;="&amp;B886))</x:f>
      </x:c>
      <x:c r="P886" s="20" t="str">
        <x:f>IF(Q886&lt;&gt;"OK","",MAX(0,-MIN(N886,O886)))</x:f>
      </x:c>
      <x:c r="Q886" s="18" t="str">
        <x:f>IF(A886="",IF(COUNTA(B886:K886)=0,"","Inserisci ID"),IF(COUNTIFS('Diario'!$A$8:$A$507,A886)&lt;&gt;1,"ID assente / duplicato",IF(OR(NOT(ISNUMBER(B886)),B886&lt;1,B886&lt;&gt;INT(B886),COUNTIFS($A$8:$A$1007,A886,$B$8:$B$1007,B886)&lt;&gt;1),"N. esecuzione non valido",IF(OR(NOT(ISNUMBER(C886)),AND(D886&lt;&gt;"Ingresso",D886&lt;&gt;"Uscita"),AND(E886&lt;&gt;"Back",E886&lt;&gt;"Lay")),"Completa data / fase / lato",IF(OR(NOT(ISNUMBER(F886)),F886&lt;=1,NOT(ISNUMBER(G886)),G886&lt;=0),"Correggi quota / stake","OK")))))</x:f>
      </x:c>
    </x:row>
    <x:row r="887" ht="22" customHeight="1">
      <x:c r="A887" s="24"/>
      <x:c r="B887" s="24"/>
      <x:c r="C887" s="26"/>
      <x:c r="D887" s="24"/>
      <x:c r="E887" s="24"/>
      <x:c r="F887" s="28"/>
      <x:c r="G887" s="29"/>
      <x:c r="H887" s="24"/>
      <x:c r="I887" s="24"/>
      <x:c r="J887" s="24"/>
      <x:c r="K887" s="24"/>
      <x:c r="L887" s="20" t="str">
        <x:f>IF(Q887&lt;&gt;"OK","",IF(E887="Back",G887*(F887-1),-G887*(F887-1)))</x:f>
      </x:c>
      <x:c r="M887" s="20" t="str">
        <x:f>IF(Q887&lt;&gt;"OK","",IF(E887="Back",-G887,G887))</x:f>
      </x:c>
      <x:c r="N887" s="20" t="str">
        <x:f>IF(Q887&lt;&gt;"OK","",SUMIFS($L$8:$L$1007,$A$8:$A$1007,A887,$B$8:$B$1007,"&lt;="&amp;B887))</x:f>
      </x:c>
      <x:c r="O887" s="20" t="str">
        <x:f>IF(Q887&lt;&gt;"OK","",SUMIFS($M$8:$M$1007,$A$8:$A$1007,A887,$B$8:$B$1007,"&lt;="&amp;B887))</x:f>
      </x:c>
      <x:c r="P887" s="20" t="str">
        <x:f>IF(Q887&lt;&gt;"OK","",MAX(0,-MIN(N887,O887)))</x:f>
      </x:c>
      <x:c r="Q887" s="18" t="str">
        <x:f>IF(A887="",IF(COUNTA(B887:K887)=0,"","Inserisci ID"),IF(COUNTIFS('Diario'!$A$8:$A$507,A887)&lt;&gt;1,"ID assente / duplicato",IF(OR(NOT(ISNUMBER(B887)),B887&lt;1,B887&lt;&gt;INT(B887),COUNTIFS($A$8:$A$1007,A887,$B$8:$B$1007,B887)&lt;&gt;1),"N. esecuzione non valido",IF(OR(NOT(ISNUMBER(C887)),AND(D887&lt;&gt;"Ingresso",D887&lt;&gt;"Uscita"),AND(E887&lt;&gt;"Back",E887&lt;&gt;"Lay")),"Completa data / fase / lato",IF(OR(NOT(ISNUMBER(F887)),F887&lt;=1,NOT(ISNUMBER(G887)),G887&lt;=0),"Correggi quota / stake","OK")))))</x:f>
      </x:c>
    </x:row>
    <x:row r="888" ht="22" customHeight="1">
      <x:c r="A888" s="24"/>
      <x:c r="B888" s="24"/>
      <x:c r="C888" s="26"/>
      <x:c r="D888" s="24"/>
      <x:c r="E888" s="24"/>
      <x:c r="F888" s="28"/>
      <x:c r="G888" s="29"/>
      <x:c r="H888" s="24"/>
      <x:c r="I888" s="24"/>
      <x:c r="J888" s="24"/>
      <x:c r="K888" s="24"/>
      <x:c r="L888" s="20" t="str">
        <x:f>IF(Q888&lt;&gt;"OK","",IF(E888="Back",G888*(F888-1),-G888*(F888-1)))</x:f>
      </x:c>
      <x:c r="M888" s="20" t="str">
        <x:f>IF(Q888&lt;&gt;"OK","",IF(E888="Back",-G888,G888))</x:f>
      </x:c>
      <x:c r="N888" s="20" t="str">
        <x:f>IF(Q888&lt;&gt;"OK","",SUMIFS($L$8:$L$1007,$A$8:$A$1007,A888,$B$8:$B$1007,"&lt;="&amp;B888))</x:f>
      </x:c>
      <x:c r="O888" s="20" t="str">
        <x:f>IF(Q888&lt;&gt;"OK","",SUMIFS($M$8:$M$1007,$A$8:$A$1007,A888,$B$8:$B$1007,"&lt;="&amp;B888))</x:f>
      </x:c>
      <x:c r="P888" s="20" t="str">
        <x:f>IF(Q888&lt;&gt;"OK","",MAX(0,-MIN(N888,O888)))</x:f>
      </x:c>
      <x:c r="Q888" s="18" t="str">
        <x:f>IF(A888="",IF(COUNTA(B888:K888)=0,"","Inserisci ID"),IF(COUNTIFS('Diario'!$A$8:$A$507,A888)&lt;&gt;1,"ID assente / duplicato",IF(OR(NOT(ISNUMBER(B888)),B888&lt;1,B888&lt;&gt;INT(B888),COUNTIFS($A$8:$A$1007,A888,$B$8:$B$1007,B888)&lt;&gt;1),"N. esecuzione non valido",IF(OR(NOT(ISNUMBER(C888)),AND(D888&lt;&gt;"Ingresso",D888&lt;&gt;"Uscita"),AND(E888&lt;&gt;"Back",E888&lt;&gt;"Lay")),"Completa data / fase / lato",IF(OR(NOT(ISNUMBER(F888)),F888&lt;=1,NOT(ISNUMBER(G888)),G888&lt;=0),"Correggi quota / stake","OK")))))</x:f>
      </x:c>
    </x:row>
    <x:row r="889" ht="22" customHeight="1">
      <x:c r="A889" s="24"/>
      <x:c r="B889" s="24"/>
      <x:c r="C889" s="26"/>
      <x:c r="D889" s="24"/>
      <x:c r="E889" s="24"/>
      <x:c r="F889" s="28"/>
      <x:c r="G889" s="29"/>
      <x:c r="H889" s="24"/>
      <x:c r="I889" s="24"/>
      <x:c r="J889" s="24"/>
      <x:c r="K889" s="24"/>
      <x:c r="L889" s="20" t="str">
        <x:f>IF(Q889&lt;&gt;"OK","",IF(E889="Back",G889*(F889-1),-G889*(F889-1)))</x:f>
      </x:c>
      <x:c r="M889" s="20" t="str">
        <x:f>IF(Q889&lt;&gt;"OK","",IF(E889="Back",-G889,G889))</x:f>
      </x:c>
      <x:c r="N889" s="20" t="str">
        <x:f>IF(Q889&lt;&gt;"OK","",SUMIFS($L$8:$L$1007,$A$8:$A$1007,A889,$B$8:$B$1007,"&lt;="&amp;B889))</x:f>
      </x:c>
      <x:c r="O889" s="20" t="str">
        <x:f>IF(Q889&lt;&gt;"OK","",SUMIFS($M$8:$M$1007,$A$8:$A$1007,A889,$B$8:$B$1007,"&lt;="&amp;B889))</x:f>
      </x:c>
      <x:c r="P889" s="20" t="str">
        <x:f>IF(Q889&lt;&gt;"OK","",MAX(0,-MIN(N889,O889)))</x:f>
      </x:c>
      <x:c r="Q889" s="18" t="str">
        <x:f>IF(A889="",IF(COUNTA(B889:K889)=0,"","Inserisci ID"),IF(COUNTIFS('Diario'!$A$8:$A$507,A889)&lt;&gt;1,"ID assente / duplicato",IF(OR(NOT(ISNUMBER(B889)),B889&lt;1,B889&lt;&gt;INT(B889),COUNTIFS($A$8:$A$1007,A889,$B$8:$B$1007,B889)&lt;&gt;1),"N. esecuzione non valido",IF(OR(NOT(ISNUMBER(C889)),AND(D889&lt;&gt;"Ingresso",D889&lt;&gt;"Uscita"),AND(E889&lt;&gt;"Back",E889&lt;&gt;"Lay")),"Completa data / fase / lato",IF(OR(NOT(ISNUMBER(F889)),F889&lt;=1,NOT(ISNUMBER(G889)),G889&lt;=0),"Correggi quota / stake","OK")))))</x:f>
      </x:c>
    </x:row>
    <x:row r="890" ht="22" customHeight="1">
      <x:c r="A890" s="24"/>
      <x:c r="B890" s="24"/>
      <x:c r="C890" s="26"/>
      <x:c r="D890" s="24"/>
      <x:c r="E890" s="24"/>
      <x:c r="F890" s="28"/>
      <x:c r="G890" s="29"/>
      <x:c r="H890" s="24"/>
      <x:c r="I890" s="24"/>
      <x:c r="J890" s="24"/>
      <x:c r="K890" s="24"/>
      <x:c r="L890" s="20" t="str">
        <x:f>IF(Q890&lt;&gt;"OK","",IF(E890="Back",G890*(F890-1),-G890*(F890-1)))</x:f>
      </x:c>
      <x:c r="M890" s="20" t="str">
        <x:f>IF(Q890&lt;&gt;"OK","",IF(E890="Back",-G890,G890))</x:f>
      </x:c>
      <x:c r="N890" s="20" t="str">
        <x:f>IF(Q890&lt;&gt;"OK","",SUMIFS($L$8:$L$1007,$A$8:$A$1007,A890,$B$8:$B$1007,"&lt;="&amp;B890))</x:f>
      </x:c>
      <x:c r="O890" s="20" t="str">
        <x:f>IF(Q890&lt;&gt;"OK","",SUMIFS($M$8:$M$1007,$A$8:$A$1007,A890,$B$8:$B$1007,"&lt;="&amp;B890))</x:f>
      </x:c>
      <x:c r="P890" s="20" t="str">
        <x:f>IF(Q890&lt;&gt;"OK","",MAX(0,-MIN(N890,O890)))</x:f>
      </x:c>
      <x:c r="Q890" s="18" t="str">
        <x:f>IF(A890="",IF(COUNTA(B890:K890)=0,"","Inserisci ID"),IF(COUNTIFS('Diario'!$A$8:$A$507,A890)&lt;&gt;1,"ID assente / duplicato",IF(OR(NOT(ISNUMBER(B890)),B890&lt;1,B890&lt;&gt;INT(B890),COUNTIFS($A$8:$A$1007,A890,$B$8:$B$1007,B890)&lt;&gt;1),"N. esecuzione non valido",IF(OR(NOT(ISNUMBER(C890)),AND(D890&lt;&gt;"Ingresso",D890&lt;&gt;"Uscita"),AND(E890&lt;&gt;"Back",E890&lt;&gt;"Lay")),"Completa data / fase / lato",IF(OR(NOT(ISNUMBER(F890)),F890&lt;=1,NOT(ISNUMBER(G890)),G890&lt;=0),"Correggi quota / stake","OK")))))</x:f>
      </x:c>
    </x:row>
    <x:row r="891" ht="22" customHeight="1">
      <x:c r="A891" s="24"/>
      <x:c r="B891" s="24"/>
      <x:c r="C891" s="26"/>
      <x:c r="D891" s="24"/>
      <x:c r="E891" s="24"/>
      <x:c r="F891" s="28"/>
      <x:c r="G891" s="29"/>
      <x:c r="H891" s="24"/>
      <x:c r="I891" s="24"/>
      <x:c r="J891" s="24"/>
      <x:c r="K891" s="24"/>
      <x:c r="L891" s="20" t="str">
        <x:f>IF(Q891&lt;&gt;"OK","",IF(E891="Back",G891*(F891-1),-G891*(F891-1)))</x:f>
      </x:c>
      <x:c r="M891" s="20" t="str">
        <x:f>IF(Q891&lt;&gt;"OK","",IF(E891="Back",-G891,G891))</x:f>
      </x:c>
      <x:c r="N891" s="20" t="str">
        <x:f>IF(Q891&lt;&gt;"OK","",SUMIFS($L$8:$L$1007,$A$8:$A$1007,A891,$B$8:$B$1007,"&lt;="&amp;B891))</x:f>
      </x:c>
      <x:c r="O891" s="20" t="str">
        <x:f>IF(Q891&lt;&gt;"OK","",SUMIFS($M$8:$M$1007,$A$8:$A$1007,A891,$B$8:$B$1007,"&lt;="&amp;B891))</x:f>
      </x:c>
      <x:c r="P891" s="20" t="str">
        <x:f>IF(Q891&lt;&gt;"OK","",MAX(0,-MIN(N891,O891)))</x:f>
      </x:c>
      <x:c r="Q891" s="18" t="str">
        <x:f>IF(A891="",IF(COUNTA(B891:K891)=0,"","Inserisci ID"),IF(COUNTIFS('Diario'!$A$8:$A$507,A891)&lt;&gt;1,"ID assente / duplicato",IF(OR(NOT(ISNUMBER(B891)),B891&lt;1,B891&lt;&gt;INT(B891),COUNTIFS($A$8:$A$1007,A891,$B$8:$B$1007,B891)&lt;&gt;1),"N. esecuzione non valido",IF(OR(NOT(ISNUMBER(C891)),AND(D891&lt;&gt;"Ingresso",D891&lt;&gt;"Uscita"),AND(E891&lt;&gt;"Back",E891&lt;&gt;"Lay")),"Completa data / fase / lato",IF(OR(NOT(ISNUMBER(F891)),F891&lt;=1,NOT(ISNUMBER(G891)),G891&lt;=0),"Correggi quota / stake","OK")))))</x:f>
      </x:c>
    </x:row>
    <x:row r="892" ht="22" customHeight="1">
      <x:c r="A892" s="24"/>
      <x:c r="B892" s="24"/>
      <x:c r="C892" s="26"/>
      <x:c r="D892" s="24"/>
      <x:c r="E892" s="24"/>
      <x:c r="F892" s="28"/>
      <x:c r="G892" s="29"/>
      <x:c r="H892" s="24"/>
      <x:c r="I892" s="24"/>
      <x:c r="J892" s="24"/>
      <x:c r="K892" s="24"/>
      <x:c r="L892" s="20" t="str">
        <x:f>IF(Q892&lt;&gt;"OK","",IF(E892="Back",G892*(F892-1),-G892*(F892-1)))</x:f>
      </x:c>
      <x:c r="M892" s="20" t="str">
        <x:f>IF(Q892&lt;&gt;"OK","",IF(E892="Back",-G892,G892))</x:f>
      </x:c>
      <x:c r="N892" s="20" t="str">
        <x:f>IF(Q892&lt;&gt;"OK","",SUMIFS($L$8:$L$1007,$A$8:$A$1007,A892,$B$8:$B$1007,"&lt;="&amp;B892))</x:f>
      </x:c>
      <x:c r="O892" s="20" t="str">
        <x:f>IF(Q892&lt;&gt;"OK","",SUMIFS($M$8:$M$1007,$A$8:$A$1007,A892,$B$8:$B$1007,"&lt;="&amp;B892))</x:f>
      </x:c>
      <x:c r="P892" s="20" t="str">
        <x:f>IF(Q892&lt;&gt;"OK","",MAX(0,-MIN(N892,O892)))</x:f>
      </x:c>
      <x:c r="Q892" s="18" t="str">
        <x:f>IF(A892="",IF(COUNTA(B892:K892)=0,"","Inserisci ID"),IF(COUNTIFS('Diario'!$A$8:$A$507,A892)&lt;&gt;1,"ID assente / duplicato",IF(OR(NOT(ISNUMBER(B892)),B892&lt;1,B892&lt;&gt;INT(B892),COUNTIFS($A$8:$A$1007,A892,$B$8:$B$1007,B892)&lt;&gt;1),"N. esecuzione non valido",IF(OR(NOT(ISNUMBER(C892)),AND(D892&lt;&gt;"Ingresso",D892&lt;&gt;"Uscita"),AND(E892&lt;&gt;"Back",E892&lt;&gt;"Lay")),"Completa data / fase / lato",IF(OR(NOT(ISNUMBER(F892)),F892&lt;=1,NOT(ISNUMBER(G892)),G892&lt;=0),"Correggi quota / stake","OK")))))</x:f>
      </x:c>
    </x:row>
    <x:row r="893" ht="22" customHeight="1">
      <x:c r="A893" s="24"/>
      <x:c r="B893" s="24"/>
      <x:c r="C893" s="26"/>
      <x:c r="D893" s="24"/>
      <x:c r="E893" s="24"/>
      <x:c r="F893" s="28"/>
      <x:c r="G893" s="29"/>
      <x:c r="H893" s="24"/>
      <x:c r="I893" s="24"/>
      <x:c r="J893" s="24"/>
      <x:c r="K893" s="24"/>
      <x:c r="L893" s="20" t="str">
        <x:f>IF(Q893&lt;&gt;"OK","",IF(E893="Back",G893*(F893-1),-G893*(F893-1)))</x:f>
      </x:c>
      <x:c r="M893" s="20" t="str">
        <x:f>IF(Q893&lt;&gt;"OK","",IF(E893="Back",-G893,G893))</x:f>
      </x:c>
      <x:c r="N893" s="20" t="str">
        <x:f>IF(Q893&lt;&gt;"OK","",SUMIFS($L$8:$L$1007,$A$8:$A$1007,A893,$B$8:$B$1007,"&lt;="&amp;B893))</x:f>
      </x:c>
      <x:c r="O893" s="20" t="str">
        <x:f>IF(Q893&lt;&gt;"OK","",SUMIFS($M$8:$M$1007,$A$8:$A$1007,A893,$B$8:$B$1007,"&lt;="&amp;B893))</x:f>
      </x:c>
      <x:c r="P893" s="20" t="str">
        <x:f>IF(Q893&lt;&gt;"OK","",MAX(0,-MIN(N893,O893)))</x:f>
      </x:c>
      <x:c r="Q893" s="18" t="str">
        <x:f>IF(A893="",IF(COUNTA(B893:K893)=0,"","Inserisci ID"),IF(COUNTIFS('Diario'!$A$8:$A$507,A893)&lt;&gt;1,"ID assente / duplicato",IF(OR(NOT(ISNUMBER(B893)),B893&lt;1,B893&lt;&gt;INT(B893),COUNTIFS($A$8:$A$1007,A893,$B$8:$B$1007,B893)&lt;&gt;1),"N. esecuzione non valido",IF(OR(NOT(ISNUMBER(C893)),AND(D893&lt;&gt;"Ingresso",D893&lt;&gt;"Uscita"),AND(E893&lt;&gt;"Back",E893&lt;&gt;"Lay")),"Completa data / fase / lato",IF(OR(NOT(ISNUMBER(F893)),F893&lt;=1,NOT(ISNUMBER(G893)),G893&lt;=0),"Correggi quota / stake","OK")))))</x:f>
      </x:c>
    </x:row>
    <x:row r="894" ht="22" customHeight="1">
      <x:c r="A894" s="24"/>
      <x:c r="B894" s="24"/>
      <x:c r="C894" s="26"/>
      <x:c r="D894" s="24"/>
      <x:c r="E894" s="24"/>
      <x:c r="F894" s="28"/>
      <x:c r="G894" s="29"/>
      <x:c r="H894" s="24"/>
      <x:c r="I894" s="24"/>
      <x:c r="J894" s="24"/>
      <x:c r="K894" s="24"/>
      <x:c r="L894" s="20" t="str">
        <x:f>IF(Q894&lt;&gt;"OK","",IF(E894="Back",G894*(F894-1),-G894*(F894-1)))</x:f>
      </x:c>
      <x:c r="M894" s="20" t="str">
        <x:f>IF(Q894&lt;&gt;"OK","",IF(E894="Back",-G894,G894))</x:f>
      </x:c>
      <x:c r="N894" s="20" t="str">
        <x:f>IF(Q894&lt;&gt;"OK","",SUMIFS($L$8:$L$1007,$A$8:$A$1007,A894,$B$8:$B$1007,"&lt;="&amp;B894))</x:f>
      </x:c>
      <x:c r="O894" s="20" t="str">
        <x:f>IF(Q894&lt;&gt;"OK","",SUMIFS($M$8:$M$1007,$A$8:$A$1007,A894,$B$8:$B$1007,"&lt;="&amp;B894))</x:f>
      </x:c>
      <x:c r="P894" s="20" t="str">
        <x:f>IF(Q894&lt;&gt;"OK","",MAX(0,-MIN(N894,O894)))</x:f>
      </x:c>
      <x:c r="Q894" s="18" t="str">
        <x:f>IF(A894="",IF(COUNTA(B894:K894)=0,"","Inserisci ID"),IF(COUNTIFS('Diario'!$A$8:$A$507,A894)&lt;&gt;1,"ID assente / duplicato",IF(OR(NOT(ISNUMBER(B894)),B894&lt;1,B894&lt;&gt;INT(B894),COUNTIFS($A$8:$A$1007,A894,$B$8:$B$1007,B894)&lt;&gt;1),"N. esecuzione non valido",IF(OR(NOT(ISNUMBER(C894)),AND(D894&lt;&gt;"Ingresso",D894&lt;&gt;"Uscita"),AND(E894&lt;&gt;"Back",E894&lt;&gt;"Lay")),"Completa data / fase / lato",IF(OR(NOT(ISNUMBER(F894)),F894&lt;=1,NOT(ISNUMBER(G894)),G894&lt;=0),"Correggi quota / stake","OK")))))</x:f>
      </x:c>
    </x:row>
    <x:row r="895" ht="22" customHeight="1">
      <x:c r="A895" s="24"/>
      <x:c r="B895" s="24"/>
      <x:c r="C895" s="26"/>
      <x:c r="D895" s="24"/>
      <x:c r="E895" s="24"/>
      <x:c r="F895" s="28"/>
      <x:c r="G895" s="29"/>
      <x:c r="H895" s="24"/>
      <x:c r="I895" s="24"/>
      <x:c r="J895" s="24"/>
      <x:c r="K895" s="24"/>
      <x:c r="L895" s="20" t="str">
        <x:f>IF(Q895&lt;&gt;"OK","",IF(E895="Back",G895*(F895-1),-G895*(F895-1)))</x:f>
      </x:c>
      <x:c r="M895" s="20" t="str">
        <x:f>IF(Q895&lt;&gt;"OK","",IF(E895="Back",-G895,G895))</x:f>
      </x:c>
      <x:c r="N895" s="20" t="str">
        <x:f>IF(Q895&lt;&gt;"OK","",SUMIFS($L$8:$L$1007,$A$8:$A$1007,A895,$B$8:$B$1007,"&lt;="&amp;B895))</x:f>
      </x:c>
      <x:c r="O895" s="20" t="str">
        <x:f>IF(Q895&lt;&gt;"OK","",SUMIFS($M$8:$M$1007,$A$8:$A$1007,A895,$B$8:$B$1007,"&lt;="&amp;B895))</x:f>
      </x:c>
      <x:c r="P895" s="20" t="str">
        <x:f>IF(Q895&lt;&gt;"OK","",MAX(0,-MIN(N895,O895)))</x:f>
      </x:c>
      <x:c r="Q895" s="18" t="str">
        <x:f>IF(A895="",IF(COUNTA(B895:K895)=0,"","Inserisci ID"),IF(COUNTIFS('Diario'!$A$8:$A$507,A895)&lt;&gt;1,"ID assente / duplicato",IF(OR(NOT(ISNUMBER(B895)),B895&lt;1,B895&lt;&gt;INT(B895),COUNTIFS($A$8:$A$1007,A895,$B$8:$B$1007,B895)&lt;&gt;1),"N. esecuzione non valido",IF(OR(NOT(ISNUMBER(C895)),AND(D895&lt;&gt;"Ingresso",D895&lt;&gt;"Uscita"),AND(E895&lt;&gt;"Back",E895&lt;&gt;"Lay")),"Completa data / fase / lato",IF(OR(NOT(ISNUMBER(F895)),F895&lt;=1,NOT(ISNUMBER(G895)),G895&lt;=0),"Correggi quota / stake","OK")))))</x:f>
      </x:c>
    </x:row>
    <x:row r="896" ht="22" customHeight="1">
      <x:c r="A896" s="24"/>
      <x:c r="B896" s="24"/>
      <x:c r="C896" s="26"/>
      <x:c r="D896" s="24"/>
      <x:c r="E896" s="24"/>
      <x:c r="F896" s="28"/>
      <x:c r="G896" s="29"/>
      <x:c r="H896" s="24"/>
      <x:c r="I896" s="24"/>
      <x:c r="J896" s="24"/>
      <x:c r="K896" s="24"/>
      <x:c r="L896" s="20" t="str">
        <x:f>IF(Q896&lt;&gt;"OK","",IF(E896="Back",G896*(F896-1),-G896*(F896-1)))</x:f>
      </x:c>
      <x:c r="M896" s="20" t="str">
        <x:f>IF(Q896&lt;&gt;"OK","",IF(E896="Back",-G896,G896))</x:f>
      </x:c>
      <x:c r="N896" s="20" t="str">
        <x:f>IF(Q896&lt;&gt;"OK","",SUMIFS($L$8:$L$1007,$A$8:$A$1007,A896,$B$8:$B$1007,"&lt;="&amp;B896))</x:f>
      </x:c>
      <x:c r="O896" s="20" t="str">
        <x:f>IF(Q896&lt;&gt;"OK","",SUMIFS($M$8:$M$1007,$A$8:$A$1007,A896,$B$8:$B$1007,"&lt;="&amp;B896))</x:f>
      </x:c>
      <x:c r="P896" s="20" t="str">
        <x:f>IF(Q896&lt;&gt;"OK","",MAX(0,-MIN(N896,O896)))</x:f>
      </x:c>
      <x:c r="Q896" s="18" t="str">
        <x:f>IF(A896="",IF(COUNTA(B896:K896)=0,"","Inserisci ID"),IF(COUNTIFS('Diario'!$A$8:$A$507,A896)&lt;&gt;1,"ID assente / duplicato",IF(OR(NOT(ISNUMBER(B896)),B896&lt;1,B896&lt;&gt;INT(B896),COUNTIFS($A$8:$A$1007,A896,$B$8:$B$1007,B896)&lt;&gt;1),"N. esecuzione non valido",IF(OR(NOT(ISNUMBER(C896)),AND(D896&lt;&gt;"Ingresso",D896&lt;&gt;"Uscita"),AND(E896&lt;&gt;"Back",E896&lt;&gt;"Lay")),"Completa data / fase / lato",IF(OR(NOT(ISNUMBER(F896)),F896&lt;=1,NOT(ISNUMBER(G896)),G896&lt;=0),"Correggi quota / stake","OK")))))</x:f>
      </x:c>
    </x:row>
    <x:row r="897" ht="22" customHeight="1">
      <x:c r="A897" s="24"/>
      <x:c r="B897" s="24"/>
      <x:c r="C897" s="26"/>
      <x:c r="D897" s="24"/>
      <x:c r="E897" s="24"/>
      <x:c r="F897" s="28"/>
      <x:c r="G897" s="29"/>
      <x:c r="H897" s="24"/>
      <x:c r="I897" s="24"/>
      <x:c r="J897" s="24"/>
      <x:c r="K897" s="24"/>
      <x:c r="L897" s="20" t="str">
        <x:f>IF(Q897&lt;&gt;"OK","",IF(E897="Back",G897*(F897-1),-G897*(F897-1)))</x:f>
      </x:c>
      <x:c r="M897" s="20" t="str">
        <x:f>IF(Q897&lt;&gt;"OK","",IF(E897="Back",-G897,G897))</x:f>
      </x:c>
      <x:c r="N897" s="20" t="str">
        <x:f>IF(Q897&lt;&gt;"OK","",SUMIFS($L$8:$L$1007,$A$8:$A$1007,A897,$B$8:$B$1007,"&lt;="&amp;B897))</x:f>
      </x:c>
      <x:c r="O897" s="20" t="str">
        <x:f>IF(Q897&lt;&gt;"OK","",SUMIFS($M$8:$M$1007,$A$8:$A$1007,A897,$B$8:$B$1007,"&lt;="&amp;B897))</x:f>
      </x:c>
      <x:c r="P897" s="20" t="str">
        <x:f>IF(Q897&lt;&gt;"OK","",MAX(0,-MIN(N897,O897)))</x:f>
      </x:c>
      <x:c r="Q897" s="18" t="str">
        <x:f>IF(A897="",IF(COUNTA(B897:K897)=0,"","Inserisci ID"),IF(COUNTIFS('Diario'!$A$8:$A$507,A897)&lt;&gt;1,"ID assente / duplicato",IF(OR(NOT(ISNUMBER(B897)),B897&lt;1,B897&lt;&gt;INT(B897),COUNTIFS($A$8:$A$1007,A897,$B$8:$B$1007,B897)&lt;&gt;1),"N. esecuzione non valido",IF(OR(NOT(ISNUMBER(C897)),AND(D897&lt;&gt;"Ingresso",D897&lt;&gt;"Uscita"),AND(E897&lt;&gt;"Back",E897&lt;&gt;"Lay")),"Completa data / fase / lato",IF(OR(NOT(ISNUMBER(F897)),F897&lt;=1,NOT(ISNUMBER(G897)),G897&lt;=0),"Correggi quota / stake","OK")))))</x:f>
      </x:c>
    </x:row>
    <x:row r="898" ht="22" customHeight="1">
      <x:c r="A898" s="24"/>
      <x:c r="B898" s="24"/>
      <x:c r="C898" s="26"/>
      <x:c r="D898" s="24"/>
      <x:c r="E898" s="24"/>
      <x:c r="F898" s="28"/>
      <x:c r="G898" s="29"/>
      <x:c r="H898" s="24"/>
      <x:c r="I898" s="24"/>
      <x:c r="J898" s="24"/>
      <x:c r="K898" s="24"/>
      <x:c r="L898" s="20" t="str">
        <x:f>IF(Q898&lt;&gt;"OK","",IF(E898="Back",G898*(F898-1),-G898*(F898-1)))</x:f>
      </x:c>
      <x:c r="M898" s="20" t="str">
        <x:f>IF(Q898&lt;&gt;"OK","",IF(E898="Back",-G898,G898))</x:f>
      </x:c>
      <x:c r="N898" s="20" t="str">
        <x:f>IF(Q898&lt;&gt;"OK","",SUMIFS($L$8:$L$1007,$A$8:$A$1007,A898,$B$8:$B$1007,"&lt;="&amp;B898))</x:f>
      </x:c>
      <x:c r="O898" s="20" t="str">
        <x:f>IF(Q898&lt;&gt;"OK","",SUMIFS($M$8:$M$1007,$A$8:$A$1007,A898,$B$8:$B$1007,"&lt;="&amp;B898))</x:f>
      </x:c>
      <x:c r="P898" s="20" t="str">
        <x:f>IF(Q898&lt;&gt;"OK","",MAX(0,-MIN(N898,O898)))</x:f>
      </x:c>
      <x:c r="Q898" s="18" t="str">
        <x:f>IF(A898="",IF(COUNTA(B898:K898)=0,"","Inserisci ID"),IF(COUNTIFS('Diario'!$A$8:$A$507,A898)&lt;&gt;1,"ID assente / duplicato",IF(OR(NOT(ISNUMBER(B898)),B898&lt;1,B898&lt;&gt;INT(B898),COUNTIFS($A$8:$A$1007,A898,$B$8:$B$1007,B898)&lt;&gt;1),"N. esecuzione non valido",IF(OR(NOT(ISNUMBER(C898)),AND(D898&lt;&gt;"Ingresso",D898&lt;&gt;"Uscita"),AND(E898&lt;&gt;"Back",E898&lt;&gt;"Lay")),"Completa data / fase / lato",IF(OR(NOT(ISNUMBER(F898)),F898&lt;=1,NOT(ISNUMBER(G898)),G898&lt;=0),"Correggi quota / stake","OK")))))</x:f>
      </x:c>
    </x:row>
    <x:row r="899" ht="22" customHeight="1">
      <x:c r="A899" s="24"/>
      <x:c r="B899" s="24"/>
      <x:c r="C899" s="26"/>
      <x:c r="D899" s="24"/>
      <x:c r="E899" s="24"/>
      <x:c r="F899" s="28"/>
      <x:c r="G899" s="29"/>
      <x:c r="H899" s="24"/>
      <x:c r="I899" s="24"/>
      <x:c r="J899" s="24"/>
      <x:c r="K899" s="24"/>
      <x:c r="L899" s="20" t="str">
        <x:f>IF(Q899&lt;&gt;"OK","",IF(E899="Back",G899*(F899-1),-G899*(F899-1)))</x:f>
      </x:c>
      <x:c r="M899" s="20" t="str">
        <x:f>IF(Q899&lt;&gt;"OK","",IF(E899="Back",-G899,G899))</x:f>
      </x:c>
      <x:c r="N899" s="20" t="str">
        <x:f>IF(Q899&lt;&gt;"OK","",SUMIFS($L$8:$L$1007,$A$8:$A$1007,A899,$B$8:$B$1007,"&lt;="&amp;B899))</x:f>
      </x:c>
      <x:c r="O899" s="20" t="str">
        <x:f>IF(Q899&lt;&gt;"OK","",SUMIFS($M$8:$M$1007,$A$8:$A$1007,A899,$B$8:$B$1007,"&lt;="&amp;B899))</x:f>
      </x:c>
      <x:c r="P899" s="20" t="str">
        <x:f>IF(Q899&lt;&gt;"OK","",MAX(0,-MIN(N899,O899)))</x:f>
      </x:c>
      <x:c r="Q899" s="18" t="str">
        <x:f>IF(A899="",IF(COUNTA(B899:K899)=0,"","Inserisci ID"),IF(COUNTIFS('Diario'!$A$8:$A$507,A899)&lt;&gt;1,"ID assente / duplicato",IF(OR(NOT(ISNUMBER(B899)),B899&lt;1,B899&lt;&gt;INT(B899),COUNTIFS($A$8:$A$1007,A899,$B$8:$B$1007,B899)&lt;&gt;1),"N. esecuzione non valido",IF(OR(NOT(ISNUMBER(C899)),AND(D899&lt;&gt;"Ingresso",D899&lt;&gt;"Uscita"),AND(E899&lt;&gt;"Back",E899&lt;&gt;"Lay")),"Completa data / fase / lato",IF(OR(NOT(ISNUMBER(F899)),F899&lt;=1,NOT(ISNUMBER(G899)),G899&lt;=0),"Correggi quota / stake","OK")))))</x:f>
      </x:c>
    </x:row>
    <x:row r="900" ht="22" customHeight="1">
      <x:c r="A900" s="24"/>
      <x:c r="B900" s="24"/>
      <x:c r="C900" s="26"/>
      <x:c r="D900" s="24"/>
      <x:c r="E900" s="24"/>
      <x:c r="F900" s="28"/>
      <x:c r="G900" s="29"/>
      <x:c r="H900" s="24"/>
      <x:c r="I900" s="24"/>
      <x:c r="J900" s="24"/>
      <x:c r="K900" s="24"/>
      <x:c r="L900" s="20" t="str">
        <x:f>IF(Q900&lt;&gt;"OK","",IF(E900="Back",G900*(F900-1),-G900*(F900-1)))</x:f>
      </x:c>
      <x:c r="M900" s="20" t="str">
        <x:f>IF(Q900&lt;&gt;"OK","",IF(E900="Back",-G900,G900))</x:f>
      </x:c>
      <x:c r="N900" s="20" t="str">
        <x:f>IF(Q900&lt;&gt;"OK","",SUMIFS($L$8:$L$1007,$A$8:$A$1007,A900,$B$8:$B$1007,"&lt;="&amp;B900))</x:f>
      </x:c>
      <x:c r="O900" s="20" t="str">
        <x:f>IF(Q900&lt;&gt;"OK","",SUMIFS($M$8:$M$1007,$A$8:$A$1007,A900,$B$8:$B$1007,"&lt;="&amp;B900))</x:f>
      </x:c>
      <x:c r="P900" s="20" t="str">
        <x:f>IF(Q900&lt;&gt;"OK","",MAX(0,-MIN(N900,O900)))</x:f>
      </x:c>
      <x:c r="Q900" s="18" t="str">
        <x:f>IF(A900="",IF(COUNTA(B900:K900)=0,"","Inserisci ID"),IF(COUNTIFS('Diario'!$A$8:$A$507,A900)&lt;&gt;1,"ID assente / duplicato",IF(OR(NOT(ISNUMBER(B900)),B900&lt;1,B900&lt;&gt;INT(B900),COUNTIFS($A$8:$A$1007,A900,$B$8:$B$1007,B900)&lt;&gt;1),"N. esecuzione non valido",IF(OR(NOT(ISNUMBER(C900)),AND(D900&lt;&gt;"Ingresso",D900&lt;&gt;"Uscita"),AND(E900&lt;&gt;"Back",E900&lt;&gt;"Lay")),"Completa data / fase / lato",IF(OR(NOT(ISNUMBER(F900)),F900&lt;=1,NOT(ISNUMBER(G900)),G900&lt;=0),"Correggi quota / stake","OK")))))</x:f>
      </x:c>
    </x:row>
    <x:row r="901" ht="22" customHeight="1">
      <x:c r="A901" s="24"/>
      <x:c r="B901" s="24"/>
      <x:c r="C901" s="26"/>
      <x:c r="D901" s="24"/>
      <x:c r="E901" s="24"/>
      <x:c r="F901" s="28"/>
      <x:c r="G901" s="29"/>
      <x:c r="H901" s="24"/>
      <x:c r="I901" s="24"/>
      <x:c r="J901" s="24"/>
      <x:c r="K901" s="24"/>
      <x:c r="L901" s="20" t="str">
        <x:f>IF(Q901&lt;&gt;"OK","",IF(E901="Back",G901*(F901-1),-G901*(F901-1)))</x:f>
      </x:c>
      <x:c r="M901" s="20" t="str">
        <x:f>IF(Q901&lt;&gt;"OK","",IF(E901="Back",-G901,G901))</x:f>
      </x:c>
      <x:c r="N901" s="20" t="str">
        <x:f>IF(Q901&lt;&gt;"OK","",SUMIFS($L$8:$L$1007,$A$8:$A$1007,A901,$B$8:$B$1007,"&lt;="&amp;B901))</x:f>
      </x:c>
      <x:c r="O901" s="20" t="str">
        <x:f>IF(Q901&lt;&gt;"OK","",SUMIFS($M$8:$M$1007,$A$8:$A$1007,A901,$B$8:$B$1007,"&lt;="&amp;B901))</x:f>
      </x:c>
      <x:c r="P901" s="20" t="str">
        <x:f>IF(Q901&lt;&gt;"OK","",MAX(0,-MIN(N901,O901)))</x:f>
      </x:c>
      <x:c r="Q901" s="18" t="str">
        <x:f>IF(A901="",IF(COUNTA(B901:K901)=0,"","Inserisci ID"),IF(COUNTIFS('Diario'!$A$8:$A$507,A901)&lt;&gt;1,"ID assente / duplicato",IF(OR(NOT(ISNUMBER(B901)),B901&lt;1,B901&lt;&gt;INT(B901),COUNTIFS($A$8:$A$1007,A901,$B$8:$B$1007,B901)&lt;&gt;1),"N. esecuzione non valido",IF(OR(NOT(ISNUMBER(C901)),AND(D901&lt;&gt;"Ingresso",D901&lt;&gt;"Uscita"),AND(E901&lt;&gt;"Back",E901&lt;&gt;"Lay")),"Completa data / fase / lato",IF(OR(NOT(ISNUMBER(F901)),F901&lt;=1,NOT(ISNUMBER(G901)),G901&lt;=0),"Correggi quota / stake","OK")))))</x:f>
      </x:c>
    </x:row>
    <x:row r="902" ht="22" customHeight="1">
      <x:c r="A902" s="24"/>
      <x:c r="B902" s="24"/>
      <x:c r="C902" s="26"/>
      <x:c r="D902" s="24"/>
      <x:c r="E902" s="24"/>
      <x:c r="F902" s="28"/>
      <x:c r="G902" s="29"/>
      <x:c r="H902" s="24"/>
      <x:c r="I902" s="24"/>
      <x:c r="J902" s="24"/>
      <x:c r="K902" s="24"/>
      <x:c r="L902" s="20" t="str">
        <x:f>IF(Q902&lt;&gt;"OK","",IF(E902="Back",G902*(F902-1),-G902*(F902-1)))</x:f>
      </x:c>
      <x:c r="M902" s="20" t="str">
        <x:f>IF(Q902&lt;&gt;"OK","",IF(E902="Back",-G902,G902))</x:f>
      </x:c>
      <x:c r="N902" s="20" t="str">
        <x:f>IF(Q902&lt;&gt;"OK","",SUMIFS($L$8:$L$1007,$A$8:$A$1007,A902,$B$8:$B$1007,"&lt;="&amp;B902))</x:f>
      </x:c>
      <x:c r="O902" s="20" t="str">
        <x:f>IF(Q902&lt;&gt;"OK","",SUMIFS($M$8:$M$1007,$A$8:$A$1007,A902,$B$8:$B$1007,"&lt;="&amp;B902))</x:f>
      </x:c>
      <x:c r="P902" s="20" t="str">
        <x:f>IF(Q902&lt;&gt;"OK","",MAX(0,-MIN(N902,O902)))</x:f>
      </x:c>
      <x:c r="Q902" s="18" t="str">
        <x:f>IF(A902="",IF(COUNTA(B902:K902)=0,"","Inserisci ID"),IF(COUNTIFS('Diario'!$A$8:$A$507,A902)&lt;&gt;1,"ID assente / duplicato",IF(OR(NOT(ISNUMBER(B902)),B902&lt;1,B902&lt;&gt;INT(B902),COUNTIFS($A$8:$A$1007,A902,$B$8:$B$1007,B902)&lt;&gt;1),"N. esecuzione non valido",IF(OR(NOT(ISNUMBER(C902)),AND(D902&lt;&gt;"Ingresso",D902&lt;&gt;"Uscita"),AND(E902&lt;&gt;"Back",E902&lt;&gt;"Lay")),"Completa data / fase / lato",IF(OR(NOT(ISNUMBER(F902)),F902&lt;=1,NOT(ISNUMBER(G902)),G902&lt;=0),"Correggi quota / stake","OK")))))</x:f>
      </x:c>
    </x:row>
    <x:row r="903" ht="22" customHeight="1">
      <x:c r="A903" s="24"/>
      <x:c r="B903" s="24"/>
      <x:c r="C903" s="26"/>
      <x:c r="D903" s="24"/>
      <x:c r="E903" s="24"/>
      <x:c r="F903" s="28"/>
      <x:c r="G903" s="29"/>
      <x:c r="H903" s="24"/>
      <x:c r="I903" s="24"/>
      <x:c r="J903" s="24"/>
      <x:c r="K903" s="24"/>
      <x:c r="L903" s="20" t="str">
        <x:f>IF(Q903&lt;&gt;"OK","",IF(E903="Back",G903*(F903-1),-G903*(F903-1)))</x:f>
      </x:c>
      <x:c r="M903" s="20" t="str">
        <x:f>IF(Q903&lt;&gt;"OK","",IF(E903="Back",-G903,G903))</x:f>
      </x:c>
      <x:c r="N903" s="20" t="str">
        <x:f>IF(Q903&lt;&gt;"OK","",SUMIFS($L$8:$L$1007,$A$8:$A$1007,A903,$B$8:$B$1007,"&lt;="&amp;B903))</x:f>
      </x:c>
      <x:c r="O903" s="20" t="str">
        <x:f>IF(Q903&lt;&gt;"OK","",SUMIFS($M$8:$M$1007,$A$8:$A$1007,A903,$B$8:$B$1007,"&lt;="&amp;B903))</x:f>
      </x:c>
      <x:c r="P903" s="20" t="str">
        <x:f>IF(Q903&lt;&gt;"OK","",MAX(0,-MIN(N903,O903)))</x:f>
      </x:c>
      <x:c r="Q903" s="18" t="str">
        <x:f>IF(A903="",IF(COUNTA(B903:K903)=0,"","Inserisci ID"),IF(COUNTIFS('Diario'!$A$8:$A$507,A903)&lt;&gt;1,"ID assente / duplicato",IF(OR(NOT(ISNUMBER(B903)),B903&lt;1,B903&lt;&gt;INT(B903),COUNTIFS($A$8:$A$1007,A903,$B$8:$B$1007,B903)&lt;&gt;1),"N. esecuzione non valido",IF(OR(NOT(ISNUMBER(C903)),AND(D903&lt;&gt;"Ingresso",D903&lt;&gt;"Uscita"),AND(E903&lt;&gt;"Back",E903&lt;&gt;"Lay")),"Completa data / fase / lato",IF(OR(NOT(ISNUMBER(F903)),F903&lt;=1,NOT(ISNUMBER(G903)),G903&lt;=0),"Correggi quota / stake","OK")))))</x:f>
      </x:c>
    </x:row>
    <x:row r="904" ht="22" customHeight="1">
      <x:c r="A904" s="24"/>
      <x:c r="B904" s="24"/>
      <x:c r="C904" s="26"/>
      <x:c r="D904" s="24"/>
      <x:c r="E904" s="24"/>
      <x:c r="F904" s="28"/>
      <x:c r="G904" s="29"/>
      <x:c r="H904" s="24"/>
      <x:c r="I904" s="24"/>
      <x:c r="J904" s="24"/>
      <x:c r="K904" s="24"/>
      <x:c r="L904" s="20" t="str">
        <x:f>IF(Q904&lt;&gt;"OK","",IF(E904="Back",G904*(F904-1),-G904*(F904-1)))</x:f>
      </x:c>
      <x:c r="M904" s="20" t="str">
        <x:f>IF(Q904&lt;&gt;"OK","",IF(E904="Back",-G904,G904))</x:f>
      </x:c>
      <x:c r="N904" s="20" t="str">
        <x:f>IF(Q904&lt;&gt;"OK","",SUMIFS($L$8:$L$1007,$A$8:$A$1007,A904,$B$8:$B$1007,"&lt;="&amp;B904))</x:f>
      </x:c>
      <x:c r="O904" s="20" t="str">
        <x:f>IF(Q904&lt;&gt;"OK","",SUMIFS($M$8:$M$1007,$A$8:$A$1007,A904,$B$8:$B$1007,"&lt;="&amp;B904))</x:f>
      </x:c>
      <x:c r="P904" s="20" t="str">
        <x:f>IF(Q904&lt;&gt;"OK","",MAX(0,-MIN(N904,O904)))</x:f>
      </x:c>
      <x:c r="Q904" s="18" t="str">
        <x:f>IF(A904="",IF(COUNTA(B904:K904)=0,"","Inserisci ID"),IF(COUNTIFS('Diario'!$A$8:$A$507,A904)&lt;&gt;1,"ID assente / duplicato",IF(OR(NOT(ISNUMBER(B904)),B904&lt;1,B904&lt;&gt;INT(B904),COUNTIFS($A$8:$A$1007,A904,$B$8:$B$1007,B904)&lt;&gt;1),"N. esecuzione non valido",IF(OR(NOT(ISNUMBER(C904)),AND(D904&lt;&gt;"Ingresso",D904&lt;&gt;"Uscita"),AND(E904&lt;&gt;"Back",E904&lt;&gt;"Lay")),"Completa data / fase / lato",IF(OR(NOT(ISNUMBER(F904)),F904&lt;=1,NOT(ISNUMBER(G904)),G904&lt;=0),"Correggi quota / stake","OK")))))</x:f>
      </x:c>
    </x:row>
    <x:row r="905" ht="22" customHeight="1">
      <x:c r="A905" s="24"/>
      <x:c r="B905" s="24"/>
      <x:c r="C905" s="26"/>
      <x:c r="D905" s="24"/>
      <x:c r="E905" s="24"/>
      <x:c r="F905" s="28"/>
      <x:c r="G905" s="29"/>
      <x:c r="H905" s="24"/>
      <x:c r="I905" s="24"/>
      <x:c r="J905" s="24"/>
      <x:c r="K905" s="24"/>
      <x:c r="L905" s="20" t="str">
        <x:f>IF(Q905&lt;&gt;"OK","",IF(E905="Back",G905*(F905-1),-G905*(F905-1)))</x:f>
      </x:c>
      <x:c r="M905" s="20" t="str">
        <x:f>IF(Q905&lt;&gt;"OK","",IF(E905="Back",-G905,G905))</x:f>
      </x:c>
      <x:c r="N905" s="20" t="str">
        <x:f>IF(Q905&lt;&gt;"OK","",SUMIFS($L$8:$L$1007,$A$8:$A$1007,A905,$B$8:$B$1007,"&lt;="&amp;B905))</x:f>
      </x:c>
      <x:c r="O905" s="20" t="str">
        <x:f>IF(Q905&lt;&gt;"OK","",SUMIFS($M$8:$M$1007,$A$8:$A$1007,A905,$B$8:$B$1007,"&lt;="&amp;B905))</x:f>
      </x:c>
      <x:c r="P905" s="20" t="str">
        <x:f>IF(Q905&lt;&gt;"OK","",MAX(0,-MIN(N905,O905)))</x:f>
      </x:c>
      <x:c r="Q905" s="18" t="str">
        <x:f>IF(A905="",IF(COUNTA(B905:K905)=0,"","Inserisci ID"),IF(COUNTIFS('Diario'!$A$8:$A$507,A905)&lt;&gt;1,"ID assente / duplicato",IF(OR(NOT(ISNUMBER(B905)),B905&lt;1,B905&lt;&gt;INT(B905),COUNTIFS($A$8:$A$1007,A905,$B$8:$B$1007,B905)&lt;&gt;1),"N. esecuzione non valido",IF(OR(NOT(ISNUMBER(C905)),AND(D905&lt;&gt;"Ingresso",D905&lt;&gt;"Uscita"),AND(E905&lt;&gt;"Back",E905&lt;&gt;"Lay")),"Completa data / fase / lato",IF(OR(NOT(ISNUMBER(F905)),F905&lt;=1,NOT(ISNUMBER(G905)),G905&lt;=0),"Correggi quota / stake","OK")))))</x:f>
      </x:c>
    </x:row>
    <x:row r="906" ht="22" customHeight="1">
      <x:c r="A906" s="24"/>
      <x:c r="B906" s="24"/>
      <x:c r="C906" s="26"/>
      <x:c r="D906" s="24"/>
      <x:c r="E906" s="24"/>
      <x:c r="F906" s="28"/>
      <x:c r="G906" s="29"/>
      <x:c r="H906" s="24"/>
      <x:c r="I906" s="24"/>
      <x:c r="J906" s="24"/>
      <x:c r="K906" s="24"/>
      <x:c r="L906" s="20" t="str">
        <x:f>IF(Q906&lt;&gt;"OK","",IF(E906="Back",G906*(F906-1),-G906*(F906-1)))</x:f>
      </x:c>
      <x:c r="M906" s="20" t="str">
        <x:f>IF(Q906&lt;&gt;"OK","",IF(E906="Back",-G906,G906))</x:f>
      </x:c>
      <x:c r="N906" s="20" t="str">
        <x:f>IF(Q906&lt;&gt;"OK","",SUMIFS($L$8:$L$1007,$A$8:$A$1007,A906,$B$8:$B$1007,"&lt;="&amp;B906))</x:f>
      </x:c>
      <x:c r="O906" s="20" t="str">
        <x:f>IF(Q906&lt;&gt;"OK","",SUMIFS($M$8:$M$1007,$A$8:$A$1007,A906,$B$8:$B$1007,"&lt;="&amp;B906))</x:f>
      </x:c>
      <x:c r="P906" s="20" t="str">
        <x:f>IF(Q906&lt;&gt;"OK","",MAX(0,-MIN(N906,O906)))</x:f>
      </x:c>
      <x:c r="Q906" s="18" t="str">
        <x:f>IF(A906="",IF(COUNTA(B906:K906)=0,"","Inserisci ID"),IF(COUNTIFS('Diario'!$A$8:$A$507,A906)&lt;&gt;1,"ID assente / duplicato",IF(OR(NOT(ISNUMBER(B906)),B906&lt;1,B906&lt;&gt;INT(B906),COUNTIFS($A$8:$A$1007,A906,$B$8:$B$1007,B906)&lt;&gt;1),"N. esecuzione non valido",IF(OR(NOT(ISNUMBER(C906)),AND(D906&lt;&gt;"Ingresso",D906&lt;&gt;"Uscita"),AND(E906&lt;&gt;"Back",E906&lt;&gt;"Lay")),"Completa data / fase / lato",IF(OR(NOT(ISNUMBER(F906)),F906&lt;=1,NOT(ISNUMBER(G906)),G906&lt;=0),"Correggi quota / stake","OK")))))</x:f>
      </x:c>
    </x:row>
    <x:row r="907" ht="22" customHeight="1">
      <x:c r="A907" s="24"/>
      <x:c r="B907" s="24"/>
      <x:c r="C907" s="26"/>
      <x:c r="D907" s="24"/>
      <x:c r="E907" s="24"/>
      <x:c r="F907" s="28"/>
      <x:c r="G907" s="29"/>
      <x:c r="H907" s="24"/>
      <x:c r="I907" s="24"/>
      <x:c r="J907" s="24"/>
      <x:c r="K907" s="24"/>
      <x:c r="L907" s="20" t="str">
        <x:f>IF(Q907&lt;&gt;"OK","",IF(E907="Back",G907*(F907-1),-G907*(F907-1)))</x:f>
      </x:c>
      <x:c r="M907" s="20" t="str">
        <x:f>IF(Q907&lt;&gt;"OK","",IF(E907="Back",-G907,G907))</x:f>
      </x:c>
      <x:c r="N907" s="20" t="str">
        <x:f>IF(Q907&lt;&gt;"OK","",SUMIFS($L$8:$L$1007,$A$8:$A$1007,A907,$B$8:$B$1007,"&lt;="&amp;B907))</x:f>
      </x:c>
      <x:c r="O907" s="20" t="str">
        <x:f>IF(Q907&lt;&gt;"OK","",SUMIFS($M$8:$M$1007,$A$8:$A$1007,A907,$B$8:$B$1007,"&lt;="&amp;B907))</x:f>
      </x:c>
      <x:c r="P907" s="20" t="str">
        <x:f>IF(Q907&lt;&gt;"OK","",MAX(0,-MIN(N907,O907)))</x:f>
      </x:c>
      <x:c r="Q907" s="18" t="str">
        <x:f>IF(A907="",IF(COUNTA(B907:K907)=0,"","Inserisci ID"),IF(COUNTIFS('Diario'!$A$8:$A$507,A907)&lt;&gt;1,"ID assente / duplicato",IF(OR(NOT(ISNUMBER(B907)),B907&lt;1,B907&lt;&gt;INT(B907),COUNTIFS($A$8:$A$1007,A907,$B$8:$B$1007,B907)&lt;&gt;1),"N. esecuzione non valido",IF(OR(NOT(ISNUMBER(C907)),AND(D907&lt;&gt;"Ingresso",D907&lt;&gt;"Uscita"),AND(E907&lt;&gt;"Back",E907&lt;&gt;"Lay")),"Completa data / fase / lato",IF(OR(NOT(ISNUMBER(F907)),F907&lt;=1,NOT(ISNUMBER(G907)),G907&lt;=0),"Correggi quota / stake","OK")))))</x:f>
      </x:c>
    </x:row>
    <x:row r="908" ht="22" customHeight="1">
      <x:c r="A908" s="24"/>
      <x:c r="B908" s="24"/>
      <x:c r="C908" s="26"/>
      <x:c r="D908" s="24"/>
      <x:c r="E908" s="24"/>
      <x:c r="F908" s="28"/>
      <x:c r="G908" s="29"/>
      <x:c r="H908" s="24"/>
      <x:c r="I908" s="24"/>
      <x:c r="J908" s="24"/>
      <x:c r="K908" s="24"/>
      <x:c r="L908" s="20" t="str">
        <x:f>IF(Q908&lt;&gt;"OK","",IF(E908="Back",G908*(F908-1),-G908*(F908-1)))</x:f>
      </x:c>
      <x:c r="M908" s="20" t="str">
        <x:f>IF(Q908&lt;&gt;"OK","",IF(E908="Back",-G908,G908))</x:f>
      </x:c>
      <x:c r="N908" s="20" t="str">
        <x:f>IF(Q908&lt;&gt;"OK","",SUMIFS($L$8:$L$1007,$A$8:$A$1007,A908,$B$8:$B$1007,"&lt;="&amp;B908))</x:f>
      </x:c>
      <x:c r="O908" s="20" t="str">
        <x:f>IF(Q908&lt;&gt;"OK","",SUMIFS($M$8:$M$1007,$A$8:$A$1007,A908,$B$8:$B$1007,"&lt;="&amp;B908))</x:f>
      </x:c>
      <x:c r="P908" s="20" t="str">
        <x:f>IF(Q908&lt;&gt;"OK","",MAX(0,-MIN(N908,O908)))</x:f>
      </x:c>
      <x:c r="Q908" s="18" t="str">
        <x:f>IF(A908="",IF(COUNTA(B908:K908)=0,"","Inserisci ID"),IF(COUNTIFS('Diario'!$A$8:$A$507,A908)&lt;&gt;1,"ID assente / duplicato",IF(OR(NOT(ISNUMBER(B908)),B908&lt;1,B908&lt;&gt;INT(B908),COUNTIFS($A$8:$A$1007,A908,$B$8:$B$1007,B908)&lt;&gt;1),"N. esecuzione non valido",IF(OR(NOT(ISNUMBER(C908)),AND(D908&lt;&gt;"Ingresso",D908&lt;&gt;"Uscita"),AND(E908&lt;&gt;"Back",E908&lt;&gt;"Lay")),"Completa data / fase / lato",IF(OR(NOT(ISNUMBER(F908)),F908&lt;=1,NOT(ISNUMBER(G908)),G908&lt;=0),"Correggi quota / stake","OK")))))</x:f>
      </x:c>
    </x:row>
    <x:row r="909" ht="22" customHeight="1">
      <x:c r="A909" s="24"/>
      <x:c r="B909" s="24"/>
      <x:c r="C909" s="26"/>
      <x:c r="D909" s="24"/>
      <x:c r="E909" s="24"/>
      <x:c r="F909" s="28"/>
      <x:c r="G909" s="29"/>
      <x:c r="H909" s="24"/>
      <x:c r="I909" s="24"/>
      <x:c r="J909" s="24"/>
      <x:c r="K909" s="24"/>
      <x:c r="L909" s="20" t="str">
        <x:f>IF(Q909&lt;&gt;"OK","",IF(E909="Back",G909*(F909-1),-G909*(F909-1)))</x:f>
      </x:c>
      <x:c r="M909" s="20" t="str">
        <x:f>IF(Q909&lt;&gt;"OK","",IF(E909="Back",-G909,G909))</x:f>
      </x:c>
      <x:c r="N909" s="20" t="str">
        <x:f>IF(Q909&lt;&gt;"OK","",SUMIFS($L$8:$L$1007,$A$8:$A$1007,A909,$B$8:$B$1007,"&lt;="&amp;B909))</x:f>
      </x:c>
      <x:c r="O909" s="20" t="str">
        <x:f>IF(Q909&lt;&gt;"OK","",SUMIFS($M$8:$M$1007,$A$8:$A$1007,A909,$B$8:$B$1007,"&lt;="&amp;B909))</x:f>
      </x:c>
      <x:c r="P909" s="20" t="str">
        <x:f>IF(Q909&lt;&gt;"OK","",MAX(0,-MIN(N909,O909)))</x:f>
      </x:c>
      <x:c r="Q909" s="18" t="str">
        <x:f>IF(A909="",IF(COUNTA(B909:K909)=0,"","Inserisci ID"),IF(COUNTIFS('Diario'!$A$8:$A$507,A909)&lt;&gt;1,"ID assente / duplicato",IF(OR(NOT(ISNUMBER(B909)),B909&lt;1,B909&lt;&gt;INT(B909),COUNTIFS($A$8:$A$1007,A909,$B$8:$B$1007,B909)&lt;&gt;1),"N. esecuzione non valido",IF(OR(NOT(ISNUMBER(C909)),AND(D909&lt;&gt;"Ingresso",D909&lt;&gt;"Uscita"),AND(E909&lt;&gt;"Back",E909&lt;&gt;"Lay")),"Completa data / fase / lato",IF(OR(NOT(ISNUMBER(F909)),F909&lt;=1,NOT(ISNUMBER(G909)),G909&lt;=0),"Correggi quota / stake","OK")))))</x:f>
      </x:c>
    </x:row>
    <x:row r="910" ht="22" customHeight="1">
      <x:c r="A910" s="24"/>
      <x:c r="B910" s="24"/>
      <x:c r="C910" s="26"/>
      <x:c r="D910" s="24"/>
      <x:c r="E910" s="24"/>
      <x:c r="F910" s="28"/>
      <x:c r="G910" s="29"/>
      <x:c r="H910" s="24"/>
      <x:c r="I910" s="24"/>
      <x:c r="J910" s="24"/>
      <x:c r="K910" s="24"/>
      <x:c r="L910" s="20" t="str">
        <x:f>IF(Q910&lt;&gt;"OK","",IF(E910="Back",G910*(F910-1),-G910*(F910-1)))</x:f>
      </x:c>
      <x:c r="M910" s="20" t="str">
        <x:f>IF(Q910&lt;&gt;"OK","",IF(E910="Back",-G910,G910))</x:f>
      </x:c>
      <x:c r="N910" s="20" t="str">
        <x:f>IF(Q910&lt;&gt;"OK","",SUMIFS($L$8:$L$1007,$A$8:$A$1007,A910,$B$8:$B$1007,"&lt;="&amp;B910))</x:f>
      </x:c>
      <x:c r="O910" s="20" t="str">
        <x:f>IF(Q910&lt;&gt;"OK","",SUMIFS($M$8:$M$1007,$A$8:$A$1007,A910,$B$8:$B$1007,"&lt;="&amp;B910))</x:f>
      </x:c>
      <x:c r="P910" s="20" t="str">
        <x:f>IF(Q910&lt;&gt;"OK","",MAX(0,-MIN(N910,O910)))</x:f>
      </x:c>
      <x:c r="Q910" s="18" t="str">
        <x:f>IF(A910="",IF(COUNTA(B910:K910)=0,"","Inserisci ID"),IF(COUNTIFS('Diario'!$A$8:$A$507,A910)&lt;&gt;1,"ID assente / duplicato",IF(OR(NOT(ISNUMBER(B910)),B910&lt;1,B910&lt;&gt;INT(B910),COUNTIFS($A$8:$A$1007,A910,$B$8:$B$1007,B910)&lt;&gt;1),"N. esecuzione non valido",IF(OR(NOT(ISNUMBER(C910)),AND(D910&lt;&gt;"Ingresso",D910&lt;&gt;"Uscita"),AND(E910&lt;&gt;"Back",E910&lt;&gt;"Lay")),"Completa data / fase / lato",IF(OR(NOT(ISNUMBER(F910)),F910&lt;=1,NOT(ISNUMBER(G910)),G910&lt;=0),"Correggi quota / stake","OK")))))</x:f>
      </x:c>
    </x:row>
    <x:row r="911" ht="22" customHeight="1">
      <x:c r="A911" s="24"/>
      <x:c r="B911" s="24"/>
      <x:c r="C911" s="26"/>
      <x:c r="D911" s="24"/>
      <x:c r="E911" s="24"/>
      <x:c r="F911" s="28"/>
      <x:c r="G911" s="29"/>
      <x:c r="H911" s="24"/>
      <x:c r="I911" s="24"/>
      <x:c r="J911" s="24"/>
      <x:c r="K911" s="24"/>
      <x:c r="L911" s="20" t="str">
        <x:f>IF(Q911&lt;&gt;"OK","",IF(E911="Back",G911*(F911-1),-G911*(F911-1)))</x:f>
      </x:c>
      <x:c r="M911" s="20" t="str">
        <x:f>IF(Q911&lt;&gt;"OK","",IF(E911="Back",-G911,G911))</x:f>
      </x:c>
      <x:c r="N911" s="20" t="str">
        <x:f>IF(Q911&lt;&gt;"OK","",SUMIFS($L$8:$L$1007,$A$8:$A$1007,A911,$B$8:$B$1007,"&lt;="&amp;B911))</x:f>
      </x:c>
      <x:c r="O911" s="20" t="str">
        <x:f>IF(Q911&lt;&gt;"OK","",SUMIFS($M$8:$M$1007,$A$8:$A$1007,A911,$B$8:$B$1007,"&lt;="&amp;B911))</x:f>
      </x:c>
      <x:c r="P911" s="20" t="str">
        <x:f>IF(Q911&lt;&gt;"OK","",MAX(0,-MIN(N911,O911)))</x:f>
      </x:c>
      <x:c r="Q911" s="18" t="str">
        <x:f>IF(A911="",IF(COUNTA(B911:K911)=0,"","Inserisci ID"),IF(COUNTIFS('Diario'!$A$8:$A$507,A911)&lt;&gt;1,"ID assente / duplicato",IF(OR(NOT(ISNUMBER(B911)),B911&lt;1,B911&lt;&gt;INT(B911),COUNTIFS($A$8:$A$1007,A911,$B$8:$B$1007,B911)&lt;&gt;1),"N. esecuzione non valido",IF(OR(NOT(ISNUMBER(C911)),AND(D911&lt;&gt;"Ingresso",D911&lt;&gt;"Uscita"),AND(E911&lt;&gt;"Back",E911&lt;&gt;"Lay")),"Completa data / fase / lato",IF(OR(NOT(ISNUMBER(F911)),F911&lt;=1,NOT(ISNUMBER(G911)),G911&lt;=0),"Correggi quota / stake","OK")))))</x:f>
      </x:c>
    </x:row>
    <x:row r="912" ht="22" customHeight="1">
      <x:c r="A912" s="24"/>
      <x:c r="B912" s="24"/>
      <x:c r="C912" s="26"/>
      <x:c r="D912" s="24"/>
      <x:c r="E912" s="24"/>
      <x:c r="F912" s="28"/>
      <x:c r="G912" s="29"/>
      <x:c r="H912" s="24"/>
      <x:c r="I912" s="24"/>
      <x:c r="J912" s="24"/>
      <x:c r="K912" s="24"/>
      <x:c r="L912" s="20" t="str">
        <x:f>IF(Q912&lt;&gt;"OK","",IF(E912="Back",G912*(F912-1),-G912*(F912-1)))</x:f>
      </x:c>
      <x:c r="M912" s="20" t="str">
        <x:f>IF(Q912&lt;&gt;"OK","",IF(E912="Back",-G912,G912))</x:f>
      </x:c>
      <x:c r="N912" s="20" t="str">
        <x:f>IF(Q912&lt;&gt;"OK","",SUMIFS($L$8:$L$1007,$A$8:$A$1007,A912,$B$8:$B$1007,"&lt;="&amp;B912))</x:f>
      </x:c>
      <x:c r="O912" s="20" t="str">
        <x:f>IF(Q912&lt;&gt;"OK","",SUMIFS($M$8:$M$1007,$A$8:$A$1007,A912,$B$8:$B$1007,"&lt;="&amp;B912))</x:f>
      </x:c>
      <x:c r="P912" s="20" t="str">
        <x:f>IF(Q912&lt;&gt;"OK","",MAX(0,-MIN(N912,O912)))</x:f>
      </x:c>
      <x:c r="Q912" s="18" t="str">
        <x:f>IF(A912="",IF(COUNTA(B912:K912)=0,"","Inserisci ID"),IF(COUNTIFS('Diario'!$A$8:$A$507,A912)&lt;&gt;1,"ID assente / duplicato",IF(OR(NOT(ISNUMBER(B912)),B912&lt;1,B912&lt;&gt;INT(B912),COUNTIFS($A$8:$A$1007,A912,$B$8:$B$1007,B912)&lt;&gt;1),"N. esecuzione non valido",IF(OR(NOT(ISNUMBER(C912)),AND(D912&lt;&gt;"Ingresso",D912&lt;&gt;"Uscita"),AND(E912&lt;&gt;"Back",E912&lt;&gt;"Lay")),"Completa data / fase / lato",IF(OR(NOT(ISNUMBER(F912)),F912&lt;=1,NOT(ISNUMBER(G912)),G912&lt;=0),"Correggi quota / stake","OK")))))</x:f>
      </x:c>
    </x:row>
    <x:row r="913" ht="22" customHeight="1">
      <x:c r="A913" s="24"/>
      <x:c r="B913" s="24"/>
      <x:c r="C913" s="26"/>
      <x:c r="D913" s="24"/>
      <x:c r="E913" s="24"/>
      <x:c r="F913" s="28"/>
      <x:c r="G913" s="29"/>
      <x:c r="H913" s="24"/>
      <x:c r="I913" s="24"/>
      <x:c r="J913" s="24"/>
      <x:c r="K913" s="24"/>
      <x:c r="L913" s="20" t="str">
        <x:f>IF(Q913&lt;&gt;"OK","",IF(E913="Back",G913*(F913-1),-G913*(F913-1)))</x:f>
      </x:c>
      <x:c r="M913" s="20" t="str">
        <x:f>IF(Q913&lt;&gt;"OK","",IF(E913="Back",-G913,G913))</x:f>
      </x:c>
      <x:c r="N913" s="20" t="str">
        <x:f>IF(Q913&lt;&gt;"OK","",SUMIFS($L$8:$L$1007,$A$8:$A$1007,A913,$B$8:$B$1007,"&lt;="&amp;B913))</x:f>
      </x:c>
      <x:c r="O913" s="20" t="str">
        <x:f>IF(Q913&lt;&gt;"OK","",SUMIFS($M$8:$M$1007,$A$8:$A$1007,A913,$B$8:$B$1007,"&lt;="&amp;B913))</x:f>
      </x:c>
      <x:c r="P913" s="20" t="str">
        <x:f>IF(Q913&lt;&gt;"OK","",MAX(0,-MIN(N913,O913)))</x:f>
      </x:c>
      <x:c r="Q913" s="18" t="str">
        <x:f>IF(A913="",IF(COUNTA(B913:K913)=0,"","Inserisci ID"),IF(COUNTIFS('Diario'!$A$8:$A$507,A913)&lt;&gt;1,"ID assente / duplicato",IF(OR(NOT(ISNUMBER(B913)),B913&lt;1,B913&lt;&gt;INT(B913),COUNTIFS($A$8:$A$1007,A913,$B$8:$B$1007,B913)&lt;&gt;1),"N. esecuzione non valido",IF(OR(NOT(ISNUMBER(C913)),AND(D913&lt;&gt;"Ingresso",D913&lt;&gt;"Uscita"),AND(E913&lt;&gt;"Back",E913&lt;&gt;"Lay")),"Completa data / fase / lato",IF(OR(NOT(ISNUMBER(F913)),F913&lt;=1,NOT(ISNUMBER(G913)),G913&lt;=0),"Correggi quota / stake","OK")))))</x:f>
      </x:c>
    </x:row>
    <x:row r="914" ht="22" customHeight="1">
      <x:c r="A914" s="24"/>
      <x:c r="B914" s="24"/>
      <x:c r="C914" s="26"/>
      <x:c r="D914" s="24"/>
      <x:c r="E914" s="24"/>
      <x:c r="F914" s="28"/>
      <x:c r="G914" s="29"/>
      <x:c r="H914" s="24"/>
      <x:c r="I914" s="24"/>
      <x:c r="J914" s="24"/>
      <x:c r="K914" s="24"/>
      <x:c r="L914" s="20" t="str">
        <x:f>IF(Q914&lt;&gt;"OK","",IF(E914="Back",G914*(F914-1),-G914*(F914-1)))</x:f>
      </x:c>
      <x:c r="M914" s="20" t="str">
        <x:f>IF(Q914&lt;&gt;"OK","",IF(E914="Back",-G914,G914))</x:f>
      </x:c>
      <x:c r="N914" s="20" t="str">
        <x:f>IF(Q914&lt;&gt;"OK","",SUMIFS($L$8:$L$1007,$A$8:$A$1007,A914,$B$8:$B$1007,"&lt;="&amp;B914))</x:f>
      </x:c>
      <x:c r="O914" s="20" t="str">
        <x:f>IF(Q914&lt;&gt;"OK","",SUMIFS($M$8:$M$1007,$A$8:$A$1007,A914,$B$8:$B$1007,"&lt;="&amp;B914))</x:f>
      </x:c>
      <x:c r="P914" s="20" t="str">
        <x:f>IF(Q914&lt;&gt;"OK","",MAX(0,-MIN(N914,O914)))</x:f>
      </x:c>
      <x:c r="Q914" s="18" t="str">
        <x:f>IF(A914="",IF(COUNTA(B914:K914)=0,"","Inserisci ID"),IF(COUNTIFS('Diario'!$A$8:$A$507,A914)&lt;&gt;1,"ID assente / duplicato",IF(OR(NOT(ISNUMBER(B914)),B914&lt;1,B914&lt;&gt;INT(B914),COUNTIFS($A$8:$A$1007,A914,$B$8:$B$1007,B914)&lt;&gt;1),"N. esecuzione non valido",IF(OR(NOT(ISNUMBER(C914)),AND(D914&lt;&gt;"Ingresso",D914&lt;&gt;"Uscita"),AND(E914&lt;&gt;"Back",E914&lt;&gt;"Lay")),"Completa data / fase / lato",IF(OR(NOT(ISNUMBER(F914)),F914&lt;=1,NOT(ISNUMBER(G914)),G914&lt;=0),"Correggi quota / stake","OK")))))</x:f>
      </x:c>
    </x:row>
    <x:row r="915" ht="22" customHeight="1">
      <x:c r="A915" s="24"/>
      <x:c r="B915" s="24"/>
      <x:c r="C915" s="26"/>
      <x:c r="D915" s="24"/>
      <x:c r="E915" s="24"/>
      <x:c r="F915" s="28"/>
      <x:c r="G915" s="29"/>
      <x:c r="H915" s="24"/>
      <x:c r="I915" s="24"/>
      <x:c r="J915" s="24"/>
      <x:c r="K915" s="24"/>
      <x:c r="L915" s="20" t="str">
        <x:f>IF(Q915&lt;&gt;"OK","",IF(E915="Back",G915*(F915-1),-G915*(F915-1)))</x:f>
      </x:c>
      <x:c r="M915" s="20" t="str">
        <x:f>IF(Q915&lt;&gt;"OK","",IF(E915="Back",-G915,G915))</x:f>
      </x:c>
      <x:c r="N915" s="20" t="str">
        <x:f>IF(Q915&lt;&gt;"OK","",SUMIFS($L$8:$L$1007,$A$8:$A$1007,A915,$B$8:$B$1007,"&lt;="&amp;B915))</x:f>
      </x:c>
      <x:c r="O915" s="20" t="str">
        <x:f>IF(Q915&lt;&gt;"OK","",SUMIFS($M$8:$M$1007,$A$8:$A$1007,A915,$B$8:$B$1007,"&lt;="&amp;B915))</x:f>
      </x:c>
      <x:c r="P915" s="20" t="str">
        <x:f>IF(Q915&lt;&gt;"OK","",MAX(0,-MIN(N915,O915)))</x:f>
      </x:c>
      <x:c r="Q915" s="18" t="str">
        <x:f>IF(A915="",IF(COUNTA(B915:K915)=0,"","Inserisci ID"),IF(COUNTIFS('Diario'!$A$8:$A$507,A915)&lt;&gt;1,"ID assente / duplicato",IF(OR(NOT(ISNUMBER(B915)),B915&lt;1,B915&lt;&gt;INT(B915),COUNTIFS($A$8:$A$1007,A915,$B$8:$B$1007,B915)&lt;&gt;1),"N. esecuzione non valido",IF(OR(NOT(ISNUMBER(C915)),AND(D915&lt;&gt;"Ingresso",D915&lt;&gt;"Uscita"),AND(E915&lt;&gt;"Back",E915&lt;&gt;"Lay")),"Completa data / fase / lato",IF(OR(NOT(ISNUMBER(F915)),F915&lt;=1,NOT(ISNUMBER(G915)),G915&lt;=0),"Correggi quota / stake","OK")))))</x:f>
      </x:c>
    </x:row>
    <x:row r="916" ht="22" customHeight="1">
      <x:c r="A916" s="24"/>
      <x:c r="B916" s="24"/>
      <x:c r="C916" s="26"/>
      <x:c r="D916" s="24"/>
      <x:c r="E916" s="24"/>
      <x:c r="F916" s="28"/>
      <x:c r="G916" s="29"/>
      <x:c r="H916" s="24"/>
      <x:c r="I916" s="24"/>
      <x:c r="J916" s="24"/>
      <x:c r="K916" s="24"/>
      <x:c r="L916" s="20" t="str">
        <x:f>IF(Q916&lt;&gt;"OK","",IF(E916="Back",G916*(F916-1),-G916*(F916-1)))</x:f>
      </x:c>
      <x:c r="M916" s="20" t="str">
        <x:f>IF(Q916&lt;&gt;"OK","",IF(E916="Back",-G916,G916))</x:f>
      </x:c>
      <x:c r="N916" s="20" t="str">
        <x:f>IF(Q916&lt;&gt;"OK","",SUMIFS($L$8:$L$1007,$A$8:$A$1007,A916,$B$8:$B$1007,"&lt;="&amp;B916))</x:f>
      </x:c>
      <x:c r="O916" s="20" t="str">
        <x:f>IF(Q916&lt;&gt;"OK","",SUMIFS($M$8:$M$1007,$A$8:$A$1007,A916,$B$8:$B$1007,"&lt;="&amp;B916))</x:f>
      </x:c>
      <x:c r="P916" s="20" t="str">
        <x:f>IF(Q916&lt;&gt;"OK","",MAX(0,-MIN(N916,O916)))</x:f>
      </x:c>
      <x:c r="Q916" s="18" t="str">
        <x:f>IF(A916="",IF(COUNTA(B916:K916)=0,"","Inserisci ID"),IF(COUNTIFS('Diario'!$A$8:$A$507,A916)&lt;&gt;1,"ID assente / duplicato",IF(OR(NOT(ISNUMBER(B916)),B916&lt;1,B916&lt;&gt;INT(B916),COUNTIFS($A$8:$A$1007,A916,$B$8:$B$1007,B916)&lt;&gt;1),"N. esecuzione non valido",IF(OR(NOT(ISNUMBER(C916)),AND(D916&lt;&gt;"Ingresso",D916&lt;&gt;"Uscita"),AND(E916&lt;&gt;"Back",E916&lt;&gt;"Lay")),"Completa data / fase / lato",IF(OR(NOT(ISNUMBER(F916)),F916&lt;=1,NOT(ISNUMBER(G916)),G916&lt;=0),"Correggi quota / stake","OK")))))</x:f>
      </x:c>
    </x:row>
    <x:row r="917" ht="22" customHeight="1">
      <x:c r="A917" s="24"/>
      <x:c r="B917" s="24"/>
      <x:c r="C917" s="26"/>
      <x:c r="D917" s="24"/>
      <x:c r="E917" s="24"/>
      <x:c r="F917" s="28"/>
      <x:c r="G917" s="29"/>
      <x:c r="H917" s="24"/>
      <x:c r="I917" s="24"/>
      <x:c r="J917" s="24"/>
      <x:c r="K917" s="24"/>
      <x:c r="L917" s="20" t="str">
        <x:f>IF(Q917&lt;&gt;"OK","",IF(E917="Back",G917*(F917-1),-G917*(F917-1)))</x:f>
      </x:c>
      <x:c r="M917" s="20" t="str">
        <x:f>IF(Q917&lt;&gt;"OK","",IF(E917="Back",-G917,G917))</x:f>
      </x:c>
      <x:c r="N917" s="20" t="str">
        <x:f>IF(Q917&lt;&gt;"OK","",SUMIFS($L$8:$L$1007,$A$8:$A$1007,A917,$B$8:$B$1007,"&lt;="&amp;B917))</x:f>
      </x:c>
      <x:c r="O917" s="20" t="str">
        <x:f>IF(Q917&lt;&gt;"OK","",SUMIFS($M$8:$M$1007,$A$8:$A$1007,A917,$B$8:$B$1007,"&lt;="&amp;B917))</x:f>
      </x:c>
      <x:c r="P917" s="20" t="str">
        <x:f>IF(Q917&lt;&gt;"OK","",MAX(0,-MIN(N917,O917)))</x:f>
      </x:c>
      <x:c r="Q917" s="18" t="str">
        <x:f>IF(A917="",IF(COUNTA(B917:K917)=0,"","Inserisci ID"),IF(COUNTIFS('Diario'!$A$8:$A$507,A917)&lt;&gt;1,"ID assente / duplicato",IF(OR(NOT(ISNUMBER(B917)),B917&lt;1,B917&lt;&gt;INT(B917),COUNTIFS($A$8:$A$1007,A917,$B$8:$B$1007,B917)&lt;&gt;1),"N. esecuzione non valido",IF(OR(NOT(ISNUMBER(C917)),AND(D917&lt;&gt;"Ingresso",D917&lt;&gt;"Uscita"),AND(E917&lt;&gt;"Back",E917&lt;&gt;"Lay")),"Completa data / fase / lato",IF(OR(NOT(ISNUMBER(F917)),F917&lt;=1,NOT(ISNUMBER(G917)),G917&lt;=0),"Correggi quota / stake","OK")))))</x:f>
      </x:c>
    </x:row>
    <x:row r="918" ht="22" customHeight="1">
      <x:c r="A918" s="24"/>
      <x:c r="B918" s="24"/>
      <x:c r="C918" s="26"/>
      <x:c r="D918" s="24"/>
      <x:c r="E918" s="24"/>
      <x:c r="F918" s="28"/>
      <x:c r="G918" s="29"/>
      <x:c r="H918" s="24"/>
      <x:c r="I918" s="24"/>
      <x:c r="J918" s="24"/>
      <x:c r="K918" s="24"/>
      <x:c r="L918" s="20" t="str">
        <x:f>IF(Q918&lt;&gt;"OK","",IF(E918="Back",G918*(F918-1),-G918*(F918-1)))</x:f>
      </x:c>
      <x:c r="M918" s="20" t="str">
        <x:f>IF(Q918&lt;&gt;"OK","",IF(E918="Back",-G918,G918))</x:f>
      </x:c>
      <x:c r="N918" s="20" t="str">
        <x:f>IF(Q918&lt;&gt;"OK","",SUMIFS($L$8:$L$1007,$A$8:$A$1007,A918,$B$8:$B$1007,"&lt;="&amp;B918))</x:f>
      </x:c>
      <x:c r="O918" s="20" t="str">
        <x:f>IF(Q918&lt;&gt;"OK","",SUMIFS($M$8:$M$1007,$A$8:$A$1007,A918,$B$8:$B$1007,"&lt;="&amp;B918))</x:f>
      </x:c>
      <x:c r="P918" s="20" t="str">
        <x:f>IF(Q918&lt;&gt;"OK","",MAX(0,-MIN(N918,O918)))</x:f>
      </x:c>
      <x:c r="Q918" s="18" t="str">
        <x:f>IF(A918="",IF(COUNTA(B918:K918)=0,"","Inserisci ID"),IF(COUNTIFS('Diario'!$A$8:$A$507,A918)&lt;&gt;1,"ID assente / duplicato",IF(OR(NOT(ISNUMBER(B918)),B918&lt;1,B918&lt;&gt;INT(B918),COUNTIFS($A$8:$A$1007,A918,$B$8:$B$1007,B918)&lt;&gt;1),"N. esecuzione non valido",IF(OR(NOT(ISNUMBER(C918)),AND(D918&lt;&gt;"Ingresso",D918&lt;&gt;"Uscita"),AND(E918&lt;&gt;"Back",E918&lt;&gt;"Lay")),"Completa data / fase / lato",IF(OR(NOT(ISNUMBER(F918)),F918&lt;=1,NOT(ISNUMBER(G918)),G918&lt;=0),"Correggi quota / stake","OK")))))</x:f>
      </x:c>
    </x:row>
    <x:row r="919" ht="22" customHeight="1">
      <x:c r="A919" s="24"/>
      <x:c r="B919" s="24"/>
      <x:c r="C919" s="26"/>
      <x:c r="D919" s="24"/>
      <x:c r="E919" s="24"/>
      <x:c r="F919" s="28"/>
      <x:c r="G919" s="29"/>
      <x:c r="H919" s="24"/>
      <x:c r="I919" s="24"/>
      <x:c r="J919" s="24"/>
      <x:c r="K919" s="24"/>
      <x:c r="L919" s="20" t="str">
        <x:f>IF(Q919&lt;&gt;"OK","",IF(E919="Back",G919*(F919-1),-G919*(F919-1)))</x:f>
      </x:c>
      <x:c r="M919" s="20" t="str">
        <x:f>IF(Q919&lt;&gt;"OK","",IF(E919="Back",-G919,G919))</x:f>
      </x:c>
      <x:c r="N919" s="20" t="str">
        <x:f>IF(Q919&lt;&gt;"OK","",SUMIFS($L$8:$L$1007,$A$8:$A$1007,A919,$B$8:$B$1007,"&lt;="&amp;B919))</x:f>
      </x:c>
      <x:c r="O919" s="20" t="str">
        <x:f>IF(Q919&lt;&gt;"OK","",SUMIFS($M$8:$M$1007,$A$8:$A$1007,A919,$B$8:$B$1007,"&lt;="&amp;B919))</x:f>
      </x:c>
      <x:c r="P919" s="20" t="str">
        <x:f>IF(Q919&lt;&gt;"OK","",MAX(0,-MIN(N919,O919)))</x:f>
      </x:c>
      <x:c r="Q919" s="18" t="str">
        <x:f>IF(A919="",IF(COUNTA(B919:K919)=0,"","Inserisci ID"),IF(COUNTIFS('Diario'!$A$8:$A$507,A919)&lt;&gt;1,"ID assente / duplicato",IF(OR(NOT(ISNUMBER(B919)),B919&lt;1,B919&lt;&gt;INT(B919),COUNTIFS($A$8:$A$1007,A919,$B$8:$B$1007,B919)&lt;&gt;1),"N. esecuzione non valido",IF(OR(NOT(ISNUMBER(C919)),AND(D919&lt;&gt;"Ingresso",D919&lt;&gt;"Uscita"),AND(E919&lt;&gt;"Back",E919&lt;&gt;"Lay")),"Completa data / fase / lato",IF(OR(NOT(ISNUMBER(F919)),F919&lt;=1,NOT(ISNUMBER(G919)),G919&lt;=0),"Correggi quota / stake","OK")))))</x:f>
      </x:c>
    </x:row>
    <x:row r="920" ht="22" customHeight="1">
      <x:c r="A920" s="24"/>
      <x:c r="B920" s="24"/>
      <x:c r="C920" s="26"/>
      <x:c r="D920" s="24"/>
      <x:c r="E920" s="24"/>
      <x:c r="F920" s="28"/>
      <x:c r="G920" s="29"/>
      <x:c r="H920" s="24"/>
      <x:c r="I920" s="24"/>
      <x:c r="J920" s="24"/>
      <x:c r="K920" s="24"/>
      <x:c r="L920" s="20" t="str">
        <x:f>IF(Q920&lt;&gt;"OK","",IF(E920="Back",G920*(F920-1),-G920*(F920-1)))</x:f>
      </x:c>
      <x:c r="M920" s="20" t="str">
        <x:f>IF(Q920&lt;&gt;"OK","",IF(E920="Back",-G920,G920))</x:f>
      </x:c>
      <x:c r="N920" s="20" t="str">
        <x:f>IF(Q920&lt;&gt;"OK","",SUMIFS($L$8:$L$1007,$A$8:$A$1007,A920,$B$8:$B$1007,"&lt;="&amp;B920))</x:f>
      </x:c>
      <x:c r="O920" s="20" t="str">
        <x:f>IF(Q920&lt;&gt;"OK","",SUMIFS($M$8:$M$1007,$A$8:$A$1007,A920,$B$8:$B$1007,"&lt;="&amp;B920))</x:f>
      </x:c>
      <x:c r="P920" s="20" t="str">
        <x:f>IF(Q920&lt;&gt;"OK","",MAX(0,-MIN(N920,O920)))</x:f>
      </x:c>
      <x:c r="Q920" s="18" t="str">
        <x:f>IF(A920="",IF(COUNTA(B920:K920)=0,"","Inserisci ID"),IF(COUNTIFS('Diario'!$A$8:$A$507,A920)&lt;&gt;1,"ID assente / duplicato",IF(OR(NOT(ISNUMBER(B920)),B920&lt;1,B920&lt;&gt;INT(B920),COUNTIFS($A$8:$A$1007,A920,$B$8:$B$1007,B920)&lt;&gt;1),"N. esecuzione non valido",IF(OR(NOT(ISNUMBER(C920)),AND(D920&lt;&gt;"Ingresso",D920&lt;&gt;"Uscita"),AND(E920&lt;&gt;"Back",E920&lt;&gt;"Lay")),"Completa data / fase / lato",IF(OR(NOT(ISNUMBER(F920)),F920&lt;=1,NOT(ISNUMBER(G920)),G920&lt;=0),"Correggi quota / stake","OK")))))</x:f>
      </x:c>
    </x:row>
    <x:row r="921" ht="22" customHeight="1">
      <x:c r="A921" s="24"/>
      <x:c r="B921" s="24"/>
      <x:c r="C921" s="26"/>
      <x:c r="D921" s="24"/>
      <x:c r="E921" s="24"/>
      <x:c r="F921" s="28"/>
      <x:c r="G921" s="29"/>
      <x:c r="H921" s="24"/>
      <x:c r="I921" s="24"/>
      <x:c r="J921" s="24"/>
      <x:c r="K921" s="24"/>
      <x:c r="L921" s="20" t="str">
        <x:f>IF(Q921&lt;&gt;"OK","",IF(E921="Back",G921*(F921-1),-G921*(F921-1)))</x:f>
      </x:c>
      <x:c r="M921" s="20" t="str">
        <x:f>IF(Q921&lt;&gt;"OK","",IF(E921="Back",-G921,G921))</x:f>
      </x:c>
      <x:c r="N921" s="20" t="str">
        <x:f>IF(Q921&lt;&gt;"OK","",SUMIFS($L$8:$L$1007,$A$8:$A$1007,A921,$B$8:$B$1007,"&lt;="&amp;B921))</x:f>
      </x:c>
      <x:c r="O921" s="20" t="str">
        <x:f>IF(Q921&lt;&gt;"OK","",SUMIFS($M$8:$M$1007,$A$8:$A$1007,A921,$B$8:$B$1007,"&lt;="&amp;B921))</x:f>
      </x:c>
      <x:c r="P921" s="20" t="str">
        <x:f>IF(Q921&lt;&gt;"OK","",MAX(0,-MIN(N921,O921)))</x:f>
      </x:c>
      <x:c r="Q921" s="18" t="str">
        <x:f>IF(A921="",IF(COUNTA(B921:K921)=0,"","Inserisci ID"),IF(COUNTIFS('Diario'!$A$8:$A$507,A921)&lt;&gt;1,"ID assente / duplicato",IF(OR(NOT(ISNUMBER(B921)),B921&lt;1,B921&lt;&gt;INT(B921),COUNTIFS($A$8:$A$1007,A921,$B$8:$B$1007,B921)&lt;&gt;1),"N. esecuzione non valido",IF(OR(NOT(ISNUMBER(C921)),AND(D921&lt;&gt;"Ingresso",D921&lt;&gt;"Uscita"),AND(E921&lt;&gt;"Back",E921&lt;&gt;"Lay")),"Completa data / fase / lato",IF(OR(NOT(ISNUMBER(F921)),F921&lt;=1,NOT(ISNUMBER(G921)),G921&lt;=0),"Correggi quota / stake","OK")))))</x:f>
      </x:c>
    </x:row>
    <x:row r="922" ht="22" customHeight="1">
      <x:c r="A922" s="24"/>
      <x:c r="B922" s="24"/>
      <x:c r="C922" s="26"/>
      <x:c r="D922" s="24"/>
      <x:c r="E922" s="24"/>
      <x:c r="F922" s="28"/>
      <x:c r="G922" s="29"/>
      <x:c r="H922" s="24"/>
      <x:c r="I922" s="24"/>
      <x:c r="J922" s="24"/>
      <x:c r="K922" s="24"/>
      <x:c r="L922" s="20" t="str">
        <x:f>IF(Q922&lt;&gt;"OK","",IF(E922="Back",G922*(F922-1),-G922*(F922-1)))</x:f>
      </x:c>
      <x:c r="M922" s="20" t="str">
        <x:f>IF(Q922&lt;&gt;"OK","",IF(E922="Back",-G922,G922))</x:f>
      </x:c>
      <x:c r="N922" s="20" t="str">
        <x:f>IF(Q922&lt;&gt;"OK","",SUMIFS($L$8:$L$1007,$A$8:$A$1007,A922,$B$8:$B$1007,"&lt;="&amp;B922))</x:f>
      </x:c>
      <x:c r="O922" s="20" t="str">
        <x:f>IF(Q922&lt;&gt;"OK","",SUMIFS($M$8:$M$1007,$A$8:$A$1007,A922,$B$8:$B$1007,"&lt;="&amp;B922))</x:f>
      </x:c>
      <x:c r="P922" s="20" t="str">
        <x:f>IF(Q922&lt;&gt;"OK","",MAX(0,-MIN(N922,O922)))</x:f>
      </x:c>
      <x:c r="Q922" s="18" t="str">
        <x:f>IF(A922="",IF(COUNTA(B922:K922)=0,"","Inserisci ID"),IF(COUNTIFS('Diario'!$A$8:$A$507,A922)&lt;&gt;1,"ID assente / duplicato",IF(OR(NOT(ISNUMBER(B922)),B922&lt;1,B922&lt;&gt;INT(B922),COUNTIFS($A$8:$A$1007,A922,$B$8:$B$1007,B922)&lt;&gt;1),"N. esecuzione non valido",IF(OR(NOT(ISNUMBER(C922)),AND(D922&lt;&gt;"Ingresso",D922&lt;&gt;"Uscita"),AND(E922&lt;&gt;"Back",E922&lt;&gt;"Lay")),"Completa data / fase / lato",IF(OR(NOT(ISNUMBER(F922)),F922&lt;=1,NOT(ISNUMBER(G922)),G922&lt;=0),"Correggi quota / stake","OK")))))</x:f>
      </x:c>
    </x:row>
    <x:row r="923" ht="22" customHeight="1">
      <x:c r="A923" s="24"/>
      <x:c r="B923" s="24"/>
      <x:c r="C923" s="26"/>
      <x:c r="D923" s="24"/>
      <x:c r="E923" s="24"/>
      <x:c r="F923" s="28"/>
      <x:c r="G923" s="29"/>
      <x:c r="H923" s="24"/>
      <x:c r="I923" s="24"/>
      <x:c r="J923" s="24"/>
      <x:c r="K923" s="24"/>
      <x:c r="L923" s="20" t="str">
        <x:f>IF(Q923&lt;&gt;"OK","",IF(E923="Back",G923*(F923-1),-G923*(F923-1)))</x:f>
      </x:c>
      <x:c r="M923" s="20" t="str">
        <x:f>IF(Q923&lt;&gt;"OK","",IF(E923="Back",-G923,G923))</x:f>
      </x:c>
      <x:c r="N923" s="20" t="str">
        <x:f>IF(Q923&lt;&gt;"OK","",SUMIFS($L$8:$L$1007,$A$8:$A$1007,A923,$B$8:$B$1007,"&lt;="&amp;B923))</x:f>
      </x:c>
      <x:c r="O923" s="20" t="str">
        <x:f>IF(Q923&lt;&gt;"OK","",SUMIFS($M$8:$M$1007,$A$8:$A$1007,A923,$B$8:$B$1007,"&lt;="&amp;B923))</x:f>
      </x:c>
      <x:c r="P923" s="20" t="str">
        <x:f>IF(Q923&lt;&gt;"OK","",MAX(0,-MIN(N923,O923)))</x:f>
      </x:c>
      <x:c r="Q923" s="18" t="str">
        <x:f>IF(A923="",IF(COUNTA(B923:K923)=0,"","Inserisci ID"),IF(COUNTIFS('Diario'!$A$8:$A$507,A923)&lt;&gt;1,"ID assente / duplicato",IF(OR(NOT(ISNUMBER(B923)),B923&lt;1,B923&lt;&gt;INT(B923),COUNTIFS($A$8:$A$1007,A923,$B$8:$B$1007,B923)&lt;&gt;1),"N. esecuzione non valido",IF(OR(NOT(ISNUMBER(C923)),AND(D923&lt;&gt;"Ingresso",D923&lt;&gt;"Uscita"),AND(E923&lt;&gt;"Back",E923&lt;&gt;"Lay")),"Completa data / fase / lato",IF(OR(NOT(ISNUMBER(F923)),F923&lt;=1,NOT(ISNUMBER(G923)),G923&lt;=0),"Correggi quota / stake","OK")))))</x:f>
      </x:c>
    </x:row>
    <x:row r="924" ht="22" customHeight="1">
      <x:c r="A924" s="24"/>
      <x:c r="B924" s="24"/>
      <x:c r="C924" s="26"/>
      <x:c r="D924" s="24"/>
      <x:c r="E924" s="24"/>
      <x:c r="F924" s="28"/>
      <x:c r="G924" s="29"/>
      <x:c r="H924" s="24"/>
      <x:c r="I924" s="24"/>
      <x:c r="J924" s="24"/>
      <x:c r="K924" s="24"/>
      <x:c r="L924" s="20" t="str">
        <x:f>IF(Q924&lt;&gt;"OK","",IF(E924="Back",G924*(F924-1),-G924*(F924-1)))</x:f>
      </x:c>
      <x:c r="M924" s="20" t="str">
        <x:f>IF(Q924&lt;&gt;"OK","",IF(E924="Back",-G924,G924))</x:f>
      </x:c>
      <x:c r="N924" s="20" t="str">
        <x:f>IF(Q924&lt;&gt;"OK","",SUMIFS($L$8:$L$1007,$A$8:$A$1007,A924,$B$8:$B$1007,"&lt;="&amp;B924))</x:f>
      </x:c>
      <x:c r="O924" s="20" t="str">
        <x:f>IF(Q924&lt;&gt;"OK","",SUMIFS($M$8:$M$1007,$A$8:$A$1007,A924,$B$8:$B$1007,"&lt;="&amp;B924))</x:f>
      </x:c>
      <x:c r="P924" s="20" t="str">
        <x:f>IF(Q924&lt;&gt;"OK","",MAX(0,-MIN(N924,O924)))</x:f>
      </x:c>
      <x:c r="Q924" s="18" t="str">
        <x:f>IF(A924="",IF(COUNTA(B924:K924)=0,"","Inserisci ID"),IF(COUNTIFS('Diario'!$A$8:$A$507,A924)&lt;&gt;1,"ID assente / duplicato",IF(OR(NOT(ISNUMBER(B924)),B924&lt;1,B924&lt;&gt;INT(B924),COUNTIFS($A$8:$A$1007,A924,$B$8:$B$1007,B924)&lt;&gt;1),"N. esecuzione non valido",IF(OR(NOT(ISNUMBER(C924)),AND(D924&lt;&gt;"Ingresso",D924&lt;&gt;"Uscita"),AND(E924&lt;&gt;"Back",E924&lt;&gt;"Lay")),"Completa data / fase / lato",IF(OR(NOT(ISNUMBER(F924)),F924&lt;=1,NOT(ISNUMBER(G924)),G924&lt;=0),"Correggi quota / stake","OK")))))</x:f>
      </x:c>
    </x:row>
    <x:row r="925" ht="22" customHeight="1">
      <x:c r="A925" s="24"/>
      <x:c r="B925" s="24"/>
      <x:c r="C925" s="26"/>
      <x:c r="D925" s="24"/>
      <x:c r="E925" s="24"/>
      <x:c r="F925" s="28"/>
      <x:c r="G925" s="29"/>
      <x:c r="H925" s="24"/>
      <x:c r="I925" s="24"/>
      <x:c r="J925" s="24"/>
      <x:c r="K925" s="24"/>
      <x:c r="L925" s="20" t="str">
        <x:f>IF(Q925&lt;&gt;"OK","",IF(E925="Back",G925*(F925-1),-G925*(F925-1)))</x:f>
      </x:c>
      <x:c r="M925" s="20" t="str">
        <x:f>IF(Q925&lt;&gt;"OK","",IF(E925="Back",-G925,G925))</x:f>
      </x:c>
      <x:c r="N925" s="20" t="str">
        <x:f>IF(Q925&lt;&gt;"OK","",SUMIFS($L$8:$L$1007,$A$8:$A$1007,A925,$B$8:$B$1007,"&lt;="&amp;B925))</x:f>
      </x:c>
      <x:c r="O925" s="20" t="str">
        <x:f>IF(Q925&lt;&gt;"OK","",SUMIFS($M$8:$M$1007,$A$8:$A$1007,A925,$B$8:$B$1007,"&lt;="&amp;B925))</x:f>
      </x:c>
      <x:c r="P925" s="20" t="str">
        <x:f>IF(Q925&lt;&gt;"OK","",MAX(0,-MIN(N925,O925)))</x:f>
      </x:c>
      <x:c r="Q925" s="18" t="str">
        <x:f>IF(A925="",IF(COUNTA(B925:K925)=0,"","Inserisci ID"),IF(COUNTIFS('Diario'!$A$8:$A$507,A925)&lt;&gt;1,"ID assente / duplicato",IF(OR(NOT(ISNUMBER(B925)),B925&lt;1,B925&lt;&gt;INT(B925),COUNTIFS($A$8:$A$1007,A925,$B$8:$B$1007,B925)&lt;&gt;1),"N. esecuzione non valido",IF(OR(NOT(ISNUMBER(C925)),AND(D925&lt;&gt;"Ingresso",D925&lt;&gt;"Uscita"),AND(E925&lt;&gt;"Back",E925&lt;&gt;"Lay")),"Completa data / fase / lato",IF(OR(NOT(ISNUMBER(F925)),F925&lt;=1,NOT(ISNUMBER(G925)),G925&lt;=0),"Correggi quota / stake","OK")))))</x:f>
      </x:c>
    </x:row>
    <x:row r="926" ht="22" customHeight="1">
      <x:c r="A926" s="24"/>
      <x:c r="B926" s="24"/>
      <x:c r="C926" s="26"/>
      <x:c r="D926" s="24"/>
      <x:c r="E926" s="24"/>
      <x:c r="F926" s="28"/>
      <x:c r="G926" s="29"/>
      <x:c r="H926" s="24"/>
      <x:c r="I926" s="24"/>
      <x:c r="J926" s="24"/>
      <x:c r="K926" s="24"/>
      <x:c r="L926" s="20" t="str">
        <x:f>IF(Q926&lt;&gt;"OK","",IF(E926="Back",G926*(F926-1),-G926*(F926-1)))</x:f>
      </x:c>
      <x:c r="M926" s="20" t="str">
        <x:f>IF(Q926&lt;&gt;"OK","",IF(E926="Back",-G926,G926))</x:f>
      </x:c>
      <x:c r="N926" s="20" t="str">
        <x:f>IF(Q926&lt;&gt;"OK","",SUMIFS($L$8:$L$1007,$A$8:$A$1007,A926,$B$8:$B$1007,"&lt;="&amp;B926))</x:f>
      </x:c>
      <x:c r="O926" s="20" t="str">
        <x:f>IF(Q926&lt;&gt;"OK","",SUMIFS($M$8:$M$1007,$A$8:$A$1007,A926,$B$8:$B$1007,"&lt;="&amp;B926))</x:f>
      </x:c>
      <x:c r="P926" s="20" t="str">
        <x:f>IF(Q926&lt;&gt;"OK","",MAX(0,-MIN(N926,O926)))</x:f>
      </x:c>
      <x:c r="Q926" s="18" t="str">
        <x:f>IF(A926="",IF(COUNTA(B926:K926)=0,"","Inserisci ID"),IF(COUNTIFS('Diario'!$A$8:$A$507,A926)&lt;&gt;1,"ID assente / duplicato",IF(OR(NOT(ISNUMBER(B926)),B926&lt;1,B926&lt;&gt;INT(B926),COUNTIFS($A$8:$A$1007,A926,$B$8:$B$1007,B926)&lt;&gt;1),"N. esecuzione non valido",IF(OR(NOT(ISNUMBER(C926)),AND(D926&lt;&gt;"Ingresso",D926&lt;&gt;"Uscita"),AND(E926&lt;&gt;"Back",E926&lt;&gt;"Lay")),"Completa data / fase / lato",IF(OR(NOT(ISNUMBER(F926)),F926&lt;=1,NOT(ISNUMBER(G926)),G926&lt;=0),"Correggi quota / stake","OK")))))</x:f>
      </x:c>
    </x:row>
    <x:row r="927" ht="22" customHeight="1">
      <x:c r="A927" s="24"/>
      <x:c r="B927" s="24"/>
      <x:c r="C927" s="26"/>
      <x:c r="D927" s="24"/>
      <x:c r="E927" s="24"/>
      <x:c r="F927" s="28"/>
      <x:c r="G927" s="29"/>
      <x:c r="H927" s="24"/>
      <x:c r="I927" s="24"/>
      <x:c r="J927" s="24"/>
      <x:c r="K927" s="24"/>
      <x:c r="L927" s="20" t="str">
        <x:f>IF(Q927&lt;&gt;"OK","",IF(E927="Back",G927*(F927-1),-G927*(F927-1)))</x:f>
      </x:c>
      <x:c r="M927" s="20" t="str">
        <x:f>IF(Q927&lt;&gt;"OK","",IF(E927="Back",-G927,G927))</x:f>
      </x:c>
      <x:c r="N927" s="20" t="str">
        <x:f>IF(Q927&lt;&gt;"OK","",SUMIFS($L$8:$L$1007,$A$8:$A$1007,A927,$B$8:$B$1007,"&lt;="&amp;B927))</x:f>
      </x:c>
      <x:c r="O927" s="20" t="str">
        <x:f>IF(Q927&lt;&gt;"OK","",SUMIFS($M$8:$M$1007,$A$8:$A$1007,A927,$B$8:$B$1007,"&lt;="&amp;B927))</x:f>
      </x:c>
      <x:c r="P927" s="20" t="str">
        <x:f>IF(Q927&lt;&gt;"OK","",MAX(0,-MIN(N927,O927)))</x:f>
      </x:c>
      <x:c r="Q927" s="18" t="str">
        <x:f>IF(A927="",IF(COUNTA(B927:K927)=0,"","Inserisci ID"),IF(COUNTIFS('Diario'!$A$8:$A$507,A927)&lt;&gt;1,"ID assente / duplicato",IF(OR(NOT(ISNUMBER(B927)),B927&lt;1,B927&lt;&gt;INT(B927),COUNTIFS($A$8:$A$1007,A927,$B$8:$B$1007,B927)&lt;&gt;1),"N. esecuzione non valido",IF(OR(NOT(ISNUMBER(C927)),AND(D927&lt;&gt;"Ingresso",D927&lt;&gt;"Uscita"),AND(E927&lt;&gt;"Back",E927&lt;&gt;"Lay")),"Completa data / fase / lato",IF(OR(NOT(ISNUMBER(F927)),F927&lt;=1,NOT(ISNUMBER(G927)),G927&lt;=0),"Correggi quota / stake","OK")))))</x:f>
      </x:c>
    </x:row>
    <x:row r="928" ht="22" customHeight="1">
      <x:c r="A928" s="24"/>
      <x:c r="B928" s="24"/>
      <x:c r="C928" s="26"/>
      <x:c r="D928" s="24"/>
      <x:c r="E928" s="24"/>
      <x:c r="F928" s="28"/>
      <x:c r="G928" s="29"/>
      <x:c r="H928" s="24"/>
      <x:c r="I928" s="24"/>
      <x:c r="J928" s="24"/>
      <x:c r="K928" s="24"/>
      <x:c r="L928" s="20" t="str">
        <x:f>IF(Q928&lt;&gt;"OK","",IF(E928="Back",G928*(F928-1),-G928*(F928-1)))</x:f>
      </x:c>
      <x:c r="M928" s="20" t="str">
        <x:f>IF(Q928&lt;&gt;"OK","",IF(E928="Back",-G928,G928))</x:f>
      </x:c>
      <x:c r="N928" s="20" t="str">
        <x:f>IF(Q928&lt;&gt;"OK","",SUMIFS($L$8:$L$1007,$A$8:$A$1007,A928,$B$8:$B$1007,"&lt;="&amp;B928))</x:f>
      </x:c>
      <x:c r="O928" s="20" t="str">
        <x:f>IF(Q928&lt;&gt;"OK","",SUMIFS($M$8:$M$1007,$A$8:$A$1007,A928,$B$8:$B$1007,"&lt;="&amp;B928))</x:f>
      </x:c>
      <x:c r="P928" s="20" t="str">
        <x:f>IF(Q928&lt;&gt;"OK","",MAX(0,-MIN(N928,O928)))</x:f>
      </x:c>
      <x:c r="Q928" s="18" t="str">
        <x:f>IF(A928="",IF(COUNTA(B928:K928)=0,"","Inserisci ID"),IF(COUNTIFS('Diario'!$A$8:$A$507,A928)&lt;&gt;1,"ID assente / duplicato",IF(OR(NOT(ISNUMBER(B928)),B928&lt;1,B928&lt;&gt;INT(B928),COUNTIFS($A$8:$A$1007,A928,$B$8:$B$1007,B928)&lt;&gt;1),"N. esecuzione non valido",IF(OR(NOT(ISNUMBER(C928)),AND(D928&lt;&gt;"Ingresso",D928&lt;&gt;"Uscita"),AND(E928&lt;&gt;"Back",E928&lt;&gt;"Lay")),"Completa data / fase / lato",IF(OR(NOT(ISNUMBER(F928)),F928&lt;=1,NOT(ISNUMBER(G928)),G928&lt;=0),"Correggi quota / stake","OK")))))</x:f>
      </x:c>
    </x:row>
    <x:row r="929" ht="22" customHeight="1">
      <x:c r="A929" s="24"/>
      <x:c r="B929" s="24"/>
      <x:c r="C929" s="26"/>
      <x:c r="D929" s="24"/>
      <x:c r="E929" s="24"/>
      <x:c r="F929" s="28"/>
      <x:c r="G929" s="29"/>
      <x:c r="H929" s="24"/>
      <x:c r="I929" s="24"/>
      <x:c r="J929" s="24"/>
      <x:c r="K929" s="24"/>
      <x:c r="L929" s="20" t="str">
        <x:f>IF(Q929&lt;&gt;"OK","",IF(E929="Back",G929*(F929-1),-G929*(F929-1)))</x:f>
      </x:c>
      <x:c r="M929" s="20" t="str">
        <x:f>IF(Q929&lt;&gt;"OK","",IF(E929="Back",-G929,G929))</x:f>
      </x:c>
      <x:c r="N929" s="20" t="str">
        <x:f>IF(Q929&lt;&gt;"OK","",SUMIFS($L$8:$L$1007,$A$8:$A$1007,A929,$B$8:$B$1007,"&lt;="&amp;B929))</x:f>
      </x:c>
      <x:c r="O929" s="20" t="str">
        <x:f>IF(Q929&lt;&gt;"OK","",SUMIFS($M$8:$M$1007,$A$8:$A$1007,A929,$B$8:$B$1007,"&lt;="&amp;B929))</x:f>
      </x:c>
      <x:c r="P929" s="20" t="str">
        <x:f>IF(Q929&lt;&gt;"OK","",MAX(0,-MIN(N929,O929)))</x:f>
      </x:c>
      <x:c r="Q929" s="18" t="str">
        <x:f>IF(A929="",IF(COUNTA(B929:K929)=0,"","Inserisci ID"),IF(COUNTIFS('Diario'!$A$8:$A$507,A929)&lt;&gt;1,"ID assente / duplicato",IF(OR(NOT(ISNUMBER(B929)),B929&lt;1,B929&lt;&gt;INT(B929),COUNTIFS($A$8:$A$1007,A929,$B$8:$B$1007,B929)&lt;&gt;1),"N. esecuzione non valido",IF(OR(NOT(ISNUMBER(C929)),AND(D929&lt;&gt;"Ingresso",D929&lt;&gt;"Uscita"),AND(E929&lt;&gt;"Back",E929&lt;&gt;"Lay")),"Completa data / fase / lato",IF(OR(NOT(ISNUMBER(F929)),F929&lt;=1,NOT(ISNUMBER(G929)),G929&lt;=0),"Correggi quota / stake","OK")))))</x:f>
      </x:c>
    </x:row>
    <x:row r="930" ht="22" customHeight="1">
      <x:c r="A930" s="24"/>
      <x:c r="B930" s="24"/>
      <x:c r="C930" s="26"/>
      <x:c r="D930" s="24"/>
      <x:c r="E930" s="24"/>
      <x:c r="F930" s="28"/>
      <x:c r="G930" s="29"/>
      <x:c r="H930" s="24"/>
      <x:c r="I930" s="24"/>
      <x:c r="J930" s="24"/>
      <x:c r="K930" s="24"/>
      <x:c r="L930" s="20" t="str">
        <x:f>IF(Q930&lt;&gt;"OK","",IF(E930="Back",G930*(F930-1),-G930*(F930-1)))</x:f>
      </x:c>
      <x:c r="M930" s="20" t="str">
        <x:f>IF(Q930&lt;&gt;"OK","",IF(E930="Back",-G930,G930))</x:f>
      </x:c>
      <x:c r="N930" s="20" t="str">
        <x:f>IF(Q930&lt;&gt;"OK","",SUMIFS($L$8:$L$1007,$A$8:$A$1007,A930,$B$8:$B$1007,"&lt;="&amp;B930))</x:f>
      </x:c>
      <x:c r="O930" s="20" t="str">
        <x:f>IF(Q930&lt;&gt;"OK","",SUMIFS($M$8:$M$1007,$A$8:$A$1007,A930,$B$8:$B$1007,"&lt;="&amp;B930))</x:f>
      </x:c>
      <x:c r="P930" s="20" t="str">
        <x:f>IF(Q930&lt;&gt;"OK","",MAX(0,-MIN(N930,O930)))</x:f>
      </x:c>
      <x:c r="Q930" s="18" t="str">
        <x:f>IF(A930="",IF(COUNTA(B930:K930)=0,"","Inserisci ID"),IF(COUNTIFS('Diario'!$A$8:$A$507,A930)&lt;&gt;1,"ID assente / duplicato",IF(OR(NOT(ISNUMBER(B930)),B930&lt;1,B930&lt;&gt;INT(B930),COUNTIFS($A$8:$A$1007,A930,$B$8:$B$1007,B930)&lt;&gt;1),"N. esecuzione non valido",IF(OR(NOT(ISNUMBER(C930)),AND(D930&lt;&gt;"Ingresso",D930&lt;&gt;"Uscita"),AND(E930&lt;&gt;"Back",E930&lt;&gt;"Lay")),"Completa data / fase / lato",IF(OR(NOT(ISNUMBER(F930)),F930&lt;=1,NOT(ISNUMBER(G930)),G930&lt;=0),"Correggi quota / stake","OK")))))</x:f>
      </x:c>
    </x:row>
    <x:row r="931" ht="22" customHeight="1">
      <x:c r="A931" s="24"/>
      <x:c r="B931" s="24"/>
      <x:c r="C931" s="26"/>
      <x:c r="D931" s="24"/>
      <x:c r="E931" s="24"/>
      <x:c r="F931" s="28"/>
      <x:c r="G931" s="29"/>
      <x:c r="H931" s="24"/>
      <x:c r="I931" s="24"/>
      <x:c r="J931" s="24"/>
      <x:c r="K931" s="24"/>
      <x:c r="L931" s="20" t="str">
        <x:f>IF(Q931&lt;&gt;"OK","",IF(E931="Back",G931*(F931-1),-G931*(F931-1)))</x:f>
      </x:c>
      <x:c r="M931" s="20" t="str">
        <x:f>IF(Q931&lt;&gt;"OK","",IF(E931="Back",-G931,G931))</x:f>
      </x:c>
      <x:c r="N931" s="20" t="str">
        <x:f>IF(Q931&lt;&gt;"OK","",SUMIFS($L$8:$L$1007,$A$8:$A$1007,A931,$B$8:$B$1007,"&lt;="&amp;B931))</x:f>
      </x:c>
      <x:c r="O931" s="20" t="str">
        <x:f>IF(Q931&lt;&gt;"OK","",SUMIFS($M$8:$M$1007,$A$8:$A$1007,A931,$B$8:$B$1007,"&lt;="&amp;B931))</x:f>
      </x:c>
      <x:c r="P931" s="20" t="str">
        <x:f>IF(Q931&lt;&gt;"OK","",MAX(0,-MIN(N931,O931)))</x:f>
      </x:c>
      <x:c r="Q931" s="18" t="str">
        <x:f>IF(A931="",IF(COUNTA(B931:K931)=0,"","Inserisci ID"),IF(COUNTIFS('Diario'!$A$8:$A$507,A931)&lt;&gt;1,"ID assente / duplicato",IF(OR(NOT(ISNUMBER(B931)),B931&lt;1,B931&lt;&gt;INT(B931),COUNTIFS($A$8:$A$1007,A931,$B$8:$B$1007,B931)&lt;&gt;1),"N. esecuzione non valido",IF(OR(NOT(ISNUMBER(C931)),AND(D931&lt;&gt;"Ingresso",D931&lt;&gt;"Uscita"),AND(E931&lt;&gt;"Back",E931&lt;&gt;"Lay")),"Completa data / fase / lato",IF(OR(NOT(ISNUMBER(F931)),F931&lt;=1,NOT(ISNUMBER(G931)),G931&lt;=0),"Correggi quota / stake","OK")))))</x:f>
      </x:c>
    </x:row>
    <x:row r="932" ht="22" customHeight="1">
      <x:c r="A932" s="24"/>
      <x:c r="B932" s="24"/>
      <x:c r="C932" s="26"/>
      <x:c r="D932" s="24"/>
      <x:c r="E932" s="24"/>
      <x:c r="F932" s="28"/>
      <x:c r="G932" s="29"/>
      <x:c r="H932" s="24"/>
      <x:c r="I932" s="24"/>
      <x:c r="J932" s="24"/>
      <x:c r="K932" s="24"/>
      <x:c r="L932" s="20" t="str">
        <x:f>IF(Q932&lt;&gt;"OK","",IF(E932="Back",G932*(F932-1),-G932*(F932-1)))</x:f>
      </x:c>
      <x:c r="M932" s="20" t="str">
        <x:f>IF(Q932&lt;&gt;"OK","",IF(E932="Back",-G932,G932))</x:f>
      </x:c>
      <x:c r="N932" s="20" t="str">
        <x:f>IF(Q932&lt;&gt;"OK","",SUMIFS($L$8:$L$1007,$A$8:$A$1007,A932,$B$8:$B$1007,"&lt;="&amp;B932))</x:f>
      </x:c>
      <x:c r="O932" s="20" t="str">
        <x:f>IF(Q932&lt;&gt;"OK","",SUMIFS($M$8:$M$1007,$A$8:$A$1007,A932,$B$8:$B$1007,"&lt;="&amp;B932))</x:f>
      </x:c>
      <x:c r="P932" s="20" t="str">
        <x:f>IF(Q932&lt;&gt;"OK","",MAX(0,-MIN(N932,O932)))</x:f>
      </x:c>
      <x:c r="Q932" s="18" t="str">
        <x:f>IF(A932="",IF(COUNTA(B932:K932)=0,"","Inserisci ID"),IF(COUNTIFS('Diario'!$A$8:$A$507,A932)&lt;&gt;1,"ID assente / duplicato",IF(OR(NOT(ISNUMBER(B932)),B932&lt;1,B932&lt;&gt;INT(B932),COUNTIFS($A$8:$A$1007,A932,$B$8:$B$1007,B932)&lt;&gt;1),"N. esecuzione non valido",IF(OR(NOT(ISNUMBER(C932)),AND(D932&lt;&gt;"Ingresso",D932&lt;&gt;"Uscita"),AND(E932&lt;&gt;"Back",E932&lt;&gt;"Lay")),"Completa data / fase / lato",IF(OR(NOT(ISNUMBER(F932)),F932&lt;=1,NOT(ISNUMBER(G932)),G932&lt;=0),"Correggi quota / stake","OK")))))</x:f>
      </x:c>
    </x:row>
    <x:row r="933" ht="22" customHeight="1">
      <x:c r="A933" s="24"/>
      <x:c r="B933" s="24"/>
      <x:c r="C933" s="26"/>
      <x:c r="D933" s="24"/>
      <x:c r="E933" s="24"/>
      <x:c r="F933" s="28"/>
      <x:c r="G933" s="29"/>
      <x:c r="H933" s="24"/>
      <x:c r="I933" s="24"/>
      <x:c r="J933" s="24"/>
      <x:c r="K933" s="24"/>
      <x:c r="L933" s="20" t="str">
        <x:f>IF(Q933&lt;&gt;"OK","",IF(E933="Back",G933*(F933-1),-G933*(F933-1)))</x:f>
      </x:c>
      <x:c r="M933" s="20" t="str">
        <x:f>IF(Q933&lt;&gt;"OK","",IF(E933="Back",-G933,G933))</x:f>
      </x:c>
      <x:c r="N933" s="20" t="str">
        <x:f>IF(Q933&lt;&gt;"OK","",SUMIFS($L$8:$L$1007,$A$8:$A$1007,A933,$B$8:$B$1007,"&lt;="&amp;B933))</x:f>
      </x:c>
      <x:c r="O933" s="20" t="str">
        <x:f>IF(Q933&lt;&gt;"OK","",SUMIFS($M$8:$M$1007,$A$8:$A$1007,A933,$B$8:$B$1007,"&lt;="&amp;B933))</x:f>
      </x:c>
      <x:c r="P933" s="20" t="str">
        <x:f>IF(Q933&lt;&gt;"OK","",MAX(0,-MIN(N933,O933)))</x:f>
      </x:c>
      <x:c r="Q933" s="18" t="str">
        <x:f>IF(A933="",IF(COUNTA(B933:K933)=0,"","Inserisci ID"),IF(COUNTIFS('Diario'!$A$8:$A$507,A933)&lt;&gt;1,"ID assente / duplicato",IF(OR(NOT(ISNUMBER(B933)),B933&lt;1,B933&lt;&gt;INT(B933),COUNTIFS($A$8:$A$1007,A933,$B$8:$B$1007,B933)&lt;&gt;1),"N. esecuzione non valido",IF(OR(NOT(ISNUMBER(C933)),AND(D933&lt;&gt;"Ingresso",D933&lt;&gt;"Uscita"),AND(E933&lt;&gt;"Back",E933&lt;&gt;"Lay")),"Completa data / fase / lato",IF(OR(NOT(ISNUMBER(F933)),F933&lt;=1,NOT(ISNUMBER(G933)),G933&lt;=0),"Correggi quota / stake","OK")))))</x:f>
      </x:c>
    </x:row>
    <x:row r="934" ht="22" customHeight="1">
      <x:c r="A934" s="24"/>
      <x:c r="B934" s="24"/>
      <x:c r="C934" s="26"/>
      <x:c r="D934" s="24"/>
      <x:c r="E934" s="24"/>
      <x:c r="F934" s="28"/>
      <x:c r="G934" s="29"/>
      <x:c r="H934" s="24"/>
      <x:c r="I934" s="24"/>
      <x:c r="J934" s="24"/>
      <x:c r="K934" s="24"/>
      <x:c r="L934" s="20" t="str">
        <x:f>IF(Q934&lt;&gt;"OK","",IF(E934="Back",G934*(F934-1),-G934*(F934-1)))</x:f>
      </x:c>
      <x:c r="M934" s="20" t="str">
        <x:f>IF(Q934&lt;&gt;"OK","",IF(E934="Back",-G934,G934))</x:f>
      </x:c>
      <x:c r="N934" s="20" t="str">
        <x:f>IF(Q934&lt;&gt;"OK","",SUMIFS($L$8:$L$1007,$A$8:$A$1007,A934,$B$8:$B$1007,"&lt;="&amp;B934))</x:f>
      </x:c>
      <x:c r="O934" s="20" t="str">
        <x:f>IF(Q934&lt;&gt;"OK","",SUMIFS($M$8:$M$1007,$A$8:$A$1007,A934,$B$8:$B$1007,"&lt;="&amp;B934))</x:f>
      </x:c>
      <x:c r="P934" s="20" t="str">
        <x:f>IF(Q934&lt;&gt;"OK","",MAX(0,-MIN(N934,O934)))</x:f>
      </x:c>
      <x:c r="Q934" s="18" t="str">
        <x:f>IF(A934="",IF(COUNTA(B934:K934)=0,"","Inserisci ID"),IF(COUNTIFS('Diario'!$A$8:$A$507,A934)&lt;&gt;1,"ID assente / duplicato",IF(OR(NOT(ISNUMBER(B934)),B934&lt;1,B934&lt;&gt;INT(B934),COUNTIFS($A$8:$A$1007,A934,$B$8:$B$1007,B934)&lt;&gt;1),"N. esecuzione non valido",IF(OR(NOT(ISNUMBER(C934)),AND(D934&lt;&gt;"Ingresso",D934&lt;&gt;"Uscita"),AND(E934&lt;&gt;"Back",E934&lt;&gt;"Lay")),"Completa data / fase / lato",IF(OR(NOT(ISNUMBER(F934)),F934&lt;=1,NOT(ISNUMBER(G934)),G934&lt;=0),"Correggi quota / stake","OK")))))</x:f>
      </x:c>
    </x:row>
    <x:row r="935" ht="22" customHeight="1">
      <x:c r="A935" s="24"/>
      <x:c r="B935" s="24"/>
      <x:c r="C935" s="26"/>
      <x:c r="D935" s="24"/>
      <x:c r="E935" s="24"/>
      <x:c r="F935" s="28"/>
      <x:c r="G935" s="29"/>
      <x:c r="H935" s="24"/>
      <x:c r="I935" s="24"/>
      <x:c r="J935" s="24"/>
      <x:c r="K935" s="24"/>
      <x:c r="L935" s="20" t="str">
        <x:f>IF(Q935&lt;&gt;"OK","",IF(E935="Back",G935*(F935-1),-G935*(F935-1)))</x:f>
      </x:c>
      <x:c r="M935" s="20" t="str">
        <x:f>IF(Q935&lt;&gt;"OK","",IF(E935="Back",-G935,G935))</x:f>
      </x:c>
      <x:c r="N935" s="20" t="str">
        <x:f>IF(Q935&lt;&gt;"OK","",SUMIFS($L$8:$L$1007,$A$8:$A$1007,A935,$B$8:$B$1007,"&lt;="&amp;B935))</x:f>
      </x:c>
      <x:c r="O935" s="20" t="str">
        <x:f>IF(Q935&lt;&gt;"OK","",SUMIFS($M$8:$M$1007,$A$8:$A$1007,A935,$B$8:$B$1007,"&lt;="&amp;B935))</x:f>
      </x:c>
      <x:c r="P935" s="20" t="str">
        <x:f>IF(Q935&lt;&gt;"OK","",MAX(0,-MIN(N935,O935)))</x:f>
      </x:c>
      <x:c r="Q935" s="18" t="str">
        <x:f>IF(A935="",IF(COUNTA(B935:K935)=0,"","Inserisci ID"),IF(COUNTIFS('Diario'!$A$8:$A$507,A935)&lt;&gt;1,"ID assente / duplicato",IF(OR(NOT(ISNUMBER(B935)),B935&lt;1,B935&lt;&gt;INT(B935),COUNTIFS($A$8:$A$1007,A935,$B$8:$B$1007,B935)&lt;&gt;1),"N. esecuzione non valido",IF(OR(NOT(ISNUMBER(C935)),AND(D935&lt;&gt;"Ingresso",D935&lt;&gt;"Uscita"),AND(E935&lt;&gt;"Back",E935&lt;&gt;"Lay")),"Completa data / fase / lato",IF(OR(NOT(ISNUMBER(F935)),F935&lt;=1,NOT(ISNUMBER(G935)),G935&lt;=0),"Correggi quota / stake","OK")))))</x:f>
      </x:c>
    </x:row>
    <x:row r="936" ht="22" customHeight="1">
      <x:c r="A936" s="24"/>
      <x:c r="B936" s="24"/>
      <x:c r="C936" s="26"/>
      <x:c r="D936" s="24"/>
      <x:c r="E936" s="24"/>
      <x:c r="F936" s="28"/>
      <x:c r="G936" s="29"/>
      <x:c r="H936" s="24"/>
      <x:c r="I936" s="24"/>
      <x:c r="J936" s="24"/>
      <x:c r="K936" s="24"/>
      <x:c r="L936" s="20" t="str">
        <x:f>IF(Q936&lt;&gt;"OK","",IF(E936="Back",G936*(F936-1),-G936*(F936-1)))</x:f>
      </x:c>
      <x:c r="M936" s="20" t="str">
        <x:f>IF(Q936&lt;&gt;"OK","",IF(E936="Back",-G936,G936))</x:f>
      </x:c>
      <x:c r="N936" s="20" t="str">
        <x:f>IF(Q936&lt;&gt;"OK","",SUMIFS($L$8:$L$1007,$A$8:$A$1007,A936,$B$8:$B$1007,"&lt;="&amp;B936))</x:f>
      </x:c>
      <x:c r="O936" s="20" t="str">
        <x:f>IF(Q936&lt;&gt;"OK","",SUMIFS($M$8:$M$1007,$A$8:$A$1007,A936,$B$8:$B$1007,"&lt;="&amp;B936))</x:f>
      </x:c>
      <x:c r="P936" s="20" t="str">
        <x:f>IF(Q936&lt;&gt;"OK","",MAX(0,-MIN(N936,O936)))</x:f>
      </x:c>
      <x:c r="Q936" s="18" t="str">
        <x:f>IF(A936="",IF(COUNTA(B936:K936)=0,"","Inserisci ID"),IF(COUNTIFS('Diario'!$A$8:$A$507,A936)&lt;&gt;1,"ID assente / duplicato",IF(OR(NOT(ISNUMBER(B936)),B936&lt;1,B936&lt;&gt;INT(B936),COUNTIFS($A$8:$A$1007,A936,$B$8:$B$1007,B936)&lt;&gt;1),"N. esecuzione non valido",IF(OR(NOT(ISNUMBER(C936)),AND(D936&lt;&gt;"Ingresso",D936&lt;&gt;"Uscita"),AND(E936&lt;&gt;"Back",E936&lt;&gt;"Lay")),"Completa data / fase / lato",IF(OR(NOT(ISNUMBER(F936)),F936&lt;=1,NOT(ISNUMBER(G936)),G936&lt;=0),"Correggi quota / stake","OK")))))</x:f>
      </x:c>
    </x:row>
    <x:row r="937" ht="22" customHeight="1">
      <x:c r="A937" s="24"/>
      <x:c r="B937" s="24"/>
      <x:c r="C937" s="26"/>
      <x:c r="D937" s="24"/>
      <x:c r="E937" s="24"/>
      <x:c r="F937" s="28"/>
      <x:c r="G937" s="29"/>
      <x:c r="H937" s="24"/>
      <x:c r="I937" s="24"/>
      <x:c r="J937" s="24"/>
      <x:c r="K937" s="24"/>
      <x:c r="L937" s="20" t="str">
        <x:f>IF(Q937&lt;&gt;"OK","",IF(E937="Back",G937*(F937-1),-G937*(F937-1)))</x:f>
      </x:c>
      <x:c r="M937" s="20" t="str">
        <x:f>IF(Q937&lt;&gt;"OK","",IF(E937="Back",-G937,G937))</x:f>
      </x:c>
      <x:c r="N937" s="20" t="str">
        <x:f>IF(Q937&lt;&gt;"OK","",SUMIFS($L$8:$L$1007,$A$8:$A$1007,A937,$B$8:$B$1007,"&lt;="&amp;B937))</x:f>
      </x:c>
      <x:c r="O937" s="20" t="str">
        <x:f>IF(Q937&lt;&gt;"OK","",SUMIFS($M$8:$M$1007,$A$8:$A$1007,A937,$B$8:$B$1007,"&lt;="&amp;B937))</x:f>
      </x:c>
      <x:c r="P937" s="20" t="str">
        <x:f>IF(Q937&lt;&gt;"OK","",MAX(0,-MIN(N937,O937)))</x:f>
      </x:c>
      <x:c r="Q937" s="18" t="str">
        <x:f>IF(A937="",IF(COUNTA(B937:K937)=0,"","Inserisci ID"),IF(COUNTIFS('Diario'!$A$8:$A$507,A937)&lt;&gt;1,"ID assente / duplicato",IF(OR(NOT(ISNUMBER(B937)),B937&lt;1,B937&lt;&gt;INT(B937),COUNTIFS($A$8:$A$1007,A937,$B$8:$B$1007,B937)&lt;&gt;1),"N. esecuzione non valido",IF(OR(NOT(ISNUMBER(C937)),AND(D937&lt;&gt;"Ingresso",D937&lt;&gt;"Uscita"),AND(E937&lt;&gt;"Back",E937&lt;&gt;"Lay")),"Completa data / fase / lato",IF(OR(NOT(ISNUMBER(F937)),F937&lt;=1,NOT(ISNUMBER(G937)),G937&lt;=0),"Correggi quota / stake","OK")))))</x:f>
      </x:c>
    </x:row>
    <x:row r="938" ht="22" customHeight="1">
      <x:c r="A938" s="24"/>
      <x:c r="B938" s="24"/>
      <x:c r="C938" s="26"/>
      <x:c r="D938" s="24"/>
      <x:c r="E938" s="24"/>
      <x:c r="F938" s="28"/>
      <x:c r="G938" s="29"/>
      <x:c r="H938" s="24"/>
      <x:c r="I938" s="24"/>
      <x:c r="J938" s="24"/>
      <x:c r="K938" s="24"/>
      <x:c r="L938" s="20" t="str">
        <x:f>IF(Q938&lt;&gt;"OK","",IF(E938="Back",G938*(F938-1),-G938*(F938-1)))</x:f>
      </x:c>
      <x:c r="M938" s="20" t="str">
        <x:f>IF(Q938&lt;&gt;"OK","",IF(E938="Back",-G938,G938))</x:f>
      </x:c>
      <x:c r="N938" s="20" t="str">
        <x:f>IF(Q938&lt;&gt;"OK","",SUMIFS($L$8:$L$1007,$A$8:$A$1007,A938,$B$8:$B$1007,"&lt;="&amp;B938))</x:f>
      </x:c>
      <x:c r="O938" s="20" t="str">
        <x:f>IF(Q938&lt;&gt;"OK","",SUMIFS($M$8:$M$1007,$A$8:$A$1007,A938,$B$8:$B$1007,"&lt;="&amp;B938))</x:f>
      </x:c>
      <x:c r="P938" s="20" t="str">
        <x:f>IF(Q938&lt;&gt;"OK","",MAX(0,-MIN(N938,O938)))</x:f>
      </x:c>
      <x:c r="Q938" s="18" t="str">
        <x:f>IF(A938="",IF(COUNTA(B938:K938)=0,"","Inserisci ID"),IF(COUNTIFS('Diario'!$A$8:$A$507,A938)&lt;&gt;1,"ID assente / duplicato",IF(OR(NOT(ISNUMBER(B938)),B938&lt;1,B938&lt;&gt;INT(B938),COUNTIFS($A$8:$A$1007,A938,$B$8:$B$1007,B938)&lt;&gt;1),"N. esecuzione non valido",IF(OR(NOT(ISNUMBER(C938)),AND(D938&lt;&gt;"Ingresso",D938&lt;&gt;"Uscita"),AND(E938&lt;&gt;"Back",E938&lt;&gt;"Lay")),"Completa data / fase / lato",IF(OR(NOT(ISNUMBER(F938)),F938&lt;=1,NOT(ISNUMBER(G938)),G938&lt;=0),"Correggi quota / stake","OK")))))</x:f>
      </x:c>
    </x:row>
    <x:row r="939" ht="22" customHeight="1">
      <x:c r="A939" s="24"/>
      <x:c r="B939" s="24"/>
      <x:c r="C939" s="26"/>
      <x:c r="D939" s="24"/>
      <x:c r="E939" s="24"/>
      <x:c r="F939" s="28"/>
      <x:c r="G939" s="29"/>
      <x:c r="H939" s="24"/>
      <x:c r="I939" s="24"/>
      <x:c r="J939" s="24"/>
      <x:c r="K939" s="24"/>
      <x:c r="L939" s="20" t="str">
        <x:f>IF(Q939&lt;&gt;"OK","",IF(E939="Back",G939*(F939-1),-G939*(F939-1)))</x:f>
      </x:c>
      <x:c r="M939" s="20" t="str">
        <x:f>IF(Q939&lt;&gt;"OK","",IF(E939="Back",-G939,G939))</x:f>
      </x:c>
      <x:c r="N939" s="20" t="str">
        <x:f>IF(Q939&lt;&gt;"OK","",SUMIFS($L$8:$L$1007,$A$8:$A$1007,A939,$B$8:$B$1007,"&lt;="&amp;B939))</x:f>
      </x:c>
      <x:c r="O939" s="20" t="str">
        <x:f>IF(Q939&lt;&gt;"OK","",SUMIFS($M$8:$M$1007,$A$8:$A$1007,A939,$B$8:$B$1007,"&lt;="&amp;B939))</x:f>
      </x:c>
      <x:c r="P939" s="20" t="str">
        <x:f>IF(Q939&lt;&gt;"OK","",MAX(0,-MIN(N939,O939)))</x:f>
      </x:c>
      <x:c r="Q939" s="18" t="str">
        <x:f>IF(A939="",IF(COUNTA(B939:K939)=0,"","Inserisci ID"),IF(COUNTIFS('Diario'!$A$8:$A$507,A939)&lt;&gt;1,"ID assente / duplicato",IF(OR(NOT(ISNUMBER(B939)),B939&lt;1,B939&lt;&gt;INT(B939),COUNTIFS($A$8:$A$1007,A939,$B$8:$B$1007,B939)&lt;&gt;1),"N. esecuzione non valido",IF(OR(NOT(ISNUMBER(C939)),AND(D939&lt;&gt;"Ingresso",D939&lt;&gt;"Uscita"),AND(E939&lt;&gt;"Back",E939&lt;&gt;"Lay")),"Completa data / fase / lato",IF(OR(NOT(ISNUMBER(F939)),F939&lt;=1,NOT(ISNUMBER(G939)),G939&lt;=0),"Correggi quota / stake","OK")))))</x:f>
      </x:c>
    </x:row>
    <x:row r="940" ht="22" customHeight="1">
      <x:c r="A940" s="24"/>
      <x:c r="B940" s="24"/>
      <x:c r="C940" s="26"/>
      <x:c r="D940" s="24"/>
      <x:c r="E940" s="24"/>
      <x:c r="F940" s="28"/>
      <x:c r="G940" s="29"/>
      <x:c r="H940" s="24"/>
      <x:c r="I940" s="24"/>
      <x:c r="J940" s="24"/>
      <x:c r="K940" s="24"/>
      <x:c r="L940" s="20" t="str">
        <x:f>IF(Q940&lt;&gt;"OK","",IF(E940="Back",G940*(F940-1),-G940*(F940-1)))</x:f>
      </x:c>
      <x:c r="M940" s="20" t="str">
        <x:f>IF(Q940&lt;&gt;"OK","",IF(E940="Back",-G940,G940))</x:f>
      </x:c>
      <x:c r="N940" s="20" t="str">
        <x:f>IF(Q940&lt;&gt;"OK","",SUMIFS($L$8:$L$1007,$A$8:$A$1007,A940,$B$8:$B$1007,"&lt;="&amp;B940))</x:f>
      </x:c>
      <x:c r="O940" s="20" t="str">
        <x:f>IF(Q940&lt;&gt;"OK","",SUMIFS($M$8:$M$1007,$A$8:$A$1007,A940,$B$8:$B$1007,"&lt;="&amp;B940))</x:f>
      </x:c>
      <x:c r="P940" s="20" t="str">
        <x:f>IF(Q940&lt;&gt;"OK","",MAX(0,-MIN(N940,O940)))</x:f>
      </x:c>
      <x:c r="Q940" s="18" t="str">
        <x:f>IF(A940="",IF(COUNTA(B940:K940)=0,"","Inserisci ID"),IF(COUNTIFS('Diario'!$A$8:$A$507,A940)&lt;&gt;1,"ID assente / duplicato",IF(OR(NOT(ISNUMBER(B940)),B940&lt;1,B940&lt;&gt;INT(B940),COUNTIFS($A$8:$A$1007,A940,$B$8:$B$1007,B940)&lt;&gt;1),"N. esecuzione non valido",IF(OR(NOT(ISNUMBER(C940)),AND(D940&lt;&gt;"Ingresso",D940&lt;&gt;"Uscita"),AND(E940&lt;&gt;"Back",E940&lt;&gt;"Lay")),"Completa data / fase / lato",IF(OR(NOT(ISNUMBER(F940)),F940&lt;=1,NOT(ISNUMBER(G940)),G940&lt;=0),"Correggi quota / stake","OK")))))</x:f>
      </x:c>
    </x:row>
    <x:row r="941" ht="22" customHeight="1">
      <x:c r="A941" s="24"/>
      <x:c r="B941" s="24"/>
      <x:c r="C941" s="26"/>
      <x:c r="D941" s="24"/>
      <x:c r="E941" s="24"/>
      <x:c r="F941" s="28"/>
      <x:c r="G941" s="29"/>
      <x:c r="H941" s="24"/>
      <x:c r="I941" s="24"/>
      <x:c r="J941" s="24"/>
      <x:c r="K941" s="24"/>
      <x:c r="L941" s="20" t="str">
        <x:f>IF(Q941&lt;&gt;"OK","",IF(E941="Back",G941*(F941-1),-G941*(F941-1)))</x:f>
      </x:c>
      <x:c r="M941" s="20" t="str">
        <x:f>IF(Q941&lt;&gt;"OK","",IF(E941="Back",-G941,G941))</x:f>
      </x:c>
      <x:c r="N941" s="20" t="str">
        <x:f>IF(Q941&lt;&gt;"OK","",SUMIFS($L$8:$L$1007,$A$8:$A$1007,A941,$B$8:$B$1007,"&lt;="&amp;B941))</x:f>
      </x:c>
      <x:c r="O941" s="20" t="str">
        <x:f>IF(Q941&lt;&gt;"OK","",SUMIFS($M$8:$M$1007,$A$8:$A$1007,A941,$B$8:$B$1007,"&lt;="&amp;B941))</x:f>
      </x:c>
      <x:c r="P941" s="20" t="str">
        <x:f>IF(Q941&lt;&gt;"OK","",MAX(0,-MIN(N941,O941)))</x:f>
      </x:c>
      <x:c r="Q941" s="18" t="str">
        <x:f>IF(A941="",IF(COUNTA(B941:K941)=0,"","Inserisci ID"),IF(COUNTIFS('Diario'!$A$8:$A$507,A941)&lt;&gt;1,"ID assente / duplicato",IF(OR(NOT(ISNUMBER(B941)),B941&lt;1,B941&lt;&gt;INT(B941),COUNTIFS($A$8:$A$1007,A941,$B$8:$B$1007,B941)&lt;&gt;1),"N. esecuzione non valido",IF(OR(NOT(ISNUMBER(C941)),AND(D941&lt;&gt;"Ingresso",D941&lt;&gt;"Uscita"),AND(E941&lt;&gt;"Back",E941&lt;&gt;"Lay")),"Completa data / fase / lato",IF(OR(NOT(ISNUMBER(F941)),F941&lt;=1,NOT(ISNUMBER(G941)),G941&lt;=0),"Correggi quota / stake","OK")))))</x:f>
      </x:c>
    </x:row>
    <x:row r="942" ht="22" customHeight="1">
      <x:c r="A942" s="24"/>
      <x:c r="B942" s="24"/>
      <x:c r="C942" s="26"/>
      <x:c r="D942" s="24"/>
      <x:c r="E942" s="24"/>
      <x:c r="F942" s="28"/>
      <x:c r="G942" s="29"/>
      <x:c r="H942" s="24"/>
      <x:c r="I942" s="24"/>
      <x:c r="J942" s="24"/>
      <x:c r="K942" s="24"/>
      <x:c r="L942" s="20" t="str">
        <x:f>IF(Q942&lt;&gt;"OK","",IF(E942="Back",G942*(F942-1),-G942*(F942-1)))</x:f>
      </x:c>
      <x:c r="M942" s="20" t="str">
        <x:f>IF(Q942&lt;&gt;"OK","",IF(E942="Back",-G942,G942))</x:f>
      </x:c>
      <x:c r="N942" s="20" t="str">
        <x:f>IF(Q942&lt;&gt;"OK","",SUMIFS($L$8:$L$1007,$A$8:$A$1007,A942,$B$8:$B$1007,"&lt;="&amp;B942))</x:f>
      </x:c>
      <x:c r="O942" s="20" t="str">
        <x:f>IF(Q942&lt;&gt;"OK","",SUMIFS($M$8:$M$1007,$A$8:$A$1007,A942,$B$8:$B$1007,"&lt;="&amp;B942))</x:f>
      </x:c>
      <x:c r="P942" s="20" t="str">
        <x:f>IF(Q942&lt;&gt;"OK","",MAX(0,-MIN(N942,O942)))</x:f>
      </x:c>
      <x:c r="Q942" s="18" t="str">
        <x:f>IF(A942="",IF(COUNTA(B942:K942)=0,"","Inserisci ID"),IF(COUNTIFS('Diario'!$A$8:$A$507,A942)&lt;&gt;1,"ID assente / duplicato",IF(OR(NOT(ISNUMBER(B942)),B942&lt;1,B942&lt;&gt;INT(B942),COUNTIFS($A$8:$A$1007,A942,$B$8:$B$1007,B942)&lt;&gt;1),"N. esecuzione non valido",IF(OR(NOT(ISNUMBER(C942)),AND(D942&lt;&gt;"Ingresso",D942&lt;&gt;"Uscita"),AND(E942&lt;&gt;"Back",E942&lt;&gt;"Lay")),"Completa data / fase / lato",IF(OR(NOT(ISNUMBER(F942)),F942&lt;=1,NOT(ISNUMBER(G942)),G942&lt;=0),"Correggi quota / stake","OK")))))</x:f>
      </x:c>
    </x:row>
    <x:row r="943" ht="22" customHeight="1">
      <x:c r="A943" s="24"/>
      <x:c r="B943" s="24"/>
      <x:c r="C943" s="26"/>
      <x:c r="D943" s="24"/>
      <x:c r="E943" s="24"/>
      <x:c r="F943" s="28"/>
      <x:c r="G943" s="29"/>
      <x:c r="H943" s="24"/>
      <x:c r="I943" s="24"/>
      <x:c r="J943" s="24"/>
      <x:c r="K943" s="24"/>
      <x:c r="L943" s="20" t="str">
        <x:f>IF(Q943&lt;&gt;"OK","",IF(E943="Back",G943*(F943-1),-G943*(F943-1)))</x:f>
      </x:c>
      <x:c r="M943" s="20" t="str">
        <x:f>IF(Q943&lt;&gt;"OK","",IF(E943="Back",-G943,G943))</x:f>
      </x:c>
      <x:c r="N943" s="20" t="str">
        <x:f>IF(Q943&lt;&gt;"OK","",SUMIFS($L$8:$L$1007,$A$8:$A$1007,A943,$B$8:$B$1007,"&lt;="&amp;B943))</x:f>
      </x:c>
      <x:c r="O943" s="20" t="str">
        <x:f>IF(Q943&lt;&gt;"OK","",SUMIFS($M$8:$M$1007,$A$8:$A$1007,A943,$B$8:$B$1007,"&lt;="&amp;B943))</x:f>
      </x:c>
      <x:c r="P943" s="20" t="str">
        <x:f>IF(Q943&lt;&gt;"OK","",MAX(0,-MIN(N943,O943)))</x:f>
      </x:c>
      <x:c r="Q943" s="18" t="str">
        <x:f>IF(A943="",IF(COUNTA(B943:K943)=0,"","Inserisci ID"),IF(COUNTIFS('Diario'!$A$8:$A$507,A943)&lt;&gt;1,"ID assente / duplicato",IF(OR(NOT(ISNUMBER(B943)),B943&lt;1,B943&lt;&gt;INT(B943),COUNTIFS($A$8:$A$1007,A943,$B$8:$B$1007,B943)&lt;&gt;1),"N. esecuzione non valido",IF(OR(NOT(ISNUMBER(C943)),AND(D943&lt;&gt;"Ingresso",D943&lt;&gt;"Uscita"),AND(E943&lt;&gt;"Back",E943&lt;&gt;"Lay")),"Completa data / fase / lato",IF(OR(NOT(ISNUMBER(F943)),F943&lt;=1,NOT(ISNUMBER(G943)),G943&lt;=0),"Correggi quota / stake","OK")))))</x:f>
      </x:c>
    </x:row>
    <x:row r="944" ht="22" customHeight="1">
      <x:c r="A944" s="24"/>
      <x:c r="B944" s="24"/>
      <x:c r="C944" s="26"/>
      <x:c r="D944" s="24"/>
      <x:c r="E944" s="24"/>
      <x:c r="F944" s="28"/>
      <x:c r="G944" s="29"/>
      <x:c r="H944" s="24"/>
      <x:c r="I944" s="24"/>
      <x:c r="J944" s="24"/>
      <x:c r="K944" s="24"/>
      <x:c r="L944" s="20" t="str">
        <x:f>IF(Q944&lt;&gt;"OK","",IF(E944="Back",G944*(F944-1),-G944*(F944-1)))</x:f>
      </x:c>
      <x:c r="M944" s="20" t="str">
        <x:f>IF(Q944&lt;&gt;"OK","",IF(E944="Back",-G944,G944))</x:f>
      </x:c>
      <x:c r="N944" s="20" t="str">
        <x:f>IF(Q944&lt;&gt;"OK","",SUMIFS($L$8:$L$1007,$A$8:$A$1007,A944,$B$8:$B$1007,"&lt;="&amp;B944))</x:f>
      </x:c>
      <x:c r="O944" s="20" t="str">
        <x:f>IF(Q944&lt;&gt;"OK","",SUMIFS($M$8:$M$1007,$A$8:$A$1007,A944,$B$8:$B$1007,"&lt;="&amp;B944))</x:f>
      </x:c>
      <x:c r="P944" s="20" t="str">
        <x:f>IF(Q944&lt;&gt;"OK","",MAX(0,-MIN(N944,O944)))</x:f>
      </x:c>
      <x:c r="Q944" s="18" t="str">
        <x:f>IF(A944="",IF(COUNTA(B944:K944)=0,"","Inserisci ID"),IF(COUNTIFS('Diario'!$A$8:$A$507,A944)&lt;&gt;1,"ID assente / duplicato",IF(OR(NOT(ISNUMBER(B944)),B944&lt;1,B944&lt;&gt;INT(B944),COUNTIFS($A$8:$A$1007,A944,$B$8:$B$1007,B944)&lt;&gt;1),"N. esecuzione non valido",IF(OR(NOT(ISNUMBER(C944)),AND(D944&lt;&gt;"Ingresso",D944&lt;&gt;"Uscita"),AND(E944&lt;&gt;"Back",E944&lt;&gt;"Lay")),"Completa data / fase / lato",IF(OR(NOT(ISNUMBER(F944)),F944&lt;=1,NOT(ISNUMBER(G944)),G944&lt;=0),"Correggi quota / stake","OK")))))</x:f>
      </x:c>
    </x:row>
    <x:row r="945" ht="22" customHeight="1">
      <x:c r="A945" s="24"/>
      <x:c r="B945" s="24"/>
      <x:c r="C945" s="26"/>
      <x:c r="D945" s="24"/>
      <x:c r="E945" s="24"/>
      <x:c r="F945" s="28"/>
      <x:c r="G945" s="29"/>
      <x:c r="H945" s="24"/>
      <x:c r="I945" s="24"/>
      <x:c r="J945" s="24"/>
      <x:c r="K945" s="24"/>
      <x:c r="L945" s="20" t="str">
        <x:f>IF(Q945&lt;&gt;"OK","",IF(E945="Back",G945*(F945-1),-G945*(F945-1)))</x:f>
      </x:c>
      <x:c r="M945" s="20" t="str">
        <x:f>IF(Q945&lt;&gt;"OK","",IF(E945="Back",-G945,G945))</x:f>
      </x:c>
      <x:c r="N945" s="20" t="str">
        <x:f>IF(Q945&lt;&gt;"OK","",SUMIFS($L$8:$L$1007,$A$8:$A$1007,A945,$B$8:$B$1007,"&lt;="&amp;B945))</x:f>
      </x:c>
      <x:c r="O945" s="20" t="str">
        <x:f>IF(Q945&lt;&gt;"OK","",SUMIFS($M$8:$M$1007,$A$8:$A$1007,A945,$B$8:$B$1007,"&lt;="&amp;B945))</x:f>
      </x:c>
      <x:c r="P945" s="20" t="str">
        <x:f>IF(Q945&lt;&gt;"OK","",MAX(0,-MIN(N945,O945)))</x:f>
      </x:c>
      <x:c r="Q945" s="18" t="str">
        <x:f>IF(A945="",IF(COUNTA(B945:K945)=0,"","Inserisci ID"),IF(COUNTIFS('Diario'!$A$8:$A$507,A945)&lt;&gt;1,"ID assente / duplicato",IF(OR(NOT(ISNUMBER(B945)),B945&lt;1,B945&lt;&gt;INT(B945),COUNTIFS($A$8:$A$1007,A945,$B$8:$B$1007,B945)&lt;&gt;1),"N. esecuzione non valido",IF(OR(NOT(ISNUMBER(C945)),AND(D945&lt;&gt;"Ingresso",D945&lt;&gt;"Uscita"),AND(E945&lt;&gt;"Back",E945&lt;&gt;"Lay")),"Completa data / fase / lato",IF(OR(NOT(ISNUMBER(F945)),F945&lt;=1,NOT(ISNUMBER(G945)),G945&lt;=0),"Correggi quota / stake","OK")))))</x:f>
      </x:c>
    </x:row>
    <x:row r="946" ht="22" customHeight="1">
      <x:c r="A946" s="24"/>
      <x:c r="B946" s="24"/>
      <x:c r="C946" s="26"/>
      <x:c r="D946" s="24"/>
      <x:c r="E946" s="24"/>
      <x:c r="F946" s="28"/>
      <x:c r="G946" s="29"/>
      <x:c r="H946" s="24"/>
      <x:c r="I946" s="24"/>
      <x:c r="J946" s="24"/>
      <x:c r="K946" s="24"/>
      <x:c r="L946" s="20" t="str">
        <x:f>IF(Q946&lt;&gt;"OK","",IF(E946="Back",G946*(F946-1),-G946*(F946-1)))</x:f>
      </x:c>
      <x:c r="M946" s="20" t="str">
        <x:f>IF(Q946&lt;&gt;"OK","",IF(E946="Back",-G946,G946))</x:f>
      </x:c>
      <x:c r="N946" s="20" t="str">
        <x:f>IF(Q946&lt;&gt;"OK","",SUMIFS($L$8:$L$1007,$A$8:$A$1007,A946,$B$8:$B$1007,"&lt;="&amp;B946))</x:f>
      </x:c>
      <x:c r="O946" s="20" t="str">
        <x:f>IF(Q946&lt;&gt;"OK","",SUMIFS($M$8:$M$1007,$A$8:$A$1007,A946,$B$8:$B$1007,"&lt;="&amp;B946))</x:f>
      </x:c>
      <x:c r="P946" s="20" t="str">
        <x:f>IF(Q946&lt;&gt;"OK","",MAX(0,-MIN(N946,O946)))</x:f>
      </x:c>
      <x:c r="Q946" s="18" t="str">
        <x:f>IF(A946="",IF(COUNTA(B946:K946)=0,"","Inserisci ID"),IF(COUNTIFS('Diario'!$A$8:$A$507,A946)&lt;&gt;1,"ID assente / duplicato",IF(OR(NOT(ISNUMBER(B946)),B946&lt;1,B946&lt;&gt;INT(B946),COUNTIFS($A$8:$A$1007,A946,$B$8:$B$1007,B946)&lt;&gt;1),"N. esecuzione non valido",IF(OR(NOT(ISNUMBER(C946)),AND(D946&lt;&gt;"Ingresso",D946&lt;&gt;"Uscita"),AND(E946&lt;&gt;"Back",E946&lt;&gt;"Lay")),"Completa data / fase / lato",IF(OR(NOT(ISNUMBER(F946)),F946&lt;=1,NOT(ISNUMBER(G946)),G946&lt;=0),"Correggi quota / stake","OK")))))</x:f>
      </x:c>
    </x:row>
    <x:row r="947" ht="22" customHeight="1">
      <x:c r="A947" s="24"/>
      <x:c r="B947" s="24"/>
      <x:c r="C947" s="26"/>
      <x:c r="D947" s="24"/>
      <x:c r="E947" s="24"/>
      <x:c r="F947" s="28"/>
      <x:c r="G947" s="29"/>
      <x:c r="H947" s="24"/>
      <x:c r="I947" s="24"/>
      <x:c r="J947" s="24"/>
      <x:c r="K947" s="24"/>
      <x:c r="L947" s="20" t="str">
        <x:f>IF(Q947&lt;&gt;"OK","",IF(E947="Back",G947*(F947-1),-G947*(F947-1)))</x:f>
      </x:c>
      <x:c r="M947" s="20" t="str">
        <x:f>IF(Q947&lt;&gt;"OK","",IF(E947="Back",-G947,G947))</x:f>
      </x:c>
      <x:c r="N947" s="20" t="str">
        <x:f>IF(Q947&lt;&gt;"OK","",SUMIFS($L$8:$L$1007,$A$8:$A$1007,A947,$B$8:$B$1007,"&lt;="&amp;B947))</x:f>
      </x:c>
      <x:c r="O947" s="20" t="str">
        <x:f>IF(Q947&lt;&gt;"OK","",SUMIFS($M$8:$M$1007,$A$8:$A$1007,A947,$B$8:$B$1007,"&lt;="&amp;B947))</x:f>
      </x:c>
      <x:c r="P947" s="20" t="str">
        <x:f>IF(Q947&lt;&gt;"OK","",MAX(0,-MIN(N947,O947)))</x:f>
      </x:c>
      <x:c r="Q947" s="18" t="str">
        <x:f>IF(A947="",IF(COUNTA(B947:K947)=0,"","Inserisci ID"),IF(COUNTIFS('Diario'!$A$8:$A$507,A947)&lt;&gt;1,"ID assente / duplicato",IF(OR(NOT(ISNUMBER(B947)),B947&lt;1,B947&lt;&gt;INT(B947),COUNTIFS($A$8:$A$1007,A947,$B$8:$B$1007,B947)&lt;&gt;1),"N. esecuzione non valido",IF(OR(NOT(ISNUMBER(C947)),AND(D947&lt;&gt;"Ingresso",D947&lt;&gt;"Uscita"),AND(E947&lt;&gt;"Back",E947&lt;&gt;"Lay")),"Completa data / fase / lato",IF(OR(NOT(ISNUMBER(F947)),F947&lt;=1,NOT(ISNUMBER(G947)),G947&lt;=0),"Correggi quota / stake","OK")))))</x:f>
      </x:c>
    </x:row>
    <x:row r="948" ht="22" customHeight="1">
      <x:c r="A948" s="24"/>
      <x:c r="B948" s="24"/>
      <x:c r="C948" s="26"/>
      <x:c r="D948" s="24"/>
      <x:c r="E948" s="24"/>
      <x:c r="F948" s="28"/>
      <x:c r="G948" s="29"/>
      <x:c r="H948" s="24"/>
      <x:c r="I948" s="24"/>
      <x:c r="J948" s="24"/>
      <x:c r="K948" s="24"/>
      <x:c r="L948" s="20" t="str">
        <x:f>IF(Q948&lt;&gt;"OK","",IF(E948="Back",G948*(F948-1),-G948*(F948-1)))</x:f>
      </x:c>
      <x:c r="M948" s="20" t="str">
        <x:f>IF(Q948&lt;&gt;"OK","",IF(E948="Back",-G948,G948))</x:f>
      </x:c>
      <x:c r="N948" s="20" t="str">
        <x:f>IF(Q948&lt;&gt;"OK","",SUMIFS($L$8:$L$1007,$A$8:$A$1007,A948,$B$8:$B$1007,"&lt;="&amp;B948))</x:f>
      </x:c>
      <x:c r="O948" s="20" t="str">
        <x:f>IF(Q948&lt;&gt;"OK","",SUMIFS($M$8:$M$1007,$A$8:$A$1007,A948,$B$8:$B$1007,"&lt;="&amp;B948))</x:f>
      </x:c>
      <x:c r="P948" s="20" t="str">
        <x:f>IF(Q948&lt;&gt;"OK","",MAX(0,-MIN(N948,O948)))</x:f>
      </x:c>
      <x:c r="Q948" s="18" t="str">
        <x:f>IF(A948="",IF(COUNTA(B948:K948)=0,"","Inserisci ID"),IF(COUNTIFS('Diario'!$A$8:$A$507,A948)&lt;&gt;1,"ID assente / duplicato",IF(OR(NOT(ISNUMBER(B948)),B948&lt;1,B948&lt;&gt;INT(B948),COUNTIFS($A$8:$A$1007,A948,$B$8:$B$1007,B948)&lt;&gt;1),"N. esecuzione non valido",IF(OR(NOT(ISNUMBER(C948)),AND(D948&lt;&gt;"Ingresso",D948&lt;&gt;"Uscita"),AND(E948&lt;&gt;"Back",E948&lt;&gt;"Lay")),"Completa data / fase / lato",IF(OR(NOT(ISNUMBER(F948)),F948&lt;=1,NOT(ISNUMBER(G948)),G948&lt;=0),"Correggi quota / stake","OK")))))</x:f>
      </x:c>
    </x:row>
    <x:row r="949" ht="22" customHeight="1">
      <x:c r="A949" s="24"/>
      <x:c r="B949" s="24"/>
      <x:c r="C949" s="26"/>
      <x:c r="D949" s="24"/>
      <x:c r="E949" s="24"/>
      <x:c r="F949" s="28"/>
      <x:c r="G949" s="29"/>
      <x:c r="H949" s="24"/>
      <x:c r="I949" s="24"/>
      <x:c r="J949" s="24"/>
      <x:c r="K949" s="24"/>
      <x:c r="L949" s="20" t="str">
        <x:f>IF(Q949&lt;&gt;"OK","",IF(E949="Back",G949*(F949-1),-G949*(F949-1)))</x:f>
      </x:c>
      <x:c r="M949" s="20" t="str">
        <x:f>IF(Q949&lt;&gt;"OK","",IF(E949="Back",-G949,G949))</x:f>
      </x:c>
      <x:c r="N949" s="20" t="str">
        <x:f>IF(Q949&lt;&gt;"OK","",SUMIFS($L$8:$L$1007,$A$8:$A$1007,A949,$B$8:$B$1007,"&lt;="&amp;B949))</x:f>
      </x:c>
      <x:c r="O949" s="20" t="str">
        <x:f>IF(Q949&lt;&gt;"OK","",SUMIFS($M$8:$M$1007,$A$8:$A$1007,A949,$B$8:$B$1007,"&lt;="&amp;B949))</x:f>
      </x:c>
      <x:c r="P949" s="20" t="str">
        <x:f>IF(Q949&lt;&gt;"OK","",MAX(0,-MIN(N949,O949)))</x:f>
      </x:c>
      <x:c r="Q949" s="18" t="str">
        <x:f>IF(A949="",IF(COUNTA(B949:K949)=0,"","Inserisci ID"),IF(COUNTIFS('Diario'!$A$8:$A$507,A949)&lt;&gt;1,"ID assente / duplicato",IF(OR(NOT(ISNUMBER(B949)),B949&lt;1,B949&lt;&gt;INT(B949),COUNTIFS($A$8:$A$1007,A949,$B$8:$B$1007,B949)&lt;&gt;1),"N. esecuzione non valido",IF(OR(NOT(ISNUMBER(C949)),AND(D949&lt;&gt;"Ingresso",D949&lt;&gt;"Uscita"),AND(E949&lt;&gt;"Back",E949&lt;&gt;"Lay")),"Completa data / fase / lato",IF(OR(NOT(ISNUMBER(F949)),F949&lt;=1,NOT(ISNUMBER(G949)),G949&lt;=0),"Correggi quota / stake","OK")))))</x:f>
      </x:c>
    </x:row>
    <x:row r="950" ht="22" customHeight="1">
      <x:c r="A950" s="24"/>
      <x:c r="B950" s="24"/>
      <x:c r="C950" s="26"/>
      <x:c r="D950" s="24"/>
      <x:c r="E950" s="24"/>
      <x:c r="F950" s="28"/>
      <x:c r="G950" s="29"/>
      <x:c r="H950" s="24"/>
      <x:c r="I950" s="24"/>
      <x:c r="J950" s="24"/>
      <x:c r="K950" s="24"/>
      <x:c r="L950" s="20" t="str">
        <x:f>IF(Q950&lt;&gt;"OK","",IF(E950="Back",G950*(F950-1),-G950*(F950-1)))</x:f>
      </x:c>
      <x:c r="M950" s="20" t="str">
        <x:f>IF(Q950&lt;&gt;"OK","",IF(E950="Back",-G950,G950))</x:f>
      </x:c>
      <x:c r="N950" s="20" t="str">
        <x:f>IF(Q950&lt;&gt;"OK","",SUMIFS($L$8:$L$1007,$A$8:$A$1007,A950,$B$8:$B$1007,"&lt;="&amp;B950))</x:f>
      </x:c>
      <x:c r="O950" s="20" t="str">
        <x:f>IF(Q950&lt;&gt;"OK","",SUMIFS($M$8:$M$1007,$A$8:$A$1007,A950,$B$8:$B$1007,"&lt;="&amp;B950))</x:f>
      </x:c>
      <x:c r="P950" s="20" t="str">
        <x:f>IF(Q950&lt;&gt;"OK","",MAX(0,-MIN(N950,O950)))</x:f>
      </x:c>
      <x:c r="Q950" s="18" t="str">
        <x:f>IF(A950="",IF(COUNTA(B950:K950)=0,"","Inserisci ID"),IF(COUNTIFS('Diario'!$A$8:$A$507,A950)&lt;&gt;1,"ID assente / duplicato",IF(OR(NOT(ISNUMBER(B950)),B950&lt;1,B950&lt;&gt;INT(B950),COUNTIFS($A$8:$A$1007,A950,$B$8:$B$1007,B950)&lt;&gt;1),"N. esecuzione non valido",IF(OR(NOT(ISNUMBER(C950)),AND(D950&lt;&gt;"Ingresso",D950&lt;&gt;"Uscita"),AND(E950&lt;&gt;"Back",E950&lt;&gt;"Lay")),"Completa data / fase / lato",IF(OR(NOT(ISNUMBER(F950)),F950&lt;=1,NOT(ISNUMBER(G950)),G950&lt;=0),"Correggi quota / stake","OK")))))</x:f>
      </x:c>
    </x:row>
    <x:row r="951" ht="22" customHeight="1">
      <x:c r="A951" s="24"/>
      <x:c r="B951" s="24"/>
      <x:c r="C951" s="26"/>
      <x:c r="D951" s="24"/>
      <x:c r="E951" s="24"/>
      <x:c r="F951" s="28"/>
      <x:c r="G951" s="29"/>
      <x:c r="H951" s="24"/>
      <x:c r="I951" s="24"/>
      <x:c r="J951" s="24"/>
      <x:c r="K951" s="24"/>
      <x:c r="L951" s="20" t="str">
        <x:f>IF(Q951&lt;&gt;"OK","",IF(E951="Back",G951*(F951-1),-G951*(F951-1)))</x:f>
      </x:c>
      <x:c r="M951" s="20" t="str">
        <x:f>IF(Q951&lt;&gt;"OK","",IF(E951="Back",-G951,G951))</x:f>
      </x:c>
      <x:c r="N951" s="20" t="str">
        <x:f>IF(Q951&lt;&gt;"OK","",SUMIFS($L$8:$L$1007,$A$8:$A$1007,A951,$B$8:$B$1007,"&lt;="&amp;B951))</x:f>
      </x:c>
      <x:c r="O951" s="20" t="str">
        <x:f>IF(Q951&lt;&gt;"OK","",SUMIFS($M$8:$M$1007,$A$8:$A$1007,A951,$B$8:$B$1007,"&lt;="&amp;B951))</x:f>
      </x:c>
      <x:c r="P951" s="20" t="str">
        <x:f>IF(Q951&lt;&gt;"OK","",MAX(0,-MIN(N951,O951)))</x:f>
      </x:c>
      <x:c r="Q951" s="18" t="str">
        <x:f>IF(A951="",IF(COUNTA(B951:K951)=0,"","Inserisci ID"),IF(COUNTIFS('Diario'!$A$8:$A$507,A951)&lt;&gt;1,"ID assente / duplicato",IF(OR(NOT(ISNUMBER(B951)),B951&lt;1,B951&lt;&gt;INT(B951),COUNTIFS($A$8:$A$1007,A951,$B$8:$B$1007,B951)&lt;&gt;1),"N. esecuzione non valido",IF(OR(NOT(ISNUMBER(C951)),AND(D951&lt;&gt;"Ingresso",D951&lt;&gt;"Uscita"),AND(E951&lt;&gt;"Back",E951&lt;&gt;"Lay")),"Completa data / fase / lato",IF(OR(NOT(ISNUMBER(F951)),F951&lt;=1,NOT(ISNUMBER(G951)),G951&lt;=0),"Correggi quota / stake","OK")))))</x:f>
      </x:c>
    </x:row>
    <x:row r="952" ht="22" customHeight="1">
      <x:c r="A952" s="24"/>
      <x:c r="B952" s="24"/>
      <x:c r="C952" s="26"/>
      <x:c r="D952" s="24"/>
      <x:c r="E952" s="24"/>
      <x:c r="F952" s="28"/>
      <x:c r="G952" s="29"/>
      <x:c r="H952" s="24"/>
      <x:c r="I952" s="24"/>
      <x:c r="J952" s="24"/>
      <x:c r="K952" s="24"/>
      <x:c r="L952" s="20" t="str">
        <x:f>IF(Q952&lt;&gt;"OK","",IF(E952="Back",G952*(F952-1),-G952*(F952-1)))</x:f>
      </x:c>
      <x:c r="M952" s="20" t="str">
        <x:f>IF(Q952&lt;&gt;"OK","",IF(E952="Back",-G952,G952))</x:f>
      </x:c>
      <x:c r="N952" s="20" t="str">
        <x:f>IF(Q952&lt;&gt;"OK","",SUMIFS($L$8:$L$1007,$A$8:$A$1007,A952,$B$8:$B$1007,"&lt;="&amp;B952))</x:f>
      </x:c>
      <x:c r="O952" s="20" t="str">
        <x:f>IF(Q952&lt;&gt;"OK","",SUMIFS($M$8:$M$1007,$A$8:$A$1007,A952,$B$8:$B$1007,"&lt;="&amp;B952))</x:f>
      </x:c>
      <x:c r="P952" s="20" t="str">
        <x:f>IF(Q952&lt;&gt;"OK","",MAX(0,-MIN(N952,O952)))</x:f>
      </x:c>
      <x:c r="Q952" s="18" t="str">
        <x:f>IF(A952="",IF(COUNTA(B952:K952)=0,"","Inserisci ID"),IF(COUNTIFS('Diario'!$A$8:$A$507,A952)&lt;&gt;1,"ID assente / duplicato",IF(OR(NOT(ISNUMBER(B952)),B952&lt;1,B952&lt;&gt;INT(B952),COUNTIFS($A$8:$A$1007,A952,$B$8:$B$1007,B952)&lt;&gt;1),"N. esecuzione non valido",IF(OR(NOT(ISNUMBER(C952)),AND(D952&lt;&gt;"Ingresso",D952&lt;&gt;"Uscita"),AND(E952&lt;&gt;"Back",E952&lt;&gt;"Lay")),"Completa data / fase / lato",IF(OR(NOT(ISNUMBER(F952)),F952&lt;=1,NOT(ISNUMBER(G952)),G952&lt;=0),"Correggi quota / stake","OK")))))</x:f>
      </x:c>
    </x:row>
    <x:row r="953" ht="22" customHeight="1">
      <x:c r="A953" s="24"/>
      <x:c r="B953" s="24"/>
      <x:c r="C953" s="26"/>
      <x:c r="D953" s="24"/>
      <x:c r="E953" s="24"/>
      <x:c r="F953" s="28"/>
      <x:c r="G953" s="29"/>
      <x:c r="H953" s="24"/>
      <x:c r="I953" s="24"/>
      <x:c r="J953" s="24"/>
      <x:c r="K953" s="24"/>
      <x:c r="L953" s="20" t="str">
        <x:f>IF(Q953&lt;&gt;"OK","",IF(E953="Back",G953*(F953-1),-G953*(F953-1)))</x:f>
      </x:c>
      <x:c r="M953" s="20" t="str">
        <x:f>IF(Q953&lt;&gt;"OK","",IF(E953="Back",-G953,G953))</x:f>
      </x:c>
      <x:c r="N953" s="20" t="str">
        <x:f>IF(Q953&lt;&gt;"OK","",SUMIFS($L$8:$L$1007,$A$8:$A$1007,A953,$B$8:$B$1007,"&lt;="&amp;B953))</x:f>
      </x:c>
      <x:c r="O953" s="20" t="str">
        <x:f>IF(Q953&lt;&gt;"OK","",SUMIFS($M$8:$M$1007,$A$8:$A$1007,A953,$B$8:$B$1007,"&lt;="&amp;B953))</x:f>
      </x:c>
      <x:c r="P953" s="20" t="str">
        <x:f>IF(Q953&lt;&gt;"OK","",MAX(0,-MIN(N953,O953)))</x:f>
      </x:c>
      <x:c r="Q953" s="18" t="str">
        <x:f>IF(A953="",IF(COUNTA(B953:K953)=0,"","Inserisci ID"),IF(COUNTIFS('Diario'!$A$8:$A$507,A953)&lt;&gt;1,"ID assente / duplicato",IF(OR(NOT(ISNUMBER(B953)),B953&lt;1,B953&lt;&gt;INT(B953),COUNTIFS($A$8:$A$1007,A953,$B$8:$B$1007,B953)&lt;&gt;1),"N. esecuzione non valido",IF(OR(NOT(ISNUMBER(C953)),AND(D953&lt;&gt;"Ingresso",D953&lt;&gt;"Uscita"),AND(E953&lt;&gt;"Back",E953&lt;&gt;"Lay")),"Completa data / fase / lato",IF(OR(NOT(ISNUMBER(F953)),F953&lt;=1,NOT(ISNUMBER(G953)),G953&lt;=0),"Correggi quota / stake","OK")))))</x:f>
      </x:c>
    </x:row>
    <x:row r="954" ht="22" customHeight="1">
      <x:c r="A954" s="24"/>
      <x:c r="B954" s="24"/>
      <x:c r="C954" s="26"/>
      <x:c r="D954" s="24"/>
      <x:c r="E954" s="24"/>
      <x:c r="F954" s="28"/>
      <x:c r="G954" s="29"/>
      <x:c r="H954" s="24"/>
      <x:c r="I954" s="24"/>
      <x:c r="J954" s="24"/>
      <x:c r="K954" s="24"/>
      <x:c r="L954" s="20" t="str">
        <x:f>IF(Q954&lt;&gt;"OK","",IF(E954="Back",G954*(F954-1),-G954*(F954-1)))</x:f>
      </x:c>
      <x:c r="M954" s="20" t="str">
        <x:f>IF(Q954&lt;&gt;"OK","",IF(E954="Back",-G954,G954))</x:f>
      </x:c>
      <x:c r="N954" s="20" t="str">
        <x:f>IF(Q954&lt;&gt;"OK","",SUMIFS($L$8:$L$1007,$A$8:$A$1007,A954,$B$8:$B$1007,"&lt;="&amp;B954))</x:f>
      </x:c>
      <x:c r="O954" s="20" t="str">
        <x:f>IF(Q954&lt;&gt;"OK","",SUMIFS($M$8:$M$1007,$A$8:$A$1007,A954,$B$8:$B$1007,"&lt;="&amp;B954))</x:f>
      </x:c>
      <x:c r="P954" s="20" t="str">
        <x:f>IF(Q954&lt;&gt;"OK","",MAX(0,-MIN(N954,O954)))</x:f>
      </x:c>
      <x:c r="Q954" s="18" t="str">
        <x:f>IF(A954="",IF(COUNTA(B954:K954)=0,"","Inserisci ID"),IF(COUNTIFS('Diario'!$A$8:$A$507,A954)&lt;&gt;1,"ID assente / duplicato",IF(OR(NOT(ISNUMBER(B954)),B954&lt;1,B954&lt;&gt;INT(B954),COUNTIFS($A$8:$A$1007,A954,$B$8:$B$1007,B954)&lt;&gt;1),"N. esecuzione non valido",IF(OR(NOT(ISNUMBER(C954)),AND(D954&lt;&gt;"Ingresso",D954&lt;&gt;"Uscita"),AND(E954&lt;&gt;"Back",E954&lt;&gt;"Lay")),"Completa data / fase / lato",IF(OR(NOT(ISNUMBER(F954)),F954&lt;=1,NOT(ISNUMBER(G954)),G954&lt;=0),"Correggi quota / stake","OK")))))</x:f>
      </x:c>
    </x:row>
    <x:row r="955" ht="22" customHeight="1">
      <x:c r="A955" s="24"/>
      <x:c r="B955" s="24"/>
      <x:c r="C955" s="26"/>
      <x:c r="D955" s="24"/>
      <x:c r="E955" s="24"/>
      <x:c r="F955" s="28"/>
      <x:c r="G955" s="29"/>
      <x:c r="H955" s="24"/>
      <x:c r="I955" s="24"/>
      <x:c r="J955" s="24"/>
      <x:c r="K955" s="24"/>
      <x:c r="L955" s="20" t="str">
        <x:f>IF(Q955&lt;&gt;"OK","",IF(E955="Back",G955*(F955-1),-G955*(F955-1)))</x:f>
      </x:c>
      <x:c r="M955" s="20" t="str">
        <x:f>IF(Q955&lt;&gt;"OK","",IF(E955="Back",-G955,G955))</x:f>
      </x:c>
      <x:c r="N955" s="20" t="str">
        <x:f>IF(Q955&lt;&gt;"OK","",SUMIFS($L$8:$L$1007,$A$8:$A$1007,A955,$B$8:$B$1007,"&lt;="&amp;B955))</x:f>
      </x:c>
      <x:c r="O955" s="20" t="str">
        <x:f>IF(Q955&lt;&gt;"OK","",SUMIFS($M$8:$M$1007,$A$8:$A$1007,A955,$B$8:$B$1007,"&lt;="&amp;B955))</x:f>
      </x:c>
      <x:c r="P955" s="20" t="str">
        <x:f>IF(Q955&lt;&gt;"OK","",MAX(0,-MIN(N955,O955)))</x:f>
      </x:c>
      <x:c r="Q955" s="18" t="str">
        <x:f>IF(A955="",IF(COUNTA(B955:K955)=0,"","Inserisci ID"),IF(COUNTIFS('Diario'!$A$8:$A$507,A955)&lt;&gt;1,"ID assente / duplicato",IF(OR(NOT(ISNUMBER(B955)),B955&lt;1,B955&lt;&gt;INT(B955),COUNTIFS($A$8:$A$1007,A955,$B$8:$B$1007,B955)&lt;&gt;1),"N. esecuzione non valido",IF(OR(NOT(ISNUMBER(C955)),AND(D955&lt;&gt;"Ingresso",D955&lt;&gt;"Uscita"),AND(E955&lt;&gt;"Back",E955&lt;&gt;"Lay")),"Completa data / fase / lato",IF(OR(NOT(ISNUMBER(F955)),F955&lt;=1,NOT(ISNUMBER(G955)),G955&lt;=0),"Correggi quota / stake","OK")))))</x:f>
      </x:c>
    </x:row>
    <x:row r="956" ht="22" customHeight="1">
      <x:c r="A956" s="24"/>
      <x:c r="B956" s="24"/>
      <x:c r="C956" s="26"/>
      <x:c r="D956" s="24"/>
      <x:c r="E956" s="24"/>
      <x:c r="F956" s="28"/>
      <x:c r="G956" s="29"/>
      <x:c r="H956" s="24"/>
      <x:c r="I956" s="24"/>
      <x:c r="J956" s="24"/>
      <x:c r="K956" s="24"/>
      <x:c r="L956" s="20" t="str">
        <x:f>IF(Q956&lt;&gt;"OK","",IF(E956="Back",G956*(F956-1),-G956*(F956-1)))</x:f>
      </x:c>
      <x:c r="M956" s="20" t="str">
        <x:f>IF(Q956&lt;&gt;"OK","",IF(E956="Back",-G956,G956))</x:f>
      </x:c>
      <x:c r="N956" s="20" t="str">
        <x:f>IF(Q956&lt;&gt;"OK","",SUMIFS($L$8:$L$1007,$A$8:$A$1007,A956,$B$8:$B$1007,"&lt;="&amp;B956))</x:f>
      </x:c>
      <x:c r="O956" s="20" t="str">
        <x:f>IF(Q956&lt;&gt;"OK","",SUMIFS($M$8:$M$1007,$A$8:$A$1007,A956,$B$8:$B$1007,"&lt;="&amp;B956))</x:f>
      </x:c>
      <x:c r="P956" s="20" t="str">
        <x:f>IF(Q956&lt;&gt;"OK","",MAX(0,-MIN(N956,O956)))</x:f>
      </x:c>
      <x:c r="Q956" s="18" t="str">
        <x:f>IF(A956="",IF(COUNTA(B956:K956)=0,"","Inserisci ID"),IF(COUNTIFS('Diario'!$A$8:$A$507,A956)&lt;&gt;1,"ID assente / duplicato",IF(OR(NOT(ISNUMBER(B956)),B956&lt;1,B956&lt;&gt;INT(B956),COUNTIFS($A$8:$A$1007,A956,$B$8:$B$1007,B956)&lt;&gt;1),"N. esecuzione non valido",IF(OR(NOT(ISNUMBER(C956)),AND(D956&lt;&gt;"Ingresso",D956&lt;&gt;"Uscita"),AND(E956&lt;&gt;"Back",E956&lt;&gt;"Lay")),"Completa data / fase / lato",IF(OR(NOT(ISNUMBER(F956)),F956&lt;=1,NOT(ISNUMBER(G956)),G956&lt;=0),"Correggi quota / stake","OK")))))</x:f>
      </x:c>
    </x:row>
    <x:row r="957" ht="22" customHeight="1">
      <x:c r="A957" s="24"/>
      <x:c r="B957" s="24"/>
      <x:c r="C957" s="26"/>
      <x:c r="D957" s="24"/>
      <x:c r="E957" s="24"/>
      <x:c r="F957" s="28"/>
      <x:c r="G957" s="29"/>
      <x:c r="H957" s="24"/>
      <x:c r="I957" s="24"/>
      <x:c r="J957" s="24"/>
      <x:c r="K957" s="24"/>
      <x:c r="L957" s="20" t="str">
        <x:f>IF(Q957&lt;&gt;"OK","",IF(E957="Back",G957*(F957-1),-G957*(F957-1)))</x:f>
      </x:c>
      <x:c r="M957" s="20" t="str">
        <x:f>IF(Q957&lt;&gt;"OK","",IF(E957="Back",-G957,G957))</x:f>
      </x:c>
      <x:c r="N957" s="20" t="str">
        <x:f>IF(Q957&lt;&gt;"OK","",SUMIFS($L$8:$L$1007,$A$8:$A$1007,A957,$B$8:$B$1007,"&lt;="&amp;B957))</x:f>
      </x:c>
      <x:c r="O957" s="20" t="str">
        <x:f>IF(Q957&lt;&gt;"OK","",SUMIFS($M$8:$M$1007,$A$8:$A$1007,A957,$B$8:$B$1007,"&lt;="&amp;B957))</x:f>
      </x:c>
      <x:c r="P957" s="20" t="str">
        <x:f>IF(Q957&lt;&gt;"OK","",MAX(0,-MIN(N957,O957)))</x:f>
      </x:c>
      <x:c r="Q957" s="18" t="str">
        <x:f>IF(A957="",IF(COUNTA(B957:K957)=0,"","Inserisci ID"),IF(COUNTIFS('Diario'!$A$8:$A$507,A957)&lt;&gt;1,"ID assente / duplicato",IF(OR(NOT(ISNUMBER(B957)),B957&lt;1,B957&lt;&gt;INT(B957),COUNTIFS($A$8:$A$1007,A957,$B$8:$B$1007,B957)&lt;&gt;1),"N. esecuzione non valido",IF(OR(NOT(ISNUMBER(C957)),AND(D957&lt;&gt;"Ingresso",D957&lt;&gt;"Uscita"),AND(E957&lt;&gt;"Back",E957&lt;&gt;"Lay")),"Completa data / fase / lato",IF(OR(NOT(ISNUMBER(F957)),F957&lt;=1,NOT(ISNUMBER(G957)),G957&lt;=0),"Correggi quota / stake","OK")))))</x:f>
      </x:c>
    </x:row>
    <x:row r="958" ht="22" customHeight="1">
      <x:c r="A958" s="24"/>
      <x:c r="B958" s="24"/>
      <x:c r="C958" s="26"/>
      <x:c r="D958" s="24"/>
      <x:c r="E958" s="24"/>
      <x:c r="F958" s="28"/>
      <x:c r="G958" s="29"/>
      <x:c r="H958" s="24"/>
      <x:c r="I958" s="24"/>
      <x:c r="J958" s="24"/>
      <x:c r="K958" s="24"/>
      <x:c r="L958" s="20" t="str">
        <x:f>IF(Q958&lt;&gt;"OK","",IF(E958="Back",G958*(F958-1),-G958*(F958-1)))</x:f>
      </x:c>
      <x:c r="M958" s="20" t="str">
        <x:f>IF(Q958&lt;&gt;"OK","",IF(E958="Back",-G958,G958))</x:f>
      </x:c>
      <x:c r="N958" s="20" t="str">
        <x:f>IF(Q958&lt;&gt;"OK","",SUMIFS($L$8:$L$1007,$A$8:$A$1007,A958,$B$8:$B$1007,"&lt;="&amp;B958))</x:f>
      </x:c>
      <x:c r="O958" s="20" t="str">
        <x:f>IF(Q958&lt;&gt;"OK","",SUMIFS($M$8:$M$1007,$A$8:$A$1007,A958,$B$8:$B$1007,"&lt;="&amp;B958))</x:f>
      </x:c>
      <x:c r="P958" s="20" t="str">
        <x:f>IF(Q958&lt;&gt;"OK","",MAX(0,-MIN(N958,O958)))</x:f>
      </x:c>
      <x:c r="Q958" s="18" t="str">
        <x:f>IF(A958="",IF(COUNTA(B958:K958)=0,"","Inserisci ID"),IF(COUNTIFS('Diario'!$A$8:$A$507,A958)&lt;&gt;1,"ID assente / duplicato",IF(OR(NOT(ISNUMBER(B958)),B958&lt;1,B958&lt;&gt;INT(B958),COUNTIFS($A$8:$A$1007,A958,$B$8:$B$1007,B958)&lt;&gt;1),"N. esecuzione non valido",IF(OR(NOT(ISNUMBER(C958)),AND(D958&lt;&gt;"Ingresso",D958&lt;&gt;"Uscita"),AND(E958&lt;&gt;"Back",E958&lt;&gt;"Lay")),"Completa data / fase / lato",IF(OR(NOT(ISNUMBER(F958)),F958&lt;=1,NOT(ISNUMBER(G958)),G958&lt;=0),"Correggi quota / stake","OK")))))</x:f>
      </x:c>
    </x:row>
    <x:row r="959" ht="22" customHeight="1">
      <x:c r="A959" s="24"/>
      <x:c r="B959" s="24"/>
      <x:c r="C959" s="26"/>
      <x:c r="D959" s="24"/>
      <x:c r="E959" s="24"/>
      <x:c r="F959" s="28"/>
      <x:c r="G959" s="29"/>
      <x:c r="H959" s="24"/>
      <x:c r="I959" s="24"/>
      <x:c r="J959" s="24"/>
      <x:c r="K959" s="24"/>
      <x:c r="L959" s="20" t="str">
        <x:f>IF(Q959&lt;&gt;"OK","",IF(E959="Back",G959*(F959-1),-G959*(F959-1)))</x:f>
      </x:c>
      <x:c r="M959" s="20" t="str">
        <x:f>IF(Q959&lt;&gt;"OK","",IF(E959="Back",-G959,G959))</x:f>
      </x:c>
      <x:c r="N959" s="20" t="str">
        <x:f>IF(Q959&lt;&gt;"OK","",SUMIFS($L$8:$L$1007,$A$8:$A$1007,A959,$B$8:$B$1007,"&lt;="&amp;B959))</x:f>
      </x:c>
      <x:c r="O959" s="20" t="str">
        <x:f>IF(Q959&lt;&gt;"OK","",SUMIFS($M$8:$M$1007,$A$8:$A$1007,A959,$B$8:$B$1007,"&lt;="&amp;B959))</x:f>
      </x:c>
      <x:c r="P959" s="20" t="str">
        <x:f>IF(Q959&lt;&gt;"OK","",MAX(0,-MIN(N959,O959)))</x:f>
      </x:c>
      <x:c r="Q959" s="18" t="str">
        <x:f>IF(A959="",IF(COUNTA(B959:K959)=0,"","Inserisci ID"),IF(COUNTIFS('Diario'!$A$8:$A$507,A959)&lt;&gt;1,"ID assente / duplicato",IF(OR(NOT(ISNUMBER(B959)),B959&lt;1,B959&lt;&gt;INT(B959),COUNTIFS($A$8:$A$1007,A959,$B$8:$B$1007,B959)&lt;&gt;1),"N. esecuzione non valido",IF(OR(NOT(ISNUMBER(C959)),AND(D959&lt;&gt;"Ingresso",D959&lt;&gt;"Uscita"),AND(E959&lt;&gt;"Back",E959&lt;&gt;"Lay")),"Completa data / fase / lato",IF(OR(NOT(ISNUMBER(F959)),F959&lt;=1,NOT(ISNUMBER(G959)),G959&lt;=0),"Correggi quota / stake","OK")))))</x:f>
      </x:c>
    </x:row>
    <x:row r="960" ht="22" customHeight="1">
      <x:c r="A960" s="24"/>
      <x:c r="B960" s="24"/>
      <x:c r="C960" s="26"/>
      <x:c r="D960" s="24"/>
      <x:c r="E960" s="24"/>
      <x:c r="F960" s="28"/>
      <x:c r="G960" s="29"/>
      <x:c r="H960" s="24"/>
      <x:c r="I960" s="24"/>
      <x:c r="J960" s="24"/>
      <x:c r="K960" s="24"/>
      <x:c r="L960" s="20" t="str">
        <x:f>IF(Q960&lt;&gt;"OK","",IF(E960="Back",G960*(F960-1),-G960*(F960-1)))</x:f>
      </x:c>
      <x:c r="M960" s="20" t="str">
        <x:f>IF(Q960&lt;&gt;"OK","",IF(E960="Back",-G960,G960))</x:f>
      </x:c>
      <x:c r="N960" s="20" t="str">
        <x:f>IF(Q960&lt;&gt;"OK","",SUMIFS($L$8:$L$1007,$A$8:$A$1007,A960,$B$8:$B$1007,"&lt;="&amp;B960))</x:f>
      </x:c>
      <x:c r="O960" s="20" t="str">
        <x:f>IF(Q960&lt;&gt;"OK","",SUMIFS($M$8:$M$1007,$A$8:$A$1007,A960,$B$8:$B$1007,"&lt;="&amp;B960))</x:f>
      </x:c>
      <x:c r="P960" s="20" t="str">
        <x:f>IF(Q960&lt;&gt;"OK","",MAX(0,-MIN(N960,O960)))</x:f>
      </x:c>
      <x:c r="Q960" s="18" t="str">
        <x:f>IF(A960="",IF(COUNTA(B960:K960)=0,"","Inserisci ID"),IF(COUNTIFS('Diario'!$A$8:$A$507,A960)&lt;&gt;1,"ID assente / duplicato",IF(OR(NOT(ISNUMBER(B960)),B960&lt;1,B960&lt;&gt;INT(B960),COUNTIFS($A$8:$A$1007,A960,$B$8:$B$1007,B960)&lt;&gt;1),"N. esecuzione non valido",IF(OR(NOT(ISNUMBER(C960)),AND(D960&lt;&gt;"Ingresso",D960&lt;&gt;"Uscita"),AND(E960&lt;&gt;"Back",E960&lt;&gt;"Lay")),"Completa data / fase / lato",IF(OR(NOT(ISNUMBER(F960)),F960&lt;=1,NOT(ISNUMBER(G960)),G960&lt;=0),"Correggi quota / stake","OK")))))</x:f>
      </x:c>
    </x:row>
    <x:row r="961" ht="22" customHeight="1">
      <x:c r="A961" s="24"/>
      <x:c r="B961" s="24"/>
      <x:c r="C961" s="26"/>
      <x:c r="D961" s="24"/>
      <x:c r="E961" s="24"/>
      <x:c r="F961" s="28"/>
      <x:c r="G961" s="29"/>
      <x:c r="H961" s="24"/>
      <x:c r="I961" s="24"/>
      <x:c r="J961" s="24"/>
      <x:c r="K961" s="24"/>
      <x:c r="L961" s="20" t="str">
        <x:f>IF(Q961&lt;&gt;"OK","",IF(E961="Back",G961*(F961-1),-G961*(F961-1)))</x:f>
      </x:c>
      <x:c r="M961" s="20" t="str">
        <x:f>IF(Q961&lt;&gt;"OK","",IF(E961="Back",-G961,G961))</x:f>
      </x:c>
      <x:c r="N961" s="20" t="str">
        <x:f>IF(Q961&lt;&gt;"OK","",SUMIFS($L$8:$L$1007,$A$8:$A$1007,A961,$B$8:$B$1007,"&lt;="&amp;B961))</x:f>
      </x:c>
      <x:c r="O961" s="20" t="str">
        <x:f>IF(Q961&lt;&gt;"OK","",SUMIFS($M$8:$M$1007,$A$8:$A$1007,A961,$B$8:$B$1007,"&lt;="&amp;B961))</x:f>
      </x:c>
      <x:c r="P961" s="20" t="str">
        <x:f>IF(Q961&lt;&gt;"OK","",MAX(0,-MIN(N961,O961)))</x:f>
      </x:c>
      <x:c r="Q961" s="18" t="str">
        <x:f>IF(A961="",IF(COUNTA(B961:K961)=0,"","Inserisci ID"),IF(COUNTIFS('Diario'!$A$8:$A$507,A961)&lt;&gt;1,"ID assente / duplicato",IF(OR(NOT(ISNUMBER(B961)),B961&lt;1,B961&lt;&gt;INT(B961),COUNTIFS($A$8:$A$1007,A961,$B$8:$B$1007,B961)&lt;&gt;1),"N. esecuzione non valido",IF(OR(NOT(ISNUMBER(C961)),AND(D961&lt;&gt;"Ingresso",D961&lt;&gt;"Uscita"),AND(E961&lt;&gt;"Back",E961&lt;&gt;"Lay")),"Completa data / fase / lato",IF(OR(NOT(ISNUMBER(F961)),F961&lt;=1,NOT(ISNUMBER(G961)),G961&lt;=0),"Correggi quota / stake","OK")))))</x:f>
      </x:c>
    </x:row>
    <x:row r="962" ht="22" customHeight="1">
      <x:c r="A962" s="24"/>
      <x:c r="B962" s="24"/>
      <x:c r="C962" s="26"/>
      <x:c r="D962" s="24"/>
      <x:c r="E962" s="24"/>
      <x:c r="F962" s="28"/>
      <x:c r="G962" s="29"/>
      <x:c r="H962" s="24"/>
      <x:c r="I962" s="24"/>
      <x:c r="J962" s="24"/>
      <x:c r="K962" s="24"/>
      <x:c r="L962" s="20" t="str">
        <x:f>IF(Q962&lt;&gt;"OK","",IF(E962="Back",G962*(F962-1),-G962*(F962-1)))</x:f>
      </x:c>
      <x:c r="M962" s="20" t="str">
        <x:f>IF(Q962&lt;&gt;"OK","",IF(E962="Back",-G962,G962))</x:f>
      </x:c>
      <x:c r="N962" s="20" t="str">
        <x:f>IF(Q962&lt;&gt;"OK","",SUMIFS($L$8:$L$1007,$A$8:$A$1007,A962,$B$8:$B$1007,"&lt;="&amp;B962))</x:f>
      </x:c>
      <x:c r="O962" s="20" t="str">
        <x:f>IF(Q962&lt;&gt;"OK","",SUMIFS($M$8:$M$1007,$A$8:$A$1007,A962,$B$8:$B$1007,"&lt;="&amp;B962))</x:f>
      </x:c>
      <x:c r="P962" s="20" t="str">
        <x:f>IF(Q962&lt;&gt;"OK","",MAX(0,-MIN(N962,O962)))</x:f>
      </x:c>
      <x:c r="Q962" s="18" t="str">
        <x:f>IF(A962="",IF(COUNTA(B962:K962)=0,"","Inserisci ID"),IF(COUNTIFS('Diario'!$A$8:$A$507,A962)&lt;&gt;1,"ID assente / duplicato",IF(OR(NOT(ISNUMBER(B962)),B962&lt;1,B962&lt;&gt;INT(B962),COUNTIFS($A$8:$A$1007,A962,$B$8:$B$1007,B962)&lt;&gt;1),"N. esecuzione non valido",IF(OR(NOT(ISNUMBER(C962)),AND(D962&lt;&gt;"Ingresso",D962&lt;&gt;"Uscita"),AND(E962&lt;&gt;"Back",E962&lt;&gt;"Lay")),"Completa data / fase / lato",IF(OR(NOT(ISNUMBER(F962)),F962&lt;=1,NOT(ISNUMBER(G962)),G962&lt;=0),"Correggi quota / stake","OK")))))</x:f>
      </x:c>
    </x:row>
    <x:row r="963" ht="22" customHeight="1">
      <x:c r="A963" s="24"/>
      <x:c r="B963" s="24"/>
      <x:c r="C963" s="26"/>
      <x:c r="D963" s="24"/>
      <x:c r="E963" s="24"/>
      <x:c r="F963" s="28"/>
      <x:c r="G963" s="29"/>
      <x:c r="H963" s="24"/>
      <x:c r="I963" s="24"/>
      <x:c r="J963" s="24"/>
      <x:c r="K963" s="24"/>
      <x:c r="L963" s="20" t="str">
        <x:f>IF(Q963&lt;&gt;"OK","",IF(E963="Back",G963*(F963-1),-G963*(F963-1)))</x:f>
      </x:c>
      <x:c r="M963" s="20" t="str">
        <x:f>IF(Q963&lt;&gt;"OK","",IF(E963="Back",-G963,G963))</x:f>
      </x:c>
      <x:c r="N963" s="20" t="str">
        <x:f>IF(Q963&lt;&gt;"OK","",SUMIFS($L$8:$L$1007,$A$8:$A$1007,A963,$B$8:$B$1007,"&lt;="&amp;B963))</x:f>
      </x:c>
      <x:c r="O963" s="20" t="str">
        <x:f>IF(Q963&lt;&gt;"OK","",SUMIFS($M$8:$M$1007,$A$8:$A$1007,A963,$B$8:$B$1007,"&lt;="&amp;B963))</x:f>
      </x:c>
      <x:c r="P963" s="20" t="str">
        <x:f>IF(Q963&lt;&gt;"OK","",MAX(0,-MIN(N963,O963)))</x:f>
      </x:c>
      <x:c r="Q963" s="18" t="str">
        <x:f>IF(A963="",IF(COUNTA(B963:K963)=0,"","Inserisci ID"),IF(COUNTIFS('Diario'!$A$8:$A$507,A963)&lt;&gt;1,"ID assente / duplicato",IF(OR(NOT(ISNUMBER(B963)),B963&lt;1,B963&lt;&gt;INT(B963),COUNTIFS($A$8:$A$1007,A963,$B$8:$B$1007,B963)&lt;&gt;1),"N. esecuzione non valido",IF(OR(NOT(ISNUMBER(C963)),AND(D963&lt;&gt;"Ingresso",D963&lt;&gt;"Uscita"),AND(E963&lt;&gt;"Back",E963&lt;&gt;"Lay")),"Completa data / fase / lato",IF(OR(NOT(ISNUMBER(F963)),F963&lt;=1,NOT(ISNUMBER(G963)),G963&lt;=0),"Correggi quota / stake","OK")))))</x:f>
      </x:c>
    </x:row>
    <x:row r="964" ht="22" customHeight="1">
      <x:c r="A964" s="24"/>
      <x:c r="B964" s="24"/>
      <x:c r="C964" s="26"/>
      <x:c r="D964" s="24"/>
      <x:c r="E964" s="24"/>
      <x:c r="F964" s="28"/>
      <x:c r="G964" s="29"/>
      <x:c r="H964" s="24"/>
      <x:c r="I964" s="24"/>
      <x:c r="J964" s="24"/>
      <x:c r="K964" s="24"/>
      <x:c r="L964" s="20" t="str">
        <x:f>IF(Q964&lt;&gt;"OK","",IF(E964="Back",G964*(F964-1),-G964*(F964-1)))</x:f>
      </x:c>
      <x:c r="M964" s="20" t="str">
        <x:f>IF(Q964&lt;&gt;"OK","",IF(E964="Back",-G964,G964))</x:f>
      </x:c>
      <x:c r="N964" s="20" t="str">
        <x:f>IF(Q964&lt;&gt;"OK","",SUMIFS($L$8:$L$1007,$A$8:$A$1007,A964,$B$8:$B$1007,"&lt;="&amp;B964))</x:f>
      </x:c>
      <x:c r="O964" s="20" t="str">
        <x:f>IF(Q964&lt;&gt;"OK","",SUMIFS($M$8:$M$1007,$A$8:$A$1007,A964,$B$8:$B$1007,"&lt;="&amp;B964))</x:f>
      </x:c>
      <x:c r="P964" s="20" t="str">
        <x:f>IF(Q964&lt;&gt;"OK","",MAX(0,-MIN(N964,O964)))</x:f>
      </x:c>
      <x:c r="Q964" s="18" t="str">
        <x:f>IF(A964="",IF(COUNTA(B964:K964)=0,"","Inserisci ID"),IF(COUNTIFS('Diario'!$A$8:$A$507,A964)&lt;&gt;1,"ID assente / duplicato",IF(OR(NOT(ISNUMBER(B964)),B964&lt;1,B964&lt;&gt;INT(B964),COUNTIFS($A$8:$A$1007,A964,$B$8:$B$1007,B964)&lt;&gt;1),"N. esecuzione non valido",IF(OR(NOT(ISNUMBER(C964)),AND(D964&lt;&gt;"Ingresso",D964&lt;&gt;"Uscita"),AND(E964&lt;&gt;"Back",E964&lt;&gt;"Lay")),"Completa data / fase / lato",IF(OR(NOT(ISNUMBER(F964)),F964&lt;=1,NOT(ISNUMBER(G964)),G964&lt;=0),"Correggi quota / stake","OK")))))</x:f>
      </x:c>
    </x:row>
    <x:row r="965" ht="22" customHeight="1">
      <x:c r="A965" s="24"/>
      <x:c r="B965" s="24"/>
      <x:c r="C965" s="26"/>
      <x:c r="D965" s="24"/>
      <x:c r="E965" s="24"/>
      <x:c r="F965" s="28"/>
      <x:c r="G965" s="29"/>
      <x:c r="H965" s="24"/>
      <x:c r="I965" s="24"/>
      <x:c r="J965" s="24"/>
      <x:c r="K965" s="24"/>
      <x:c r="L965" s="20" t="str">
        <x:f>IF(Q965&lt;&gt;"OK","",IF(E965="Back",G965*(F965-1),-G965*(F965-1)))</x:f>
      </x:c>
      <x:c r="M965" s="20" t="str">
        <x:f>IF(Q965&lt;&gt;"OK","",IF(E965="Back",-G965,G965))</x:f>
      </x:c>
      <x:c r="N965" s="20" t="str">
        <x:f>IF(Q965&lt;&gt;"OK","",SUMIFS($L$8:$L$1007,$A$8:$A$1007,A965,$B$8:$B$1007,"&lt;="&amp;B965))</x:f>
      </x:c>
      <x:c r="O965" s="20" t="str">
        <x:f>IF(Q965&lt;&gt;"OK","",SUMIFS($M$8:$M$1007,$A$8:$A$1007,A965,$B$8:$B$1007,"&lt;="&amp;B965))</x:f>
      </x:c>
      <x:c r="P965" s="20" t="str">
        <x:f>IF(Q965&lt;&gt;"OK","",MAX(0,-MIN(N965,O965)))</x:f>
      </x:c>
      <x:c r="Q965" s="18" t="str">
        <x:f>IF(A965="",IF(COUNTA(B965:K965)=0,"","Inserisci ID"),IF(COUNTIFS('Diario'!$A$8:$A$507,A965)&lt;&gt;1,"ID assente / duplicato",IF(OR(NOT(ISNUMBER(B965)),B965&lt;1,B965&lt;&gt;INT(B965),COUNTIFS($A$8:$A$1007,A965,$B$8:$B$1007,B965)&lt;&gt;1),"N. esecuzione non valido",IF(OR(NOT(ISNUMBER(C965)),AND(D965&lt;&gt;"Ingresso",D965&lt;&gt;"Uscita"),AND(E965&lt;&gt;"Back",E965&lt;&gt;"Lay")),"Completa data / fase / lato",IF(OR(NOT(ISNUMBER(F965)),F965&lt;=1,NOT(ISNUMBER(G965)),G965&lt;=0),"Correggi quota / stake","OK")))))</x:f>
      </x:c>
    </x:row>
    <x:row r="966" ht="22" customHeight="1">
      <x:c r="A966" s="24"/>
      <x:c r="B966" s="24"/>
      <x:c r="C966" s="26"/>
      <x:c r="D966" s="24"/>
      <x:c r="E966" s="24"/>
      <x:c r="F966" s="28"/>
      <x:c r="G966" s="29"/>
      <x:c r="H966" s="24"/>
      <x:c r="I966" s="24"/>
      <x:c r="J966" s="24"/>
      <x:c r="K966" s="24"/>
      <x:c r="L966" s="20" t="str">
        <x:f>IF(Q966&lt;&gt;"OK","",IF(E966="Back",G966*(F966-1),-G966*(F966-1)))</x:f>
      </x:c>
      <x:c r="M966" s="20" t="str">
        <x:f>IF(Q966&lt;&gt;"OK","",IF(E966="Back",-G966,G966))</x:f>
      </x:c>
      <x:c r="N966" s="20" t="str">
        <x:f>IF(Q966&lt;&gt;"OK","",SUMIFS($L$8:$L$1007,$A$8:$A$1007,A966,$B$8:$B$1007,"&lt;="&amp;B966))</x:f>
      </x:c>
      <x:c r="O966" s="20" t="str">
        <x:f>IF(Q966&lt;&gt;"OK","",SUMIFS($M$8:$M$1007,$A$8:$A$1007,A966,$B$8:$B$1007,"&lt;="&amp;B966))</x:f>
      </x:c>
      <x:c r="P966" s="20" t="str">
        <x:f>IF(Q966&lt;&gt;"OK","",MAX(0,-MIN(N966,O966)))</x:f>
      </x:c>
      <x:c r="Q966" s="18" t="str">
        <x:f>IF(A966="",IF(COUNTA(B966:K966)=0,"","Inserisci ID"),IF(COUNTIFS('Diario'!$A$8:$A$507,A966)&lt;&gt;1,"ID assente / duplicato",IF(OR(NOT(ISNUMBER(B966)),B966&lt;1,B966&lt;&gt;INT(B966),COUNTIFS($A$8:$A$1007,A966,$B$8:$B$1007,B966)&lt;&gt;1),"N. esecuzione non valido",IF(OR(NOT(ISNUMBER(C966)),AND(D966&lt;&gt;"Ingresso",D966&lt;&gt;"Uscita"),AND(E966&lt;&gt;"Back",E966&lt;&gt;"Lay")),"Completa data / fase / lato",IF(OR(NOT(ISNUMBER(F966)),F966&lt;=1,NOT(ISNUMBER(G966)),G966&lt;=0),"Correggi quota / stake","OK")))))</x:f>
      </x:c>
    </x:row>
    <x:row r="967" ht="22" customHeight="1">
      <x:c r="A967" s="24"/>
      <x:c r="B967" s="24"/>
      <x:c r="C967" s="26"/>
      <x:c r="D967" s="24"/>
      <x:c r="E967" s="24"/>
      <x:c r="F967" s="28"/>
      <x:c r="G967" s="29"/>
      <x:c r="H967" s="24"/>
      <x:c r="I967" s="24"/>
      <x:c r="J967" s="24"/>
      <x:c r="K967" s="24"/>
      <x:c r="L967" s="20" t="str">
        <x:f>IF(Q967&lt;&gt;"OK","",IF(E967="Back",G967*(F967-1),-G967*(F967-1)))</x:f>
      </x:c>
      <x:c r="M967" s="20" t="str">
        <x:f>IF(Q967&lt;&gt;"OK","",IF(E967="Back",-G967,G967))</x:f>
      </x:c>
      <x:c r="N967" s="20" t="str">
        <x:f>IF(Q967&lt;&gt;"OK","",SUMIFS($L$8:$L$1007,$A$8:$A$1007,A967,$B$8:$B$1007,"&lt;="&amp;B967))</x:f>
      </x:c>
      <x:c r="O967" s="20" t="str">
        <x:f>IF(Q967&lt;&gt;"OK","",SUMIFS($M$8:$M$1007,$A$8:$A$1007,A967,$B$8:$B$1007,"&lt;="&amp;B967))</x:f>
      </x:c>
      <x:c r="P967" s="20" t="str">
        <x:f>IF(Q967&lt;&gt;"OK","",MAX(0,-MIN(N967,O967)))</x:f>
      </x:c>
      <x:c r="Q967" s="18" t="str">
        <x:f>IF(A967="",IF(COUNTA(B967:K967)=0,"","Inserisci ID"),IF(COUNTIFS('Diario'!$A$8:$A$507,A967)&lt;&gt;1,"ID assente / duplicato",IF(OR(NOT(ISNUMBER(B967)),B967&lt;1,B967&lt;&gt;INT(B967),COUNTIFS($A$8:$A$1007,A967,$B$8:$B$1007,B967)&lt;&gt;1),"N. esecuzione non valido",IF(OR(NOT(ISNUMBER(C967)),AND(D967&lt;&gt;"Ingresso",D967&lt;&gt;"Uscita"),AND(E967&lt;&gt;"Back",E967&lt;&gt;"Lay")),"Completa data / fase / lato",IF(OR(NOT(ISNUMBER(F967)),F967&lt;=1,NOT(ISNUMBER(G967)),G967&lt;=0),"Correggi quota / stake","OK")))))</x:f>
      </x:c>
    </x:row>
    <x:row r="968" ht="22" customHeight="1">
      <x:c r="A968" s="24"/>
      <x:c r="B968" s="24"/>
      <x:c r="C968" s="26"/>
      <x:c r="D968" s="24"/>
      <x:c r="E968" s="24"/>
      <x:c r="F968" s="28"/>
      <x:c r="G968" s="29"/>
      <x:c r="H968" s="24"/>
      <x:c r="I968" s="24"/>
      <x:c r="J968" s="24"/>
      <x:c r="K968" s="24"/>
      <x:c r="L968" s="20" t="str">
        <x:f>IF(Q968&lt;&gt;"OK","",IF(E968="Back",G968*(F968-1),-G968*(F968-1)))</x:f>
      </x:c>
      <x:c r="M968" s="20" t="str">
        <x:f>IF(Q968&lt;&gt;"OK","",IF(E968="Back",-G968,G968))</x:f>
      </x:c>
      <x:c r="N968" s="20" t="str">
        <x:f>IF(Q968&lt;&gt;"OK","",SUMIFS($L$8:$L$1007,$A$8:$A$1007,A968,$B$8:$B$1007,"&lt;="&amp;B968))</x:f>
      </x:c>
      <x:c r="O968" s="20" t="str">
        <x:f>IF(Q968&lt;&gt;"OK","",SUMIFS($M$8:$M$1007,$A$8:$A$1007,A968,$B$8:$B$1007,"&lt;="&amp;B968))</x:f>
      </x:c>
      <x:c r="P968" s="20" t="str">
        <x:f>IF(Q968&lt;&gt;"OK","",MAX(0,-MIN(N968,O968)))</x:f>
      </x:c>
      <x:c r="Q968" s="18" t="str">
        <x:f>IF(A968="",IF(COUNTA(B968:K968)=0,"","Inserisci ID"),IF(COUNTIFS('Diario'!$A$8:$A$507,A968)&lt;&gt;1,"ID assente / duplicato",IF(OR(NOT(ISNUMBER(B968)),B968&lt;1,B968&lt;&gt;INT(B968),COUNTIFS($A$8:$A$1007,A968,$B$8:$B$1007,B968)&lt;&gt;1),"N. esecuzione non valido",IF(OR(NOT(ISNUMBER(C968)),AND(D968&lt;&gt;"Ingresso",D968&lt;&gt;"Uscita"),AND(E968&lt;&gt;"Back",E968&lt;&gt;"Lay")),"Completa data / fase / lato",IF(OR(NOT(ISNUMBER(F968)),F968&lt;=1,NOT(ISNUMBER(G968)),G968&lt;=0),"Correggi quota / stake","OK")))))</x:f>
      </x:c>
    </x:row>
    <x:row r="969" ht="22" customHeight="1">
      <x:c r="A969" s="24"/>
      <x:c r="B969" s="24"/>
      <x:c r="C969" s="26"/>
      <x:c r="D969" s="24"/>
      <x:c r="E969" s="24"/>
      <x:c r="F969" s="28"/>
      <x:c r="G969" s="29"/>
      <x:c r="H969" s="24"/>
      <x:c r="I969" s="24"/>
      <x:c r="J969" s="24"/>
      <x:c r="K969" s="24"/>
      <x:c r="L969" s="20" t="str">
        <x:f>IF(Q969&lt;&gt;"OK","",IF(E969="Back",G969*(F969-1),-G969*(F969-1)))</x:f>
      </x:c>
      <x:c r="M969" s="20" t="str">
        <x:f>IF(Q969&lt;&gt;"OK","",IF(E969="Back",-G969,G969))</x:f>
      </x:c>
      <x:c r="N969" s="20" t="str">
        <x:f>IF(Q969&lt;&gt;"OK","",SUMIFS($L$8:$L$1007,$A$8:$A$1007,A969,$B$8:$B$1007,"&lt;="&amp;B969))</x:f>
      </x:c>
      <x:c r="O969" s="20" t="str">
        <x:f>IF(Q969&lt;&gt;"OK","",SUMIFS($M$8:$M$1007,$A$8:$A$1007,A969,$B$8:$B$1007,"&lt;="&amp;B969))</x:f>
      </x:c>
      <x:c r="P969" s="20" t="str">
        <x:f>IF(Q969&lt;&gt;"OK","",MAX(0,-MIN(N969,O969)))</x:f>
      </x:c>
      <x:c r="Q969" s="18" t="str">
        <x:f>IF(A969="",IF(COUNTA(B969:K969)=0,"","Inserisci ID"),IF(COUNTIFS('Diario'!$A$8:$A$507,A969)&lt;&gt;1,"ID assente / duplicato",IF(OR(NOT(ISNUMBER(B969)),B969&lt;1,B969&lt;&gt;INT(B969),COUNTIFS($A$8:$A$1007,A969,$B$8:$B$1007,B969)&lt;&gt;1),"N. esecuzione non valido",IF(OR(NOT(ISNUMBER(C969)),AND(D969&lt;&gt;"Ingresso",D969&lt;&gt;"Uscita"),AND(E969&lt;&gt;"Back",E969&lt;&gt;"Lay")),"Completa data / fase / lato",IF(OR(NOT(ISNUMBER(F969)),F969&lt;=1,NOT(ISNUMBER(G969)),G969&lt;=0),"Correggi quota / stake","OK")))))</x:f>
      </x:c>
    </x:row>
    <x:row r="970" ht="22" customHeight="1">
      <x:c r="A970" s="24"/>
      <x:c r="B970" s="24"/>
      <x:c r="C970" s="26"/>
      <x:c r="D970" s="24"/>
      <x:c r="E970" s="24"/>
      <x:c r="F970" s="28"/>
      <x:c r="G970" s="29"/>
      <x:c r="H970" s="24"/>
      <x:c r="I970" s="24"/>
      <x:c r="J970" s="24"/>
      <x:c r="K970" s="24"/>
      <x:c r="L970" s="20" t="str">
        <x:f>IF(Q970&lt;&gt;"OK","",IF(E970="Back",G970*(F970-1),-G970*(F970-1)))</x:f>
      </x:c>
      <x:c r="M970" s="20" t="str">
        <x:f>IF(Q970&lt;&gt;"OK","",IF(E970="Back",-G970,G970))</x:f>
      </x:c>
      <x:c r="N970" s="20" t="str">
        <x:f>IF(Q970&lt;&gt;"OK","",SUMIFS($L$8:$L$1007,$A$8:$A$1007,A970,$B$8:$B$1007,"&lt;="&amp;B970))</x:f>
      </x:c>
      <x:c r="O970" s="20" t="str">
        <x:f>IF(Q970&lt;&gt;"OK","",SUMIFS($M$8:$M$1007,$A$8:$A$1007,A970,$B$8:$B$1007,"&lt;="&amp;B970))</x:f>
      </x:c>
      <x:c r="P970" s="20" t="str">
        <x:f>IF(Q970&lt;&gt;"OK","",MAX(0,-MIN(N970,O970)))</x:f>
      </x:c>
      <x:c r="Q970" s="18" t="str">
        <x:f>IF(A970="",IF(COUNTA(B970:K970)=0,"","Inserisci ID"),IF(COUNTIFS('Diario'!$A$8:$A$507,A970)&lt;&gt;1,"ID assente / duplicato",IF(OR(NOT(ISNUMBER(B970)),B970&lt;1,B970&lt;&gt;INT(B970),COUNTIFS($A$8:$A$1007,A970,$B$8:$B$1007,B970)&lt;&gt;1),"N. esecuzione non valido",IF(OR(NOT(ISNUMBER(C970)),AND(D970&lt;&gt;"Ingresso",D970&lt;&gt;"Uscita"),AND(E970&lt;&gt;"Back",E970&lt;&gt;"Lay")),"Completa data / fase / lato",IF(OR(NOT(ISNUMBER(F970)),F970&lt;=1,NOT(ISNUMBER(G970)),G970&lt;=0),"Correggi quota / stake","OK")))))</x:f>
      </x:c>
    </x:row>
    <x:row r="971" ht="22" customHeight="1">
      <x:c r="A971" s="24"/>
      <x:c r="B971" s="24"/>
      <x:c r="C971" s="26"/>
      <x:c r="D971" s="24"/>
      <x:c r="E971" s="24"/>
      <x:c r="F971" s="28"/>
      <x:c r="G971" s="29"/>
      <x:c r="H971" s="24"/>
      <x:c r="I971" s="24"/>
      <x:c r="J971" s="24"/>
      <x:c r="K971" s="24"/>
      <x:c r="L971" s="20" t="str">
        <x:f>IF(Q971&lt;&gt;"OK","",IF(E971="Back",G971*(F971-1),-G971*(F971-1)))</x:f>
      </x:c>
      <x:c r="M971" s="20" t="str">
        <x:f>IF(Q971&lt;&gt;"OK","",IF(E971="Back",-G971,G971))</x:f>
      </x:c>
      <x:c r="N971" s="20" t="str">
        <x:f>IF(Q971&lt;&gt;"OK","",SUMIFS($L$8:$L$1007,$A$8:$A$1007,A971,$B$8:$B$1007,"&lt;="&amp;B971))</x:f>
      </x:c>
      <x:c r="O971" s="20" t="str">
        <x:f>IF(Q971&lt;&gt;"OK","",SUMIFS($M$8:$M$1007,$A$8:$A$1007,A971,$B$8:$B$1007,"&lt;="&amp;B971))</x:f>
      </x:c>
      <x:c r="P971" s="20" t="str">
        <x:f>IF(Q971&lt;&gt;"OK","",MAX(0,-MIN(N971,O971)))</x:f>
      </x:c>
      <x:c r="Q971" s="18" t="str">
        <x:f>IF(A971="",IF(COUNTA(B971:K971)=0,"","Inserisci ID"),IF(COUNTIFS('Diario'!$A$8:$A$507,A971)&lt;&gt;1,"ID assente / duplicato",IF(OR(NOT(ISNUMBER(B971)),B971&lt;1,B971&lt;&gt;INT(B971),COUNTIFS($A$8:$A$1007,A971,$B$8:$B$1007,B971)&lt;&gt;1),"N. esecuzione non valido",IF(OR(NOT(ISNUMBER(C971)),AND(D971&lt;&gt;"Ingresso",D971&lt;&gt;"Uscita"),AND(E971&lt;&gt;"Back",E971&lt;&gt;"Lay")),"Completa data / fase / lato",IF(OR(NOT(ISNUMBER(F971)),F971&lt;=1,NOT(ISNUMBER(G971)),G971&lt;=0),"Correggi quota / stake","OK")))))</x:f>
      </x:c>
    </x:row>
    <x:row r="972" ht="22" customHeight="1">
      <x:c r="A972" s="24"/>
      <x:c r="B972" s="24"/>
      <x:c r="C972" s="26"/>
      <x:c r="D972" s="24"/>
      <x:c r="E972" s="24"/>
      <x:c r="F972" s="28"/>
      <x:c r="G972" s="29"/>
      <x:c r="H972" s="24"/>
      <x:c r="I972" s="24"/>
      <x:c r="J972" s="24"/>
      <x:c r="K972" s="24"/>
      <x:c r="L972" s="20" t="str">
        <x:f>IF(Q972&lt;&gt;"OK","",IF(E972="Back",G972*(F972-1),-G972*(F972-1)))</x:f>
      </x:c>
      <x:c r="M972" s="20" t="str">
        <x:f>IF(Q972&lt;&gt;"OK","",IF(E972="Back",-G972,G972))</x:f>
      </x:c>
      <x:c r="N972" s="20" t="str">
        <x:f>IF(Q972&lt;&gt;"OK","",SUMIFS($L$8:$L$1007,$A$8:$A$1007,A972,$B$8:$B$1007,"&lt;="&amp;B972))</x:f>
      </x:c>
      <x:c r="O972" s="20" t="str">
        <x:f>IF(Q972&lt;&gt;"OK","",SUMIFS($M$8:$M$1007,$A$8:$A$1007,A972,$B$8:$B$1007,"&lt;="&amp;B972))</x:f>
      </x:c>
      <x:c r="P972" s="20" t="str">
        <x:f>IF(Q972&lt;&gt;"OK","",MAX(0,-MIN(N972,O972)))</x:f>
      </x:c>
      <x:c r="Q972" s="18" t="str">
        <x:f>IF(A972="",IF(COUNTA(B972:K972)=0,"","Inserisci ID"),IF(COUNTIFS('Diario'!$A$8:$A$507,A972)&lt;&gt;1,"ID assente / duplicato",IF(OR(NOT(ISNUMBER(B972)),B972&lt;1,B972&lt;&gt;INT(B972),COUNTIFS($A$8:$A$1007,A972,$B$8:$B$1007,B972)&lt;&gt;1),"N. esecuzione non valido",IF(OR(NOT(ISNUMBER(C972)),AND(D972&lt;&gt;"Ingresso",D972&lt;&gt;"Uscita"),AND(E972&lt;&gt;"Back",E972&lt;&gt;"Lay")),"Completa data / fase / lato",IF(OR(NOT(ISNUMBER(F972)),F972&lt;=1,NOT(ISNUMBER(G972)),G972&lt;=0),"Correggi quota / stake","OK")))))</x:f>
      </x:c>
    </x:row>
    <x:row r="973" ht="22" customHeight="1">
      <x:c r="A973" s="24"/>
      <x:c r="B973" s="24"/>
      <x:c r="C973" s="26"/>
      <x:c r="D973" s="24"/>
      <x:c r="E973" s="24"/>
      <x:c r="F973" s="28"/>
      <x:c r="G973" s="29"/>
      <x:c r="H973" s="24"/>
      <x:c r="I973" s="24"/>
      <x:c r="J973" s="24"/>
      <x:c r="K973" s="24"/>
      <x:c r="L973" s="20" t="str">
        <x:f>IF(Q973&lt;&gt;"OK","",IF(E973="Back",G973*(F973-1),-G973*(F973-1)))</x:f>
      </x:c>
      <x:c r="M973" s="20" t="str">
        <x:f>IF(Q973&lt;&gt;"OK","",IF(E973="Back",-G973,G973))</x:f>
      </x:c>
      <x:c r="N973" s="20" t="str">
        <x:f>IF(Q973&lt;&gt;"OK","",SUMIFS($L$8:$L$1007,$A$8:$A$1007,A973,$B$8:$B$1007,"&lt;="&amp;B973))</x:f>
      </x:c>
      <x:c r="O973" s="20" t="str">
        <x:f>IF(Q973&lt;&gt;"OK","",SUMIFS($M$8:$M$1007,$A$8:$A$1007,A973,$B$8:$B$1007,"&lt;="&amp;B973))</x:f>
      </x:c>
      <x:c r="P973" s="20" t="str">
        <x:f>IF(Q973&lt;&gt;"OK","",MAX(0,-MIN(N973,O973)))</x:f>
      </x:c>
      <x:c r="Q973" s="18" t="str">
        <x:f>IF(A973="",IF(COUNTA(B973:K973)=0,"","Inserisci ID"),IF(COUNTIFS('Diario'!$A$8:$A$507,A973)&lt;&gt;1,"ID assente / duplicato",IF(OR(NOT(ISNUMBER(B973)),B973&lt;1,B973&lt;&gt;INT(B973),COUNTIFS($A$8:$A$1007,A973,$B$8:$B$1007,B973)&lt;&gt;1),"N. esecuzione non valido",IF(OR(NOT(ISNUMBER(C973)),AND(D973&lt;&gt;"Ingresso",D973&lt;&gt;"Uscita"),AND(E973&lt;&gt;"Back",E973&lt;&gt;"Lay")),"Completa data / fase / lato",IF(OR(NOT(ISNUMBER(F973)),F973&lt;=1,NOT(ISNUMBER(G973)),G973&lt;=0),"Correggi quota / stake","OK")))))</x:f>
      </x:c>
    </x:row>
    <x:row r="974" ht="22" customHeight="1">
      <x:c r="A974" s="24"/>
      <x:c r="B974" s="24"/>
      <x:c r="C974" s="26"/>
      <x:c r="D974" s="24"/>
      <x:c r="E974" s="24"/>
      <x:c r="F974" s="28"/>
      <x:c r="G974" s="29"/>
      <x:c r="H974" s="24"/>
      <x:c r="I974" s="24"/>
      <x:c r="J974" s="24"/>
      <x:c r="K974" s="24"/>
      <x:c r="L974" s="20" t="str">
        <x:f>IF(Q974&lt;&gt;"OK","",IF(E974="Back",G974*(F974-1),-G974*(F974-1)))</x:f>
      </x:c>
      <x:c r="M974" s="20" t="str">
        <x:f>IF(Q974&lt;&gt;"OK","",IF(E974="Back",-G974,G974))</x:f>
      </x:c>
      <x:c r="N974" s="20" t="str">
        <x:f>IF(Q974&lt;&gt;"OK","",SUMIFS($L$8:$L$1007,$A$8:$A$1007,A974,$B$8:$B$1007,"&lt;="&amp;B974))</x:f>
      </x:c>
      <x:c r="O974" s="20" t="str">
        <x:f>IF(Q974&lt;&gt;"OK","",SUMIFS($M$8:$M$1007,$A$8:$A$1007,A974,$B$8:$B$1007,"&lt;="&amp;B974))</x:f>
      </x:c>
      <x:c r="P974" s="20" t="str">
        <x:f>IF(Q974&lt;&gt;"OK","",MAX(0,-MIN(N974,O974)))</x:f>
      </x:c>
      <x:c r="Q974" s="18" t="str">
        <x:f>IF(A974="",IF(COUNTA(B974:K974)=0,"","Inserisci ID"),IF(COUNTIFS('Diario'!$A$8:$A$507,A974)&lt;&gt;1,"ID assente / duplicato",IF(OR(NOT(ISNUMBER(B974)),B974&lt;1,B974&lt;&gt;INT(B974),COUNTIFS($A$8:$A$1007,A974,$B$8:$B$1007,B974)&lt;&gt;1),"N. esecuzione non valido",IF(OR(NOT(ISNUMBER(C974)),AND(D974&lt;&gt;"Ingresso",D974&lt;&gt;"Uscita"),AND(E974&lt;&gt;"Back",E974&lt;&gt;"Lay")),"Completa data / fase / lato",IF(OR(NOT(ISNUMBER(F974)),F974&lt;=1,NOT(ISNUMBER(G974)),G974&lt;=0),"Correggi quota / stake","OK")))))</x:f>
      </x:c>
    </x:row>
    <x:row r="975" ht="22" customHeight="1">
      <x:c r="A975" s="24"/>
      <x:c r="B975" s="24"/>
      <x:c r="C975" s="26"/>
      <x:c r="D975" s="24"/>
      <x:c r="E975" s="24"/>
      <x:c r="F975" s="28"/>
      <x:c r="G975" s="29"/>
      <x:c r="H975" s="24"/>
      <x:c r="I975" s="24"/>
      <x:c r="J975" s="24"/>
      <x:c r="K975" s="24"/>
      <x:c r="L975" s="20" t="str">
        <x:f>IF(Q975&lt;&gt;"OK","",IF(E975="Back",G975*(F975-1),-G975*(F975-1)))</x:f>
      </x:c>
      <x:c r="M975" s="20" t="str">
        <x:f>IF(Q975&lt;&gt;"OK","",IF(E975="Back",-G975,G975))</x:f>
      </x:c>
      <x:c r="N975" s="20" t="str">
        <x:f>IF(Q975&lt;&gt;"OK","",SUMIFS($L$8:$L$1007,$A$8:$A$1007,A975,$B$8:$B$1007,"&lt;="&amp;B975))</x:f>
      </x:c>
      <x:c r="O975" s="20" t="str">
        <x:f>IF(Q975&lt;&gt;"OK","",SUMIFS($M$8:$M$1007,$A$8:$A$1007,A975,$B$8:$B$1007,"&lt;="&amp;B975))</x:f>
      </x:c>
      <x:c r="P975" s="20" t="str">
        <x:f>IF(Q975&lt;&gt;"OK","",MAX(0,-MIN(N975,O975)))</x:f>
      </x:c>
      <x:c r="Q975" s="18" t="str">
        <x:f>IF(A975="",IF(COUNTA(B975:K975)=0,"","Inserisci ID"),IF(COUNTIFS('Diario'!$A$8:$A$507,A975)&lt;&gt;1,"ID assente / duplicato",IF(OR(NOT(ISNUMBER(B975)),B975&lt;1,B975&lt;&gt;INT(B975),COUNTIFS($A$8:$A$1007,A975,$B$8:$B$1007,B975)&lt;&gt;1),"N. esecuzione non valido",IF(OR(NOT(ISNUMBER(C975)),AND(D975&lt;&gt;"Ingresso",D975&lt;&gt;"Uscita"),AND(E975&lt;&gt;"Back",E975&lt;&gt;"Lay")),"Completa data / fase / lato",IF(OR(NOT(ISNUMBER(F975)),F975&lt;=1,NOT(ISNUMBER(G975)),G975&lt;=0),"Correggi quota / stake","OK")))))</x:f>
      </x:c>
    </x:row>
    <x:row r="976" ht="22" customHeight="1">
      <x:c r="A976" s="24"/>
      <x:c r="B976" s="24"/>
      <x:c r="C976" s="26"/>
      <x:c r="D976" s="24"/>
      <x:c r="E976" s="24"/>
      <x:c r="F976" s="28"/>
      <x:c r="G976" s="29"/>
      <x:c r="H976" s="24"/>
      <x:c r="I976" s="24"/>
      <x:c r="J976" s="24"/>
      <x:c r="K976" s="24"/>
      <x:c r="L976" s="20" t="str">
        <x:f>IF(Q976&lt;&gt;"OK","",IF(E976="Back",G976*(F976-1),-G976*(F976-1)))</x:f>
      </x:c>
      <x:c r="M976" s="20" t="str">
        <x:f>IF(Q976&lt;&gt;"OK","",IF(E976="Back",-G976,G976))</x:f>
      </x:c>
      <x:c r="N976" s="20" t="str">
        <x:f>IF(Q976&lt;&gt;"OK","",SUMIFS($L$8:$L$1007,$A$8:$A$1007,A976,$B$8:$B$1007,"&lt;="&amp;B976))</x:f>
      </x:c>
      <x:c r="O976" s="20" t="str">
        <x:f>IF(Q976&lt;&gt;"OK","",SUMIFS($M$8:$M$1007,$A$8:$A$1007,A976,$B$8:$B$1007,"&lt;="&amp;B976))</x:f>
      </x:c>
      <x:c r="P976" s="20" t="str">
        <x:f>IF(Q976&lt;&gt;"OK","",MAX(0,-MIN(N976,O976)))</x:f>
      </x:c>
      <x:c r="Q976" s="18" t="str">
        <x:f>IF(A976="",IF(COUNTA(B976:K976)=0,"","Inserisci ID"),IF(COUNTIFS('Diario'!$A$8:$A$507,A976)&lt;&gt;1,"ID assente / duplicato",IF(OR(NOT(ISNUMBER(B976)),B976&lt;1,B976&lt;&gt;INT(B976),COUNTIFS($A$8:$A$1007,A976,$B$8:$B$1007,B976)&lt;&gt;1),"N. esecuzione non valido",IF(OR(NOT(ISNUMBER(C976)),AND(D976&lt;&gt;"Ingresso",D976&lt;&gt;"Uscita"),AND(E976&lt;&gt;"Back",E976&lt;&gt;"Lay")),"Completa data / fase / lato",IF(OR(NOT(ISNUMBER(F976)),F976&lt;=1,NOT(ISNUMBER(G976)),G976&lt;=0),"Correggi quota / stake","OK")))))</x:f>
      </x:c>
    </x:row>
    <x:row r="977" ht="22" customHeight="1">
      <x:c r="A977" s="24"/>
      <x:c r="B977" s="24"/>
      <x:c r="C977" s="26"/>
      <x:c r="D977" s="24"/>
      <x:c r="E977" s="24"/>
      <x:c r="F977" s="28"/>
      <x:c r="G977" s="29"/>
      <x:c r="H977" s="24"/>
      <x:c r="I977" s="24"/>
      <x:c r="J977" s="24"/>
      <x:c r="K977" s="24"/>
      <x:c r="L977" s="20" t="str">
        <x:f>IF(Q977&lt;&gt;"OK","",IF(E977="Back",G977*(F977-1),-G977*(F977-1)))</x:f>
      </x:c>
      <x:c r="M977" s="20" t="str">
        <x:f>IF(Q977&lt;&gt;"OK","",IF(E977="Back",-G977,G977))</x:f>
      </x:c>
      <x:c r="N977" s="20" t="str">
        <x:f>IF(Q977&lt;&gt;"OK","",SUMIFS($L$8:$L$1007,$A$8:$A$1007,A977,$B$8:$B$1007,"&lt;="&amp;B977))</x:f>
      </x:c>
      <x:c r="O977" s="20" t="str">
        <x:f>IF(Q977&lt;&gt;"OK","",SUMIFS($M$8:$M$1007,$A$8:$A$1007,A977,$B$8:$B$1007,"&lt;="&amp;B977))</x:f>
      </x:c>
      <x:c r="P977" s="20" t="str">
        <x:f>IF(Q977&lt;&gt;"OK","",MAX(0,-MIN(N977,O977)))</x:f>
      </x:c>
      <x:c r="Q977" s="18" t="str">
        <x:f>IF(A977="",IF(COUNTA(B977:K977)=0,"","Inserisci ID"),IF(COUNTIFS('Diario'!$A$8:$A$507,A977)&lt;&gt;1,"ID assente / duplicato",IF(OR(NOT(ISNUMBER(B977)),B977&lt;1,B977&lt;&gt;INT(B977),COUNTIFS($A$8:$A$1007,A977,$B$8:$B$1007,B977)&lt;&gt;1),"N. esecuzione non valido",IF(OR(NOT(ISNUMBER(C977)),AND(D977&lt;&gt;"Ingresso",D977&lt;&gt;"Uscita"),AND(E977&lt;&gt;"Back",E977&lt;&gt;"Lay")),"Completa data / fase / lato",IF(OR(NOT(ISNUMBER(F977)),F977&lt;=1,NOT(ISNUMBER(G977)),G977&lt;=0),"Correggi quota / stake","OK")))))</x:f>
      </x:c>
    </x:row>
    <x:row r="978" ht="22" customHeight="1">
      <x:c r="A978" s="24"/>
      <x:c r="B978" s="24"/>
      <x:c r="C978" s="26"/>
      <x:c r="D978" s="24"/>
      <x:c r="E978" s="24"/>
      <x:c r="F978" s="28"/>
      <x:c r="G978" s="29"/>
      <x:c r="H978" s="24"/>
      <x:c r="I978" s="24"/>
      <x:c r="J978" s="24"/>
      <x:c r="K978" s="24"/>
      <x:c r="L978" s="20" t="str">
        <x:f>IF(Q978&lt;&gt;"OK","",IF(E978="Back",G978*(F978-1),-G978*(F978-1)))</x:f>
      </x:c>
      <x:c r="M978" s="20" t="str">
        <x:f>IF(Q978&lt;&gt;"OK","",IF(E978="Back",-G978,G978))</x:f>
      </x:c>
      <x:c r="N978" s="20" t="str">
        <x:f>IF(Q978&lt;&gt;"OK","",SUMIFS($L$8:$L$1007,$A$8:$A$1007,A978,$B$8:$B$1007,"&lt;="&amp;B978))</x:f>
      </x:c>
      <x:c r="O978" s="20" t="str">
        <x:f>IF(Q978&lt;&gt;"OK","",SUMIFS($M$8:$M$1007,$A$8:$A$1007,A978,$B$8:$B$1007,"&lt;="&amp;B978))</x:f>
      </x:c>
      <x:c r="P978" s="20" t="str">
        <x:f>IF(Q978&lt;&gt;"OK","",MAX(0,-MIN(N978,O978)))</x:f>
      </x:c>
      <x:c r="Q978" s="18" t="str">
        <x:f>IF(A978="",IF(COUNTA(B978:K978)=0,"","Inserisci ID"),IF(COUNTIFS('Diario'!$A$8:$A$507,A978)&lt;&gt;1,"ID assente / duplicato",IF(OR(NOT(ISNUMBER(B978)),B978&lt;1,B978&lt;&gt;INT(B978),COUNTIFS($A$8:$A$1007,A978,$B$8:$B$1007,B978)&lt;&gt;1),"N. esecuzione non valido",IF(OR(NOT(ISNUMBER(C978)),AND(D978&lt;&gt;"Ingresso",D978&lt;&gt;"Uscita"),AND(E978&lt;&gt;"Back",E978&lt;&gt;"Lay")),"Completa data / fase / lato",IF(OR(NOT(ISNUMBER(F978)),F978&lt;=1,NOT(ISNUMBER(G978)),G978&lt;=0),"Correggi quota / stake","OK")))))</x:f>
      </x:c>
    </x:row>
    <x:row r="979" ht="22" customHeight="1">
      <x:c r="A979" s="24"/>
      <x:c r="B979" s="24"/>
      <x:c r="C979" s="26"/>
      <x:c r="D979" s="24"/>
      <x:c r="E979" s="24"/>
      <x:c r="F979" s="28"/>
      <x:c r="G979" s="29"/>
      <x:c r="H979" s="24"/>
      <x:c r="I979" s="24"/>
      <x:c r="J979" s="24"/>
      <x:c r="K979" s="24"/>
      <x:c r="L979" s="20" t="str">
        <x:f>IF(Q979&lt;&gt;"OK","",IF(E979="Back",G979*(F979-1),-G979*(F979-1)))</x:f>
      </x:c>
      <x:c r="M979" s="20" t="str">
        <x:f>IF(Q979&lt;&gt;"OK","",IF(E979="Back",-G979,G979))</x:f>
      </x:c>
      <x:c r="N979" s="20" t="str">
        <x:f>IF(Q979&lt;&gt;"OK","",SUMIFS($L$8:$L$1007,$A$8:$A$1007,A979,$B$8:$B$1007,"&lt;="&amp;B979))</x:f>
      </x:c>
      <x:c r="O979" s="20" t="str">
        <x:f>IF(Q979&lt;&gt;"OK","",SUMIFS($M$8:$M$1007,$A$8:$A$1007,A979,$B$8:$B$1007,"&lt;="&amp;B979))</x:f>
      </x:c>
      <x:c r="P979" s="20" t="str">
        <x:f>IF(Q979&lt;&gt;"OK","",MAX(0,-MIN(N979,O979)))</x:f>
      </x:c>
      <x:c r="Q979" s="18" t="str">
        <x:f>IF(A979="",IF(COUNTA(B979:K979)=0,"","Inserisci ID"),IF(COUNTIFS('Diario'!$A$8:$A$507,A979)&lt;&gt;1,"ID assente / duplicato",IF(OR(NOT(ISNUMBER(B979)),B979&lt;1,B979&lt;&gt;INT(B979),COUNTIFS($A$8:$A$1007,A979,$B$8:$B$1007,B979)&lt;&gt;1),"N. esecuzione non valido",IF(OR(NOT(ISNUMBER(C979)),AND(D979&lt;&gt;"Ingresso",D979&lt;&gt;"Uscita"),AND(E979&lt;&gt;"Back",E979&lt;&gt;"Lay")),"Completa data / fase / lato",IF(OR(NOT(ISNUMBER(F979)),F979&lt;=1,NOT(ISNUMBER(G979)),G979&lt;=0),"Correggi quota / stake","OK")))))</x:f>
      </x:c>
    </x:row>
    <x:row r="980" ht="22" customHeight="1">
      <x:c r="A980" s="24"/>
      <x:c r="B980" s="24"/>
      <x:c r="C980" s="26"/>
      <x:c r="D980" s="24"/>
      <x:c r="E980" s="24"/>
      <x:c r="F980" s="28"/>
      <x:c r="G980" s="29"/>
      <x:c r="H980" s="24"/>
      <x:c r="I980" s="24"/>
      <x:c r="J980" s="24"/>
      <x:c r="K980" s="24"/>
      <x:c r="L980" s="20" t="str">
        <x:f>IF(Q980&lt;&gt;"OK","",IF(E980="Back",G980*(F980-1),-G980*(F980-1)))</x:f>
      </x:c>
      <x:c r="M980" s="20" t="str">
        <x:f>IF(Q980&lt;&gt;"OK","",IF(E980="Back",-G980,G980))</x:f>
      </x:c>
      <x:c r="N980" s="20" t="str">
        <x:f>IF(Q980&lt;&gt;"OK","",SUMIFS($L$8:$L$1007,$A$8:$A$1007,A980,$B$8:$B$1007,"&lt;="&amp;B980))</x:f>
      </x:c>
      <x:c r="O980" s="20" t="str">
        <x:f>IF(Q980&lt;&gt;"OK","",SUMIFS($M$8:$M$1007,$A$8:$A$1007,A980,$B$8:$B$1007,"&lt;="&amp;B980))</x:f>
      </x:c>
      <x:c r="P980" s="20" t="str">
        <x:f>IF(Q980&lt;&gt;"OK","",MAX(0,-MIN(N980,O980)))</x:f>
      </x:c>
      <x:c r="Q980" s="18" t="str">
        <x:f>IF(A980="",IF(COUNTA(B980:K980)=0,"","Inserisci ID"),IF(COUNTIFS('Diario'!$A$8:$A$507,A980)&lt;&gt;1,"ID assente / duplicato",IF(OR(NOT(ISNUMBER(B980)),B980&lt;1,B980&lt;&gt;INT(B980),COUNTIFS($A$8:$A$1007,A980,$B$8:$B$1007,B980)&lt;&gt;1),"N. esecuzione non valido",IF(OR(NOT(ISNUMBER(C980)),AND(D980&lt;&gt;"Ingresso",D980&lt;&gt;"Uscita"),AND(E980&lt;&gt;"Back",E980&lt;&gt;"Lay")),"Completa data / fase / lato",IF(OR(NOT(ISNUMBER(F980)),F980&lt;=1,NOT(ISNUMBER(G980)),G980&lt;=0),"Correggi quota / stake","OK")))))</x:f>
      </x:c>
    </x:row>
    <x:row r="981" ht="22" customHeight="1">
      <x:c r="A981" s="24"/>
      <x:c r="B981" s="24"/>
      <x:c r="C981" s="26"/>
      <x:c r="D981" s="24"/>
      <x:c r="E981" s="24"/>
      <x:c r="F981" s="28"/>
      <x:c r="G981" s="29"/>
      <x:c r="H981" s="24"/>
      <x:c r="I981" s="24"/>
      <x:c r="J981" s="24"/>
      <x:c r="K981" s="24"/>
      <x:c r="L981" s="20" t="str">
        <x:f>IF(Q981&lt;&gt;"OK","",IF(E981="Back",G981*(F981-1),-G981*(F981-1)))</x:f>
      </x:c>
      <x:c r="M981" s="20" t="str">
        <x:f>IF(Q981&lt;&gt;"OK","",IF(E981="Back",-G981,G981))</x:f>
      </x:c>
      <x:c r="N981" s="20" t="str">
        <x:f>IF(Q981&lt;&gt;"OK","",SUMIFS($L$8:$L$1007,$A$8:$A$1007,A981,$B$8:$B$1007,"&lt;="&amp;B981))</x:f>
      </x:c>
      <x:c r="O981" s="20" t="str">
        <x:f>IF(Q981&lt;&gt;"OK","",SUMIFS($M$8:$M$1007,$A$8:$A$1007,A981,$B$8:$B$1007,"&lt;="&amp;B981))</x:f>
      </x:c>
      <x:c r="P981" s="20" t="str">
        <x:f>IF(Q981&lt;&gt;"OK","",MAX(0,-MIN(N981,O981)))</x:f>
      </x:c>
      <x:c r="Q981" s="18" t="str">
        <x:f>IF(A981="",IF(COUNTA(B981:K981)=0,"","Inserisci ID"),IF(COUNTIFS('Diario'!$A$8:$A$507,A981)&lt;&gt;1,"ID assente / duplicato",IF(OR(NOT(ISNUMBER(B981)),B981&lt;1,B981&lt;&gt;INT(B981),COUNTIFS($A$8:$A$1007,A981,$B$8:$B$1007,B981)&lt;&gt;1),"N. esecuzione non valido",IF(OR(NOT(ISNUMBER(C981)),AND(D981&lt;&gt;"Ingresso",D981&lt;&gt;"Uscita"),AND(E981&lt;&gt;"Back",E981&lt;&gt;"Lay")),"Completa data / fase / lato",IF(OR(NOT(ISNUMBER(F981)),F981&lt;=1,NOT(ISNUMBER(G981)),G981&lt;=0),"Correggi quota / stake","OK")))))</x:f>
      </x:c>
    </x:row>
    <x:row r="982" ht="22" customHeight="1">
      <x:c r="A982" s="24"/>
      <x:c r="B982" s="24"/>
      <x:c r="C982" s="26"/>
      <x:c r="D982" s="24"/>
      <x:c r="E982" s="24"/>
      <x:c r="F982" s="28"/>
      <x:c r="G982" s="29"/>
      <x:c r="H982" s="24"/>
      <x:c r="I982" s="24"/>
      <x:c r="J982" s="24"/>
      <x:c r="K982" s="24"/>
      <x:c r="L982" s="20" t="str">
        <x:f>IF(Q982&lt;&gt;"OK","",IF(E982="Back",G982*(F982-1),-G982*(F982-1)))</x:f>
      </x:c>
      <x:c r="M982" s="20" t="str">
        <x:f>IF(Q982&lt;&gt;"OK","",IF(E982="Back",-G982,G982))</x:f>
      </x:c>
      <x:c r="N982" s="20" t="str">
        <x:f>IF(Q982&lt;&gt;"OK","",SUMIFS($L$8:$L$1007,$A$8:$A$1007,A982,$B$8:$B$1007,"&lt;="&amp;B982))</x:f>
      </x:c>
      <x:c r="O982" s="20" t="str">
        <x:f>IF(Q982&lt;&gt;"OK","",SUMIFS($M$8:$M$1007,$A$8:$A$1007,A982,$B$8:$B$1007,"&lt;="&amp;B982))</x:f>
      </x:c>
      <x:c r="P982" s="20" t="str">
        <x:f>IF(Q982&lt;&gt;"OK","",MAX(0,-MIN(N982,O982)))</x:f>
      </x:c>
      <x:c r="Q982" s="18" t="str">
        <x:f>IF(A982="",IF(COUNTA(B982:K982)=0,"","Inserisci ID"),IF(COUNTIFS('Diario'!$A$8:$A$507,A982)&lt;&gt;1,"ID assente / duplicato",IF(OR(NOT(ISNUMBER(B982)),B982&lt;1,B982&lt;&gt;INT(B982),COUNTIFS($A$8:$A$1007,A982,$B$8:$B$1007,B982)&lt;&gt;1),"N. esecuzione non valido",IF(OR(NOT(ISNUMBER(C982)),AND(D982&lt;&gt;"Ingresso",D982&lt;&gt;"Uscita"),AND(E982&lt;&gt;"Back",E982&lt;&gt;"Lay")),"Completa data / fase / lato",IF(OR(NOT(ISNUMBER(F982)),F982&lt;=1,NOT(ISNUMBER(G982)),G982&lt;=0),"Correggi quota / stake","OK")))))</x:f>
      </x:c>
    </x:row>
    <x:row r="983" ht="22" customHeight="1">
      <x:c r="A983" s="24"/>
      <x:c r="B983" s="24"/>
      <x:c r="C983" s="26"/>
      <x:c r="D983" s="24"/>
      <x:c r="E983" s="24"/>
      <x:c r="F983" s="28"/>
      <x:c r="G983" s="29"/>
      <x:c r="H983" s="24"/>
      <x:c r="I983" s="24"/>
      <x:c r="J983" s="24"/>
      <x:c r="K983" s="24"/>
      <x:c r="L983" s="20" t="str">
        <x:f>IF(Q983&lt;&gt;"OK","",IF(E983="Back",G983*(F983-1),-G983*(F983-1)))</x:f>
      </x:c>
      <x:c r="M983" s="20" t="str">
        <x:f>IF(Q983&lt;&gt;"OK","",IF(E983="Back",-G983,G983))</x:f>
      </x:c>
      <x:c r="N983" s="20" t="str">
        <x:f>IF(Q983&lt;&gt;"OK","",SUMIFS($L$8:$L$1007,$A$8:$A$1007,A983,$B$8:$B$1007,"&lt;="&amp;B983))</x:f>
      </x:c>
      <x:c r="O983" s="20" t="str">
        <x:f>IF(Q983&lt;&gt;"OK","",SUMIFS($M$8:$M$1007,$A$8:$A$1007,A983,$B$8:$B$1007,"&lt;="&amp;B983))</x:f>
      </x:c>
      <x:c r="P983" s="20" t="str">
        <x:f>IF(Q983&lt;&gt;"OK","",MAX(0,-MIN(N983,O983)))</x:f>
      </x:c>
      <x:c r="Q983" s="18" t="str">
        <x:f>IF(A983="",IF(COUNTA(B983:K983)=0,"","Inserisci ID"),IF(COUNTIFS('Diario'!$A$8:$A$507,A983)&lt;&gt;1,"ID assente / duplicato",IF(OR(NOT(ISNUMBER(B983)),B983&lt;1,B983&lt;&gt;INT(B983),COUNTIFS($A$8:$A$1007,A983,$B$8:$B$1007,B983)&lt;&gt;1),"N. esecuzione non valido",IF(OR(NOT(ISNUMBER(C983)),AND(D983&lt;&gt;"Ingresso",D983&lt;&gt;"Uscita"),AND(E983&lt;&gt;"Back",E983&lt;&gt;"Lay")),"Completa data / fase / lato",IF(OR(NOT(ISNUMBER(F983)),F983&lt;=1,NOT(ISNUMBER(G983)),G983&lt;=0),"Correggi quota / stake","OK")))))</x:f>
      </x:c>
    </x:row>
    <x:row r="984" ht="22" customHeight="1">
      <x:c r="A984" s="24"/>
      <x:c r="B984" s="24"/>
      <x:c r="C984" s="26"/>
      <x:c r="D984" s="24"/>
      <x:c r="E984" s="24"/>
      <x:c r="F984" s="28"/>
      <x:c r="G984" s="29"/>
      <x:c r="H984" s="24"/>
      <x:c r="I984" s="24"/>
      <x:c r="J984" s="24"/>
      <x:c r="K984" s="24"/>
      <x:c r="L984" s="20" t="str">
        <x:f>IF(Q984&lt;&gt;"OK","",IF(E984="Back",G984*(F984-1),-G984*(F984-1)))</x:f>
      </x:c>
      <x:c r="M984" s="20" t="str">
        <x:f>IF(Q984&lt;&gt;"OK","",IF(E984="Back",-G984,G984))</x:f>
      </x:c>
      <x:c r="N984" s="20" t="str">
        <x:f>IF(Q984&lt;&gt;"OK","",SUMIFS($L$8:$L$1007,$A$8:$A$1007,A984,$B$8:$B$1007,"&lt;="&amp;B984))</x:f>
      </x:c>
      <x:c r="O984" s="20" t="str">
        <x:f>IF(Q984&lt;&gt;"OK","",SUMIFS($M$8:$M$1007,$A$8:$A$1007,A984,$B$8:$B$1007,"&lt;="&amp;B984))</x:f>
      </x:c>
      <x:c r="P984" s="20" t="str">
        <x:f>IF(Q984&lt;&gt;"OK","",MAX(0,-MIN(N984,O984)))</x:f>
      </x:c>
      <x:c r="Q984" s="18" t="str">
        <x:f>IF(A984="",IF(COUNTA(B984:K984)=0,"","Inserisci ID"),IF(COUNTIFS('Diario'!$A$8:$A$507,A984)&lt;&gt;1,"ID assente / duplicato",IF(OR(NOT(ISNUMBER(B984)),B984&lt;1,B984&lt;&gt;INT(B984),COUNTIFS($A$8:$A$1007,A984,$B$8:$B$1007,B984)&lt;&gt;1),"N. esecuzione non valido",IF(OR(NOT(ISNUMBER(C984)),AND(D984&lt;&gt;"Ingresso",D984&lt;&gt;"Uscita"),AND(E984&lt;&gt;"Back",E984&lt;&gt;"Lay")),"Completa data / fase / lato",IF(OR(NOT(ISNUMBER(F984)),F984&lt;=1,NOT(ISNUMBER(G984)),G984&lt;=0),"Correggi quota / stake","OK")))))</x:f>
      </x:c>
    </x:row>
    <x:row r="985" ht="22" customHeight="1">
      <x:c r="A985" s="24"/>
      <x:c r="B985" s="24"/>
      <x:c r="C985" s="26"/>
      <x:c r="D985" s="24"/>
      <x:c r="E985" s="24"/>
      <x:c r="F985" s="28"/>
      <x:c r="G985" s="29"/>
      <x:c r="H985" s="24"/>
      <x:c r="I985" s="24"/>
      <x:c r="J985" s="24"/>
      <x:c r="K985" s="24"/>
      <x:c r="L985" s="20" t="str">
        <x:f>IF(Q985&lt;&gt;"OK","",IF(E985="Back",G985*(F985-1),-G985*(F985-1)))</x:f>
      </x:c>
      <x:c r="M985" s="20" t="str">
        <x:f>IF(Q985&lt;&gt;"OK","",IF(E985="Back",-G985,G985))</x:f>
      </x:c>
      <x:c r="N985" s="20" t="str">
        <x:f>IF(Q985&lt;&gt;"OK","",SUMIFS($L$8:$L$1007,$A$8:$A$1007,A985,$B$8:$B$1007,"&lt;="&amp;B985))</x:f>
      </x:c>
      <x:c r="O985" s="20" t="str">
        <x:f>IF(Q985&lt;&gt;"OK","",SUMIFS($M$8:$M$1007,$A$8:$A$1007,A985,$B$8:$B$1007,"&lt;="&amp;B985))</x:f>
      </x:c>
      <x:c r="P985" s="20" t="str">
        <x:f>IF(Q985&lt;&gt;"OK","",MAX(0,-MIN(N985,O985)))</x:f>
      </x:c>
      <x:c r="Q985" s="18" t="str">
        <x:f>IF(A985="",IF(COUNTA(B985:K985)=0,"","Inserisci ID"),IF(COUNTIFS('Diario'!$A$8:$A$507,A985)&lt;&gt;1,"ID assente / duplicato",IF(OR(NOT(ISNUMBER(B985)),B985&lt;1,B985&lt;&gt;INT(B985),COUNTIFS($A$8:$A$1007,A985,$B$8:$B$1007,B985)&lt;&gt;1),"N. esecuzione non valido",IF(OR(NOT(ISNUMBER(C985)),AND(D985&lt;&gt;"Ingresso",D985&lt;&gt;"Uscita"),AND(E985&lt;&gt;"Back",E985&lt;&gt;"Lay")),"Completa data / fase / lato",IF(OR(NOT(ISNUMBER(F985)),F985&lt;=1,NOT(ISNUMBER(G985)),G985&lt;=0),"Correggi quota / stake","OK")))))</x:f>
      </x:c>
    </x:row>
    <x:row r="986" ht="22" customHeight="1">
      <x:c r="A986" s="24"/>
      <x:c r="B986" s="24"/>
      <x:c r="C986" s="26"/>
      <x:c r="D986" s="24"/>
      <x:c r="E986" s="24"/>
      <x:c r="F986" s="28"/>
      <x:c r="G986" s="29"/>
      <x:c r="H986" s="24"/>
      <x:c r="I986" s="24"/>
      <x:c r="J986" s="24"/>
      <x:c r="K986" s="24"/>
      <x:c r="L986" s="20" t="str">
        <x:f>IF(Q986&lt;&gt;"OK","",IF(E986="Back",G986*(F986-1),-G986*(F986-1)))</x:f>
      </x:c>
      <x:c r="M986" s="20" t="str">
        <x:f>IF(Q986&lt;&gt;"OK","",IF(E986="Back",-G986,G986))</x:f>
      </x:c>
      <x:c r="N986" s="20" t="str">
        <x:f>IF(Q986&lt;&gt;"OK","",SUMIFS($L$8:$L$1007,$A$8:$A$1007,A986,$B$8:$B$1007,"&lt;="&amp;B986))</x:f>
      </x:c>
      <x:c r="O986" s="20" t="str">
        <x:f>IF(Q986&lt;&gt;"OK","",SUMIFS($M$8:$M$1007,$A$8:$A$1007,A986,$B$8:$B$1007,"&lt;="&amp;B986))</x:f>
      </x:c>
      <x:c r="P986" s="20" t="str">
        <x:f>IF(Q986&lt;&gt;"OK","",MAX(0,-MIN(N986,O986)))</x:f>
      </x:c>
      <x:c r="Q986" s="18" t="str">
        <x:f>IF(A986="",IF(COUNTA(B986:K986)=0,"","Inserisci ID"),IF(COUNTIFS('Diario'!$A$8:$A$507,A986)&lt;&gt;1,"ID assente / duplicato",IF(OR(NOT(ISNUMBER(B986)),B986&lt;1,B986&lt;&gt;INT(B986),COUNTIFS($A$8:$A$1007,A986,$B$8:$B$1007,B986)&lt;&gt;1),"N. esecuzione non valido",IF(OR(NOT(ISNUMBER(C986)),AND(D986&lt;&gt;"Ingresso",D986&lt;&gt;"Uscita"),AND(E986&lt;&gt;"Back",E986&lt;&gt;"Lay")),"Completa data / fase / lato",IF(OR(NOT(ISNUMBER(F986)),F986&lt;=1,NOT(ISNUMBER(G986)),G986&lt;=0),"Correggi quota / stake","OK")))))</x:f>
      </x:c>
    </x:row>
    <x:row r="987" ht="22" customHeight="1">
      <x:c r="A987" s="24"/>
      <x:c r="B987" s="24"/>
      <x:c r="C987" s="26"/>
      <x:c r="D987" s="24"/>
      <x:c r="E987" s="24"/>
      <x:c r="F987" s="28"/>
      <x:c r="G987" s="29"/>
      <x:c r="H987" s="24"/>
      <x:c r="I987" s="24"/>
      <x:c r="J987" s="24"/>
      <x:c r="K987" s="24"/>
      <x:c r="L987" s="20" t="str">
        <x:f>IF(Q987&lt;&gt;"OK","",IF(E987="Back",G987*(F987-1),-G987*(F987-1)))</x:f>
      </x:c>
      <x:c r="M987" s="20" t="str">
        <x:f>IF(Q987&lt;&gt;"OK","",IF(E987="Back",-G987,G987))</x:f>
      </x:c>
      <x:c r="N987" s="20" t="str">
        <x:f>IF(Q987&lt;&gt;"OK","",SUMIFS($L$8:$L$1007,$A$8:$A$1007,A987,$B$8:$B$1007,"&lt;="&amp;B987))</x:f>
      </x:c>
      <x:c r="O987" s="20" t="str">
        <x:f>IF(Q987&lt;&gt;"OK","",SUMIFS($M$8:$M$1007,$A$8:$A$1007,A987,$B$8:$B$1007,"&lt;="&amp;B987))</x:f>
      </x:c>
      <x:c r="P987" s="20" t="str">
        <x:f>IF(Q987&lt;&gt;"OK","",MAX(0,-MIN(N987,O987)))</x:f>
      </x:c>
      <x:c r="Q987" s="18" t="str">
        <x:f>IF(A987="",IF(COUNTA(B987:K987)=0,"","Inserisci ID"),IF(COUNTIFS('Diario'!$A$8:$A$507,A987)&lt;&gt;1,"ID assente / duplicato",IF(OR(NOT(ISNUMBER(B987)),B987&lt;1,B987&lt;&gt;INT(B987),COUNTIFS($A$8:$A$1007,A987,$B$8:$B$1007,B987)&lt;&gt;1),"N. esecuzione non valido",IF(OR(NOT(ISNUMBER(C987)),AND(D987&lt;&gt;"Ingresso",D987&lt;&gt;"Uscita"),AND(E987&lt;&gt;"Back",E987&lt;&gt;"Lay")),"Completa data / fase / lato",IF(OR(NOT(ISNUMBER(F987)),F987&lt;=1,NOT(ISNUMBER(G987)),G987&lt;=0),"Correggi quota / stake","OK")))))</x:f>
      </x:c>
    </x:row>
    <x:row r="988" ht="22" customHeight="1">
      <x:c r="A988" s="24"/>
      <x:c r="B988" s="24"/>
      <x:c r="C988" s="26"/>
      <x:c r="D988" s="24"/>
      <x:c r="E988" s="24"/>
      <x:c r="F988" s="28"/>
      <x:c r="G988" s="29"/>
      <x:c r="H988" s="24"/>
      <x:c r="I988" s="24"/>
      <x:c r="J988" s="24"/>
      <x:c r="K988" s="24"/>
      <x:c r="L988" s="20" t="str">
        <x:f>IF(Q988&lt;&gt;"OK","",IF(E988="Back",G988*(F988-1),-G988*(F988-1)))</x:f>
      </x:c>
      <x:c r="M988" s="20" t="str">
        <x:f>IF(Q988&lt;&gt;"OK","",IF(E988="Back",-G988,G988))</x:f>
      </x:c>
      <x:c r="N988" s="20" t="str">
        <x:f>IF(Q988&lt;&gt;"OK","",SUMIFS($L$8:$L$1007,$A$8:$A$1007,A988,$B$8:$B$1007,"&lt;="&amp;B988))</x:f>
      </x:c>
      <x:c r="O988" s="20" t="str">
        <x:f>IF(Q988&lt;&gt;"OK","",SUMIFS($M$8:$M$1007,$A$8:$A$1007,A988,$B$8:$B$1007,"&lt;="&amp;B988))</x:f>
      </x:c>
      <x:c r="P988" s="20" t="str">
        <x:f>IF(Q988&lt;&gt;"OK","",MAX(0,-MIN(N988,O988)))</x:f>
      </x:c>
      <x:c r="Q988" s="18" t="str">
        <x:f>IF(A988="",IF(COUNTA(B988:K988)=0,"","Inserisci ID"),IF(COUNTIFS('Diario'!$A$8:$A$507,A988)&lt;&gt;1,"ID assente / duplicato",IF(OR(NOT(ISNUMBER(B988)),B988&lt;1,B988&lt;&gt;INT(B988),COUNTIFS($A$8:$A$1007,A988,$B$8:$B$1007,B988)&lt;&gt;1),"N. esecuzione non valido",IF(OR(NOT(ISNUMBER(C988)),AND(D988&lt;&gt;"Ingresso",D988&lt;&gt;"Uscita"),AND(E988&lt;&gt;"Back",E988&lt;&gt;"Lay")),"Completa data / fase / lato",IF(OR(NOT(ISNUMBER(F988)),F988&lt;=1,NOT(ISNUMBER(G988)),G988&lt;=0),"Correggi quota / stake","OK")))))</x:f>
      </x:c>
    </x:row>
    <x:row r="989" ht="22" customHeight="1">
      <x:c r="A989" s="24"/>
      <x:c r="B989" s="24"/>
      <x:c r="C989" s="26"/>
      <x:c r="D989" s="24"/>
      <x:c r="E989" s="24"/>
      <x:c r="F989" s="28"/>
      <x:c r="G989" s="29"/>
      <x:c r="H989" s="24"/>
      <x:c r="I989" s="24"/>
      <x:c r="J989" s="24"/>
      <x:c r="K989" s="24"/>
      <x:c r="L989" s="20" t="str">
        <x:f>IF(Q989&lt;&gt;"OK","",IF(E989="Back",G989*(F989-1),-G989*(F989-1)))</x:f>
      </x:c>
      <x:c r="M989" s="20" t="str">
        <x:f>IF(Q989&lt;&gt;"OK","",IF(E989="Back",-G989,G989))</x:f>
      </x:c>
      <x:c r="N989" s="20" t="str">
        <x:f>IF(Q989&lt;&gt;"OK","",SUMIFS($L$8:$L$1007,$A$8:$A$1007,A989,$B$8:$B$1007,"&lt;="&amp;B989))</x:f>
      </x:c>
      <x:c r="O989" s="20" t="str">
        <x:f>IF(Q989&lt;&gt;"OK","",SUMIFS($M$8:$M$1007,$A$8:$A$1007,A989,$B$8:$B$1007,"&lt;="&amp;B989))</x:f>
      </x:c>
      <x:c r="P989" s="20" t="str">
        <x:f>IF(Q989&lt;&gt;"OK","",MAX(0,-MIN(N989,O989)))</x:f>
      </x:c>
      <x:c r="Q989" s="18" t="str">
        <x:f>IF(A989="",IF(COUNTA(B989:K989)=0,"","Inserisci ID"),IF(COUNTIFS('Diario'!$A$8:$A$507,A989)&lt;&gt;1,"ID assente / duplicato",IF(OR(NOT(ISNUMBER(B989)),B989&lt;1,B989&lt;&gt;INT(B989),COUNTIFS($A$8:$A$1007,A989,$B$8:$B$1007,B989)&lt;&gt;1),"N. esecuzione non valido",IF(OR(NOT(ISNUMBER(C989)),AND(D989&lt;&gt;"Ingresso",D989&lt;&gt;"Uscita"),AND(E989&lt;&gt;"Back",E989&lt;&gt;"Lay")),"Completa data / fase / lato",IF(OR(NOT(ISNUMBER(F989)),F989&lt;=1,NOT(ISNUMBER(G989)),G989&lt;=0),"Correggi quota / stake","OK")))))</x:f>
      </x:c>
    </x:row>
    <x:row r="990" ht="22" customHeight="1">
      <x:c r="A990" s="24"/>
      <x:c r="B990" s="24"/>
      <x:c r="C990" s="26"/>
      <x:c r="D990" s="24"/>
      <x:c r="E990" s="24"/>
      <x:c r="F990" s="28"/>
      <x:c r="G990" s="29"/>
      <x:c r="H990" s="24"/>
      <x:c r="I990" s="24"/>
      <x:c r="J990" s="24"/>
      <x:c r="K990" s="24"/>
      <x:c r="L990" s="20" t="str">
        <x:f>IF(Q990&lt;&gt;"OK","",IF(E990="Back",G990*(F990-1),-G990*(F990-1)))</x:f>
      </x:c>
      <x:c r="M990" s="20" t="str">
        <x:f>IF(Q990&lt;&gt;"OK","",IF(E990="Back",-G990,G990))</x:f>
      </x:c>
      <x:c r="N990" s="20" t="str">
        <x:f>IF(Q990&lt;&gt;"OK","",SUMIFS($L$8:$L$1007,$A$8:$A$1007,A990,$B$8:$B$1007,"&lt;="&amp;B990))</x:f>
      </x:c>
      <x:c r="O990" s="20" t="str">
        <x:f>IF(Q990&lt;&gt;"OK","",SUMIFS($M$8:$M$1007,$A$8:$A$1007,A990,$B$8:$B$1007,"&lt;="&amp;B990))</x:f>
      </x:c>
      <x:c r="P990" s="20" t="str">
        <x:f>IF(Q990&lt;&gt;"OK","",MAX(0,-MIN(N990,O990)))</x:f>
      </x:c>
      <x:c r="Q990" s="18" t="str">
        <x:f>IF(A990="",IF(COUNTA(B990:K990)=0,"","Inserisci ID"),IF(COUNTIFS('Diario'!$A$8:$A$507,A990)&lt;&gt;1,"ID assente / duplicato",IF(OR(NOT(ISNUMBER(B990)),B990&lt;1,B990&lt;&gt;INT(B990),COUNTIFS($A$8:$A$1007,A990,$B$8:$B$1007,B990)&lt;&gt;1),"N. esecuzione non valido",IF(OR(NOT(ISNUMBER(C990)),AND(D990&lt;&gt;"Ingresso",D990&lt;&gt;"Uscita"),AND(E990&lt;&gt;"Back",E990&lt;&gt;"Lay")),"Completa data / fase / lato",IF(OR(NOT(ISNUMBER(F990)),F990&lt;=1,NOT(ISNUMBER(G990)),G990&lt;=0),"Correggi quota / stake","OK")))))</x:f>
      </x:c>
    </x:row>
    <x:row r="991" ht="22" customHeight="1">
      <x:c r="A991" s="24"/>
      <x:c r="B991" s="24"/>
      <x:c r="C991" s="26"/>
      <x:c r="D991" s="24"/>
      <x:c r="E991" s="24"/>
      <x:c r="F991" s="28"/>
      <x:c r="G991" s="29"/>
      <x:c r="H991" s="24"/>
      <x:c r="I991" s="24"/>
      <x:c r="J991" s="24"/>
      <x:c r="K991" s="24"/>
      <x:c r="L991" s="20" t="str">
        <x:f>IF(Q991&lt;&gt;"OK","",IF(E991="Back",G991*(F991-1),-G991*(F991-1)))</x:f>
      </x:c>
      <x:c r="M991" s="20" t="str">
        <x:f>IF(Q991&lt;&gt;"OK","",IF(E991="Back",-G991,G991))</x:f>
      </x:c>
      <x:c r="N991" s="20" t="str">
        <x:f>IF(Q991&lt;&gt;"OK","",SUMIFS($L$8:$L$1007,$A$8:$A$1007,A991,$B$8:$B$1007,"&lt;="&amp;B991))</x:f>
      </x:c>
      <x:c r="O991" s="20" t="str">
        <x:f>IF(Q991&lt;&gt;"OK","",SUMIFS($M$8:$M$1007,$A$8:$A$1007,A991,$B$8:$B$1007,"&lt;="&amp;B991))</x:f>
      </x:c>
      <x:c r="P991" s="20" t="str">
        <x:f>IF(Q991&lt;&gt;"OK","",MAX(0,-MIN(N991,O991)))</x:f>
      </x:c>
      <x:c r="Q991" s="18" t="str">
        <x:f>IF(A991="",IF(COUNTA(B991:K991)=0,"","Inserisci ID"),IF(COUNTIFS('Diario'!$A$8:$A$507,A991)&lt;&gt;1,"ID assente / duplicato",IF(OR(NOT(ISNUMBER(B991)),B991&lt;1,B991&lt;&gt;INT(B991),COUNTIFS($A$8:$A$1007,A991,$B$8:$B$1007,B991)&lt;&gt;1),"N. esecuzione non valido",IF(OR(NOT(ISNUMBER(C991)),AND(D991&lt;&gt;"Ingresso",D991&lt;&gt;"Uscita"),AND(E991&lt;&gt;"Back",E991&lt;&gt;"Lay")),"Completa data / fase / lato",IF(OR(NOT(ISNUMBER(F991)),F991&lt;=1,NOT(ISNUMBER(G991)),G991&lt;=0),"Correggi quota / stake","OK")))))</x:f>
      </x:c>
    </x:row>
    <x:row r="992" ht="22" customHeight="1">
      <x:c r="A992" s="24"/>
      <x:c r="B992" s="24"/>
      <x:c r="C992" s="26"/>
      <x:c r="D992" s="24"/>
      <x:c r="E992" s="24"/>
      <x:c r="F992" s="28"/>
      <x:c r="G992" s="29"/>
      <x:c r="H992" s="24"/>
      <x:c r="I992" s="24"/>
      <x:c r="J992" s="24"/>
      <x:c r="K992" s="24"/>
      <x:c r="L992" s="20" t="str">
        <x:f>IF(Q992&lt;&gt;"OK","",IF(E992="Back",G992*(F992-1),-G992*(F992-1)))</x:f>
      </x:c>
      <x:c r="M992" s="20" t="str">
        <x:f>IF(Q992&lt;&gt;"OK","",IF(E992="Back",-G992,G992))</x:f>
      </x:c>
      <x:c r="N992" s="20" t="str">
        <x:f>IF(Q992&lt;&gt;"OK","",SUMIFS($L$8:$L$1007,$A$8:$A$1007,A992,$B$8:$B$1007,"&lt;="&amp;B992))</x:f>
      </x:c>
      <x:c r="O992" s="20" t="str">
        <x:f>IF(Q992&lt;&gt;"OK","",SUMIFS($M$8:$M$1007,$A$8:$A$1007,A992,$B$8:$B$1007,"&lt;="&amp;B992))</x:f>
      </x:c>
      <x:c r="P992" s="20" t="str">
        <x:f>IF(Q992&lt;&gt;"OK","",MAX(0,-MIN(N992,O992)))</x:f>
      </x:c>
      <x:c r="Q992" s="18" t="str">
        <x:f>IF(A992="",IF(COUNTA(B992:K992)=0,"","Inserisci ID"),IF(COUNTIFS('Diario'!$A$8:$A$507,A992)&lt;&gt;1,"ID assente / duplicato",IF(OR(NOT(ISNUMBER(B992)),B992&lt;1,B992&lt;&gt;INT(B992),COUNTIFS($A$8:$A$1007,A992,$B$8:$B$1007,B992)&lt;&gt;1),"N. esecuzione non valido",IF(OR(NOT(ISNUMBER(C992)),AND(D992&lt;&gt;"Ingresso",D992&lt;&gt;"Uscita"),AND(E992&lt;&gt;"Back",E992&lt;&gt;"Lay")),"Completa data / fase / lato",IF(OR(NOT(ISNUMBER(F992)),F992&lt;=1,NOT(ISNUMBER(G992)),G992&lt;=0),"Correggi quota / stake","OK")))))</x:f>
      </x:c>
    </x:row>
    <x:row r="993" ht="22" customHeight="1">
      <x:c r="A993" s="24"/>
      <x:c r="B993" s="24"/>
      <x:c r="C993" s="26"/>
      <x:c r="D993" s="24"/>
      <x:c r="E993" s="24"/>
      <x:c r="F993" s="28"/>
      <x:c r="G993" s="29"/>
      <x:c r="H993" s="24"/>
      <x:c r="I993" s="24"/>
      <x:c r="J993" s="24"/>
      <x:c r="K993" s="24"/>
      <x:c r="L993" s="20" t="str">
        <x:f>IF(Q993&lt;&gt;"OK","",IF(E993="Back",G993*(F993-1),-G993*(F993-1)))</x:f>
      </x:c>
      <x:c r="M993" s="20" t="str">
        <x:f>IF(Q993&lt;&gt;"OK","",IF(E993="Back",-G993,G993))</x:f>
      </x:c>
      <x:c r="N993" s="20" t="str">
        <x:f>IF(Q993&lt;&gt;"OK","",SUMIFS($L$8:$L$1007,$A$8:$A$1007,A993,$B$8:$B$1007,"&lt;="&amp;B993))</x:f>
      </x:c>
      <x:c r="O993" s="20" t="str">
        <x:f>IF(Q993&lt;&gt;"OK","",SUMIFS($M$8:$M$1007,$A$8:$A$1007,A993,$B$8:$B$1007,"&lt;="&amp;B993))</x:f>
      </x:c>
      <x:c r="P993" s="20" t="str">
        <x:f>IF(Q993&lt;&gt;"OK","",MAX(0,-MIN(N993,O993)))</x:f>
      </x:c>
      <x:c r="Q993" s="18" t="str">
        <x:f>IF(A993="",IF(COUNTA(B993:K993)=0,"","Inserisci ID"),IF(COUNTIFS('Diario'!$A$8:$A$507,A993)&lt;&gt;1,"ID assente / duplicato",IF(OR(NOT(ISNUMBER(B993)),B993&lt;1,B993&lt;&gt;INT(B993),COUNTIFS($A$8:$A$1007,A993,$B$8:$B$1007,B993)&lt;&gt;1),"N. esecuzione non valido",IF(OR(NOT(ISNUMBER(C993)),AND(D993&lt;&gt;"Ingresso",D993&lt;&gt;"Uscita"),AND(E993&lt;&gt;"Back",E993&lt;&gt;"Lay")),"Completa data / fase / lato",IF(OR(NOT(ISNUMBER(F993)),F993&lt;=1,NOT(ISNUMBER(G993)),G993&lt;=0),"Correggi quota / stake","OK")))))</x:f>
      </x:c>
    </x:row>
    <x:row r="994" ht="22" customHeight="1">
      <x:c r="A994" s="24"/>
      <x:c r="B994" s="24"/>
      <x:c r="C994" s="26"/>
      <x:c r="D994" s="24"/>
      <x:c r="E994" s="24"/>
      <x:c r="F994" s="28"/>
      <x:c r="G994" s="29"/>
      <x:c r="H994" s="24"/>
      <x:c r="I994" s="24"/>
      <x:c r="J994" s="24"/>
      <x:c r="K994" s="24"/>
      <x:c r="L994" s="20" t="str">
        <x:f>IF(Q994&lt;&gt;"OK","",IF(E994="Back",G994*(F994-1),-G994*(F994-1)))</x:f>
      </x:c>
      <x:c r="M994" s="20" t="str">
        <x:f>IF(Q994&lt;&gt;"OK","",IF(E994="Back",-G994,G994))</x:f>
      </x:c>
      <x:c r="N994" s="20" t="str">
        <x:f>IF(Q994&lt;&gt;"OK","",SUMIFS($L$8:$L$1007,$A$8:$A$1007,A994,$B$8:$B$1007,"&lt;="&amp;B994))</x:f>
      </x:c>
      <x:c r="O994" s="20" t="str">
        <x:f>IF(Q994&lt;&gt;"OK","",SUMIFS($M$8:$M$1007,$A$8:$A$1007,A994,$B$8:$B$1007,"&lt;="&amp;B994))</x:f>
      </x:c>
      <x:c r="P994" s="20" t="str">
        <x:f>IF(Q994&lt;&gt;"OK","",MAX(0,-MIN(N994,O994)))</x:f>
      </x:c>
      <x:c r="Q994" s="18" t="str">
        <x:f>IF(A994="",IF(COUNTA(B994:K994)=0,"","Inserisci ID"),IF(COUNTIFS('Diario'!$A$8:$A$507,A994)&lt;&gt;1,"ID assente / duplicato",IF(OR(NOT(ISNUMBER(B994)),B994&lt;1,B994&lt;&gt;INT(B994),COUNTIFS($A$8:$A$1007,A994,$B$8:$B$1007,B994)&lt;&gt;1),"N. esecuzione non valido",IF(OR(NOT(ISNUMBER(C994)),AND(D994&lt;&gt;"Ingresso",D994&lt;&gt;"Uscita"),AND(E994&lt;&gt;"Back",E994&lt;&gt;"Lay")),"Completa data / fase / lato",IF(OR(NOT(ISNUMBER(F994)),F994&lt;=1,NOT(ISNUMBER(G994)),G994&lt;=0),"Correggi quota / stake","OK")))))</x:f>
      </x:c>
    </x:row>
    <x:row r="995" ht="22" customHeight="1">
      <x:c r="A995" s="24"/>
      <x:c r="B995" s="24"/>
      <x:c r="C995" s="26"/>
      <x:c r="D995" s="24"/>
      <x:c r="E995" s="24"/>
      <x:c r="F995" s="28"/>
      <x:c r="G995" s="29"/>
      <x:c r="H995" s="24"/>
      <x:c r="I995" s="24"/>
      <x:c r="J995" s="24"/>
      <x:c r="K995" s="24"/>
      <x:c r="L995" s="20" t="str">
        <x:f>IF(Q995&lt;&gt;"OK","",IF(E995="Back",G995*(F995-1),-G995*(F995-1)))</x:f>
      </x:c>
      <x:c r="M995" s="20" t="str">
        <x:f>IF(Q995&lt;&gt;"OK","",IF(E995="Back",-G995,G995))</x:f>
      </x:c>
      <x:c r="N995" s="20" t="str">
        <x:f>IF(Q995&lt;&gt;"OK","",SUMIFS($L$8:$L$1007,$A$8:$A$1007,A995,$B$8:$B$1007,"&lt;="&amp;B995))</x:f>
      </x:c>
      <x:c r="O995" s="20" t="str">
        <x:f>IF(Q995&lt;&gt;"OK","",SUMIFS($M$8:$M$1007,$A$8:$A$1007,A995,$B$8:$B$1007,"&lt;="&amp;B995))</x:f>
      </x:c>
      <x:c r="P995" s="20" t="str">
        <x:f>IF(Q995&lt;&gt;"OK","",MAX(0,-MIN(N995,O995)))</x:f>
      </x:c>
      <x:c r="Q995" s="18" t="str">
        <x:f>IF(A995="",IF(COUNTA(B995:K995)=0,"","Inserisci ID"),IF(COUNTIFS('Diario'!$A$8:$A$507,A995)&lt;&gt;1,"ID assente / duplicato",IF(OR(NOT(ISNUMBER(B995)),B995&lt;1,B995&lt;&gt;INT(B995),COUNTIFS($A$8:$A$1007,A995,$B$8:$B$1007,B995)&lt;&gt;1),"N. esecuzione non valido",IF(OR(NOT(ISNUMBER(C995)),AND(D995&lt;&gt;"Ingresso",D995&lt;&gt;"Uscita"),AND(E995&lt;&gt;"Back",E995&lt;&gt;"Lay")),"Completa data / fase / lato",IF(OR(NOT(ISNUMBER(F995)),F995&lt;=1,NOT(ISNUMBER(G995)),G995&lt;=0),"Correggi quota / stake","OK")))))</x:f>
      </x:c>
    </x:row>
    <x:row r="996" ht="22" customHeight="1">
      <x:c r="A996" s="24"/>
      <x:c r="B996" s="24"/>
      <x:c r="C996" s="26"/>
      <x:c r="D996" s="24"/>
      <x:c r="E996" s="24"/>
      <x:c r="F996" s="28"/>
      <x:c r="G996" s="29"/>
      <x:c r="H996" s="24"/>
      <x:c r="I996" s="24"/>
      <x:c r="J996" s="24"/>
      <x:c r="K996" s="24"/>
      <x:c r="L996" s="20" t="str">
        <x:f>IF(Q996&lt;&gt;"OK","",IF(E996="Back",G996*(F996-1),-G996*(F996-1)))</x:f>
      </x:c>
      <x:c r="M996" s="20" t="str">
        <x:f>IF(Q996&lt;&gt;"OK","",IF(E996="Back",-G996,G996))</x:f>
      </x:c>
      <x:c r="N996" s="20" t="str">
        <x:f>IF(Q996&lt;&gt;"OK","",SUMIFS($L$8:$L$1007,$A$8:$A$1007,A996,$B$8:$B$1007,"&lt;="&amp;B996))</x:f>
      </x:c>
      <x:c r="O996" s="20" t="str">
        <x:f>IF(Q996&lt;&gt;"OK","",SUMIFS($M$8:$M$1007,$A$8:$A$1007,A996,$B$8:$B$1007,"&lt;="&amp;B996))</x:f>
      </x:c>
      <x:c r="P996" s="20" t="str">
        <x:f>IF(Q996&lt;&gt;"OK","",MAX(0,-MIN(N996,O996)))</x:f>
      </x:c>
      <x:c r="Q996" s="18" t="str">
        <x:f>IF(A996="",IF(COUNTA(B996:K996)=0,"","Inserisci ID"),IF(COUNTIFS('Diario'!$A$8:$A$507,A996)&lt;&gt;1,"ID assente / duplicato",IF(OR(NOT(ISNUMBER(B996)),B996&lt;1,B996&lt;&gt;INT(B996),COUNTIFS($A$8:$A$1007,A996,$B$8:$B$1007,B996)&lt;&gt;1),"N. esecuzione non valido",IF(OR(NOT(ISNUMBER(C996)),AND(D996&lt;&gt;"Ingresso",D996&lt;&gt;"Uscita"),AND(E996&lt;&gt;"Back",E996&lt;&gt;"Lay")),"Completa data / fase / lato",IF(OR(NOT(ISNUMBER(F996)),F996&lt;=1,NOT(ISNUMBER(G996)),G996&lt;=0),"Correggi quota / stake","OK")))))</x:f>
      </x:c>
    </x:row>
    <x:row r="997" ht="22" customHeight="1">
      <x:c r="A997" s="24"/>
      <x:c r="B997" s="24"/>
      <x:c r="C997" s="26"/>
      <x:c r="D997" s="24"/>
      <x:c r="E997" s="24"/>
      <x:c r="F997" s="28"/>
      <x:c r="G997" s="29"/>
      <x:c r="H997" s="24"/>
      <x:c r="I997" s="24"/>
      <x:c r="J997" s="24"/>
      <x:c r="K997" s="24"/>
      <x:c r="L997" s="20" t="str">
        <x:f>IF(Q997&lt;&gt;"OK","",IF(E997="Back",G997*(F997-1),-G997*(F997-1)))</x:f>
      </x:c>
      <x:c r="M997" s="20" t="str">
        <x:f>IF(Q997&lt;&gt;"OK","",IF(E997="Back",-G997,G997))</x:f>
      </x:c>
      <x:c r="N997" s="20" t="str">
        <x:f>IF(Q997&lt;&gt;"OK","",SUMIFS($L$8:$L$1007,$A$8:$A$1007,A997,$B$8:$B$1007,"&lt;="&amp;B997))</x:f>
      </x:c>
      <x:c r="O997" s="20" t="str">
        <x:f>IF(Q997&lt;&gt;"OK","",SUMIFS($M$8:$M$1007,$A$8:$A$1007,A997,$B$8:$B$1007,"&lt;="&amp;B997))</x:f>
      </x:c>
      <x:c r="P997" s="20" t="str">
        <x:f>IF(Q997&lt;&gt;"OK","",MAX(0,-MIN(N997,O997)))</x:f>
      </x:c>
      <x:c r="Q997" s="18" t="str">
        <x:f>IF(A997="",IF(COUNTA(B997:K997)=0,"","Inserisci ID"),IF(COUNTIFS('Diario'!$A$8:$A$507,A997)&lt;&gt;1,"ID assente / duplicato",IF(OR(NOT(ISNUMBER(B997)),B997&lt;1,B997&lt;&gt;INT(B997),COUNTIFS($A$8:$A$1007,A997,$B$8:$B$1007,B997)&lt;&gt;1),"N. esecuzione non valido",IF(OR(NOT(ISNUMBER(C997)),AND(D997&lt;&gt;"Ingresso",D997&lt;&gt;"Uscita"),AND(E997&lt;&gt;"Back",E997&lt;&gt;"Lay")),"Completa data / fase / lato",IF(OR(NOT(ISNUMBER(F997)),F997&lt;=1,NOT(ISNUMBER(G997)),G997&lt;=0),"Correggi quota / stake","OK")))))</x:f>
      </x:c>
    </x:row>
    <x:row r="998" ht="22" customHeight="1">
      <x:c r="A998" s="24"/>
      <x:c r="B998" s="24"/>
      <x:c r="C998" s="26"/>
      <x:c r="D998" s="24"/>
      <x:c r="E998" s="24"/>
      <x:c r="F998" s="28"/>
      <x:c r="G998" s="29"/>
      <x:c r="H998" s="24"/>
      <x:c r="I998" s="24"/>
      <x:c r="J998" s="24"/>
      <x:c r="K998" s="24"/>
      <x:c r="L998" s="20" t="str">
        <x:f>IF(Q998&lt;&gt;"OK","",IF(E998="Back",G998*(F998-1),-G998*(F998-1)))</x:f>
      </x:c>
      <x:c r="M998" s="20" t="str">
        <x:f>IF(Q998&lt;&gt;"OK","",IF(E998="Back",-G998,G998))</x:f>
      </x:c>
      <x:c r="N998" s="20" t="str">
        <x:f>IF(Q998&lt;&gt;"OK","",SUMIFS($L$8:$L$1007,$A$8:$A$1007,A998,$B$8:$B$1007,"&lt;="&amp;B998))</x:f>
      </x:c>
      <x:c r="O998" s="20" t="str">
        <x:f>IF(Q998&lt;&gt;"OK","",SUMIFS($M$8:$M$1007,$A$8:$A$1007,A998,$B$8:$B$1007,"&lt;="&amp;B998))</x:f>
      </x:c>
      <x:c r="P998" s="20" t="str">
        <x:f>IF(Q998&lt;&gt;"OK","",MAX(0,-MIN(N998,O998)))</x:f>
      </x:c>
      <x:c r="Q998" s="18" t="str">
        <x:f>IF(A998="",IF(COUNTA(B998:K998)=0,"","Inserisci ID"),IF(COUNTIFS('Diario'!$A$8:$A$507,A998)&lt;&gt;1,"ID assente / duplicato",IF(OR(NOT(ISNUMBER(B998)),B998&lt;1,B998&lt;&gt;INT(B998),COUNTIFS($A$8:$A$1007,A998,$B$8:$B$1007,B998)&lt;&gt;1),"N. esecuzione non valido",IF(OR(NOT(ISNUMBER(C998)),AND(D998&lt;&gt;"Ingresso",D998&lt;&gt;"Uscita"),AND(E998&lt;&gt;"Back",E998&lt;&gt;"Lay")),"Completa data / fase / lato",IF(OR(NOT(ISNUMBER(F998)),F998&lt;=1,NOT(ISNUMBER(G998)),G998&lt;=0),"Correggi quota / stake","OK")))))</x:f>
      </x:c>
    </x:row>
    <x:row r="999" ht="22" customHeight="1">
      <x:c r="A999" s="24"/>
      <x:c r="B999" s="24"/>
      <x:c r="C999" s="26"/>
      <x:c r="D999" s="24"/>
      <x:c r="E999" s="24"/>
      <x:c r="F999" s="28"/>
      <x:c r="G999" s="29"/>
      <x:c r="H999" s="24"/>
      <x:c r="I999" s="24"/>
      <x:c r="J999" s="24"/>
      <x:c r="K999" s="24"/>
      <x:c r="L999" s="20" t="str">
        <x:f>IF(Q999&lt;&gt;"OK","",IF(E999="Back",G999*(F999-1),-G999*(F999-1)))</x:f>
      </x:c>
      <x:c r="M999" s="20" t="str">
        <x:f>IF(Q999&lt;&gt;"OK","",IF(E999="Back",-G999,G999))</x:f>
      </x:c>
      <x:c r="N999" s="20" t="str">
        <x:f>IF(Q999&lt;&gt;"OK","",SUMIFS($L$8:$L$1007,$A$8:$A$1007,A999,$B$8:$B$1007,"&lt;="&amp;B999))</x:f>
      </x:c>
      <x:c r="O999" s="20" t="str">
        <x:f>IF(Q999&lt;&gt;"OK","",SUMIFS($M$8:$M$1007,$A$8:$A$1007,A999,$B$8:$B$1007,"&lt;="&amp;B999))</x:f>
      </x:c>
      <x:c r="P999" s="20" t="str">
        <x:f>IF(Q999&lt;&gt;"OK","",MAX(0,-MIN(N999,O999)))</x:f>
      </x:c>
      <x:c r="Q999" s="18" t="str">
        <x:f>IF(A999="",IF(COUNTA(B999:K999)=0,"","Inserisci ID"),IF(COUNTIFS('Diario'!$A$8:$A$507,A999)&lt;&gt;1,"ID assente / duplicato",IF(OR(NOT(ISNUMBER(B999)),B999&lt;1,B999&lt;&gt;INT(B999),COUNTIFS($A$8:$A$1007,A999,$B$8:$B$1007,B999)&lt;&gt;1),"N. esecuzione non valido",IF(OR(NOT(ISNUMBER(C999)),AND(D999&lt;&gt;"Ingresso",D999&lt;&gt;"Uscita"),AND(E999&lt;&gt;"Back",E999&lt;&gt;"Lay")),"Completa data / fase / lato",IF(OR(NOT(ISNUMBER(F999)),F999&lt;=1,NOT(ISNUMBER(G999)),G999&lt;=0),"Correggi quota / stake","OK")))))</x:f>
      </x:c>
    </x:row>
    <x:row r="1000" ht="22" customHeight="1">
      <x:c r="A1000" s="24"/>
      <x:c r="B1000" s="24"/>
      <x:c r="C1000" s="26"/>
      <x:c r="D1000" s="24"/>
      <x:c r="E1000" s="24"/>
      <x:c r="F1000" s="28"/>
      <x:c r="G1000" s="29"/>
      <x:c r="H1000" s="24"/>
      <x:c r="I1000" s="24"/>
      <x:c r="J1000" s="24"/>
      <x:c r="K1000" s="24"/>
      <x:c r="L1000" s="20" t="str">
        <x:f>IF(Q1000&lt;&gt;"OK","",IF(E1000="Back",G1000*(F1000-1),-G1000*(F1000-1)))</x:f>
      </x:c>
      <x:c r="M1000" s="20" t="str">
        <x:f>IF(Q1000&lt;&gt;"OK","",IF(E1000="Back",-G1000,G1000))</x:f>
      </x:c>
      <x:c r="N1000" s="20" t="str">
        <x:f>IF(Q1000&lt;&gt;"OK","",SUMIFS($L$8:$L$1007,$A$8:$A$1007,A1000,$B$8:$B$1007,"&lt;="&amp;B1000))</x:f>
      </x:c>
      <x:c r="O1000" s="20" t="str">
        <x:f>IF(Q1000&lt;&gt;"OK","",SUMIFS($M$8:$M$1007,$A$8:$A$1007,A1000,$B$8:$B$1007,"&lt;="&amp;B1000))</x:f>
      </x:c>
      <x:c r="P1000" s="20" t="str">
        <x:f>IF(Q1000&lt;&gt;"OK","",MAX(0,-MIN(N1000,O1000)))</x:f>
      </x:c>
      <x:c r="Q1000" s="18" t="str">
        <x:f>IF(A1000="",IF(COUNTA(B1000:K1000)=0,"","Inserisci ID"),IF(COUNTIFS('Diario'!$A$8:$A$507,A1000)&lt;&gt;1,"ID assente / duplicato",IF(OR(NOT(ISNUMBER(B1000)),B1000&lt;1,B1000&lt;&gt;INT(B1000),COUNTIFS($A$8:$A$1007,A1000,$B$8:$B$1007,B1000)&lt;&gt;1),"N. esecuzione non valido",IF(OR(NOT(ISNUMBER(C1000)),AND(D1000&lt;&gt;"Ingresso",D1000&lt;&gt;"Uscita"),AND(E1000&lt;&gt;"Back",E1000&lt;&gt;"Lay")),"Completa data / fase / lato",IF(OR(NOT(ISNUMBER(F1000)),F1000&lt;=1,NOT(ISNUMBER(G1000)),G1000&lt;=0),"Correggi quota / stake","OK")))))</x:f>
      </x:c>
    </x:row>
    <x:row r="1001" ht="22" customHeight="1">
      <x:c r="A1001" s="24"/>
      <x:c r="B1001" s="24"/>
      <x:c r="C1001" s="26"/>
      <x:c r="D1001" s="24"/>
      <x:c r="E1001" s="24"/>
      <x:c r="F1001" s="28"/>
      <x:c r="G1001" s="29"/>
      <x:c r="H1001" s="24"/>
      <x:c r="I1001" s="24"/>
      <x:c r="J1001" s="24"/>
      <x:c r="K1001" s="24"/>
      <x:c r="L1001" s="20" t="str">
        <x:f>IF(Q1001&lt;&gt;"OK","",IF(E1001="Back",G1001*(F1001-1),-G1001*(F1001-1)))</x:f>
      </x:c>
      <x:c r="M1001" s="20" t="str">
        <x:f>IF(Q1001&lt;&gt;"OK","",IF(E1001="Back",-G1001,G1001))</x:f>
      </x:c>
      <x:c r="N1001" s="20" t="str">
        <x:f>IF(Q1001&lt;&gt;"OK","",SUMIFS($L$8:$L$1007,$A$8:$A$1007,A1001,$B$8:$B$1007,"&lt;="&amp;B1001))</x:f>
      </x:c>
      <x:c r="O1001" s="20" t="str">
        <x:f>IF(Q1001&lt;&gt;"OK","",SUMIFS($M$8:$M$1007,$A$8:$A$1007,A1001,$B$8:$B$1007,"&lt;="&amp;B1001))</x:f>
      </x:c>
      <x:c r="P1001" s="20" t="str">
        <x:f>IF(Q1001&lt;&gt;"OK","",MAX(0,-MIN(N1001,O1001)))</x:f>
      </x:c>
      <x:c r="Q1001" s="18" t="str">
        <x:f>IF(A1001="",IF(COUNTA(B1001:K1001)=0,"","Inserisci ID"),IF(COUNTIFS('Diario'!$A$8:$A$507,A1001)&lt;&gt;1,"ID assente / duplicato",IF(OR(NOT(ISNUMBER(B1001)),B1001&lt;1,B1001&lt;&gt;INT(B1001),COUNTIFS($A$8:$A$1007,A1001,$B$8:$B$1007,B1001)&lt;&gt;1),"N. esecuzione non valido",IF(OR(NOT(ISNUMBER(C1001)),AND(D1001&lt;&gt;"Ingresso",D1001&lt;&gt;"Uscita"),AND(E1001&lt;&gt;"Back",E1001&lt;&gt;"Lay")),"Completa data / fase / lato",IF(OR(NOT(ISNUMBER(F1001)),F1001&lt;=1,NOT(ISNUMBER(G1001)),G1001&lt;=0),"Correggi quota / stake","OK")))))</x:f>
      </x:c>
    </x:row>
    <x:row r="1002" ht="22" customHeight="1">
      <x:c r="A1002" s="24"/>
      <x:c r="B1002" s="24"/>
      <x:c r="C1002" s="26"/>
      <x:c r="D1002" s="24"/>
      <x:c r="E1002" s="24"/>
      <x:c r="F1002" s="28"/>
      <x:c r="G1002" s="29"/>
      <x:c r="H1002" s="24"/>
      <x:c r="I1002" s="24"/>
      <x:c r="J1002" s="24"/>
      <x:c r="K1002" s="24"/>
      <x:c r="L1002" s="20" t="str">
        <x:f>IF(Q1002&lt;&gt;"OK","",IF(E1002="Back",G1002*(F1002-1),-G1002*(F1002-1)))</x:f>
      </x:c>
      <x:c r="M1002" s="20" t="str">
        <x:f>IF(Q1002&lt;&gt;"OK","",IF(E1002="Back",-G1002,G1002))</x:f>
      </x:c>
      <x:c r="N1002" s="20" t="str">
        <x:f>IF(Q1002&lt;&gt;"OK","",SUMIFS($L$8:$L$1007,$A$8:$A$1007,A1002,$B$8:$B$1007,"&lt;="&amp;B1002))</x:f>
      </x:c>
      <x:c r="O1002" s="20" t="str">
        <x:f>IF(Q1002&lt;&gt;"OK","",SUMIFS($M$8:$M$1007,$A$8:$A$1007,A1002,$B$8:$B$1007,"&lt;="&amp;B1002))</x:f>
      </x:c>
      <x:c r="P1002" s="20" t="str">
        <x:f>IF(Q1002&lt;&gt;"OK","",MAX(0,-MIN(N1002,O1002)))</x:f>
      </x:c>
      <x:c r="Q1002" s="18" t="str">
        <x:f>IF(A1002="",IF(COUNTA(B1002:K1002)=0,"","Inserisci ID"),IF(COUNTIFS('Diario'!$A$8:$A$507,A1002)&lt;&gt;1,"ID assente / duplicato",IF(OR(NOT(ISNUMBER(B1002)),B1002&lt;1,B1002&lt;&gt;INT(B1002),COUNTIFS($A$8:$A$1007,A1002,$B$8:$B$1007,B1002)&lt;&gt;1),"N. esecuzione non valido",IF(OR(NOT(ISNUMBER(C1002)),AND(D1002&lt;&gt;"Ingresso",D1002&lt;&gt;"Uscita"),AND(E1002&lt;&gt;"Back",E1002&lt;&gt;"Lay")),"Completa data / fase / lato",IF(OR(NOT(ISNUMBER(F1002)),F1002&lt;=1,NOT(ISNUMBER(G1002)),G1002&lt;=0),"Correggi quota / stake","OK")))))</x:f>
      </x:c>
    </x:row>
    <x:row r="1003" ht="22" customHeight="1">
      <x:c r="A1003" s="24"/>
      <x:c r="B1003" s="24"/>
      <x:c r="C1003" s="26"/>
      <x:c r="D1003" s="24"/>
      <x:c r="E1003" s="24"/>
      <x:c r="F1003" s="28"/>
      <x:c r="G1003" s="29"/>
      <x:c r="H1003" s="24"/>
      <x:c r="I1003" s="24"/>
      <x:c r="J1003" s="24"/>
      <x:c r="K1003" s="24"/>
      <x:c r="L1003" s="20" t="str">
        <x:f>IF(Q1003&lt;&gt;"OK","",IF(E1003="Back",G1003*(F1003-1),-G1003*(F1003-1)))</x:f>
      </x:c>
      <x:c r="M1003" s="20" t="str">
        <x:f>IF(Q1003&lt;&gt;"OK","",IF(E1003="Back",-G1003,G1003))</x:f>
      </x:c>
      <x:c r="N1003" s="20" t="str">
        <x:f>IF(Q1003&lt;&gt;"OK","",SUMIFS($L$8:$L$1007,$A$8:$A$1007,A1003,$B$8:$B$1007,"&lt;="&amp;B1003))</x:f>
      </x:c>
      <x:c r="O1003" s="20" t="str">
        <x:f>IF(Q1003&lt;&gt;"OK","",SUMIFS($M$8:$M$1007,$A$8:$A$1007,A1003,$B$8:$B$1007,"&lt;="&amp;B1003))</x:f>
      </x:c>
      <x:c r="P1003" s="20" t="str">
        <x:f>IF(Q1003&lt;&gt;"OK","",MAX(0,-MIN(N1003,O1003)))</x:f>
      </x:c>
      <x:c r="Q1003" s="18" t="str">
        <x:f>IF(A1003="",IF(COUNTA(B1003:K1003)=0,"","Inserisci ID"),IF(COUNTIFS('Diario'!$A$8:$A$507,A1003)&lt;&gt;1,"ID assente / duplicato",IF(OR(NOT(ISNUMBER(B1003)),B1003&lt;1,B1003&lt;&gt;INT(B1003),COUNTIFS($A$8:$A$1007,A1003,$B$8:$B$1007,B1003)&lt;&gt;1),"N. esecuzione non valido",IF(OR(NOT(ISNUMBER(C1003)),AND(D1003&lt;&gt;"Ingresso",D1003&lt;&gt;"Uscita"),AND(E1003&lt;&gt;"Back",E1003&lt;&gt;"Lay")),"Completa data / fase / lato",IF(OR(NOT(ISNUMBER(F1003)),F1003&lt;=1,NOT(ISNUMBER(G1003)),G1003&lt;=0),"Correggi quota / stake","OK")))))</x:f>
      </x:c>
    </x:row>
    <x:row r="1004" ht="22" customHeight="1">
      <x:c r="A1004" s="24"/>
      <x:c r="B1004" s="24"/>
      <x:c r="C1004" s="26"/>
      <x:c r="D1004" s="24"/>
      <x:c r="E1004" s="24"/>
      <x:c r="F1004" s="28"/>
      <x:c r="G1004" s="29"/>
      <x:c r="H1004" s="24"/>
      <x:c r="I1004" s="24"/>
      <x:c r="J1004" s="24"/>
      <x:c r="K1004" s="24"/>
      <x:c r="L1004" s="20" t="str">
        <x:f>IF(Q1004&lt;&gt;"OK","",IF(E1004="Back",G1004*(F1004-1),-G1004*(F1004-1)))</x:f>
      </x:c>
      <x:c r="M1004" s="20" t="str">
        <x:f>IF(Q1004&lt;&gt;"OK","",IF(E1004="Back",-G1004,G1004))</x:f>
      </x:c>
      <x:c r="N1004" s="20" t="str">
        <x:f>IF(Q1004&lt;&gt;"OK","",SUMIFS($L$8:$L$1007,$A$8:$A$1007,A1004,$B$8:$B$1007,"&lt;="&amp;B1004))</x:f>
      </x:c>
      <x:c r="O1004" s="20" t="str">
        <x:f>IF(Q1004&lt;&gt;"OK","",SUMIFS($M$8:$M$1007,$A$8:$A$1007,A1004,$B$8:$B$1007,"&lt;="&amp;B1004))</x:f>
      </x:c>
      <x:c r="P1004" s="20" t="str">
        <x:f>IF(Q1004&lt;&gt;"OK","",MAX(0,-MIN(N1004,O1004)))</x:f>
      </x:c>
      <x:c r="Q1004" s="18" t="str">
        <x:f>IF(A1004="",IF(COUNTA(B1004:K1004)=0,"","Inserisci ID"),IF(COUNTIFS('Diario'!$A$8:$A$507,A1004)&lt;&gt;1,"ID assente / duplicato",IF(OR(NOT(ISNUMBER(B1004)),B1004&lt;1,B1004&lt;&gt;INT(B1004),COUNTIFS($A$8:$A$1007,A1004,$B$8:$B$1007,B1004)&lt;&gt;1),"N. esecuzione non valido",IF(OR(NOT(ISNUMBER(C1004)),AND(D1004&lt;&gt;"Ingresso",D1004&lt;&gt;"Uscita"),AND(E1004&lt;&gt;"Back",E1004&lt;&gt;"Lay")),"Completa data / fase / lato",IF(OR(NOT(ISNUMBER(F1004)),F1004&lt;=1,NOT(ISNUMBER(G1004)),G1004&lt;=0),"Correggi quota / stake","OK")))))</x:f>
      </x:c>
    </x:row>
    <x:row r="1005" ht="22" customHeight="1">
      <x:c r="A1005" s="24"/>
      <x:c r="B1005" s="24"/>
      <x:c r="C1005" s="26"/>
      <x:c r="D1005" s="24"/>
      <x:c r="E1005" s="24"/>
      <x:c r="F1005" s="28"/>
      <x:c r="G1005" s="29"/>
      <x:c r="H1005" s="24"/>
      <x:c r="I1005" s="24"/>
      <x:c r="J1005" s="24"/>
      <x:c r="K1005" s="24"/>
      <x:c r="L1005" s="20" t="str">
        <x:f>IF(Q1005&lt;&gt;"OK","",IF(E1005="Back",G1005*(F1005-1),-G1005*(F1005-1)))</x:f>
      </x:c>
      <x:c r="M1005" s="20" t="str">
        <x:f>IF(Q1005&lt;&gt;"OK","",IF(E1005="Back",-G1005,G1005))</x:f>
      </x:c>
      <x:c r="N1005" s="20" t="str">
        <x:f>IF(Q1005&lt;&gt;"OK","",SUMIFS($L$8:$L$1007,$A$8:$A$1007,A1005,$B$8:$B$1007,"&lt;="&amp;B1005))</x:f>
      </x:c>
      <x:c r="O1005" s="20" t="str">
        <x:f>IF(Q1005&lt;&gt;"OK","",SUMIFS($M$8:$M$1007,$A$8:$A$1007,A1005,$B$8:$B$1007,"&lt;="&amp;B1005))</x:f>
      </x:c>
      <x:c r="P1005" s="20" t="str">
        <x:f>IF(Q1005&lt;&gt;"OK","",MAX(0,-MIN(N1005,O1005)))</x:f>
      </x:c>
      <x:c r="Q1005" s="18" t="str">
        <x:f>IF(A1005="",IF(COUNTA(B1005:K1005)=0,"","Inserisci ID"),IF(COUNTIFS('Diario'!$A$8:$A$507,A1005)&lt;&gt;1,"ID assente / duplicato",IF(OR(NOT(ISNUMBER(B1005)),B1005&lt;1,B1005&lt;&gt;INT(B1005),COUNTIFS($A$8:$A$1007,A1005,$B$8:$B$1007,B1005)&lt;&gt;1),"N. esecuzione non valido",IF(OR(NOT(ISNUMBER(C1005)),AND(D1005&lt;&gt;"Ingresso",D1005&lt;&gt;"Uscita"),AND(E1005&lt;&gt;"Back",E1005&lt;&gt;"Lay")),"Completa data / fase / lato",IF(OR(NOT(ISNUMBER(F1005)),F1005&lt;=1,NOT(ISNUMBER(G1005)),G1005&lt;=0),"Correggi quota / stake","OK")))))</x:f>
      </x:c>
    </x:row>
    <x:row r="1006" ht="22" customHeight="1">
      <x:c r="A1006" s="24"/>
      <x:c r="B1006" s="24"/>
      <x:c r="C1006" s="26"/>
      <x:c r="D1006" s="24"/>
      <x:c r="E1006" s="24"/>
      <x:c r="F1006" s="28"/>
      <x:c r="G1006" s="29"/>
      <x:c r="H1006" s="24"/>
      <x:c r="I1006" s="24"/>
      <x:c r="J1006" s="24"/>
      <x:c r="K1006" s="24"/>
      <x:c r="L1006" s="20" t="str">
        <x:f>IF(Q1006&lt;&gt;"OK","",IF(E1006="Back",G1006*(F1006-1),-G1006*(F1006-1)))</x:f>
      </x:c>
      <x:c r="M1006" s="20" t="str">
        <x:f>IF(Q1006&lt;&gt;"OK","",IF(E1006="Back",-G1006,G1006))</x:f>
      </x:c>
      <x:c r="N1006" s="20" t="str">
        <x:f>IF(Q1006&lt;&gt;"OK","",SUMIFS($L$8:$L$1007,$A$8:$A$1007,A1006,$B$8:$B$1007,"&lt;="&amp;B1006))</x:f>
      </x:c>
      <x:c r="O1006" s="20" t="str">
        <x:f>IF(Q1006&lt;&gt;"OK","",SUMIFS($M$8:$M$1007,$A$8:$A$1007,A1006,$B$8:$B$1007,"&lt;="&amp;B1006))</x:f>
      </x:c>
      <x:c r="P1006" s="20" t="str">
        <x:f>IF(Q1006&lt;&gt;"OK","",MAX(0,-MIN(N1006,O1006)))</x:f>
      </x:c>
      <x:c r="Q1006" s="18" t="str">
        <x:f>IF(A1006="",IF(COUNTA(B1006:K1006)=0,"","Inserisci ID"),IF(COUNTIFS('Diario'!$A$8:$A$507,A1006)&lt;&gt;1,"ID assente / duplicato",IF(OR(NOT(ISNUMBER(B1006)),B1006&lt;1,B1006&lt;&gt;INT(B1006),COUNTIFS($A$8:$A$1007,A1006,$B$8:$B$1007,B1006)&lt;&gt;1),"N. esecuzione non valido",IF(OR(NOT(ISNUMBER(C1006)),AND(D1006&lt;&gt;"Ingresso",D1006&lt;&gt;"Uscita"),AND(E1006&lt;&gt;"Back",E1006&lt;&gt;"Lay")),"Completa data / fase / lato",IF(OR(NOT(ISNUMBER(F1006)),F1006&lt;=1,NOT(ISNUMBER(G1006)),G1006&lt;=0),"Correggi quota / stake","OK")))))</x:f>
      </x:c>
    </x:row>
    <x:row r="1007" ht="22" customHeight="1">
      <x:c r="A1007" s="24"/>
      <x:c r="B1007" s="24"/>
      <x:c r="C1007" s="26"/>
      <x:c r="D1007" s="24"/>
      <x:c r="E1007" s="24"/>
      <x:c r="F1007" s="28"/>
      <x:c r="G1007" s="29"/>
      <x:c r="H1007" s="24"/>
      <x:c r="I1007" s="24"/>
      <x:c r="J1007" s="24"/>
      <x:c r="K1007" s="24"/>
      <x:c r="L1007" s="20" t="str">
        <x:f>IF(Q1007&lt;&gt;"OK","",IF(E1007="Back",G1007*(F1007-1),-G1007*(F1007-1)))</x:f>
      </x:c>
      <x:c r="M1007" s="20" t="str">
        <x:f>IF(Q1007&lt;&gt;"OK","",IF(E1007="Back",-G1007,G1007))</x:f>
      </x:c>
      <x:c r="N1007" s="20" t="str">
        <x:f>IF(Q1007&lt;&gt;"OK","",SUMIFS($L$8:$L$1007,$A$8:$A$1007,A1007,$B$8:$B$1007,"&lt;="&amp;B1007))</x:f>
      </x:c>
      <x:c r="O1007" s="20" t="str">
        <x:f>IF(Q1007&lt;&gt;"OK","",SUMIFS($M$8:$M$1007,$A$8:$A$1007,A1007,$B$8:$B$1007,"&lt;="&amp;B1007))</x:f>
      </x:c>
      <x:c r="P1007" s="20" t="str">
        <x:f>IF(Q1007&lt;&gt;"OK","",MAX(0,-MIN(N1007,O1007)))</x:f>
      </x:c>
      <x:c r="Q1007" s="18" t="str">
        <x:f>IF(A1007="",IF(COUNTA(B1007:K1007)=0,"","Inserisci ID"),IF(COUNTIFS('Diario'!$A$8:$A$507,A1007)&lt;&gt;1,"ID assente / duplicato",IF(OR(NOT(ISNUMBER(B1007)),B1007&lt;1,B1007&lt;&gt;INT(B1007),COUNTIFS($A$8:$A$1007,A1007,$B$8:$B$1007,B1007)&lt;&gt;1),"N. esecuzione non valido",IF(OR(NOT(ISNUMBER(C1007)),AND(D1007&lt;&gt;"Ingresso",D1007&lt;&gt;"Uscita"),AND(E1007&lt;&gt;"Back",E1007&lt;&gt;"Lay")),"Completa data / fase / lato",IF(OR(NOT(ISNUMBER(F1007)),F1007&lt;=1,NOT(ISNUMBER(G1007)),G1007&lt;=0),"Correggi quota / stake","OK")))))</x:f>
      </x:c>
    </x:row>
  </x:sheetData>
  <x:conditionalFormatting sqref="Q8:Q1007">
    <x:cfRule type="expression" dxfId="6" priority="1">
      <x:formula>AND($A8&lt;&gt;"",$Q8&lt;&gt;"OK")</x:formula>
    </x:cfRule>
  </x:conditionalFormatting>
  <x:dataValidations count="6">
    <x:dataValidation type="list" sqref="D8:D1007">
      <x:formula1>"Ingresso,Uscita"</x:formula1>
    </x:dataValidation>
    <x:dataValidation type="list" sqref="E8:E1007">
      <x:formula1>"Back,Lay"</x:formula1>
    </x:dataValidation>
    <x:dataValidation type="whole" operator="between" sqref="B8:B1007">
      <x:formula1>1</x:formula1>
      <x:formula2>10000</x:formula2>
    </x:dataValidation>
    <x:dataValidation type="decimal" operator="between" sqref="F8:F1007">
      <x:formula1>1.01</x:formula1>
      <x:formula2>1000</x:formula2>
    </x:dataValidation>
    <x:dataValidation type="decimal" operator="between" sqref="G8:G1007">
      <x:formula1>0.01</x:formula1>
      <x:formula2>1000000000</x:formula2>
    </x:dataValidation>
    <x:dataValidation type="decimal" operator="between" sqref="H8:H1007">
      <x:formula1>0</x:formula1>
      <x:formula2>150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9853b7c37d0452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23" hidden="0" customWidth="1"/>
    <x:col min="5" max="5" width="65" hidden="0" customWidth="1"/>
    <x:col min="6" max="6" width="21" hidden="0" customWidth="1"/>
    <x:col min="7" max="7" width="2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3" t="str">
        <x:v>Cassa e costi</x:v>
      </x:c>
      <x:c r="B2" s="2"/>
      <x:c r="C2" s="2"/>
      <x:c r="D2" s="2"/>
      <x:c r="E2" s="2"/>
      <x:c r="F2" s="2"/>
      <x:c r="G2" s="2"/>
      <x:c r="H2" s="2"/>
    </x:row>
    <x:row r="3" ht="22" customHeight="1">
      <x:c r="A3" s="4"/>
      <x:c r="B3" s="4"/>
      <x:c r="C3" s="4"/>
      <x:c r="D3" s="4"/>
      <x:c r="E3" s="4"/>
      <x:c r="F3" s="4"/>
      <x:c r="G3" s="4"/>
      <x:c r="H3" s="4"/>
    </x:row>
    <x:row r="4" ht="22" customHeight="1">
      <x:c r="A4" s="5" t="str">
        <x:v>Importi sempre positivi. I costi operativi vanno qui. Le commissioni dei mercati appartengono al Diario.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2" customHeight="1">
      <x:c r="A6" s="2"/>
      <x:c r="B6" s="2"/>
      <x:c r="C6" s="2"/>
      <x:c r="D6" s="2"/>
      <x:c r="E6" s="2"/>
      <x:c r="F6" s="2"/>
      <x:c r="G6" s="2"/>
      <x:c r="H6" s="2"/>
    </x:row>
    <x:row r="7" ht="40" customHeight="1">
      <x:c r="A7" s="15" t="str">
        <x:v>Data/ora</x:v>
      </x:c>
      <x:c r="B7" s="16" t="str">
        <x:v>Tipo</x:v>
      </x:c>
      <x:c r="C7" s="16" t="str">
        <x:v>Importo €</x:v>
      </x:c>
      <x:c r="D7" s="16" t="str">
        <x:v>Conto</x:v>
      </x:c>
      <x:c r="E7" s="16" t="str">
        <x:v>Descrizione</x:v>
      </x:c>
      <x:c r="F7" s="16" t="str">
        <x:v>Flusso netto €</x:v>
      </x:c>
      <x:c r="G7" s="17" t="str">
        <x:v>Dati movimento</x:v>
      </x:c>
      <x:c r="H7" s="2"/>
    </x:row>
    <x:row r="8" ht="22" customHeight="1">
      <x:c r="A8" s="19"/>
      <x:c r="B8" s="7"/>
      <x:c r="C8" s="8"/>
      <x:c r="D8" s="7"/>
      <x:c r="E8" s="7"/>
      <x:c r="F8" s="20" t="str">
        <x:f>IF(G8&lt;&gt;"OK","",IF(OR(B8="Versamento",B8="Rimborso"),C8,-C8))</x:f>
      </x:c>
      <x:c r="G8" s="18" t="str">
        <x:f>IF(AND(A8="",B8="",C8="",D8="",E8=""),"",IF(OR(NOT(ISNUMBER(A8)),NOT(ISNUMBER(C8)),C8&lt;=0,D8="",AND(B8&lt;&gt;"Versamento",B8&lt;&gt;"Prelievo",B8&lt;&gt;"Costo",B8&lt;&gt;"Rimborso")),"Completa movimento","OK"))</x:f>
      </x:c>
      <x:c r="H8" s="2"/>
    </x:row>
    <x:row r="9" ht="22" customHeight="1">
      <x:c r="A9" s="19"/>
      <x:c r="B9" s="7"/>
      <x:c r="C9" s="8"/>
      <x:c r="D9" s="7"/>
      <x:c r="E9" s="7"/>
      <x:c r="F9" s="20" t="str">
        <x:f>IF(G9&lt;&gt;"OK","",IF(OR(B9="Versamento",B9="Rimborso"),C9,-C9))</x:f>
      </x:c>
      <x:c r="G9" s="18" t="str">
        <x:f>IF(AND(A9="",B9="",C9="",D9="",E9=""),"",IF(OR(NOT(ISNUMBER(A9)),NOT(ISNUMBER(C9)),C9&lt;=0,D9="",AND(B9&lt;&gt;"Versamento",B9&lt;&gt;"Prelievo",B9&lt;&gt;"Costo",B9&lt;&gt;"Rimborso")),"Completa movimento","OK"))</x:f>
      </x:c>
      <x:c r="H9" s="2"/>
    </x:row>
    <x:row r="10" ht="22" customHeight="1">
      <x:c r="A10" s="19"/>
      <x:c r="B10" s="7"/>
      <x:c r="C10" s="8"/>
      <x:c r="D10" s="7"/>
      <x:c r="E10" s="7"/>
      <x:c r="F10" s="20" t="str">
        <x:f>IF(G10&lt;&gt;"OK","",IF(OR(B10="Versamento",B10="Rimborso"),C10,-C10))</x:f>
      </x:c>
      <x:c r="G10" s="18" t="str">
        <x:f>IF(AND(A10="",B10="",C10="",D10="",E10=""),"",IF(OR(NOT(ISNUMBER(A10)),NOT(ISNUMBER(C10)),C10&lt;=0,D10="",AND(B10&lt;&gt;"Versamento",B10&lt;&gt;"Prelievo",B10&lt;&gt;"Costo",B10&lt;&gt;"Rimborso")),"Completa movimento","OK"))</x:f>
      </x:c>
      <x:c r="H10" s="2"/>
    </x:row>
    <x:row r="11" ht="22" customHeight="1">
      <x:c r="A11" s="19"/>
      <x:c r="B11" s="7"/>
      <x:c r="C11" s="8"/>
      <x:c r="D11" s="7"/>
      <x:c r="E11" s="7"/>
      <x:c r="F11" s="20" t="str">
        <x:f>IF(G11&lt;&gt;"OK","",IF(OR(B11="Versamento",B11="Rimborso"),C11,-C11))</x:f>
      </x:c>
      <x:c r="G11" s="18" t="str">
        <x:f>IF(AND(A11="",B11="",C11="",D11="",E11=""),"",IF(OR(NOT(ISNUMBER(A11)),NOT(ISNUMBER(C11)),C11&lt;=0,D11="",AND(B11&lt;&gt;"Versamento",B11&lt;&gt;"Prelievo",B11&lt;&gt;"Costo",B11&lt;&gt;"Rimborso")),"Completa movimento","OK"))</x:f>
      </x:c>
      <x:c r="H11" s="2"/>
    </x:row>
    <x:row r="12" ht="22" customHeight="1">
      <x:c r="A12" s="19"/>
      <x:c r="B12" s="7"/>
      <x:c r="C12" s="8"/>
      <x:c r="D12" s="7"/>
      <x:c r="E12" s="7"/>
      <x:c r="F12" s="20" t="str">
        <x:f>IF(G12&lt;&gt;"OK","",IF(OR(B12="Versamento",B12="Rimborso"),C12,-C12))</x:f>
      </x:c>
      <x:c r="G12" s="18" t="str">
        <x:f>IF(AND(A12="",B12="",C12="",D12="",E12=""),"",IF(OR(NOT(ISNUMBER(A12)),NOT(ISNUMBER(C12)),C12&lt;=0,D12="",AND(B12&lt;&gt;"Versamento",B12&lt;&gt;"Prelievo",B12&lt;&gt;"Costo",B12&lt;&gt;"Rimborso")),"Completa movimento","OK"))</x:f>
      </x:c>
      <x:c r="H12" s="2"/>
    </x:row>
    <x:row r="13" ht="22" customHeight="1">
      <x:c r="A13" s="19"/>
      <x:c r="B13" s="7"/>
      <x:c r="C13" s="8"/>
      <x:c r="D13" s="7"/>
      <x:c r="E13" s="7"/>
      <x:c r="F13" s="20" t="str">
        <x:f>IF(G13&lt;&gt;"OK","",IF(OR(B13="Versamento",B13="Rimborso"),C13,-C13))</x:f>
      </x:c>
      <x:c r="G13" s="18" t="str">
        <x:f>IF(AND(A13="",B13="",C13="",D13="",E13=""),"",IF(OR(NOT(ISNUMBER(A13)),NOT(ISNUMBER(C13)),C13&lt;=0,D13="",AND(B13&lt;&gt;"Versamento",B13&lt;&gt;"Prelievo",B13&lt;&gt;"Costo",B13&lt;&gt;"Rimborso")),"Completa movimento","OK"))</x:f>
      </x:c>
      <x:c r="H13" s="2"/>
    </x:row>
    <x:row r="14" ht="22" customHeight="1">
      <x:c r="A14" s="19"/>
      <x:c r="B14" s="7"/>
      <x:c r="C14" s="8"/>
      <x:c r="D14" s="7"/>
      <x:c r="E14" s="7"/>
      <x:c r="F14" s="20" t="str">
        <x:f>IF(G14&lt;&gt;"OK","",IF(OR(B14="Versamento",B14="Rimborso"),C14,-C14))</x:f>
      </x:c>
      <x:c r="G14" s="18" t="str">
        <x:f>IF(AND(A14="",B14="",C14="",D14="",E14=""),"",IF(OR(NOT(ISNUMBER(A14)),NOT(ISNUMBER(C14)),C14&lt;=0,D14="",AND(B14&lt;&gt;"Versamento",B14&lt;&gt;"Prelievo",B14&lt;&gt;"Costo",B14&lt;&gt;"Rimborso")),"Completa movimento","OK"))</x:f>
      </x:c>
      <x:c r="H14" s="2"/>
    </x:row>
    <x:row r="15" ht="22" customHeight="1">
      <x:c r="A15" s="19"/>
      <x:c r="B15" s="7"/>
      <x:c r="C15" s="8"/>
      <x:c r="D15" s="7"/>
      <x:c r="E15" s="7"/>
      <x:c r="F15" s="20" t="str">
        <x:f>IF(G15&lt;&gt;"OK","",IF(OR(B15="Versamento",B15="Rimborso"),C15,-C15))</x:f>
      </x:c>
      <x:c r="G15" s="18" t="str">
        <x:f>IF(AND(A15="",B15="",C15="",D15="",E15=""),"",IF(OR(NOT(ISNUMBER(A15)),NOT(ISNUMBER(C15)),C15&lt;=0,D15="",AND(B15&lt;&gt;"Versamento",B15&lt;&gt;"Prelievo",B15&lt;&gt;"Costo",B15&lt;&gt;"Rimborso")),"Completa movimento","OK"))</x:f>
      </x:c>
      <x:c r="H15" s="2"/>
    </x:row>
    <x:row r="16" ht="22" customHeight="1">
      <x:c r="A16" s="19"/>
      <x:c r="B16" s="7"/>
      <x:c r="C16" s="8"/>
      <x:c r="D16" s="7"/>
      <x:c r="E16" s="7"/>
      <x:c r="F16" s="20" t="str">
        <x:f>IF(G16&lt;&gt;"OK","",IF(OR(B16="Versamento",B16="Rimborso"),C16,-C16))</x:f>
      </x:c>
      <x:c r="G16" s="18" t="str">
        <x:f>IF(AND(A16="",B16="",C16="",D16="",E16=""),"",IF(OR(NOT(ISNUMBER(A16)),NOT(ISNUMBER(C16)),C16&lt;=0,D16="",AND(B16&lt;&gt;"Versamento",B16&lt;&gt;"Prelievo",B16&lt;&gt;"Costo",B16&lt;&gt;"Rimborso")),"Completa movimento","OK"))</x:f>
      </x:c>
      <x:c r="H16" s="2"/>
    </x:row>
    <x:row r="17" ht="22" customHeight="1">
      <x:c r="A17" s="19"/>
      <x:c r="B17" s="7"/>
      <x:c r="C17" s="8"/>
      <x:c r="D17" s="7"/>
      <x:c r="E17" s="7"/>
      <x:c r="F17" s="20" t="str">
        <x:f>IF(G17&lt;&gt;"OK","",IF(OR(B17="Versamento",B17="Rimborso"),C17,-C17))</x:f>
      </x:c>
      <x:c r="G17" s="18" t="str">
        <x:f>IF(AND(A17="",B17="",C17="",D17="",E17=""),"",IF(OR(NOT(ISNUMBER(A17)),NOT(ISNUMBER(C17)),C17&lt;=0,D17="",AND(B17&lt;&gt;"Versamento",B17&lt;&gt;"Prelievo",B17&lt;&gt;"Costo",B17&lt;&gt;"Rimborso")),"Completa movimento","OK"))</x:f>
      </x:c>
      <x:c r="H17" s="2"/>
    </x:row>
    <x:row r="18" ht="22" customHeight="1">
      <x:c r="A18" s="19"/>
      <x:c r="B18" s="7"/>
      <x:c r="C18" s="8"/>
      <x:c r="D18" s="7"/>
      <x:c r="E18" s="7"/>
      <x:c r="F18" s="20" t="str">
        <x:f>IF(G18&lt;&gt;"OK","",IF(OR(B18="Versamento",B18="Rimborso"),C18,-C18))</x:f>
      </x:c>
      <x:c r="G18" s="18" t="str">
        <x:f>IF(AND(A18="",B18="",C18="",D18="",E18=""),"",IF(OR(NOT(ISNUMBER(A18)),NOT(ISNUMBER(C18)),C18&lt;=0,D18="",AND(B18&lt;&gt;"Versamento",B18&lt;&gt;"Prelievo",B18&lt;&gt;"Costo",B18&lt;&gt;"Rimborso")),"Completa movimento","OK"))</x:f>
      </x:c>
      <x:c r="H18" s="2"/>
    </x:row>
    <x:row r="19" ht="22" customHeight="1">
      <x:c r="A19" s="19"/>
      <x:c r="B19" s="7"/>
      <x:c r="C19" s="8"/>
      <x:c r="D19" s="7"/>
      <x:c r="E19" s="7"/>
      <x:c r="F19" s="20" t="str">
        <x:f>IF(G19&lt;&gt;"OK","",IF(OR(B19="Versamento",B19="Rimborso"),C19,-C19))</x:f>
      </x:c>
      <x:c r="G19" s="18" t="str">
        <x:f>IF(AND(A19="",B19="",C19="",D19="",E19=""),"",IF(OR(NOT(ISNUMBER(A19)),NOT(ISNUMBER(C19)),C19&lt;=0,D19="",AND(B19&lt;&gt;"Versamento",B19&lt;&gt;"Prelievo",B19&lt;&gt;"Costo",B19&lt;&gt;"Rimborso")),"Completa movimento","OK"))</x:f>
      </x:c>
      <x:c r="H19" s="2"/>
    </x:row>
    <x:row r="20" ht="22" customHeight="1">
      <x:c r="A20" s="19"/>
      <x:c r="B20" s="7"/>
      <x:c r="C20" s="8"/>
      <x:c r="D20" s="7"/>
      <x:c r="E20" s="7"/>
      <x:c r="F20" s="20" t="str">
        <x:f>IF(G20&lt;&gt;"OK","",IF(OR(B20="Versamento",B20="Rimborso"),C20,-C20))</x:f>
      </x:c>
      <x:c r="G20" s="18" t="str">
        <x:f>IF(AND(A20="",B20="",C20="",D20="",E20=""),"",IF(OR(NOT(ISNUMBER(A20)),NOT(ISNUMBER(C20)),C20&lt;=0,D20="",AND(B20&lt;&gt;"Versamento",B20&lt;&gt;"Prelievo",B20&lt;&gt;"Costo",B20&lt;&gt;"Rimborso")),"Completa movimento","OK"))</x:f>
      </x:c>
      <x:c r="H20" s="2"/>
    </x:row>
    <x:row r="21" ht="22" customHeight="1">
      <x:c r="A21" s="19"/>
      <x:c r="B21" s="7"/>
      <x:c r="C21" s="8"/>
      <x:c r="D21" s="7"/>
      <x:c r="E21" s="7"/>
      <x:c r="F21" s="20" t="str">
        <x:f>IF(G21&lt;&gt;"OK","",IF(OR(B21="Versamento",B21="Rimborso"),C21,-C21))</x:f>
      </x:c>
      <x:c r="G21" s="18" t="str">
        <x:f>IF(AND(A21="",B21="",C21="",D21="",E21=""),"",IF(OR(NOT(ISNUMBER(A21)),NOT(ISNUMBER(C21)),C21&lt;=0,D21="",AND(B21&lt;&gt;"Versamento",B21&lt;&gt;"Prelievo",B21&lt;&gt;"Costo",B21&lt;&gt;"Rimborso")),"Completa movimento","OK"))</x:f>
      </x:c>
      <x:c r="H21" s="2"/>
    </x:row>
    <x:row r="22" ht="22" customHeight="1">
      <x:c r="A22" s="19"/>
      <x:c r="B22" s="7"/>
      <x:c r="C22" s="8"/>
      <x:c r="D22" s="7"/>
      <x:c r="E22" s="7"/>
      <x:c r="F22" s="20" t="str">
        <x:f>IF(G22&lt;&gt;"OK","",IF(OR(B22="Versamento",B22="Rimborso"),C22,-C22))</x:f>
      </x:c>
      <x:c r="G22" s="18" t="str">
        <x:f>IF(AND(A22="",B22="",C22="",D22="",E22=""),"",IF(OR(NOT(ISNUMBER(A22)),NOT(ISNUMBER(C22)),C22&lt;=0,D22="",AND(B22&lt;&gt;"Versamento",B22&lt;&gt;"Prelievo",B22&lt;&gt;"Costo",B22&lt;&gt;"Rimborso")),"Completa movimento","OK"))</x:f>
      </x:c>
      <x:c r="H22" s="2"/>
    </x:row>
    <x:row r="23" ht="22" customHeight="1">
      <x:c r="A23" s="19"/>
      <x:c r="B23" s="7"/>
      <x:c r="C23" s="8"/>
      <x:c r="D23" s="7"/>
      <x:c r="E23" s="7"/>
      <x:c r="F23" s="20" t="str">
        <x:f>IF(G23&lt;&gt;"OK","",IF(OR(B23="Versamento",B23="Rimborso"),C23,-C23))</x:f>
      </x:c>
      <x:c r="G23" s="18" t="str">
        <x:f>IF(AND(A23="",B23="",C23="",D23="",E23=""),"",IF(OR(NOT(ISNUMBER(A23)),NOT(ISNUMBER(C23)),C23&lt;=0,D23="",AND(B23&lt;&gt;"Versamento",B23&lt;&gt;"Prelievo",B23&lt;&gt;"Costo",B23&lt;&gt;"Rimborso")),"Completa movimento","OK"))</x:f>
      </x:c>
      <x:c r="H23" s="2"/>
    </x:row>
    <x:row r="24" ht="22" customHeight="1">
      <x:c r="A24" s="19"/>
      <x:c r="B24" s="7"/>
      <x:c r="C24" s="8"/>
      <x:c r="D24" s="7"/>
      <x:c r="E24" s="7"/>
      <x:c r="F24" s="20" t="str">
        <x:f>IF(G24&lt;&gt;"OK","",IF(OR(B24="Versamento",B24="Rimborso"),C24,-C24))</x:f>
      </x:c>
      <x:c r="G24" s="18" t="str">
        <x:f>IF(AND(A24="",B24="",C24="",D24="",E24=""),"",IF(OR(NOT(ISNUMBER(A24)),NOT(ISNUMBER(C24)),C24&lt;=0,D24="",AND(B24&lt;&gt;"Versamento",B24&lt;&gt;"Prelievo",B24&lt;&gt;"Costo",B24&lt;&gt;"Rimborso")),"Completa movimento","OK"))</x:f>
      </x:c>
      <x:c r="H24" s="2"/>
    </x:row>
    <x:row r="25" ht="22" customHeight="1">
      <x:c r="A25" s="19"/>
      <x:c r="B25" s="7"/>
      <x:c r="C25" s="8"/>
      <x:c r="D25" s="7"/>
      <x:c r="E25" s="7"/>
      <x:c r="F25" s="20" t="str">
        <x:f>IF(G25&lt;&gt;"OK","",IF(OR(B25="Versamento",B25="Rimborso"),C25,-C25))</x:f>
      </x:c>
      <x:c r="G25" s="18" t="str">
        <x:f>IF(AND(A25="",B25="",C25="",D25="",E25=""),"",IF(OR(NOT(ISNUMBER(A25)),NOT(ISNUMBER(C25)),C25&lt;=0,D25="",AND(B25&lt;&gt;"Versamento",B25&lt;&gt;"Prelievo",B25&lt;&gt;"Costo",B25&lt;&gt;"Rimborso")),"Completa movimento","OK"))</x:f>
      </x:c>
      <x:c r="H25" s="2"/>
    </x:row>
    <x:row r="26" ht="22" customHeight="1">
      <x:c r="A26" s="19"/>
      <x:c r="B26" s="7"/>
      <x:c r="C26" s="8"/>
      <x:c r="D26" s="7"/>
      <x:c r="E26" s="7"/>
      <x:c r="F26" s="20" t="str">
        <x:f>IF(G26&lt;&gt;"OK","",IF(OR(B26="Versamento",B26="Rimborso"),C26,-C26))</x:f>
      </x:c>
      <x:c r="G26" s="18" t="str">
        <x:f>IF(AND(A26="",B26="",C26="",D26="",E26=""),"",IF(OR(NOT(ISNUMBER(A26)),NOT(ISNUMBER(C26)),C26&lt;=0,D26="",AND(B26&lt;&gt;"Versamento",B26&lt;&gt;"Prelievo",B26&lt;&gt;"Costo",B26&lt;&gt;"Rimborso")),"Completa movimento","OK"))</x:f>
      </x:c>
      <x:c r="H26" s="2"/>
    </x:row>
    <x:row r="27" ht="22" customHeight="1">
      <x:c r="A27" s="19"/>
      <x:c r="B27" s="7"/>
      <x:c r="C27" s="8"/>
      <x:c r="D27" s="7"/>
      <x:c r="E27" s="7"/>
      <x:c r="F27" s="20" t="str">
        <x:f>IF(G27&lt;&gt;"OK","",IF(OR(B27="Versamento",B27="Rimborso"),C27,-C27))</x:f>
      </x:c>
      <x:c r="G27" s="18" t="str">
        <x:f>IF(AND(A27="",B27="",C27="",D27="",E27=""),"",IF(OR(NOT(ISNUMBER(A27)),NOT(ISNUMBER(C27)),C27&lt;=0,D27="",AND(B27&lt;&gt;"Versamento",B27&lt;&gt;"Prelievo",B27&lt;&gt;"Costo",B27&lt;&gt;"Rimborso")),"Completa movimento","OK"))</x:f>
      </x:c>
      <x:c r="H27" s="2"/>
    </x:row>
    <x:row r="28" ht="22" customHeight="1">
      <x:c r="A28" s="19"/>
      <x:c r="B28" s="7"/>
      <x:c r="C28" s="8"/>
      <x:c r="D28" s="7"/>
      <x:c r="E28" s="7"/>
      <x:c r="F28" s="20" t="str">
        <x:f>IF(G28&lt;&gt;"OK","",IF(OR(B28="Versamento",B28="Rimborso"),C28,-C28))</x:f>
      </x:c>
      <x:c r="G28" s="18" t="str">
        <x:f>IF(AND(A28="",B28="",C28="",D28="",E28=""),"",IF(OR(NOT(ISNUMBER(A28)),NOT(ISNUMBER(C28)),C28&lt;=0,D28="",AND(B28&lt;&gt;"Versamento",B28&lt;&gt;"Prelievo",B28&lt;&gt;"Costo",B28&lt;&gt;"Rimborso")),"Completa movimento","OK"))</x:f>
      </x:c>
      <x:c r="H28" s="2"/>
    </x:row>
    <x:row r="29" ht="22" customHeight="1">
      <x:c r="A29" s="19"/>
      <x:c r="B29" s="7"/>
      <x:c r="C29" s="8"/>
      <x:c r="D29" s="7"/>
      <x:c r="E29" s="7"/>
      <x:c r="F29" s="20" t="str">
        <x:f>IF(G29&lt;&gt;"OK","",IF(OR(B29="Versamento",B29="Rimborso"),C29,-C29))</x:f>
      </x:c>
      <x:c r="G29" s="18" t="str">
        <x:f>IF(AND(A29="",B29="",C29="",D29="",E29=""),"",IF(OR(NOT(ISNUMBER(A29)),NOT(ISNUMBER(C29)),C29&lt;=0,D29="",AND(B29&lt;&gt;"Versamento",B29&lt;&gt;"Prelievo",B29&lt;&gt;"Costo",B29&lt;&gt;"Rimborso")),"Completa movimento","OK"))</x:f>
      </x:c>
      <x:c r="H29" s="2"/>
    </x:row>
    <x:row r="30" ht="22" customHeight="1">
      <x:c r="A30" s="19"/>
      <x:c r="B30" s="7"/>
      <x:c r="C30" s="8"/>
      <x:c r="D30" s="7"/>
      <x:c r="E30" s="7"/>
      <x:c r="F30" s="20" t="str">
        <x:f>IF(G30&lt;&gt;"OK","",IF(OR(B30="Versamento",B30="Rimborso"),C30,-C30))</x:f>
      </x:c>
      <x:c r="G30" s="18" t="str">
        <x:f>IF(AND(A30="",B30="",C30="",D30="",E30=""),"",IF(OR(NOT(ISNUMBER(A30)),NOT(ISNUMBER(C30)),C30&lt;=0,D30="",AND(B30&lt;&gt;"Versamento",B30&lt;&gt;"Prelievo",B30&lt;&gt;"Costo",B30&lt;&gt;"Rimborso")),"Completa movimento","OK"))</x:f>
      </x:c>
      <x:c r="H30" s="2"/>
    </x:row>
    <x:row r="31" ht="22" customHeight="1">
      <x:c r="A31" s="19"/>
      <x:c r="B31" s="7"/>
      <x:c r="C31" s="8"/>
      <x:c r="D31" s="7"/>
      <x:c r="E31" s="7"/>
      <x:c r="F31" s="20" t="str">
        <x:f>IF(G31&lt;&gt;"OK","",IF(OR(B31="Versamento",B31="Rimborso"),C31,-C31))</x:f>
      </x:c>
      <x:c r="G31" s="18" t="str">
        <x:f>IF(AND(A31="",B31="",C31="",D31="",E31=""),"",IF(OR(NOT(ISNUMBER(A31)),NOT(ISNUMBER(C31)),C31&lt;=0,D31="",AND(B31&lt;&gt;"Versamento",B31&lt;&gt;"Prelievo",B31&lt;&gt;"Costo",B31&lt;&gt;"Rimborso")),"Completa movimento","OK"))</x:f>
      </x:c>
      <x:c r="H31" s="2"/>
    </x:row>
    <x:row r="32" ht="22" customHeight="1">
      <x:c r="A32" s="19"/>
      <x:c r="B32" s="7"/>
      <x:c r="C32" s="8"/>
      <x:c r="D32" s="7"/>
      <x:c r="E32" s="7"/>
      <x:c r="F32" s="20" t="str">
        <x:f>IF(G32&lt;&gt;"OK","",IF(OR(B32="Versamento",B32="Rimborso"),C32,-C32))</x:f>
      </x:c>
      <x:c r="G32" s="18" t="str">
        <x:f>IF(AND(A32="",B32="",C32="",D32="",E32=""),"",IF(OR(NOT(ISNUMBER(A32)),NOT(ISNUMBER(C32)),C32&lt;=0,D32="",AND(B32&lt;&gt;"Versamento",B32&lt;&gt;"Prelievo",B32&lt;&gt;"Costo",B32&lt;&gt;"Rimborso")),"Completa movimento","OK"))</x:f>
      </x:c>
      <x:c r="H32" s="2"/>
    </x:row>
    <x:row r="33" ht="22" customHeight="1">
      <x:c r="A33" s="19"/>
      <x:c r="B33" s="7"/>
      <x:c r="C33" s="8"/>
      <x:c r="D33" s="7"/>
      <x:c r="E33" s="7"/>
      <x:c r="F33" s="20" t="str">
        <x:f>IF(G33&lt;&gt;"OK","",IF(OR(B33="Versamento",B33="Rimborso"),C33,-C33))</x:f>
      </x:c>
      <x:c r="G33" s="18" t="str">
        <x:f>IF(AND(A33="",B33="",C33="",D33="",E33=""),"",IF(OR(NOT(ISNUMBER(A33)),NOT(ISNUMBER(C33)),C33&lt;=0,D33="",AND(B33&lt;&gt;"Versamento",B33&lt;&gt;"Prelievo",B33&lt;&gt;"Costo",B33&lt;&gt;"Rimborso")),"Completa movimento","OK"))</x:f>
      </x:c>
      <x:c r="H33" s="2"/>
    </x:row>
    <x:row r="34" ht="22" customHeight="1">
      <x:c r="A34" s="19"/>
      <x:c r="B34" s="7"/>
      <x:c r="C34" s="8"/>
      <x:c r="D34" s="7"/>
      <x:c r="E34" s="7"/>
      <x:c r="F34" s="20" t="str">
        <x:f>IF(G34&lt;&gt;"OK","",IF(OR(B34="Versamento",B34="Rimborso"),C34,-C34))</x:f>
      </x:c>
      <x:c r="G34" s="18" t="str">
        <x:f>IF(AND(A34="",B34="",C34="",D34="",E34=""),"",IF(OR(NOT(ISNUMBER(A34)),NOT(ISNUMBER(C34)),C34&lt;=0,D34="",AND(B34&lt;&gt;"Versamento",B34&lt;&gt;"Prelievo",B34&lt;&gt;"Costo",B34&lt;&gt;"Rimborso")),"Completa movimento","OK"))</x:f>
      </x:c>
      <x:c r="H34" s="2"/>
    </x:row>
    <x:row r="35" ht="22" customHeight="1">
      <x:c r="A35" s="19"/>
      <x:c r="B35" s="7"/>
      <x:c r="C35" s="8"/>
      <x:c r="D35" s="7"/>
      <x:c r="E35" s="7"/>
      <x:c r="F35" s="20" t="str">
        <x:f>IF(G35&lt;&gt;"OK","",IF(OR(B35="Versamento",B35="Rimborso"),C35,-C35))</x:f>
      </x:c>
      <x:c r="G35" s="18" t="str">
        <x:f>IF(AND(A35="",B35="",C35="",D35="",E35=""),"",IF(OR(NOT(ISNUMBER(A35)),NOT(ISNUMBER(C35)),C35&lt;=0,D35="",AND(B35&lt;&gt;"Versamento",B35&lt;&gt;"Prelievo",B35&lt;&gt;"Costo",B35&lt;&gt;"Rimborso")),"Completa movimento","OK"))</x:f>
      </x:c>
      <x:c r="H35" s="2"/>
    </x:row>
    <x:row r="36" ht="22" customHeight="1">
      <x:c r="A36" s="19"/>
      <x:c r="B36" s="7"/>
      <x:c r="C36" s="8"/>
      <x:c r="D36" s="7"/>
      <x:c r="E36" s="7"/>
      <x:c r="F36" s="20" t="str">
        <x:f>IF(G36&lt;&gt;"OK","",IF(OR(B36="Versamento",B36="Rimborso"),C36,-C36))</x:f>
      </x:c>
      <x:c r="G36" s="18" t="str">
        <x:f>IF(AND(A36="",B36="",C36="",D36="",E36=""),"",IF(OR(NOT(ISNUMBER(A36)),NOT(ISNUMBER(C36)),C36&lt;=0,D36="",AND(B36&lt;&gt;"Versamento",B36&lt;&gt;"Prelievo",B36&lt;&gt;"Costo",B36&lt;&gt;"Rimborso")),"Completa movimento","OK"))</x:f>
      </x:c>
      <x:c r="H36" s="2"/>
    </x:row>
    <x:row r="37" ht="22" customHeight="1">
      <x:c r="A37" s="19"/>
      <x:c r="B37" s="7"/>
      <x:c r="C37" s="8"/>
      <x:c r="D37" s="7"/>
      <x:c r="E37" s="7"/>
      <x:c r="F37" s="20" t="str">
        <x:f>IF(G37&lt;&gt;"OK","",IF(OR(B37="Versamento",B37="Rimborso"),C37,-C37))</x:f>
      </x:c>
      <x:c r="G37" s="18" t="str">
        <x:f>IF(AND(A37="",B37="",C37="",D37="",E37=""),"",IF(OR(NOT(ISNUMBER(A37)),NOT(ISNUMBER(C37)),C37&lt;=0,D37="",AND(B37&lt;&gt;"Versamento",B37&lt;&gt;"Prelievo",B37&lt;&gt;"Costo",B37&lt;&gt;"Rimborso")),"Completa movimento","OK"))</x:f>
      </x:c>
      <x:c r="H37" s="2"/>
    </x:row>
    <x:row r="38" ht="22" customHeight="1">
      <x:c r="A38" s="19"/>
      <x:c r="B38" s="7"/>
      <x:c r="C38" s="8"/>
      <x:c r="D38" s="7"/>
      <x:c r="E38" s="7"/>
      <x:c r="F38" s="20" t="str">
        <x:f>IF(G38&lt;&gt;"OK","",IF(OR(B38="Versamento",B38="Rimborso"),C38,-C38))</x:f>
      </x:c>
      <x:c r="G38" s="18" t="str">
        <x:f>IF(AND(A38="",B38="",C38="",D38="",E38=""),"",IF(OR(NOT(ISNUMBER(A38)),NOT(ISNUMBER(C38)),C38&lt;=0,D38="",AND(B38&lt;&gt;"Versamento",B38&lt;&gt;"Prelievo",B38&lt;&gt;"Costo",B38&lt;&gt;"Rimborso")),"Completa movimento","OK"))</x:f>
      </x:c>
      <x:c r="H38" s="2"/>
    </x:row>
    <x:row r="39" ht="22" customHeight="1">
      <x:c r="A39" s="19"/>
      <x:c r="B39" s="7"/>
      <x:c r="C39" s="8"/>
      <x:c r="D39" s="7"/>
      <x:c r="E39" s="7"/>
      <x:c r="F39" s="20" t="str">
        <x:f>IF(G39&lt;&gt;"OK","",IF(OR(B39="Versamento",B39="Rimborso"),C39,-C39))</x:f>
      </x:c>
      <x:c r="G39" s="18" t="str">
        <x:f>IF(AND(A39="",B39="",C39="",D39="",E39=""),"",IF(OR(NOT(ISNUMBER(A39)),NOT(ISNUMBER(C39)),C39&lt;=0,D39="",AND(B39&lt;&gt;"Versamento",B39&lt;&gt;"Prelievo",B39&lt;&gt;"Costo",B39&lt;&gt;"Rimborso")),"Completa movimento","OK"))</x:f>
      </x:c>
      <x:c r="H39" s="2"/>
    </x:row>
    <x:row r="40" ht="22" customHeight="1">
      <x:c r="A40" s="19"/>
      <x:c r="B40" s="7"/>
      <x:c r="C40" s="8"/>
      <x:c r="D40" s="7"/>
      <x:c r="E40" s="7"/>
      <x:c r="F40" s="20" t="str">
        <x:f>IF(G40&lt;&gt;"OK","",IF(OR(B40="Versamento",B40="Rimborso"),C40,-C40))</x:f>
      </x:c>
      <x:c r="G40" s="18" t="str">
        <x:f>IF(AND(A40="",B40="",C40="",D40="",E40=""),"",IF(OR(NOT(ISNUMBER(A40)),NOT(ISNUMBER(C40)),C40&lt;=0,D40="",AND(B40&lt;&gt;"Versamento",B40&lt;&gt;"Prelievo",B40&lt;&gt;"Costo",B40&lt;&gt;"Rimborso")),"Completa movimento","OK"))</x:f>
      </x:c>
      <x:c r="H40" s="2"/>
    </x:row>
    <x:row r="41" ht="22" customHeight="1">
      <x:c r="A41" s="19"/>
      <x:c r="B41" s="7"/>
      <x:c r="C41" s="8"/>
      <x:c r="D41" s="7"/>
      <x:c r="E41" s="7"/>
      <x:c r="F41" s="20" t="str">
        <x:f>IF(G41&lt;&gt;"OK","",IF(OR(B41="Versamento",B41="Rimborso"),C41,-C41))</x:f>
      </x:c>
      <x:c r="G41" s="18" t="str">
        <x:f>IF(AND(A41="",B41="",C41="",D41="",E41=""),"",IF(OR(NOT(ISNUMBER(A41)),NOT(ISNUMBER(C41)),C41&lt;=0,D41="",AND(B41&lt;&gt;"Versamento",B41&lt;&gt;"Prelievo",B41&lt;&gt;"Costo",B41&lt;&gt;"Rimborso")),"Completa movimento","OK"))</x:f>
      </x:c>
      <x:c r="H41" s="2"/>
    </x:row>
    <x:row r="42" ht="22" customHeight="1">
      <x:c r="A42" s="19"/>
      <x:c r="B42" s="7"/>
      <x:c r="C42" s="8"/>
      <x:c r="D42" s="7"/>
      <x:c r="E42" s="7"/>
      <x:c r="F42" s="20" t="str">
        <x:f>IF(G42&lt;&gt;"OK","",IF(OR(B42="Versamento",B42="Rimborso"),C42,-C42))</x:f>
      </x:c>
      <x:c r="G42" s="18" t="str">
        <x:f>IF(AND(A42="",B42="",C42="",D42="",E42=""),"",IF(OR(NOT(ISNUMBER(A42)),NOT(ISNUMBER(C42)),C42&lt;=0,D42="",AND(B42&lt;&gt;"Versamento",B42&lt;&gt;"Prelievo",B42&lt;&gt;"Costo",B42&lt;&gt;"Rimborso")),"Completa movimento","OK"))</x:f>
      </x:c>
      <x:c r="H42" s="2"/>
    </x:row>
    <x:row r="43" ht="22" customHeight="1">
      <x:c r="A43" s="19"/>
      <x:c r="B43" s="7"/>
      <x:c r="C43" s="8"/>
      <x:c r="D43" s="7"/>
      <x:c r="E43" s="7"/>
      <x:c r="F43" s="20" t="str">
        <x:f>IF(G43&lt;&gt;"OK","",IF(OR(B43="Versamento",B43="Rimborso"),C43,-C43))</x:f>
      </x:c>
      <x:c r="G43" s="18" t="str">
        <x:f>IF(AND(A43="",B43="",C43="",D43="",E43=""),"",IF(OR(NOT(ISNUMBER(A43)),NOT(ISNUMBER(C43)),C43&lt;=0,D43="",AND(B43&lt;&gt;"Versamento",B43&lt;&gt;"Prelievo",B43&lt;&gt;"Costo",B43&lt;&gt;"Rimborso")),"Completa movimento","OK"))</x:f>
      </x:c>
      <x:c r="H43" s="2"/>
    </x:row>
    <x:row r="44" ht="22" customHeight="1">
      <x:c r="A44" s="19"/>
      <x:c r="B44" s="7"/>
      <x:c r="C44" s="8"/>
      <x:c r="D44" s="7"/>
      <x:c r="E44" s="7"/>
      <x:c r="F44" s="20" t="str">
        <x:f>IF(G44&lt;&gt;"OK","",IF(OR(B44="Versamento",B44="Rimborso"),C44,-C44))</x:f>
      </x:c>
      <x:c r="G44" s="18" t="str">
        <x:f>IF(AND(A44="",B44="",C44="",D44="",E44=""),"",IF(OR(NOT(ISNUMBER(A44)),NOT(ISNUMBER(C44)),C44&lt;=0,D44="",AND(B44&lt;&gt;"Versamento",B44&lt;&gt;"Prelievo",B44&lt;&gt;"Costo",B44&lt;&gt;"Rimborso")),"Completa movimento","OK"))</x:f>
      </x:c>
      <x:c r="H44" s="2"/>
    </x:row>
    <x:row r="45" ht="22" customHeight="1">
      <x:c r="A45" s="19"/>
      <x:c r="B45" s="7"/>
      <x:c r="C45" s="8"/>
      <x:c r="D45" s="7"/>
      <x:c r="E45" s="7"/>
      <x:c r="F45" s="20" t="str">
        <x:f>IF(G45&lt;&gt;"OK","",IF(OR(B45="Versamento",B45="Rimborso"),C45,-C45))</x:f>
      </x:c>
      <x:c r="G45" s="18" t="str">
        <x:f>IF(AND(A45="",B45="",C45="",D45="",E45=""),"",IF(OR(NOT(ISNUMBER(A45)),NOT(ISNUMBER(C45)),C45&lt;=0,D45="",AND(B45&lt;&gt;"Versamento",B45&lt;&gt;"Prelievo",B45&lt;&gt;"Costo",B45&lt;&gt;"Rimborso")),"Completa movimento","OK"))</x:f>
      </x:c>
      <x:c r="H45" s="2"/>
    </x:row>
    <x:row r="46" ht="22" customHeight="1">
      <x:c r="A46" s="19"/>
      <x:c r="B46" s="7"/>
      <x:c r="C46" s="8"/>
      <x:c r="D46" s="7"/>
      <x:c r="E46" s="7"/>
      <x:c r="F46" s="20" t="str">
        <x:f>IF(G46&lt;&gt;"OK","",IF(OR(B46="Versamento",B46="Rimborso"),C46,-C46))</x:f>
      </x:c>
      <x:c r="G46" s="18" t="str">
        <x:f>IF(AND(A46="",B46="",C46="",D46="",E46=""),"",IF(OR(NOT(ISNUMBER(A46)),NOT(ISNUMBER(C46)),C46&lt;=0,D46="",AND(B46&lt;&gt;"Versamento",B46&lt;&gt;"Prelievo",B46&lt;&gt;"Costo",B46&lt;&gt;"Rimborso")),"Completa movimento","OK"))</x:f>
      </x:c>
      <x:c r="H46" s="2"/>
    </x:row>
    <x:row r="47" ht="22" customHeight="1">
      <x:c r="A47" s="19"/>
      <x:c r="B47" s="7"/>
      <x:c r="C47" s="8"/>
      <x:c r="D47" s="7"/>
      <x:c r="E47" s="7"/>
      <x:c r="F47" s="20" t="str">
        <x:f>IF(G47&lt;&gt;"OK","",IF(OR(B47="Versamento",B47="Rimborso"),C47,-C47))</x:f>
      </x:c>
      <x:c r="G47" s="18" t="str">
        <x:f>IF(AND(A47="",B47="",C47="",D47="",E47=""),"",IF(OR(NOT(ISNUMBER(A47)),NOT(ISNUMBER(C47)),C47&lt;=0,D47="",AND(B47&lt;&gt;"Versamento",B47&lt;&gt;"Prelievo",B47&lt;&gt;"Costo",B47&lt;&gt;"Rimborso")),"Completa movimento","OK"))</x:f>
      </x:c>
      <x:c r="H47" s="2"/>
    </x:row>
    <x:row r="48" ht="22" customHeight="1">
      <x:c r="A48" s="19"/>
      <x:c r="B48" s="7"/>
      <x:c r="C48" s="8"/>
      <x:c r="D48" s="7"/>
      <x:c r="E48" s="7"/>
      <x:c r="F48" s="20" t="str">
        <x:f>IF(G48&lt;&gt;"OK","",IF(OR(B48="Versamento",B48="Rimborso"),C48,-C48))</x:f>
      </x:c>
      <x:c r="G48" s="18" t="str">
        <x:f>IF(AND(A48="",B48="",C48="",D48="",E48=""),"",IF(OR(NOT(ISNUMBER(A48)),NOT(ISNUMBER(C48)),C48&lt;=0,D48="",AND(B48&lt;&gt;"Versamento",B48&lt;&gt;"Prelievo",B48&lt;&gt;"Costo",B48&lt;&gt;"Rimborso")),"Completa movimento","OK"))</x:f>
      </x:c>
      <x:c r="H48" s="2"/>
    </x:row>
    <x:row r="49" ht="22" customHeight="1">
      <x:c r="A49" s="19"/>
      <x:c r="B49" s="7"/>
      <x:c r="C49" s="8"/>
      <x:c r="D49" s="7"/>
      <x:c r="E49" s="7"/>
      <x:c r="F49" s="20" t="str">
        <x:f>IF(G49&lt;&gt;"OK","",IF(OR(B49="Versamento",B49="Rimborso"),C49,-C49))</x:f>
      </x:c>
      <x:c r="G49" s="18" t="str">
        <x:f>IF(AND(A49="",B49="",C49="",D49="",E49=""),"",IF(OR(NOT(ISNUMBER(A49)),NOT(ISNUMBER(C49)),C49&lt;=0,D49="",AND(B49&lt;&gt;"Versamento",B49&lt;&gt;"Prelievo",B49&lt;&gt;"Costo",B49&lt;&gt;"Rimborso")),"Completa movimento","OK"))</x:f>
      </x:c>
      <x:c r="H49" s="2"/>
    </x:row>
    <x:row r="50" ht="22" customHeight="1">
      <x:c r="A50" s="19"/>
      <x:c r="B50" s="7"/>
      <x:c r="C50" s="8"/>
      <x:c r="D50" s="7"/>
      <x:c r="E50" s="7"/>
      <x:c r="F50" s="20" t="str">
        <x:f>IF(G50&lt;&gt;"OK","",IF(OR(B50="Versamento",B50="Rimborso"),C50,-C50))</x:f>
      </x:c>
      <x:c r="G50" s="18" t="str">
        <x:f>IF(AND(A50="",B50="",C50="",D50="",E50=""),"",IF(OR(NOT(ISNUMBER(A50)),NOT(ISNUMBER(C50)),C50&lt;=0,D50="",AND(B50&lt;&gt;"Versamento",B50&lt;&gt;"Prelievo",B50&lt;&gt;"Costo",B50&lt;&gt;"Rimborso")),"Completa movimento","OK"))</x:f>
      </x:c>
      <x:c r="H50" s="2"/>
    </x:row>
    <x:row r="51" ht="22" customHeight="1">
      <x:c r="A51" s="19"/>
      <x:c r="B51" s="7"/>
      <x:c r="C51" s="8"/>
      <x:c r="D51" s="7"/>
      <x:c r="E51" s="7"/>
      <x:c r="F51" s="20" t="str">
        <x:f>IF(G51&lt;&gt;"OK","",IF(OR(B51="Versamento",B51="Rimborso"),C51,-C51))</x:f>
      </x:c>
      <x:c r="G51" s="18" t="str">
        <x:f>IF(AND(A51="",B51="",C51="",D51="",E51=""),"",IF(OR(NOT(ISNUMBER(A51)),NOT(ISNUMBER(C51)),C51&lt;=0,D51="",AND(B51&lt;&gt;"Versamento",B51&lt;&gt;"Prelievo",B51&lt;&gt;"Costo",B51&lt;&gt;"Rimborso")),"Completa movimento","OK"))</x:f>
      </x:c>
      <x:c r="H51" s="2"/>
    </x:row>
    <x:row r="52" ht="22" customHeight="1">
      <x:c r="A52" s="19"/>
      <x:c r="B52" s="7"/>
      <x:c r="C52" s="8"/>
      <x:c r="D52" s="7"/>
      <x:c r="E52" s="7"/>
      <x:c r="F52" s="20" t="str">
        <x:f>IF(G52&lt;&gt;"OK","",IF(OR(B52="Versamento",B52="Rimborso"),C52,-C52))</x:f>
      </x:c>
      <x:c r="G52" s="18" t="str">
        <x:f>IF(AND(A52="",B52="",C52="",D52="",E52=""),"",IF(OR(NOT(ISNUMBER(A52)),NOT(ISNUMBER(C52)),C52&lt;=0,D52="",AND(B52&lt;&gt;"Versamento",B52&lt;&gt;"Prelievo",B52&lt;&gt;"Costo",B52&lt;&gt;"Rimborso")),"Completa movimento","OK"))</x:f>
      </x:c>
      <x:c r="H52" s="2"/>
    </x:row>
    <x:row r="53" ht="22" customHeight="1">
      <x:c r="A53" s="19"/>
      <x:c r="B53" s="7"/>
      <x:c r="C53" s="8"/>
      <x:c r="D53" s="7"/>
      <x:c r="E53" s="7"/>
      <x:c r="F53" s="20" t="str">
        <x:f>IF(G53&lt;&gt;"OK","",IF(OR(B53="Versamento",B53="Rimborso"),C53,-C53))</x:f>
      </x:c>
      <x:c r="G53" s="18" t="str">
        <x:f>IF(AND(A53="",B53="",C53="",D53="",E53=""),"",IF(OR(NOT(ISNUMBER(A53)),NOT(ISNUMBER(C53)),C53&lt;=0,D53="",AND(B53&lt;&gt;"Versamento",B53&lt;&gt;"Prelievo",B53&lt;&gt;"Costo",B53&lt;&gt;"Rimborso")),"Completa movimento","OK"))</x:f>
      </x:c>
      <x:c r="H53" s="2"/>
    </x:row>
    <x:row r="54" ht="22" customHeight="1">
      <x:c r="A54" s="19"/>
      <x:c r="B54" s="7"/>
      <x:c r="C54" s="8"/>
      <x:c r="D54" s="7"/>
      <x:c r="E54" s="7"/>
      <x:c r="F54" s="20" t="str">
        <x:f>IF(G54&lt;&gt;"OK","",IF(OR(B54="Versamento",B54="Rimborso"),C54,-C54))</x:f>
      </x:c>
      <x:c r="G54" s="18" t="str">
        <x:f>IF(AND(A54="",B54="",C54="",D54="",E54=""),"",IF(OR(NOT(ISNUMBER(A54)),NOT(ISNUMBER(C54)),C54&lt;=0,D54="",AND(B54&lt;&gt;"Versamento",B54&lt;&gt;"Prelievo",B54&lt;&gt;"Costo",B54&lt;&gt;"Rimborso")),"Completa movimento","OK"))</x:f>
      </x:c>
      <x:c r="H54" s="2"/>
    </x:row>
    <x:row r="55" ht="22" customHeight="1">
      <x:c r="A55" s="19"/>
      <x:c r="B55" s="7"/>
      <x:c r="C55" s="8"/>
      <x:c r="D55" s="7"/>
      <x:c r="E55" s="7"/>
      <x:c r="F55" s="20" t="str">
        <x:f>IF(G55&lt;&gt;"OK","",IF(OR(B55="Versamento",B55="Rimborso"),C55,-C55))</x:f>
      </x:c>
      <x:c r="G55" s="18" t="str">
        <x:f>IF(AND(A55="",B55="",C55="",D55="",E55=""),"",IF(OR(NOT(ISNUMBER(A55)),NOT(ISNUMBER(C55)),C55&lt;=0,D55="",AND(B55&lt;&gt;"Versamento",B55&lt;&gt;"Prelievo",B55&lt;&gt;"Costo",B55&lt;&gt;"Rimborso")),"Completa movimento","OK"))</x:f>
      </x:c>
      <x:c r="H55" s="2"/>
    </x:row>
    <x:row r="56" ht="22" customHeight="1">
      <x:c r="A56" s="19"/>
      <x:c r="B56" s="7"/>
      <x:c r="C56" s="8"/>
      <x:c r="D56" s="7"/>
      <x:c r="E56" s="7"/>
      <x:c r="F56" s="20" t="str">
        <x:f>IF(G56&lt;&gt;"OK","",IF(OR(B56="Versamento",B56="Rimborso"),C56,-C56))</x:f>
      </x:c>
      <x:c r="G56" s="18" t="str">
        <x:f>IF(AND(A56="",B56="",C56="",D56="",E56=""),"",IF(OR(NOT(ISNUMBER(A56)),NOT(ISNUMBER(C56)),C56&lt;=0,D56="",AND(B56&lt;&gt;"Versamento",B56&lt;&gt;"Prelievo",B56&lt;&gt;"Costo",B56&lt;&gt;"Rimborso")),"Completa movimento","OK"))</x:f>
      </x:c>
      <x:c r="H56" s="2"/>
    </x:row>
    <x:row r="57" ht="22" customHeight="1">
      <x:c r="A57" s="19"/>
      <x:c r="B57" s="7"/>
      <x:c r="C57" s="8"/>
      <x:c r="D57" s="7"/>
      <x:c r="E57" s="7"/>
      <x:c r="F57" s="20" t="str">
        <x:f>IF(G57&lt;&gt;"OK","",IF(OR(B57="Versamento",B57="Rimborso"),C57,-C57))</x:f>
      </x:c>
      <x:c r="G57" s="18" t="str">
        <x:f>IF(AND(A57="",B57="",C57="",D57="",E57=""),"",IF(OR(NOT(ISNUMBER(A57)),NOT(ISNUMBER(C57)),C57&lt;=0,D57="",AND(B57&lt;&gt;"Versamento",B57&lt;&gt;"Prelievo",B57&lt;&gt;"Costo",B57&lt;&gt;"Rimborso")),"Completa movimento","OK"))</x:f>
      </x:c>
      <x:c r="H57" s="2"/>
    </x:row>
    <x:row r="58" ht="22" customHeight="1">
      <x:c r="A58" s="19"/>
      <x:c r="B58" s="7"/>
      <x:c r="C58" s="8"/>
      <x:c r="D58" s="7"/>
      <x:c r="E58" s="7"/>
      <x:c r="F58" s="20" t="str">
        <x:f>IF(G58&lt;&gt;"OK","",IF(OR(B58="Versamento",B58="Rimborso"),C58,-C58))</x:f>
      </x:c>
      <x:c r="G58" s="18" t="str">
        <x:f>IF(AND(A58="",B58="",C58="",D58="",E58=""),"",IF(OR(NOT(ISNUMBER(A58)),NOT(ISNUMBER(C58)),C58&lt;=0,D58="",AND(B58&lt;&gt;"Versamento",B58&lt;&gt;"Prelievo",B58&lt;&gt;"Costo",B58&lt;&gt;"Rimborso")),"Completa movimento","OK"))</x:f>
      </x:c>
      <x:c r="H58" s="2"/>
    </x:row>
    <x:row r="59" ht="22" customHeight="1">
      <x:c r="A59" s="19"/>
      <x:c r="B59" s="7"/>
      <x:c r="C59" s="8"/>
      <x:c r="D59" s="7"/>
      <x:c r="E59" s="7"/>
      <x:c r="F59" s="20" t="str">
        <x:f>IF(G59&lt;&gt;"OK","",IF(OR(B59="Versamento",B59="Rimborso"),C59,-C59))</x:f>
      </x:c>
      <x:c r="G59" s="18" t="str">
        <x:f>IF(AND(A59="",B59="",C59="",D59="",E59=""),"",IF(OR(NOT(ISNUMBER(A59)),NOT(ISNUMBER(C59)),C59&lt;=0,D59="",AND(B59&lt;&gt;"Versamento",B59&lt;&gt;"Prelievo",B59&lt;&gt;"Costo",B59&lt;&gt;"Rimborso")),"Completa movimento","OK"))</x:f>
      </x:c>
      <x:c r="H59" s="2"/>
    </x:row>
    <x:row r="60" ht="22" customHeight="1">
      <x:c r="A60" s="19"/>
      <x:c r="B60" s="7"/>
      <x:c r="C60" s="8"/>
      <x:c r="D60" s="7"/>
      <x:c r="E60" s="7"/>
      <x:c r="F60" s="20" t="str">
        <x:f>IF(G60&lt;&gt;"OK","",IF(OR(B60="Versamento",B60="Rimborso"),C60,-C60))</x:f>
      </x:c>
      <x:c r="G60" s="18" t="str">
        <x:f>IF(AND(A60="",B60="",C60="",D60="",E60=""),"",IF(OR(NOT(ISNUMBER(A60)),NOT(ISNUMBER(C60)),C60&lt;=0,D60="",AND(B60&lt;&gt;"Versamento",B60&lt;&gt;"Prelievo",B60&lt;&gt;"Costo",B60&lt;&gt;"Rimborso")),"Completa movimento","OK"))</x:f>
      </x:c>
      <x:c r="H60" s="2"/>
    </x:row>
    <x:row r="61" ht="22" customHeight="1">
      <x:c r="A61" s="19"/>
      <x:c r="B61" s="7"/>
      <x:c r="C61" s="8"/>
      <x:c r="D61" s="7"/>
      <x:c r="E61" s="7"/>
      <x:c r="F61" s="20" t="str">
        <x:f>IF(G61&lt;&gt;"OK","",IF(OR(B61="Versamento",B61="Rimborso"),C61,-C61))</x:f>
      </x:c>
      <x:c r="G61" s="18" t="str">
        <x:f>IF(AND(A61="",B61="",C61="",D61="",E61=""),"",IF(OR(NOT(ISNUMBER(A61)),NOT(ISNUMBER(C61)),C61&lt;=0,D61="",AND(B61&lt;&gt;"Versamento",B61&lt;&gt;"Prelievo",B61&lt;&gt;"Costo",B61&lt;&gt;"Rimborso")),"Completa movimento","OK"))</x:f>
      </x:c>
      <x:c r="H61" s="2"/>
    </x:row>
    <x:row r="62" ht="22" customHeight="1">
      <x:c r="A62" s="19"/>
      <x:c r="B62" s="7"/>
      <x:c r="C62" s="8"/>
      <x:c r="D62" s="7"/>
      <x:c r="E62" s="7"/>
      <x:c r="F62" s="20" t="str">
        <x:f>IF(G62&lt;&gt;"OK","",IF(OR(B62="Versamento",B62="Rimborso"),C62,-C62))</x:f>
      </x:c>
      <x:c r="G62" s="18" t="str">
        <x:f>IF(AND(A62="",B62="",C62="",D62="",E62=""),"",IF(OR(NOT(ISNUMBER(A62)),NOT(ISNUMBER(C62)),C62&lt;=0,D62="",AND(B62&lt;&gt;"Versamento",B62&lt;&gt;"Prelievo",B62&lt;&gt;"Costo",B62&lt;&gt;"Rimborso")),"Completa movimento","OK"))</x:f>
      </x:c>
      <x:c r="H62" s="2"/>
    </x:row>
    <x:row r="63" ht="22" customHeight="1">
      <x:c r="A63" s="19"/>
      <x:c r="B63" s="7"/>
      <x:c r="C63" s="8"/>
      <x:c r="D63" s="7"/>
      <x:c r="E63" s="7"/>
      <x:c r="F63" s="20" t="str">
        <x:f>IF(G63&lt;&gt;"OK","",IF(OR(B63="Versamento",B63="Rimborso"),C63,-C63))</x:f>
      </x:c>
      <x:c r="G63" s="18" t="str">
        <x:f>IF(AND(A63="",B63="",C63="",D63="",E63=""),"",IF(OR(NOT(ISNUMBER(A63)),NOT(ISNUMBER(C63)),C63&lt;=0,D63="",AND(B63&lt;&gt;"Versamento",B63&lt;&gt;"Prelievo",B63&lt;&gt;"Costo",B63&lt;&gt;"Rimborso")),"Completa movimento","OK"))</x:f>
      </x:c>
      <x:c r="H63" s="2"/>
    </x:row>
    <x:row r="64" ht="22" customHeight="1">
      <x:c r="A64" s="19"/>
      <x:c r="B64" s="7"/>
      <x:c r="C64" s="8"/>
      <x:c r="D64" s="7"/>
      <x:c r="E64" s="7"/>
      <x:c r="F64" s="20" t="str">
        <x:f>IF(G64&lt;&gt;"OK","",IF(OR(B64="Versamento",B64="Rimborso"),C64,-C64))</x:f>
      </x:c>
      <x:c r="G64" s="18" t="str">
        <x:f>IF(AND(A64="",B64="",C64="",D64="",E64=""),"",IF(OR(NOT(ISNUMBER(A64)),NOT(ISNUMBER(C64)),C64&lt;=0,D64="",AND(B64&lt;&gt;"Versamento",B64&lt;&gt;"Prelievo",B64&lt;&gt;"Costo",B64&lt;&gt;"Rimborso")),"Completa movimento","OK"))</x:f>
      </x:c>
      <x:c r="H64" s="2"/>
    </x:row>
    <x:row r="65" ht="22" customHeight="1">
      <x:c r="A65" s="19"/>
      <x:c r="B65" s="7"/>
      <x:c r="C65" s="8"/>
      <x:c r="D65" s="7"/>
      <x:c r="E65" s="7"/>
      <x:c r="F65" s="20" t="str">
        <x:f>IF(G65&lt;&gt;"OK","",IF(OR(B65="Versamento",B65="Rimborso"),C65,-C65))</x:f>
      </x:c>
      <x:c r="G65" s="18" t="str">
        <x:f>IF(AND(A65="",B65="",C65="",D65="",E65=""),"",IF(OR(NOT(ISNUMBER(A65)),NOT(ISNUMBER(C65)),C65&lt;=0,D65="",AND(B65&lt;&gt;"Versamento",B65&lt;&gt;"Prelievo",B65&lt;&gt;"Costo",B65&lt;&gt;"Rimborso")),"Completa movimento","OK"))</x:f>
      </x:c>
      <x:c r="H65" s="2"/>
    </x:row>
    <x:row r="66">
      <x:c r="A66" s="26"/>
      <x:c r="B66" s="24"/>
      <x:c r="C66" s="29"/>
      <x:c r="D66" s="24"/>
      <x:c r="E66" s="24"/>
      <x:c r="F66" s="20" t="str">
        <x:f>IF(G66&lt;&gt;"OK","",IF(OR(B66="Versamento",B66="Rimborso"),C66,-C66))</x:f>
      </x:c>
      <x:c r="G66" s="18" t="str">
        <x:f>IF(AND(A66="",B66="",C66="",D66="",E66=""),"",IF(OR(NOT(ISNUMBER(A66)),NOT(ISNUMBER(C66)),C66&lt;=0,D66="",AND(B66&lt;&gt;"Versamento",B66&lt;&gt;"Prelievo",B66&lt;&gt;"Costo",B66&lt;&gt;"Rimborso")),"Completa movimento","OK"))</x:f>
      </x:c>
    </x:row>
    <x:row r="67">
      <x:c r="A67" s="26"/>
      <x:c r="B67" s="24"/>
      <x:c r="C67" s="29"/>
      <x:c r="D67" s="24"/>
      <x:c r="E67" s="24"/>
      <x:c r="F67" s="20" t="str">
        <x:f>IF(G67&lt;&gt;"OK","",IF(OR(B67="Versamento",B67="Rimborso"),C67,-C67))</x:f>
      </x:c>
      <x:c r="G67" s="18" t="str">
        <x:f>IF(AND(A67="",B67="",C67="",D67="",E67=""),"",IF(OR(NOT(ISNUMBER(A67)),NOT(ISNUMBER(C67)),C67&lt;=0,D67="",AND(B67&lt;&gt;"Versamento",B67&lt;&gt;"Prelievo",B67&lt;&gt;"Costo",B67&lt;&gt;"Rimborso")),"Completa movimento","OK"))</x:f>
      </x:c>
    </x:row>
    <x:row r="68">
      <x:c r="A68" s="26"/>
      <x:c r="B68" s="24"/>
      <x:c r="C68" s="29"/>
      <x:c r="D68" s="24"/>
      <x:c r="E68" s="24"/>
      <x:c r="F68" s="20" t="str">
        <x:f>IF(G68&lt;&gt;"OK","",IF(OR(B68="Versamento",B68="Rimborso"),C68,-C68))</x:f>
      </x:c>
      <x:c r="G68" s="18" t="str">
        <x:f>IF(AND(A68="",B68="",C68="",D68="",E68=""),"",IF(OR(NOT(ISNUMBER(A68)),NOT(ISNUMBER(C68)),C68&lt;=0,D68="",AND(B68&lt;&gt;"Versamento",B68&lt;&gt;"Prelievo",B68&lt;&gt;"Costo",B68&lt;&gt;"Rimborso")),"Completa movimento","OK"))</x:f>
      </x:c>
    </x:row>
    <x:row r="69">
      <x:c r="A69" s="26"/>
      <x:c r="B69" s="24"/>
      <x:c r="C69" s="29"/>
      <x:c r="D69" s="24"/>
      <x:c r="E69" s="24"/>
      <x:c r="F69" s="20" t="str">
        <x:f>IF(G69&lt;&gt;"OK","",IF(OR(B69="Versamento",B69="Rimborso"),C69,-C69))</x:f>
      </x:c>
      <x:c r="G69" s="18" t="str">
        <x:f>IF(AND(A69="",B69="",C69="",D69="",E69=""),"",IF(OR(NOT(ISNUMBER(A69)),NOT(ISNUMBER(C69)),C69&lt;=0,D69="",AND(B69&lt;&gt;"Versamento",B69&lt;&gt;"Prelievo",B69&lt;&gt;"Costo",B69&lt;&gt;"Rimborso")),"Completa movimento","OK"))</x:f>
      </x:c>
    </x:row>
    <x:row r="70">
      <x:c r="A70" s="26"/>
      <x:c r="B70" s="24"/>
      <x:c r="C70" s="29"/>
      <x:c r="D70" s="24"/>
      <x:c r="E70" s="24"/>
      <x:c r="F70" s="20" t="str">
        <x:f>IF(G70&lt;&gt;"OK","",IF(OR(B70="Versamento",B70="Rimborso"),C70,-C70))</x:f>
      </x:c>
      <x:c r="G70" s="18" t="str">
        <x:f>IF(AND(A70="",B70="",C70="",D70="",E70=""),"",IF(OR(NOT(ISNUMBER(A70)),NOT(ISNUMBER(C70)),C70&lt;=0,D70="",AND(B70&lt;&gt;"Versamento",B70&lt;&gt;"Prelievo",B70&lt;&gt;"Costo",B70&lt;&gt;"Rimborso")),"Completa movimento","OK"))</x:f>
      </x:c>
    </x:row>
    <x:row r="71">
      <x:c r="A71" s="26"/>
      <x:c r="B71" s="24"/>
      <x:c r="C71" s="29"/>
      <x:c r="D71" s="24"/>
      <x:c r="E71" s="24"/>
      <x:c r="F71" s="20" t="str">
        <x:f>IF(G71&lt;&gt;"OK","",IF(OR(B71="Versamento",B71="Rimborso"),C71,-C71))</x:f>
      </x:c>
      <x:c r="G71" s="18" t="str">
        <x:f>IF(AND(A71="",B71="",C71="",D71="",E71=""),"",IF(OR(NOT(ISNUMBER(A71)),NOT(ISNUMBER(C71)),C71&lt;=0,D71="",AND(B71&lt;&gt;"Versamento",B71&lt;&gt;"Prelievo",B71&lt;&gt;"Costo",B71&lt;&gt;"Rimborso")),"Completa movimento","OK"))</x:f>
      </x:c>
    </x:row>
    <x:row r="72">
      <x:c r="A72" s="26"/>
      <x:c r="B72" s="24"/>
      <x:c r="C72" s="29"/>
      <x:c r="D72" s="24"/>
      <x:c r="E72" s="24"/>
      <x:c r="F72" s="20" t="str">
        <x:f>IF(G72&lt;&gt;"OK","",IF(OR(B72="Versamento",B72="Rimborso"),C72,-C72))</x:f>
      </x:c>
      <x:c r="G72" s="18" t="str">
        <x:f>IF(AND(A72="",B72="",C72="",D72="",E72=""),"",IF(OR(NOT(ISNUMBER(A72)),NOT(ISNUMBER(C72)),C72&lt;=0,D72="",AND(B72&lt;&gt;"Versamento",B72&lt;&gt;"Prelievo",B72&lt;&gt;"Costo",B72&lt;&gt;"Rimborso")),"Completa movimento","OK"))</x:f>
      </x:c>
    </x:row>
    <x:row r="73">
      <x:c r="A73" s="26"/>
      <x:c r="B73" s="24"/>
      <x:c r="C73" s="29"/>
      <x:c r="D73" s="24"/>
      <x:c r="E73" s="24"/>
      <x:c r="F73" s="20" t="str">
        <x:f>IF(G73&lt;&gt;"OK","",IF(OR(B73="Versamento",B73="Rimborso"),C73,-C73))</x:f>
      </x:c>
      <x:c r="G73" s="18" t="str">
        <x:f>IF(AND(A73="",B73="",C73="",D73="",E73=""),"",IF(OR(NOT(ISNUMBER(A73)),NOT(ISNUMBER(C73)),C73&lt;=0,D73="",AND(B73&lt;&gt;"Versamento",B73&lt;&gt;"Prelievo",B73&lt;&gt;"Costo",B73&lt;&gt;"Rimborso")),"Completa movimento","OK"))</x:f>
      </x:c>
    </x:row>
    <x:row r="74">
      <x:c r="A74" s="26"/>
      <x:c r="B74" s="24"/>
      <x:c r="C74" s="29"/>
      <x:c r="D74" s="24"/>
      <x:c r="E74" s="24"/>
      <x:c r="F74" s="20" t="str">
        <x:f>IF(G74&lt;&gt;"OK","",IF(OR(B74="Versamento",B74="Rimborso"),C74,-C74))</x:f>
      </x:c>
      <x:c r="G74" s="18" t="str">
        <x:f>IF(AND(A74="",B74="",C74="",D74="",E74=""),"",IF(OR(NOT(ISNUMBER(A74)),NOT(ISNUMBER(C74)),C74&lt;=0,D74="",AND(B74&lt;&gt;"Versamento",B74&lt;&gt;"Prelievo",B74&lt;&gt;"Costo",B74&lt;&gt;"Rimborso")),"Completa movimento","OK"))</x:f>
      </x:c>
    </x:row>
    <x:row r="75">
      <x:c r="A75" s="26"/>
      <x:c r="B75" s="24"/>
      <x:c r="C75" s="29"/>
      <x:c r="D75" s="24"/>
      <x:c r="E75" s="24"/>
      <x:c r="F75" s="20" t="str">
        <x:f>IF(G75&lt;&gt;"OK","",IF(OR(B75="Versamento",B75="Rimborso"),C75,-C75))</x:f>
      </x:c>
      <x:c r="G75" s="18" t="str">
        <x:f>IF(AND(A75="",B75="",C75="",D75="",E75=""),"",IF(OR(NOT(ISNUMBER(A75)),NOT(ISNUMBER(C75)),C75&lt;=0,D75="",AND(B75&lt;&gt;"Versamento",B75&lt;&gt;"Prelievo",B75&lt;&gt;"Costo",B75&lt;&gt;"Rimborso")),"Completa movimento","OK"))</x:f>
      </x:c>
    </x:row>
    <x:row r="76">
      <x:c r="A76" s="26"/>
      <x:c r="B76" s="24"/>
      <x:c r="C76" s="29"/>
      <x:c r="D76" s="24"/>
      <x:c r="E76" s="24"/>
      <x:c r="F76" s="20" t="str">
        <x:f>IF(G76&lt;&gt;"OK","",IF(OR(B76="Versamento",B76="Rimborso"),C76,-C76))</x:f>
      </x:c>
      <x:c r="G76" s="18" t="str">
        <x:f>IF(AND(A76="",B76="",C76="",D76="",E76=""),"",IF(OR(NOT(ISNUMBER(A76)),NOT(ISNUMBER(C76)),C76&lt;=0,D76="",AND(B76&lt;&gt;"Versamento",B76&lt;&gt;"Prelievo",B76&lt;&gt;"Costo",B76&lt;&gt;"Rimborso")),"Completa movimento","OK"))</x:f>
      </x:c>
    </x:row>
    <x:row r="77">
      <x:c r="A77" s="26"/>
      <x:c r="B77" s="24"/>
      <x:c r="C77" s="29"/>
      <x:c r="D77" s="24"/>
      <x:c r="E77" s="24"/>
      <x:c r="F77" s="20" t="str">
        <x:f>IF(G77&lt;&gt;"OK","",IF(OR(B77="Versamento",B77="Rimborso"),C77,-C77))</x:f>
      </x:c>
      <x:c r="G77" s="18" t="str">
        <x:f>IF(AND(A77="",B77="",C77="",D77="",E77=""),"",IF(OR(NOT(ISNUMBER(A77)),NOT(ISNUMBER(C77)),C77&lt;=0,D77="",AND(B77&lt;&gt;"Versamento",B77&lt;&gt;"Prelievo",B77&lt;&gt;"Costo",B77&lt;&gt;"Rimborso")),"Completa movimento","OK"))</x:f>
      </x:c>
    </x:row>
    <x:row r="78">
      <x:c r="A78" s="26"/>
      <x:c r="B78" s="24"/>
      <x:c r="C78" s="29"/>
      <x:c r="D78" s="24"/>
      <x:c r="E78" s="24"/>
      <x:c r="F78" s="20" t="str">
        <x:f>IF(G78&lt;&gt;"OK","",IF(OR(B78="Versamento",B78="Rimborso"),C78,-C78))</x:f>
      </x:c>
      <x:c r="G78" s="18" t="str">
        <x:f>IF(AND(A78="",B78="",C78="",D78="",E78=""),"",IF(OR(NOT(ISNUMBER(A78)),NOT(ISNUMBER(C78)),C78&lt;=0,D78="",AND(B78&lt;&gt;"Versamento",B78&lt;&gt;"Prelievo",B78&lt;&gt;"Costo",B78&lt;&gt;"Rimborso")),"Completa movimento","OK"))</x:f>
      </x:c>
    </x:row>
    <x:row r="79">
      <x:c r="A79" s="26"/>
      <x:c r="B79" s="24"/>
      <x:c r="C79" s="29"/>
      <x:c r="D79" s="24"/>
      <x:c r="E79" s="24"/>
      <x:c r="F79" s="20" t="str">
        <x:f>IF(G79&lt;&gt;"OK","",IF(OR(B79="Versamento",B79="Rimborso"),C79,-C79))</x:f>
      </x:c>
      <x:c r="G79" s="18" t="str">
        <x:f>IF(AND(A79="",B79="",C79="",D79="",E79=""),"",IF(OR(NOT(ISNUMBER(A79)),NOT(ISNUMBER(C79)),C79&lt;=0,D79="",AND(B79&lt;&gt;"Versamento",B79&lt;&gt;"Prelievo",B79&lt;&gt;"Costo",B79&lt;&gt;"Rimborso")),"Completa movimento","OK"))</x:f>
      </x:c>
    </x:row>
    <x:row r="80">
      <x:c r="A80" s="26"/>
      <x:c r="B80" s="24"/>
      <x:c r="C80" s="29"/>
      <x:c r="D80" s="24"/>
      <x:c r="E80" s="24"/>
      <x:c r="F80" s="20" t="str">
        <x:f>IF(G80&lt;&gt;"OK","",IF(OR(B80="Versamento",B80="Rimborso"),C80,-C80))</x:f>
      </x:c>
      <x:c r="G80" s="18" t="str">
        <x:f>IF(AND(A80="",B80="",C80="",D80="",E80=""),"",IF(OR(NOT(ISNUMBER(A80)),NOT(ISNUMBER(C80)),C80&lt;=0,D80="",AND(B80&lt;&gt;"Versamento",B80&lt;&gt;"Prelievo",B80&lt;&gt;"Costo",B80&lt;&gt;"Rimborso")),"Completa movimento","OK"))</x:f>
      </x:c>
    </x:row>
    <x:row r="81">
      <x:c r="A81" s="26"/>
      <x:c r="B81" s="24"/>
      <x:c r="C81" s="29"/>
      <x:c r="D81" s="24"/>
      <x:c r="E81" s="24"/>
      <x:c r="F81" s="20" t="str">
        <x:f>IF(G81&lt;&gt;"OK","",IF(OR(B81="Versamento",B81="Rimborso"),C81,-C81))</x:f>
      </x:c>
      <x:c r="G81" s="18" t="str">
        <x:f>IF(AND(A81="",B81="",C81="",D81="",E81=""),"",IF(OR(NOT(ISNUMBER(A81)),NOT(ISNUMBER(C81)),C81&lt;=0,D81="",AND(B81&lt;&gt;"Versamento",B81&lt;&gt;"Prelievo",B81&lt;&gt;"Costo",B81&lt;&gt;"Rimborso")),"Completa movimento","OK"))</x:f>
      </x:c>
    </x:row>
    <x:row r="82">
      <x:c r="A82" s="26"/>
      <x:c r="B82" s="24"/>
      <x:c r="C82" s="29"/>
      <x:c r="D82" s="24"/>
      <x:c r="E82" s="24"/>
      <x:c r="F82" s="20" t="str">
        <x:f>IF(G82&lt;&gt;"OK","",IF(OR(B82="Versamento",B82="Rimborso"),C82,-C82))</x:f>
      </x:c>
      <x:c r="G82" s="18" t="str">
        <x:f>IF(AND(A82="",B82="",C82="",D82="",E82=""),"",IF(OR(NOT(ISNUMBER(A82)),NOT(ISNUMBER(C82)),C82&lt;=0,D82="",AND(B82&lt;&gt;"Versamento",B82&lt;&gt;"Prelievo",B82&lt;&gt;"Costo",B82&lt;&gt;"Rimborso")),"Completa movimento","OK"))</x:f>
      </x:c>
    </x:row>
    <x:row r="83">
      <x:c r="A83" s="26"/>
      <x:c r="B83" s="24"/>
      <x:c r="C83" s="29"/>
      <x:c r="D83" s="24"/>
      <x:c r="E83" s="24"/>
      <x:c r="F83" s="20" t="str">
        <x:f>IF(G83&lt;&gt;"OK","",IF(OR(B83="Versamento",B83="Rimborso"),C83,-C83))</x:f>
      </x:c>
      <x:c r="G83" s="18" t="str">
        <x:f>IF(AND(A83="",B83="",C83="",D83="",E83=""),"",IF(OR(NOT(ISNUMBER(A83)),NOT(ISNUMBER(C83)),C83&lt;=0,D83="",AND(B83&lt;&gt;"Versamento",B83&lt;&gt;"Prelievo",B83&lt;&gt;"Costo",B83&lt;&gt;"Rimborso")),"Completa movimento","OK"))</x:f>
      </x:c>
    </x:row>
    <x:row r="84">
      <x:c r="A84" s="26"/>
      <x:c r="B84" s="24"/>
      <x:c r="C84" s="29"/>
      <x:c r="D84" s="24"/>
      <x:c r="E84" s="24"/>
      <x:c r="F84" s="20" t="str">
        <x:f>IF(G84&lt;&gt;"OK","",IF(OR(B84="Versamento",B84="Rimborso"),C84,-C84))</x:f>
      </x:c>
      <x:c r="G84" s="18" t="str">
        <x:f>IF(AND(A84="",B84="",C84="",D84="",E84=""),"",IF(OR(NOT(ISNUMBER(A84)),NOT(ISNUMBER(C84)),C84&lt;=0,D84="",AND(B84&lt;&gt;"Versamento",B84&lt;&gt;"Prelievo",B84&lt;&gt;"Costo",B84&lt;&gt;"Rimborso")),"Completa movimento","OK"))</x:f>
      </x:c>
    </x:row>
    <x:row r="85">
      <x:c r="A85" s="26"/>
      <x:c r="B85" s="24"/>
      <x:c r="C85" s="29"/>
      <x:c r="D85" s="24"/>
      <x:c r="E85" s="24"/>
      <x:c r="F85" s="20" t="str">
        <x:f>IF(G85&lt;&gt;"OK","",IF(OR(B85="Versamento",B85="Rimborso"),C85,-C85))</x:f>
      </x:c>
      <x:c r="G85" s="18" t="str">
        <x:f>IF(AND(A85="",B85="",C85="",D85="",E85=""),"",IF(OR(NOT(ISNUMBER(A85)),NOT(ISNUMBER(C85)),C85&lt;=0,D85="",AND(B85&lt;&gt;"Versamento",B85&lt;&gt;"Prelievo",B85&lt;&gt;"Costo",B85&lt;&gt;"Rimborso")),"Completa movimento","OK"))</x:f>
      </x:c>
    </x:row>
    <x:row r="86">
      <x:c r="A86" s="26"/>
      <x:c r="B86" s="24"/>
      <x:c r="C86" s="29"/>
      <x:c r="D86" s="24"/>
      <x:c r="E86" s="24"/>
      <x:c r="F86" s="20" t="str">
        <x:f>IF(G86&lt;&gt;"OK","",IF(OR(B86="Versamento",B86="Rimborso"),C86,-C86))</x:f>
      </x:c>
      <x:c r="G86" s="18" t="str">
        <x:f>IF(AND(A86="",B86="",C86="",D86="",E86=""),"",IF(OR(NOT(ISNUMBER(A86)),NOT(ISNUMBER(C86)),C86&lt;=0,D86="",AND(B86&lt;&gt;"Versamento",B86&lt;&gt;"Prelievo",B86&lt;&gt;"Costo",B86&lt;&gt;"Rimborso")),"Completa movimento","OK"))</x:f>
      </x:c>
    </x:row>
    <x:row r="87">
      <x:c r="A87" s="26"/>
      <x:c r="B87" s="24"/>
      <x:c r="C87" s="29"/>
      <x:c r="D87" s="24"/>
      <x:c r="E87" s="24"/>
      <x:c r="F87" s="20" t="str">
        <x:f>IF(G87&lt;&gt;"OK","",IF(OR(B87="Versamento",B87="Rimborso"),C87,-C87))</x:f>
      </x:c>
      <x:c r="G87" s="18" t="str">
        <x:f>IF(AND(A87="",B87="",C87="",D87="",E87=""),"",IF(OR(NOT(ISNUMBER(A87)),NOT(ISNUMBER(C87)),C87&lt;=0,D87="",AND(B87&lt;&gt;"Versamento",B87&lt;&gt;"Prelievo",B87&lt;&gt;"Costo",B87&lt;&gt;"Rimborso")),"Completa movimento","OK"))</x:f>
      </x:c>
    </x:row>
    <x:row r="88">
      <x:c r="A88" s="26"/>
      <x:c r="B88" s="24"/>
      <x:c r="C88" s="29"/>
      <x:c r="D88" s="24"/>
      <x:c r="E88" s="24"/>
      <x:c r="F88" s="20" t="str">
        <x:f>IF(G88&lt;&gt;"OK","",IF(OR(B88="Versamento",B88="Rimborso"),C88,-C88))</x:f>
      </x:c>
      <x:c r="G88" s="18" t="str">
        <x:f>IF(AND(A88="",B88="",C88="",D88="",E88=""),"",IF(OR(NOT(ISNUMBER(A88)),NOT(ISNUMBER(C88)),C88&lt;=0,D88="",AND(B88&lt;&gt;"Versamento",B88&lt;&gt;"Prelievo",B88&lt;&gt;"Costo",B88&lt;&gt;"Rimborso")),"Completa movimento","OK"))</x:f>
      </x:c>
    </x:row>
    <x:row r="89">
      <x:c r="A89" s="26"/>
      <x:c r="B89" s="24"/>
      <x:c r="C89" s="29"/>
      <x:c r="D89" s="24"/>
      <x:c r="E89" s="24"/>
      <x:c r="F89" s="20" t="str">
        <x:f>IF(G89&lt;&gt;"OK","",IF(OR(B89="Versamento",B89="Rimborso"),C89,-C89))</x:f>
      </x:c>
      <x:c r="G89" s="18" t="str">
        <x:f>IF(AND(A89="",B89="",C89="",D89="",E89=""),"",IF(OR(NOT(ISNUMBER(A89)),NOT(ISNUMBER(C89)),C89&lt;=0,D89="",AND(B89&lt;&gt;"Versamento",B89&lt;&gt;"Prelievo",B89&lt;&gt;"Costo",B89&lt;&gt;"Rimborso")),"Completa movimento","OK"))</x:f>
      </x:c>
    </x:row>
    <x:row r="90">
      <x:c r="A90" s="26"/>
      <x:c r="B90" s="24"/>
      <x:c r="C90" s="29"/>
      <x:c r="D90" s="24"/>
      <x:c r="E90" s="24"/>
      <x:c r="F90" s="20" t="str">
        <x:f>IF(G90&lt;&gt;"OK","",IF(OR(B90="Versamento",B90="Rimborso"),C90,-C90))</x:f>
      </x:c>
      <x:c r="G90" s="18" t="str">
        <x:f>IF(AND(A90="",B90="",C90="",D90="",E90=""),"",IF(OR(NOT(ISNUMBER(A90)),NOT(ISNUMBER(C90)),C90&lt;=0,D90="",AND(B90&lt;&gt;"Versamento",B90&lt;&gt;"Prelievo",B90&lt;&gt;"Costo",B90&lt;&gt;"Rimborso")),"Completa movimento","OK"))</x:f>
      </x:c>
    </x:row>
    <x:row r="91">
      <x:c r="A91" s="26"/>
      <x:c r="B91" s="24"/>
      <x:c r="C91" s="29"/>
      <x:c r="D91" s="24"/>
      <x:c r="E91" s="24"/>
      <x:c r="F91" s="20" t="str">
        <x:f>IF(G91&lt;&gt;"OK","",IF(OR(B91="Versamento",B91="Rimborso"),C91,-C91))</x:f>
      </x:c>
      <x:c r="G91" s="18" t="str">
        <x:f>IF(AND(A91="",B91="",C91="",D91="",E91=""),"",IF(OR(NOT(ISNUMBER(A91)),NOT(ISNUMBER(C91)),C91&lt;=0,D91="",AND(B91&lt;&gt;"Versamento",B91&lt;&gt;"Prelievo",B91&lt;&gt;"Costo",B91&lt;&gt;"Rimborso")),"Completa movimento","OK"))</x:f>
      </x:c>
    </x:row>
    <x:row r="92">
      <x:c r="A92" s="26"/>
      <x:c r="B92" s="24"/>
      <x:c r="C92" s="29"/>
      <x:c r="D92" s="24"/>
      <x:c r="E92" s="24"/>
      <x:c r="F92" s="20" t="str">
        <x:f>IF(G92&lt;&gt;"OK","",IF(OR(B92="Versamento",B92="Rimborso"),C92,-C92))</x:f>
      </x:c>
      <x:c r="G92" s="18" t="str">
        <x:f>IF(AND(A92="",B92="",C92="",D92="",E92=""),"",IF(OR(NOT(ISNUMBER(A92)),NOT(ISNUMBER(C92)),C92&lt;=0,D92="",AND(B92&lt;&gt;"Versamento",B92&lt;&gt;"Prelievo",B92&lt;&gt;"Costo",B92&lt;&gt;"Rimborso")),"Completa movimento","OK"))</x:f>
      </x:c>
    </x:row>
    <x:row r="93">
      <x:c r="A93" s="26"/>
      <x:c r="B93" s="24"/>
      <x:c r="C93" s="29"/>
      <x:c r="D93" s="24"/>
      <x:c r="E93" s="24"/>
      <x:c r="F93" s="20" t="str">
        <x:f>IF(G93&lt;&gt;"OK","",IF(OR(B93="Versamento",B93="Rimborso"),C93,-C93))</x:f>
      </x:c>
      <x:c r="G93" s="18" t="str">
        <x:f>IF(AND(A93="",B93="",C93="",D93="",E93=""),"",IF(OR(NOT(ISNUMBER(A93)),NOT(ISNUMBER(C93)),C93&lt;=0,D93="",AND(B93&lt;&gt;"Versamento",B93&lt;&gt;"Prelievo",B93&lt;&gt;"Costo",B93&lt;&gt;"Rimborso")),"Completa movimento","OK"))</x:f>
      </x:c>
    </x:row>
    <x:row r="94">
      <x:c r="A94" s="26"/>
      <x:c r="B94" s="24"/>
      <x:c r="C94" s="29"/>
      <x:c r="D94" s="24"/>
      <x:c r="E94" s="24"/>
      <x:c r="F94" s="20" t="str">
        <x:f>IF(G94&lt;&gt;"OK","",IF(OR(B94="Versamento",B94="Rimborso"),C94,-C94))</x:f>
      </x:c>
      <x:c r="G94" s="18" t="str">
        <x:f>IF(AND(A94="",B94="",C94="",D94="",E94=""),"",IF(OR(NOT(ISNUMBER(A94)),NOT(ISNUMBER(C94)),C94&lt;=0,D94="",AND(B94&lt;&gt;"Versamento",B94&lt;&gt;"Prelievo",B94&lt;&gt;"Costo",B94&lt;&gt;"Rimborso")),"Completa movimento","OK"))</x:f>
      </x:c>
    </x:row>
    <x:row r="95">
      <x:c r="A95" s="26"/>
      <x:c r="B95" s="24"/>
      <x:c r="C95" s="29"/>
      <x:c r="D95" s="24"/>
      <x:c r="E95" s="24"/>
      <x:c r="F95" s="20" t="str">
        <x:f>IF(G95&lt;&gt;"OK","",IF(OR(B95="Versamento",B95="Rimborso"),C95,-C95))</x:f>
      </x:c>
      <x:c r="G95" s="18" t="str">
        <x:f>IF(AND(A95="",B95="",C95="",D95="",E95=""),"",IF(OR(NOT(ISNUMBER(A95)),NOT(ISNUMBER(C95)),C95&lt;=0,D95="",AND(B95&lt;&gt;"Versamento",B95&lt;&gt;"Prelievo",B95&lt;&gt;"Costo",B95&lt;&gt;"Rimborso")),"Completa movimento","OK"))</x:f>
      </x:c>
    </x:row>
    <x:row r="96">
      <x:c r="A96" s="26"/>
      <x:c r="B96" s="24"/>
      <x:c r="C96" s="29"/>
      <x:c r="D96" s="24"/>
      <x:c r="E96" s="24"/>
      <x:c r="F96" s="20" t="str">
        <x:f>IF(G96&lt;&gt;"OK","",IF(OR(B96="Versamento",B96="Rimborso"),C96,-C96))</x:f>
      </x:c>
      <x:c r="G96" s="18" t="str">
        <x:f>IF(AND(A96="",B96="",C96="",D96="",E96=""),"",IF(OR(NOT(ISNUMBER(A96)),NOT(ISNUMBER(C96)),C96&lt;=0,D96="",AND(B96&lt;&gt;"Versamento",B96&lt;&gt;"Prelievo",B96&lt;&gt;"Costo",B96&lt;&gt;"Rimborso")),"Completa movimento","OK"))</x:f>
      </x:c>
    </x:row>
    <x:row r="97">
      <x:c r="A97" s="26"/>
      <x:c r="B97" s="24"/>
      <x:c r="C97" s="29"/>
      <x:c r="D97" s="24"/>
      <x:c r="E97" s="24"/>
      <x:c r="F97" s="20" t="str">
        <x:f>IF(G97&lt;&gt;"OK","",IF(OR(B97="Versamento",B97="Rimborso"),C97,-C97))</x:f>
      </x:c>
      <x:c r="G97" s="18" t="str">
        <x:f>IF(AND(A97="",B97="",C97="",D97="",E97=""),"",IF(OR(NOT(ISNUMBER(A97)),NOT(ISNUMBER(C97)),C97&lt;=0,D97="",AND(B97&lt;&gt;"Versamento",B97&lt;&gt;"Prelievo",B97&lt;&gt;"Costo",B97&lt;&gt;"Rimborso")),"Completa movimento","OK"))</x:f>
      </x:c>
    </x:row>
    <x:row r="98">
      <x:c r="A98" s="26"/>
      <x:c r="B98" s="24"/>
      <x:c r="C98" s="29"/>
      <x:c r="D98" s="24"/>
      <x:c r="E98" s="24"/>
      <x:c r="F98" s="20" t="str">
        <x:f>IF(G98&lt;&gt;"OK","",IF(OR(B98="Versamento",B98="Rimborso"),C98,-C98))</x:f>
      </x:c>
      <x:c r="G98" s="18" t="str">
        <x:f>IF(AND(A98="",B98="",C98="",D98="",E98=""),"",IF(OR(NOT(ISNUMBER(A98)),NOT(ISNUMBER(C98)),C98&lt;=0,D98="",AND(B98&lt;&gt;"Versamento",B98&lt;&gt;"Prelievo",B98&lt;&gt;"Costo",B98&lt;&gt;"Rimborso")),"Completa movimento","OK"))</x:f>
      </x:c>
    </x:row>
    <x:row r="99">
      <x:c r="A99" s="26"/>
      <x:c r="B99" s="24"/>
      <x:c r="C99" s="29"/>
      <x:c r="D99" s="24"/>
      <x:c r="E99" s="24"/>
      <x:c r="F99" s="20" t="str">
        <x:f>IF(G99&lt;&gt;"OK","",IF(OR(B99="Versamento",B99="Rimborso"),C99,-C99))</x:f>
      </x:c>
      <x:c r="G99" s="18" t="str">
        <x:f>IF(AND(A99="",B99="",C99="",D99="",E99=""),"",IF(OR(NOT(ISNUMBER(A99)),NOT(ISNUMBER(C99)),C99&lt;=0,D99="",AND(B99&lt;&gt;"Versamento",B99&lt;&gt;"Prelievo",B99&lt;&gt;"Costo",B99&lt;&gt;"Rimborso")),"Completa movimento","OK"))</x:f>
      </x:c>
    </x:row>
    <x:row r="100">
      <x:c r="A100" s="26"/>
      <x:c r="B100" s="24"/>
      <x:c r="C100" s="29"/>
      <x:c r="D100" s="24"/>
      <x:c r="E100" s="24"/>
      <x:c r="F100" s="20" t="str">
        <x:f>IF(G100&lt;&gt;"OK","",IF(OR(B100="Versamento",B100="Rimborso"),C100,-C100))</x:f>
      </x:c>
      <x:c r="G100" s="18" t="str">
        <x:f>IF(AND(A100="",B100="",C100="",D100="",E100=""),"",IF(OR(NOT(ISNUMBER(A100)),NOT(ISNUMBER(C100)),C100&lt;=0,D100="",AND(B100&lt;&gt;"Versamento",B100&lt;&gt;"Prelievo",B100&lt;&gt;"Costo",B100&lt;&gt;"Rimborso")),"Completa movimento","OK"))</x:f>
      </x:c>
    </x:row>
    <x:row r="101">
      <x:c r="A101" s="26"/>
      <x:c r="B101" s="24"/>
      <x:c r="C101" s="29"/>
      <x:c r="D101" s="24"/>
      <x:c r="E101" s="24"/>
      <x:c r="F101" s="20" t="str">
        <x:f>IF(G101&lt;&gt;"OK","",IF(OR(B101="Versamento",B101="Rimborso"),C101,-C101))</x:f>
      </x:c>
      <x:c r="G101" s="18" t="str">
        <x:f>IF(AND(A101="",B101="",C101="",D101="",E101=""),"",IF(OR(NOT(ISNUMBER(A101)),NOT(ISNUMBER(C101)),C101&lt;=0,D101="",AND(B101&lt;&gt;"Versamento",B101&lt;&gt;"Prelievo",B101&lt;&gt;"Costo",B101&lt;&gt;"Rimborso")),"Completa movimento","OK"))</x:f>
      </x:c>
    </x:row>
    <x:row r="102">
      <x:c r="A102" s="26"/>
      <x:c r="B102" s="24"/>
      <x:c r="C102" s="29"/>
      <x:c r="D102" s="24"/>
      <x:c r="E102" s="24"/>
      <x:c r="F102" s="20" t="str">
        <x:f>IF(G102&lt;&gt;"OK","",IF(OR(B102="Versamento",B102="Rimborso"),C102,-C102))</x:f>
      </x:c>
      <x:c r="G102" s="18" t="str">
        <x:f>IF(AND(A102="",B102="",C102="",D102="",E102=""),"",IF(OR(NOT(ISNUMBER(A102)),NOT(ISNUMBER(C102)),C102&lt;=0,D102="",AND(B102&lt;&gt;"Versamento",B102&lt;&gt;"Prelievo",B102&lt;&gt;"Costo",B102&lt;&gt;"Rimborso")),"Completa movimento","OK"))</x:f>
      </x:c>
    </x:row>
    <x:row r="103">
      <x:c r="A103" s="26"/>
      <x:c r="B103" s="24"/>
      <x:c r="C103" s="29"/>
      <x:c r="D103" s="24"/>
      <x:c r="E103" s="24"/>
      <x:c r="F103" s="20" t="str">
        <x:f>IF(G103&lt;&gt;"OK","",IF(OR(B103="Versamento",B103="Rimborso"),C103,-C103))</x:f>
      </x:c>
      <x:c r="G103" s="18" t="str">
        <x:f>IF(AND(A103="",B103="",C103="",D103="",E103=""),"",IF(OR(NOT(ISNUMBER(A103)),NOT(ISNUMBER(C103)),C103&lt;=0,D103="",AND(B103&lt;&gt;"Versamento",B103&lt;&gt;"Prelievo",B103&lt;&gt;"Costo",B103&lt;&gt;"Rimborso")),"Completa movimento","OK"))</x:f>
      </x:c>
    </x:row>
    <x:row r="104">
      <x:c r="A104" s="26"/>
      <x:c r="B104" s="24"/>
      <x:c r="C104" s="29"/>
      <x:c r="D104" s="24"/>
      <x:c r="E104" s="24"/>
      <x:c r="F104" s="20" t="str">
        <x:f>IF(G104&lt;&gt;"OK","",IF(OR(B104="Versamento",B104="Rimborso"),C104,-C104))</x:f>
      </x:c>
      <x:c r="G104" s="18" t="str">
        <x:f>IF(AND(A104="",B104="",C104="",D104="",E104=""),"",IF(OR(NOT(ISNUMBER(A104)),NOT(ISNUMBER(C104)),C104&lt;=0,D104="",AND(B104&lt;&gt;"Versamento",B104&lt;&gt;"Prelievo",B104&lt;&gt;"Costo",B104&lt;&gt;"Rimborso")),"Completa movimento","OK"))</x:f>
      </x:c>
    </x:row>
    <x:row r="105">
      <x:c r="A105" s="26"/>
      <x:c r="B105" s="24"/>
      <x:c r="C105" s="29"/>
      <x:c r="D105" s="24"/>
      <x:c r="E105" s="24"/>
      <x:c r="F105" s="20" t="str">
        <x:f>IF(G105&lt;&gt;"OK","",IF(OR(B105="Versamento",B105="Rimborso"),C105,-C105))</x:f>
      </x:c>
      <x:c r="G105" s="18" t="str">
        <x:f>IF(AND(A105="",B105="",C105="",D105="",E105=""),"",IF(OR(NOT(ISNUMBER(A105)),NOT(ISNUMBER(C105)),C105&lt;=0,D105="",AND(B105&lt;&gt;"Versamento",B105&lt;&gt;"Prelievo",B105&lt;&gt;"Costo",B105&lt;&gt;"Rimborso")),"Completa movimento","OK"))</x:f>
      </x:c>
    </x:row>
    <x:row r="106">
      <x:c r="A106" s="26"/>
      <x:c r="B106" s="24"/>
      <x:c r="C106" s="29"/>
      <x:c r="D106" s="24"/>
      <x:c r="E106" s="24"/>
      <x:c r="F106" s="20" t="str">
        <x:f>IF(G106&lt;&gt;"OK","",IF(OR(B106="Versamento",B106="Rimborso"),C106,-C106))</x:f>
      </x:c>
      <x:c r="G106" s="18" t="str">
        <x:f>IF(AND(A106="",B106="",C106="",D106="",E106=""),"",IF(OR(NOT(ISNUMBER(A106)),NOT(ISNUMBER(C106)),C106&lt;=0,D106="",AND(B106&lt;&gt;"Versamento",B106&lt;&gt;"Prelievo",B106&lt;&gt;"Costo",B106&lt;&gt;"Rimborso")),"Completa movimento","OK"))</x:f>
      </x:c>
    </x:row>
    <x:row r="107">
      <x:c r="A107" s="26"/>
      <x:c r="B107" s="24"/>
      <x:c r="C107" s="29"/>
      <x:c r="D107" s="24"/>
      <x:c r="E107" s="24"/>
      <x:c r="F107" s="20" t="str">
        <x:f>IF(G107&lt;&gt;"OK","",IF(OR(B107="Versamento",B107="Rimborso"),C107,-C107))</x:f>
      </x:c>
      <x:c r="G107" s="18" t="str">
        <x:f>IF(AND(A107="",B107="",C107="",D107="",E107=""),"",IF(OR(NOT(ISNUMBER(A107)),NOT(ISNUMBER(C107)),C107&lt;=0,D107="",AND(B107&lt;&gt;"Versamento",B107&lt;&gt;"Prelievo",B107&lt;&gt;"Costo",B107&lt;&gt;"Rimborso")),"Completa movimento","OK"))</x:f>
      </x:c>
    </x:row>
    <x:row r="108">
      <x:c r="A108" s="26"/>
      <x:c r="B108" s="24"/>
      <x:c r="C108" s="29"/>
      <x:c r="D108" s="24"/>
      <x:c r="E108" s="24"/>
      <x:c r="F108" s="20" t="str">
        <x:f>IF(G108&lt;&gt;"OK","",IF(OR(B108="Versamento",B108="Rimborso"),C108,-C108))</x:f>
      </x:c>
      <x:c r="G108" s="18" t="str">
        <x:f>IF(AND(A108="",B108="",C108="",D108="",E108=""),"",IF(OR(NOT(ISNUMBER(A108)),NOT(ISNUMBER(C108)),C108&lt;=0,D108="",AND(B108&lt;&gt;"Versamento",B108&lt;&gt;"Prelievo",B108&lt;&gt;"Costo",B108&lt;&gt;"Rimborso")),"Completa movimento","OK"))</x:f>
      </x:c>
    </x:row>
    <x:row r="109">
      <x:c r="A109" s="26"/>
      <x:c r="B109" s="24"/>
      <x:c r="C109" s="29"/>
      <x:c r="D109" s="24"/>
      <x:c r="E109" s="24"/>
      <x:c r="F109" s="20" t="str">
        <x:f>IF(G109&lt;&gt;"OK","",IF(OR(B109="Versamento",B109="Rimborso"),C109,-C109))</x:f>
      </x:c>
      <x:c r="G109" s="18" t="str">
        <x:f>IF(AND(A109="",B109="",C109="",D109="",E109=""),"",IF(OR(NOT(ISNUMBER(A109)),NOT(ISNUMBER(C109)),C109&lt;=0,D109="",AND(B109&lt;&gt;"Versamento",B109&lt;&gt;"Prelievo",B109&lt;&gt;"Costo",B109&lt;&gt;"Rimborso")),"Completa movimento","OK"))</x:f>
      </x:c>
    </x:row>
    <x:row r="110">
      <x:c r="A110" s="26"/>
      <x:c r="B110" s="24"/>
      <x:c r="C110" s="29"/>
      <x:c r="D110" s="24"/>
      <x:c r="E110" s="24"/>
      <x:c r="F110" s="20" t="str">
        <x:f>IF(G110&lt;&gt;"OK","",IF(OR(B110="Versamento",B110="Rimborso"),C110,-C110))</x:f>
      </x:c>
      <x:c r="G110" s="18" t="str">
        <x:f>IF(AND(A110="",B110="",C110="",D110="",E110=""),"",IF(OR(NOT(ISNUMBER(A110)),NOT(ISNUMBER(C110)),C110&lt;=0,D110="",AND(B110&lt;&gt;"Versamento",B110&lt;&gt;"Prelievo",B110&lt;&gt;"Costo",B110&lt;&gt;"Rimborso")),"Completa movimento","OK"))</x:f>
      </x:c>
    </x:row>
    <x:row r="111">
      <x:c r="A111" s="26"/>
      <x:c r="B111" s="24"/>
      <x:c r="C111" s="29"/>
      <x:c r="D111" s="24"/>
      <x:c r="E111" s="24"/>
      <x:c r="F111" s="20" t="str">
        <x:f>IF(G111&lt;&gt;"OK","",IF(OR(B111="Versamento",B111="Rimborso"),C111,-C111))</x:f>
      </x:c>
      <x:c r="G111" s="18" t="str">
        <x:f>IF(AND(A111="",B111="",C111="",D111="",E111=""),"",IF(OR(NOT(ISNUMBER(A111)),NOT(ISNUMBER(C111)),C111&lt;=0,D111="",AND(B111&lt;&gt;"Versamento",B111&lt;&gt;"Prelievo",B111&lt;&gt;"Costo",B111&lt;&gt;"Rimborso")),"Completa movimento","OK"))</x:f>
      </x:c>
    </x:row>
    <x:row r="112">
      <x:c r="A112" s="26"/>
      <x:c r="B112" s="24"/>
      <x:c r="C112" s="29"/>
      <x:c r="D112" s="24"/>
      <x:c r="E112" s="24"/>
      <x:c r="F112" s="20" t="str">
        <x:f>IF(G112&lt;&gt;"OK","",IF(OR(B112="Versamento",B112="Rimborso"),C112,-C112))</x:f>
      </x:c>
      <x:c r="G112" s="18" t="str">
        <x:f>IF(AND(A112="",B112="",C112="",D112="",E112=""),"",IF(OR(NOT(ISNUMBER(A112)),NOT(ISNUMBER(C112)),C112&lt;=0,D112="",AND(B112&lt;&gt;"Versamento",B112&lt;&gt;"Prelievo",B112&lt;&gt;"Costo",B112&lt;&gt;"Rimborso")),"Completa movimento","OK"))</x:f>
      </x:c>
    </x:row>
    <x:row r="113">
      <x:c r="A113" s="26"/>
      <x:c r="B113" s="24"/>
      <x:c r="C113" s="29"/>
      <x:c r="D113" s="24"/>
      <x:c r="E113" s="24"/>
      <x:c r="F113" s="20" t="str">
        <x:f>IF(G113&lt;&gt;"OK","",IF(OR(B113="Versamento",B113="Rimborso"),C113,-C113))</x:f>
      </x:c>
      <x:c r="G113" s="18" t="str">
        <x:f>IF(AND(A113="",B113="",C113="",D113="",E113=""),"",IF(OR(NOT(ISNUMBER(A113)),NOT(ISNUMBER(C113)),C113&lt;=0,D113="",AND(B113&lt;&gt;"Versamento",B113&lt;&gt;"Prelievo",B113&lt;&gt;"Costo",B113&lt;&gt;"Rimborso")),"Completa movimento","OK"))</x:f>
      </x:c>
    </x:row>
    <x:row r="114">
      <x:c r="A114" s="26"/>
      <x:c r="B114" s="24"/>
      <x:c r="C114" s="29"/>
      <x:c r="D114" s="24"/>
      <x:c r="E114" s="24"/>
      <x:c r="F114" s="20" t="str">
        <x:f>IF(G114&lt;&gt;"OK","",IF(OR(B114="Versamento",B114="Rimborso"),C114,-C114))</x:f>
      </x:c>
      <x:c r="G114" s="18" t="str">
        <x:f>IF(AND(A114="",B114="",C114="",D114="",E114=""),"",IF(OR(NOT(ISNUMBER(A114)),NOT(ISNUMBER(C114)),C114&lt;=0,D114="",AND(B114&lt;&gt;"Versamento",B114&lt;&gt;"Prelievo",B114&lt;&gt;"Costo",B114&lt;&gt;"Rimborso")),"Completa movimento","OK"))</x:f>
      </x:c>
    </x:row>
    <x:row r="115">
      <x:c r="A115" s="26"/>
      <x:c r="B115" s="24"/>
      <x:c r="C115" s="29"/>
      <x:c r="D115" s="24"/>
      <x:c r="E115" s="24"/>
      <x:c r="F115" s="20" t="str">
        <x:f>IF(G115&lt;&gt;"OK","",IF(OR(B115="Versamento",B115="Rimborso"),C115,-C115))</x:f>
      </x:c>
      <x:c r="G115" s="18" t="str">
        <x:f>IF(AND(A115="",B115="",C115="",D115="",E115=""),"",IF(OR(NOT(ISNUMBER(A115)),NOT(ISNUMBER(C115)),C115&lt;=0,D115="",AND(B115&lt;&gt;"Versamento",B115&lt;&gt;"Prelievo",B115&lt;&gt;"Costo",B115&lt;&gt;"Rimborso")),"Completa movimento","OK"))</x:f>
      </x:c>
    </x:row>
    <x:row r="116">
      <x:c r="A116" s="26"/>
      <x:c r="B116" s="24"/>
      <x:c r="C116" s="29"/>
      <x:c r="D116" s="24"/>
      <x:c r="E116" s="24"/>
      <x:c r="F116" s="20" t="str">
        <x:f>IF(G116&lt;&gt;"OK","",IF(OR(B116="Versamento",B116="Rimborso"),C116,-C116))</x:f>
      </x:c>
      <x:c r="G116" s="18" t="str">
        <x:f>IF(AND(A116="",B116="",C116="",D116="",E116=""),"",IF(OR(NOT(ISNUMBER(A116)),NOT(ISNUMBER(C116)),C116&lt;=0,D116="",AND(B116&lt;&gt;"Versamento",B116&lt;&gt;"Prelievo",B116&lt;&gt;"Costo",B116&lt;&gt;"Rimborso")),"Completa movimento","OK"))</x:f>
      </x:c>
    </x:row>
    <x:row r="117">
      <x:c r="A117" s="26"/>
      <x:c r="B117" s="24"/>
      <x:c r="C117" s="29"/>
      <x:c r="D117" s="24"/>
      <x:c r="E117" s="24"/>
      <x:c r="F117" s="20" t="str">
        <x:f>IF(G117&lt;&gt;"OK","",IF(OR(B117="Versamento",B117="Rimborso"),C117,-C117))</x:f>
      </x:c>
      <x:c r="G117" s="18" t="str">
        <x:f>IF(AND(A117="",B117="",C117="",D117="",E117=""),"",IF(OR(NOT(ISNUMBER(A117)),NOT(ISNUMBER(C117)),C117&lt;=0,D117="",AND(B117&lt;&gt;"Versamento",B117&lt;&gt;"Prelievo",B117&lt;&gt;"Costo",B117&lt;&gt;"Rimborso")),"Completa movimento","OK"))</x:f>
      </x:c>
    </x:row>
    <x:row r="118">
      <x:c r="A118" s="26"/>
      <x:c r="B118" s="24"/>
      <x:c r="C118" s="29"/>
      <x:c r="D118" s="24"/>
      <x:c r="E118" s="24"/>
      <x:c r="F118" s="20" t="str">
        <x:f>IF(G118&lt;&gt;"OK","",IF(OR(B118="Versamento",B118="Rimborso"),C118,-C118))</x:f>
      </x:c>
      <x:c r="G118" s="18" t="str">
        <x:f>IF(AND(A118="",B118="",C118="",D118="",E118=""),"",IF(OR(NOT(ISNUMBER(A118)),NOT(ISNUMBER(C118)),C118&lt;=0,D118="",AND(B118&lt;&gt;"Versamento",B118&lt;&gt;"Prelievo",B118&lt;&gt;"Costo",B118&lt;&gt;"Rimborso")),"Completa movimento","OK"))</x:f>
      </x:c>
    </x:row>
    <x:row r="119">
      <x:c r="A119" s="26"/>
      <x:c r="B119" s="24"/>
      <x:c r="C119" s="29"/>
      <x:c r="D119" s="24"/>
      <x:c r="E119" s="24"/>
      <x:c r="F119" s="20" t="str">
        <x:f>IF(G119&lt;&gt;"OK","",IF(OR(B119="Versamento",B119="Rimborso"),C119,-C119))</x:f>
      </x:c>
      <x:c r="G119" s="18" t="str">
        <x:f>IF(AND(A119="",B119="",C119="",D119="",E119=""),"",IF(OR(NOT(ISNUMBER(A119)),NOT(ISNUMBER(C119)),C119&lt;=0,D119="",AND(B119&lt;&gt;"Versamento",B119&lt;&gt;"Prelievo",B119&lt;&gt;"Costo",B119&lt;&gt;"Rimborso")),"Completa movimento","OK"))</x:f>
      </x:c>
    </x:row>
    <x:row r="120">
      <x:c r="A120" s="26"/>
      <x:c r="B120" s="24"/>
      <x:c r="C120" s="29"/>
      <x:c r="D120" s="24"/>
      <x:c r="E120" s="24"/>
      <x:c r="F120" s="20" t="str">
        <x:f>IF(G120&lt;&gt;"OK","",IF(OR(B120="Versamento",B120="Rimborso"),C120,-C120))</x:f>
      </x:c>
      <x:c r="G120" s="18" t="str">
        <x:f>IF(AND(A120="",B120="",C120="",D120="",E120=""),"",IF(OR(NOT(ISNUMBER(A120)),NOT(ISNUMBER(C120)),C120&lt;=0,D120="",AND(B120&lt;&gt;"Versamento",B120&lt;&gt;"Prelievo",B120&lt;&gt;"Costo",B120&lt;&gt;"Rimborso")),"Completa movimento","OK"))</x:f>
      </x:c>
    </x:row>
    <x:row r="121">
      <x:c r="A121" s="26"/>
      <x:c r="B121" s="24"/>
      <x:c r="C121" s="29"/>
      <x:c r="D121" s="24"/>
      <x:c r="E121" s="24"/>
      <x:c r="F121" s="20" t="str">
        <x:f>IF(G121&lt;&gt;"OK","",IF(OR(B121="Versamento",B121="Rimborso"),C121,-C121))</x:f>
      </x:c>
      <x:c r="G121" s="18" t="str">
        <x:f>IF(AND(A121="",B121="",C121="",D121="",E121=""),"",IF(OR(NOT(ISNUMBER(A121)),NOT(ISNUMBER(C121)),C121&lt;=0,D121="",AND(B121&lt;&gt;"Versamento",B121&lt;&gt;"Prelievo",B121&lt;&gt;"Costo",B121&lt;&gt;"Rimborso")),"Completa movimento","OK"))</x:f>
      </x:c>
    </x:row>
    <x:row r="122">
      <x:c r="A122" s="26"/>
      <x:c r="B122" s="24"/>
      <x:c r="C122" s="29"/>
      <x:c r="D122" s="24"/>
      <x:c r="E122" s="24"/>
      <x:c r="F122" s="20" t="str">
        <x:f>IF(G122&lt;&gt;"OK","",IF(OR(B122="Versamento",B122="Rimborso"),C122,-C122))</x:f>
      </x:c>
      <x:c r="G122" s="18" t="str">
        <x:f>IF(AND(A122="",B122="",C122="",D122="",E122=""),"",IF(OR(NOT(ISNUMBER(A122)),NOT(ISNUMBER(C122)),C122&lt;=0,D122="",AND(B122&lt;&gt;"Versamento",B122&lt;&gt;"Prelievo",B122&lt;&gt;"Costo",B122&lt;&gt;"Rimborso")),"Completa movimento","OK"))</x:f>
      </x:c>
    </x:row>
    <x:row r="123">
      <x:c r="A123" s="26"/>
      <x:c r="B123" s="24"/>
      <x:c r="C123" s="29"/>
      <x:c r="D123" s="24"/>
      <x:c r="E123" s="24"/>
      <x:c r="F123" s="20" t="str">
        <x:f>IF(G123&lt;&gt;"OK","",IF(OR(B123="Versamento",B123="Rimborso"),C123,-C123))</x:f>
      </x:c>
      <x:c r="G123" s="18" t="str">
        <x:f>IF(AND(A123="",B123="",C123="",D123="",E123=""),"",IF(OR(NOT(ISNUMBER(A123)),NOT(ISNUMBER(C123)),C123&lt;=0,D123="",AND(B123&lt;&gt;"Versamento",B123&lt;&gt;"Prelievo",B123&lt;&gt;"Costo",B123&lt;&gt;"Rimborso")),"Completa movimento","OK"))</x:f>
      </x:c>
    </x:row>
    <x:row r="124">
      <x:c r="A124" s="26"/>
      <x:c r="B124" s="24"/>
      <x:c r="C124" s="29"/>
      <x:c r="D124" s="24"/>
      <x:c r="E124" s="24"/>
      <x:c r="F124" s="20" t="str">
        <x:f>IF(G124&lt;&gt;"OK","",IF(OR(B124="Versamento",B124="Rimborso"),C124,-C124))</x:f>
      </x:c>
      <x:c r="G124" s="18" t="str">
        <x:f>IF(AND(A124="",B124="",C124="",D124="",E124=""),"",IF(OR(NOT(ISNUMBER(A124)),NOT(ISNUMBER(C124)),C124&lt;=0,D124="",AND(B124&lt;&gt;"Versamento",B124&lt;&gt;"Prelievo",B124&lt;&gt;"Costo",B124&lt;&gt;"Rimborso")),"Completa movimento","OK"))</x:f>
      </x:c>
    </x:row>
    <x:row r="125">
      <x:c r="A125" s="26"/>
      <x:c r="B125" s="24"/>
      <x:c r="C125" s="29"/>
      <x:c r="D125" s="24"/>
      <x:c r="E125" s="24"/>
      <x:c r="F125" s="20" t="str">
        <x:f>IF(G125&lt;&gt;"OK","",IF(OR(B125="Versamento",B125="Rimborso"),C125,-C125))</x:f>
      </x:c>
      <x:c r="G125" s="18" t="str">
        <x:f>IF(AND(A125="",B125="",C125="",D125="",E125=""),"",IF(OR(NOT(ISNUMBER(A125)),NOT(ISNUMBER(C125)),C125&lt;=0,D125="",AND(B125&lt;&gt;"Versamento",B125&lt;&gt;"Prelievo",B125&lt;&gt;"Costo",B125&lt;&gt;"Rimborso")),"Completa movimento","OK"))</x:f>
      </x:c>
    </x:row>
    <x:row r="126">
      <x:c r="A126" s="26"/>
      <x:c r="B126" s="24"/>
      <x:c r="C126" s="29"/>
      <x:c r="D126" s="24"/>
      <x:c r="E126" s="24"/>
      <x:c r="F126" s="20" t="str">
        <x:f>IF(G126&lt;&gt;"OK","",IF(OR(B126="Versamento",B126="Rimborso"),C126,-C126))</x:f>
      </x:c>
      <x:c r="G126" s="18" t="str">
        <x:f>IF(AND(A126="",B126="",C126="",D126="",E126=""),"",IF(OR(NOT(ISNUMBER(A126)),NOT(ISNUMBER(C126)),C126&lt;=0,D126="",AND(B126&lt;&gt;"Versamento",B126&lt;&gt;"Prelievo",B126&lt;&gt;"Costo",B126&lt;&gt;"Rimborso")),"Completa movimento","OK"))</x:f>
      </x:c>
    </x:row>
    <x:row r="127">
      <x:c r="A127" s="26"/>
      <x:c r="B127" s="24"/>
      <x:c r="C127" s="29"/>
      <x:c r="D127" s="24"/>
      <x:c r="E127" s="24"/>
      <x:c r="F127" s="20" t="str">
        <x:f>IF(G127&lt;&gt;"OK","",IF(OR(B127="Versamento",B127="Rimborso"),C127,-C127))</x:f>
      </x:c>
      <x:c r="G127" s="18" t="str">
        <x:f>IF(AND(A127="",B127="",C127="",D127="",E127=""),"",IF(OR(NOT(ISNUMBER(A127)),NOT(ISNUMBER(C127)),C127&lt;=0,D127="",AND(B127&lt;&gt;"Versamento",B127&lt;&gt;"Prelievo",B127&lt;&gt;"Costo",B127&lt;&gt;"Rimborso")),"Completa movimento","OK"))</x:f>
      </x:c>
    </x:row>
    <x:row r="128">
      <x:c r="A128" s="26"/>
      <x:c r="B128" s="24"/>
      <x:c r="C128" s="29"/>
      <x:c r="D128" s="24"/>
      <x:c r="E128" s="24"/>
      <x:c r="F128" s="20" t="str">
        <x:f>IF(G128&lt;&gt;"OK","",IF(OR(B128="Versamento",B128="Rimborso"),C128,-C128))</x:f>
      </x:c>
      <x:c r="G128" s="18" t="str">
        <x:f>IF(AND(A128="",B128="",C128="",D128="",E128=""),"",IF(OR(NOT(ISNUMBER(A128)),NOT(ISNUMBER(C128)),C128&lt;=0,D128="",AND(B128&lt;&gt;"Versamento",B128&lt;&gt;"Prelievo",B128&lt;&gt;"Costo",B128&lt;&gt;"Rimborso")),"Completa movimento","OK"))</x:f>
      </x:c>
    </x:row>
    <x:row r="129">
      <x:c r="A129" s="26"/>
      <x:c r="B129" s="24"/>
      <x:c r="C129" s="29"/>
      <x:c r="D129" s="24"/>
      <x:c r="E129" s="24"/>
      <x:c r="F129" s="20" t="str">
        <x:f>IF(G129&lt;&gt;"OK","",IF(OR(B129="Versamento",B129="Rimborso"),C129,-C129))</x:f>
      </x:c>
      <x:c r="G129" s="18" t="str">
        <x:f>IF(AND(A129="",B129="",C129="",D129="",E129=""),"",IF(OR(NOT(ISNUMBER(A129)),NOT(ISNUMBER(C129)),C129&lt;=0,D129="",AND(B129&lt;&gt;"Versamento",B129&lt;&gt;"Prelievo",B129&lt;&gt;"Costo",B129&lt;&gt;"Rimborso")),"Completa movimento","OK"))</x:f>
      </x:c>
    </x:row>
    <x:row r="130">
      <x:c r="A130" s="26"/>
      <x:c r="B130" s="24"/>
      <x:c r="C130" s="29"/>
      <x:c r="D130" s="24"/>
      <x:c r="E130" s="24"/>
      <x:c r="F130" s="20" t="str">
        <x:f>IF(G130&lt;&gt;"OK","",IF(OR(B130="Versamento",B130="Rimborso"),C130,-C130))</x:f>
      </x:c>
      <x:c r="G130" s="18" t="str">
        <x:f>IF(AND(A130="",B130="",C130="",D130="",E130=""),"",IF(OR(NOT(ISNUMBER(A130)),NOT(ISNUMBER(C130)),C130&lt;=0,D130="",AND(B130&lt;&gt;"Versamento",B130&lt;&gt;"Prelievo",B130&lt;&gt;"Costo",B130&lt;&gt;"Rimborso")),"Completa movimento","OK"))</x:f>
      </x:c>
    </x:row>
    <x:row r="131">
      <x:c r="A131" s="26"/>
      <x:c r="B131" s="24"/>
      <x:c r="C131" s="29"/>
      <x:c r="D131" s="24"/>
      <x:c r="E131" s="24"/>
      <x:c r="F131" s="20" t="str">
        <x:f>IF(G131&lt;&gt;"OK","",IF(OR(B131="Versamento",B131="Rimborso"),C131,-C131))</x:f>
      </x:c>
      <x:c r="G131" s="18" t="str">
        <x:f>IF(AND(A131="",B131="",C131="",D131="",E131=""),"",IF(OR(NOT(ISNUMBER(A131)),NOT(ISNUMBER(C131)),C131&lt;=0,D131="",AND(B131&lt;&gt;"Versamento",B131&lt;&gt;"Prelievo",B131&lt;&gt;"Costo",B131&lt;&gt;"Rimborso")),"Completa movimento","OK"))</x:f>
      </x:c>
    </x:row>
    <x:row r="132">
      <x:c r="A132" s="26"/>
      <x:c r="B132" s="24"/>
      <x:c r="C132" s="29"/>
      <x:c r="D132" s="24"/>
      <x:c r="E132" s="24"/>
      <x:c r="F132" s="20" t="str">
        <x:f>IF(G132&lt;&gt;"OK","",IF(OR(B132="Versamento",B132="Rimborso"),C132,-C132))</x:f>
      </x:c>
      <x:c r="G132" s="18" t="str">
        <x:f>IF(AND(A132="",B132="",C132="",D132="",E132=""),"",IF(OR(NOT(ISNUMBER(A132)),NOT(ISNUMBER(C132)),C132&lt;=0,D132="",AND(B132&lt;&gt;"Versamento",B132&lt;&gt;"Prelievo",B132&lt;&gt;"Costo",B132&lt;&gt;"Rimborso")),"Completa movimento","OK"))</x:f>
      </x:c>
    </x:row>
    <x:row r="133">
      <x:c r="A133" s="26"/>
      <x:c r="B133" s="24"/>
      <x:c r="C133" s="29"/>
      <x:c r="D133" s="24"/>
      <x:c r="E133" s="24"/>
      <x:c r="F133" s="20" t="str">
        <x:f>IF(G133&lt;&gt;"OK","",IF(OR(B133="Versamento",B133="Rimborso"),C133,-C133))</x:f>
      </x:c>
      <x:c r="G133" s="18" t="str">
        <x:f>IF(AND(A133="",B133="",C133="",D133="",E133=""),"",IF(OR(NOT(ISNUMBER(A133)),NOT(ISNUMBER(C133)),C133&lt;=0,D133="",AND(B133&lt;&gt;"Versamento",B133&lt;&gt;"Prelievo",B133&lt;&gt;"Costo",B133&lt;&gt;"Rimborso")),"Completa movimento","OK"))</x:f>
      </x:c>
    </x:row>
    <x:row r="134">
      <x:c r="A134" s="26"/>
      <x:c r="B134" s="24"/>
      <x:c r="C134" s="29"/>
      <x:c r="D134" s="24"/>
      <x:c r="E134" s="24"/>
      <x:c r="F134" s="20" t="str">
        <x:f>IF(G134&lt;&gt;"OK","",IF(OR(B134="Versamento",B134="Rimborso"),C134,-C134))</x:f>
      </x:c>
      <x:c r="G134" s="18" t="str">
        <x:f>IF(AND(A134="",B134="",C134="",D134="",E134=""),"",IF(OR(NOT(ISNUMBER(A134)),NOT(ISNUMBER(C134)),C134&lt;=0,D134="",AND(B134&lt;&gt;"Versamento",B134&lt;&gt;"Prelievo",B134&lt;&gt;"Costo",B134&lt;&gt;"Rimborso")),"Completa movimento","OK"))</x:f>
      </x:c>
    </x:row>
    <x:row r="135">
      <x:c r="A135" s="26"/>
      <x:c r="B135" s="24"/>
      <x:c r="C135" s="29"/>
      <x:c r="D135" s="24"/>
      <x:c r="E135" s="24"/>
      <x:c r="F135" s="20" t="str">
        <x:f>IF(G135&lt;&gt;"OK","",IF(OR(B135="Versamento",B135="Rimborso"),C135,-C135))</x:f>
      </x:c>
      <x:c r="G135" s="18" t="str">
        <x:f>IF(AND(A135="",B135="",C135="",D135="",E135=""),"",IF(OR(NOT(ISNUMBER(A135)),NOT(ISNUMBER(C135)),C135&lt;=0,D135="",AND(B135&lt;&gt;"Versamento",B135&lt;&gt;"Prelievo",B135&lt;&gt;"Costo",B135&lt;&gt;"Rimborso")),"Completa movimento","OK"))</x:f>
      </x:c>
    </x:row>
    <x:row r="136">
      <x:c r="A136" s="26"/>
      <x:c r="B136" s="24"/>
      <x:c r="C136" s="29"/>
      <x:c r="D136" s="24"/>
      <x:c r="E136" s="24"/>
      <x:c r="F136" s="20" t="str">
        <x:f>IF(G136&lt;&gt;"OK","",IF(OR(B136="Versamento",B136="Rimborso"),C136,-C136))</x:f>
      </x:c>
      <x:c r="G136" s="18" t="str">
        <x:f>IF(AND(A136="",B136="",C136="",D136="",E136=""),"",IF(OR(NOT(ISNUMBER(A136)),NOT(ISNUMBER(C136)),C136&lt;=0,D136="",AND(B136&lt;&gt;"Versamento",B136&lt;&gt;"Prelievo",B136&lt;&gt;"Costo",B136&lt;&gt;"Rimborso")),"Completa movimento","OK"))</x:f>
      </x:c>
    </x:row>
    <x:row r="137">
      <x:c r="A137" s="26"/>
      <x:c r="B137" s="24"/>
      <x:c r="C137" s="29"/>
      <x:c r="D137" s="24"/>
      <x:c r="E137" s="24"/>
      <x:c r="F137" s="20" t="str">
        <x:f>IF(G137&lt;&gt;"OK","",IF(OR(B137="Versamento",B137="Rimborso"),C137,-C137))</x:f>
      </x:c>
      <x:c r="G137" s="18" t="str">
        <x:f>IF(AND(A137="",B137="",C137="",D137="",E137=""),"",IF(OR(NOT(ISNUMBER(A137)),NOT(ISNUMBER(C137)),C137&lt;=0,D137="",AND(B137&lt;&gt;"Versamento",B137&lt;&gt;"Prelievo",B137&lt;&gt;"Costo",B137&lt;&gt;"Rimborso")),"Completa movimento","OK"))</x:f>
      </x:c>
    </x:row>
    <x:row r="138">
      <x:c r="A138" s="26"/>
      <x:c r="B138" s="24"/>
      <x:c r="C138" s="29"/>
      <x:c r="D138" s="24"/>
      <x:c r="E138" s="24"/>
      <x:c r="F138" s="20" t="str">
        <x:f>IF(G138&lt;&gt;"OK","",IF(OR(B138="Versamento",B138="Rimborso"),C138,-C138))</x:f>
      </x:c>
      <x:c r="G138" s="18" t="str">
        <x:f>IF(AND(A138="",B138="",C138="",D138="",E138=""),"",IF(OR(NOT(ISNUMBER(A138)),NOT(ISNUMBER(C138)),C138&lt;=0,D138="",AND(B138&lt;&gt;"Versamento",B138&lt;&gt;"Prelievo",B138&lt;&gt;"Costo",B138&lt;&gt;"Rimborso")),"Completa movimento","OK"))</x:f>
      </x:c>
    </x:row>
    <x:row r="139">
      <x:c r="A139" s="26"/>
      <x:c r="B139" s="24"/>
      <x:c r="C139" s="29"/>
      <x:c r="D139" s="24"/>
      <x:c r="E139" s="24"/>
      <x:c r="F139" s="20" t="str">
        <x:f>IF(G139&lt;&gt;"OK","",IF(OR(B139="Versamento",B139="Rimborso"),C139,-C139))</x:f>
      </x:c>
      <x:c r="G139" s="18" t="str">
        <x:f>IF(AND(A139="",B139="",C139="",D139="",E139=""),"",IF(OR(NOT(ISNUMBER(A139)),NOT(ISNUMBER(C139)),C139&lt;=0,D139="",AND(B139&lt;&gt;"Versamento",B139&lt;&gt;"Prelievo",B139&lt;&gt;"Costo",B139&lt;&gt;"Rimborso")),"Completa movimento","OK"))</x:f>
      </x:c>
    </x:row>
    <x:row r="140">
      <x:c r="A140" s="26"/>
      <x:c r="B140" s="24"/>
      <x:c r="C140" s="29"/>
      <x:c r="D140" s="24"/>
      <x:c r="E140" s="24"/>
      <x:c r="F140" s="20" t="str">
        <x:f>IF(G140&lt;&gt;"OK","",IF(OR(B140="Versamento",B140="Rimborso"),C140,-C140))</x:f>
      </x:c>
      <x:c r="G140" s="18" t="str">
        <x:f>IF(AND(A140="",B140="",C140="",D140="",E140=""),"",IF(OR(NOT(ISNUMBER(A140)),NOT(ISNUMBER(C140)),C140&lt;=0,D140="",AND(B140&lt;&gt;"Versamento",B140&lt;&gt;"Prelievo",B140&lt;&gt;"Costo",B140&lt;&gt;"Rimborso")),"Completa movimento","OK"))</x:f>
      </x:c>
    </x:row>
    <x:row r="141">
      <x:c r="A141" s="26"/>
      <x:c r="B141" s="24"/>
      <x:c r="C141" s="29"/>
      <x:c r="D141" s="24"/>
      <x:c r="E141" s="24"/>
      <x:c r="F141" s="20" t="str">
        <x:f>IF(G141&lt;&gt;"OK","",IF(OR(B141="Versamento",B141="Rimborso"),C141,-C141))</x:f>
      </x:c>
      <x:c r="G141" s="18" t="str">
        <x:f>IF(AND(A141="",B141="",C141="",D141="",E141=""),"",IF(OR(NOT(ISNUMBER(A141)),NOT(ISNUMBER(C141)),C141&lt;=0,D141="",AND(B141&lt;&gt;"Versamento",B141&lt;&gt;"Prelievo",B141&lt;&gt;"Costo",B141&lt;&gt;"Rimborso")),"Completa movimento","OK"))</x:f>
      </x:c>
    </x:row>
    <x:row r="142">
      <x:c r="A142" s="26"/>
      <x:c r="B142" s="24"/>
      <x:c r="C142" s="29"/>
      <x:c r="D142" s="24"/>
      <x:c r="E142" s="24"/>
      <x:c r="F142" s="20" t="str">
        <x:f>IF(G142&lt;&gt;"OK","",IF(OR(B142="Versamento",B142="Rimborso"),C142,-C142))</x:f>
      </x:c>
      <x:c r="G142" s="18" t="str">
        <x:f>IF(AND(A142="",B142="",C142="",D142="",E142=""),"",IF(OR(NOT(ISNUMBER(A142)),NOT(ISNUMBER(C142)),C142&lt;=0,D142="",AND(B142&lt;&gt;"Versamento",B142&lt;&gt;"Prelievo",B142&lt;&gt;"Costo",B142&lt;&gt;"Rimborso")),"Completa movimento","OK"))</x:f>
      </x:c>
    </x:row>
    <x:row r="143">
      <x:c r="A143" s="26"/>
      <x:c r="B143" s="24"/>
      <x:c r="C143" s="29"/>
      <x:c r="D143" s="24"/>
      <x:c r="E143" s="24"/>
      <x:c r="F143" s="20" t="str">
        <x:f>IF(G143&lt;&gt;"OK","",IF(OR(B143="Versamento",B143="Rimborso"),C143,-C143))</x:f>
      </x:c>
      <x:c r="G143" s="18" t="str">
        <x:f>IF(AND(A143="",B143="",C143="",D143="",E143=""),"",IF(OR(NOT(ISNUMBER(A143)),NOT(ISNUMBER(C143)),C143&lt;=0,D143="",AND(B143&lt;&gt;"Versamento",B143&lt;&gt;"Prelievo",B143&lt;&gt;"Costo",B143&lt;&gt;"Rimborso")),"Completa movimento","OK"))</x:f>
      </x:c>
    </x:row>
    <x:row r="144">
      <x:c r="A144" s="26"/>
      <x:c r="B144" s="24"/>
      <x:c r="C144" s="29"/>
      <x:c r="D144" s="24"/>
      <x:c r="E144" s="24"/>
      <x:c r="F144" s="20" t="str">
        <x:f>IF(G144&lt;&gt;"OK","",IF(OR(B144="Versamento",B144="Rimborso"),C144,-C144))</x:f>
      </x:c>
      <x:c r="G144" s="18" t="str">
        <x:f>IF(AND(A144="",B144="",C144="",D144="",E144=""),"",IF(OR(NOT(ISNUMBER(A144)),NOT(ISNUMBER(C144)),C144&lt;=0,D144="",AND(B144&lt;&gt;"Versamento",B144&lt;&gt;"Prelievo",B144&lt;&gt;"Costo",B144&lt;&gt;"Rimborso")),"Completa movimento","OK"))</x:f>
      </x:c>
    </x:row>
    <x:row r="145">
      <x:c r="A145" s="26"/>
      <x:c r="B145" s="24"/>
      <x:c r="C145" s="29"/>
      <x:c r="D145" s="24"/>
      <x:c r="E145" s="24"/>
      <x:c r="F145" s="20" t="str">
        <x:f>IF(G145&lt;&gt;"OK","",IF(OR(B145="Versamento",B145="Rimborso"),C145,-C145))</x:f>
      </x:c>
      <x:c r="G145" s="18" t="str">
        <x:f>IF(AND(A145="",B145="",C145="",D145="",E145=""),"",IF(OR(NOT(ISNUMBER(A145)),NOT(ISNUMBER(C145)),C145&lt;=0,D145="",AND(B145&lt;&gt;"Versamento",B145&lt;&gt;"Prelievo",B145&lt;&gt;"Costo",B145&lt;&gt;"Rimborso")),"Completa movimento","OK"))</x:f>
      </x:c>
    </x:row>
    <x:row r="146">
      <x:c r="A146" s="26"/>
      <x:c r="B146" s="24"/>
      <x:c r="C146" s="29"/>
      <x:c r="D146" s="24"/>
      <x:c r="E146" s="24"/>
      <x:c r="F146" s="20" t="str">
        <x:f>IF(G146&lt;&gt;"OK","",IF(OR(B146="Versamento",B146="Rimborso"),C146,-C146))</x:f>
      </x:c>
      <x:c r="G146" s="18" t="str">
        <x:f>IF(AND(A146="",B146="",C146="",D146="",E146=""),"",IF(OR(NOT(ISNUMBER(A146)),NOT(ISNUMBER(C146)),C146&lt;=0,D146="",AND(B146&lt;&gt;"Versamento",B146&lt;&gt;"Prelievo",B146&lt;&gt;"Costo",B146&lt;&gt;"Rimborso")),"Completa movimento","OK"))</x:f>
      </x:c>
    </x:row>
    <x:row r="147">
      <x:c r="A147" s="26"/>
      <x:c r="B147" s="24"/>
      <x:c r="C147" s="29"/>
      <x:c r="D147" s="24"/>
      <x:c r="E147" s="24"/>
      <x:c r="F147" s="20" t="str">
        <x:f>IF(G147&lt;&gt;"OK","",IF(OR(B147="Versamento",B147="Rimborso"),C147,-C147))</x:f>
      </x:c>
      <x:c r="G147" s="18" t="str">
        <x:f>IF(AND(A147="",B147="",C147="",D147="",E147=""),"",IF(OR(NOT(ISNUMBER(A147)),NOT(ISNUMBER(C147)),C147&lt;=0,D147="",AND(B147&lt;&gt;"Versamento",B147&lt;&gt;"Prelievo",B147&lt;&gt;"Costo",B147&lt;&gt;"Rimborso")),"Completa movimento","OK"))</x:f>
      </x:c>
    </x:row>
    <x:row r="148">
      <x:c r="A148" s="26"/>
      <x:c r="B148" s="24"/>
      <x:c r="C148" s="29"/>
      <x:c r="D148" s="24"/>
      <x:c r="E148" s="24"/>
      <x:c r="F148" s="20" t="str">
        <x:f>IF(G148&lt;&gt;"OK","",IF(OR(B148="Versamento",B148="Rimborso"),C148,-C148))</x:f>
      </x:c>
      <x:c r="G148" s="18" t="str">
        <x:f>IF(AND(A148="",B148="",C148="",D148="",E148=""),"",IF(OR(NOT(ISNUMBER(A148)),NOT(ISNUMBER(C148)),C148&lt;=0,D148="",AND(B148&lt;&gt;"Versamento",B148&lt;&gt;"Prelievo",B148&lt;&gt;"Costo",B148&lt;&gt;"Rimborso")),"Completa movimento","OK"))</x:f>
      </x:c>
    </x:row>
    <x:row r="149">
      <x:c r="A149" s="26"/>
      <x:c r="B149" s="24"/>
      <x:c r="C149" s="29"/>
      <x:c r="D149" s="24"/>
      <x:c r="E149" s="24"/>
      <x:c r="F149" s="20" t="str">
        <x:f>IF(G149&lt;&gt;"OK","",IF(OR(B149="Versamento",B149="Rimborso"),C149,-C149))</x:f>
      </x:c>
      <x:c r="G149" s="18" t="str">
        <x:f>IF(AND(A149="",B149="",C149="",D149="",E149=""),"",IF(OR(NOT(ISNUMBER(A149)),NOT(ISNUMBER(C149)),C149&lt;=0,D149="",AND(B149&lt;&gt;"Versamento",B149&lt;&gt;"Prelievo",B149&lt;&gt;"Costo",B149&lt;&gt;"Rimborso")),"Completa movimento","OK"))</x:f>
      </x:c>
    </x:row>
    <x:row r="150">
      <x:c r="A150" s="26"/>
      <x:c r="B150" s="24"/>
      <x:c r="C150" s="29"/>
      <x:c r="D150" s="24"/>
      <x:c r="E150" s="24"/>
      <x:c r="F150" s="20" t="str">
        <x:f>IF(G150&lt;&gt;"OK","",IF(OR(B150="Versamento",B150="Rimborso"),C150,-C150))</x:f>
      </x:c>
      <x:c r="G150" s="18" t="str">
        <x:f>IF(AND(A150="",B150="",C150="",D150="",E150=""),"",IF(OR(NOT(ISNUMBER(A150)),NOT(ISNUMBER(C150)),C150&lt;=0,D150="",AND(B150&lt;&gt;"Versamento",B150&lt;&gt;"Prelievo",B150&lt;&gt;"Costo",B150&lt;&gt;"Rimborso")),"Completa movimento","OK"))</x:f>
      </x:c>
    </x:row>
    <x:row r="151">
      <x:c r="A151" s="26"/>
      <x:c r="B151" s="24"/>
      <x:c r="C151" s="29"/>
      <x:c r="D151" s="24"/>
      <x:c r="E151" s="24"/>
      <x:c r="F151" s="20" t="str">
        <x:f>IF(G151&lt;&gt;"OK","",IF(OR(B151="Versamento",B151="Rimborso"),C151,-C151))</x:f>
      </x:c>
      <x:c r="G151" s="18" t="str">
        <x:f>IF(AND(A151="",B151="",C151="",D151="",E151=""),"",IF(OR(NOT(ISNUMBER(A151)),NOT(ISNUMBER(C151)),C151&lt;=0,D151="",AND(B151&lt;&gt;"Versamento",B151&lt;&gt;"Prelievo",B151&lt;&gt;"Costo",B151&lt;&gt;"Rimborso")),"Completa movimento","OK"))</x:f>
      </x:c>
    </x:row>
    <x:row r="152">
      <x:c r="A152" s="26"/>
      <x:c r="B152" s="24"/>
      <x:c r="C152" s="29"/>
      <x:c r="D152" s="24"/>
      <x:c r="E152" s="24"/>
      <x:c r="F152" s="20" t="str">
        <x:f>IF(G152&lt;&gt;"OK","",IF(OR(B152="Versamento",B152="Rimborso"),C152,-C152))</x:f>
      </x:c>
      <x:c r="G152" s="18" t="str">
        <x:f>IF(AND(A152="",B152="",C152="",D152="",E152=""),"",IF(OR(NOT(ISNUMBER(A152)),NOT(ISNUMBER(C152)),C152&lt;=0,D152="",AND(B152&lt;&gt;"Versamento",B152&lt;&gt;"Prelievo",B152&lt;&gt;"Costo",B152&lt;&gt;"Rimborso")),"Completa movimento","OK"))</x:f>
      </x:c>
    </x:row>
    <x:row r="153">
      <x:c r="A153" s="26"/>
      <x:c r="B153" s="24"/>
      <x:c r="C153" s="29"/>
      <x:c r="D153" s="24"/>
      <x:c r="E153" s="24"/>
      <x:c r="F153" s="20" t="str">
        <x:f>IF(G153&lt;&gt;"OK","",IF(OR(B153="Versamento",B153="Rimborso"),C153,-C153))</x:f>
      </x:c>
      <x:c r="G153" s="18" t="str">
        <x:f>IF(AND(A153="",B153="",C153="",D153="",E153=""),"",IF(OR(NOT(ISNUMBER(A153)),NOT(ISNUMBER(C153)),C153&lt;=0,D153="",AND(B153&lt;&gt;"Versamento",B153&lt;&gt;"Prelievo",B153&lt;&gt;"Costo",B153&lt;&gt;"Rimborso")),"Completa movimento","OK"))</x:f>
      </x:c>
    </x:row>
    <x:row r="154">
      <x:c r="A154" s="26"/>
      <x:c r="B154" s="24"/>
      <x:c r="C154" s="29"/>
      <x:c r="D154" s="24"/>
      <x:c r="E154" s="24"/>
      <x:c r="F154" s="20" t="str">
        <x:f>IF(G154&lt;&gt;"OK","",IF(OR(B154="Versamento",B154="Rimborso"),C154,-C154))</x:f>
      </x:c>
      <x:c r="G154" s="18" t="str">
        <x:f>IF(AND(A154="",B154="",C154="",D154="",E154=""),"",IF(OR(NOT(ISNUMBER(A154)),NOT(ISNUMBER(C154)),C154&lt;=0,D154="",AND(B154&lt;&gt;"Versamento",B154&lt;&gt;"Prelievo",B154&lt;&gt;"Costo",B154&lt;&gt;"Rimborso")),"Completa movimento","OK"))</x:f>
      </x:c>
    </x:row>
    <x:row r="155">
      <x:c r="A155" s="26"/>
      <x:c r="B155" s="24"/>
      <x:c r="C155" s="29"/>
      <x:c r="D155" s="24"/>
      <x:c r="E155" s="24"/>
      <x:c r="F155" s="20" t="str">
        <x:f>IF(G155&lt;&gt;"OK","",IF(OR(B155="Versamento",B155="Rimborso"),C155,-C155))</x:f>
      </x:c>
      <x:c r="G155" s="18" t="str">
        <x:f>IF(AND(A155="",B155="",C155="",D155="",E155=""),"",IF(OR(NOT(ISNUMBER(A155)),NOT(ISNUMBER(C155)),C155&lt;=0,D155="",AND(B155&lt;&gt;"Versamento",B155&lt;&gt;"Prelievo",B155&lt;&gt;"Costo",B155&lt;&gt;"Rimborso")),"Completa movimento","OK"))</x:f>
      </x:c>
    </x:row>
    <x:row r="156">
      <x:c r="A156" s="26"/>
      <x:c r="B156" s="24"/>
      <x:c r="C156" s="29"/>
      <x:c r="D156" s="24"/>
      <x:c r="E156" s="24"/>
      <x:c r="F156" s="20" t="str">
        <x:f>IF(G156&lt;&gt;"OK","",IF(OR(B156="Versamento",B156="Rimborso"),C156,-C156))</x:f>
      </x:c>
      <x:c r="G156" s="18" t="str">
        <x:f>IF(AND(A156="",B156="",C156="",D156="",E156=""),"",IF(OR(NOT(ISNUMBER(A156)),NOT(ISNUMBER(C156)),C156&lt;=0,D156="",AND(B156&lt;&gt;"Versamento",B156&lt;&gt;"Prelievo",B156&lt;&gt;"Costo",B156&lt;&gt;"Rimborso")),"Completa movimento","OK"))</x:f>
      </x:c>
    </x:row>
    <x:row r="157">
      <x:c r="A157" s="26"/>
      <x:c r="B157" s="24"/>
      <x:c r="C157" s="29"/>
      <x:c r="D157" s="24"/>
      <x:c r="E157" s="24"/>
      <x:c r="F157" s="20" t="str">
        <x:f>IF(G157&lt;&gt;"OK","",IF(OR(B157="Versamento",B157="Rimborso"),C157,-C157))</x:f>
      </x:c>
      <x:c r="G157" s="18" t="str">
        <x:f>IF(AND(A157="",B157="",C157="",D157="",E157=""),"",IF(OR(NOT(ISNUMBER(A157)),NOT(ISNUMBER(C157)),C157&lt;=0,D157="",AND(B157&lt;&gt;"Versamento",B157&lt;&gt;"Prelievo",B157&lt;&gt;"Costo",B157&lt;&gt;"Rimborso")),"Completa movimento","OK"))</x:f>
      </x:c>
    </x:row>
    <x:row r="158">
      <x:c r="A158" s="26"/>
      <x:c r="B158" s="24"/>
      <x:c r="C158" s="29"/>
      <x:c r="D158" s="24"/>
      <x:c r="E158" s="24"/>
      <x:c r="F158" s="20" t="str">
        <x:f>IF(G158&lt;&gt;"OK","",IF(OR(B158="Versamento",B158="Rimborso"),C158,-C158))</x:f>
      </x:c>
      <x:c r="G158" s="18" t="str">
        <x:f>IF(AND(A158="",B158="",C158="",D158="",E158=""),"",IF(OR(NOT(ISNUMBER(A158)),NOT(ISNUMBER(C158)),C158&lt;=0,D158="",AND(B158&lt;&gt;"Versamento",B158&lt;&gt;"Prelievo",B158&lt;&gt;"Costo",B158&lt;&gt;"Rimborso")),"Completa movimento","OK"))</x:f>
      </x:c>
    </x:row>
    <x:row r="159">
      <x:c r="A159" s="26"/>
      <x:c r="B159" s="24"/>
      <x:c r="C159" s="29"/>
      <x:c r="D159" s="24"/>
      <x:c r="E159" s="24"/>
      <x:c r="F159" s="20" t="str">
        <x:f>IF(G159&lt;&gt;"OK","",IF(OR(B159="Versamento",B159="Rimborso"),C159,-C159))</x:f>
      </x:c>
      <x:c r="G159" s="18" t="str">
        <x:f>IF(AND(A159="",B159="",C159="",D159="",E159=""),"",IF(OR(NOT(ISNUMBER(A159)),NOT(ISNUMBER(C159)),C159&lt;=0,D159="",AND(B159&lt;&gt;"Versamento",B159&lt;&gt;"Prelievo",B159&lt;&gt;"Costo",B159&lt;&gt;"Rimborso")),"Completa movimento","OK"))</x:f>
      </x:c>
    </x:row>
    <x:row r="160">
      <x:c r="A160" s="26"/>
      <x:c r="B160" s="24"/>
      <x:c r="C160" s="29"/>
      <x:c r="D160" s="24"/>
      <x:c r="E160" s="24"/>
      <x:c r="F160" s="20" t="str">
        <x:f>IF(G160&lt;&gt;"OK","",IF(OR(B160="Versamento",B160="Rimborso"),C160,-C160))</x:f>
      </x:c>
      <x:c r="G160" s="18" t="str">
        <x:f>IF(AND(A160="",B160="",C160="",D160="",E160=""),"",IF(OR(NOT(ISNUMBER(A160)),NOT(ISNUMBER(C160)),C160&lt;=0,D160="",AND(B160&lt;&gt;"Versamento",B160&lt;&gt;"Prelievo",B160&lt;&gt;"Costo",B160&lt;&gt;"Rimborso")),"Completa movimento","OK"))</x:f>
      </x:c>
    </x:row>
    <x:row r="161">
      <x:c r="A161" s="26"/>
      <x:c r="B161" s="24"/>
      <x:c r="C161" s="29"/>
      <x:c r="D161" s="24"/>
      <x:c r="E161" s="24"/>
      <x:c r="F161" s="20" t="str">
        <x:f>IF(G161&lt;&gt;"OK","",IF(OR(B161="Versamento",B161="Rimborso"),C161,-C161))</x:f>
      </x:c>
      <x:c r="G161" s="18" t="str">
        <x:f>IF(AND(A161="",B161="",C161="",D161="",E161=""),"",IF(OR(NOT(ISNUMBER(A161)),NOT(ISNUMBER(C161)),C161&lt;=0,D161="",AND(B161&lt;&gt;"Versamento",B161&lt;&gt;"Prelievo",B161&lt;&gt;"Costo",B161&lt;&gt;"Rimborso")),"Completa movimento","OK"))</x:f>
      </x:c>
    </x:row>
    <x:row r="162">
      <x:c r="A162" s="26"/>
      <x:c r="B162" s="24"/>
      <x:c r="C162" s="29"/>
      <x:c r="D162" s="24"/>
      <x:c r="E162" s="24"/>
      <x:c r="F162" s="20" t="str">
        <x:f>IF(G162&lt;&gt;"OK","",IF(OR(B162="Versamento",B162="Rimborso"),C162,-C162))</x:f>
      </x:c>
      <x:c r="G162" s="18" t="str">
        <x:f>IF(AND(A162="",B162="",C162="",D162="",E162=""),"",IF(OR(NOT(ISNUMBER(A162)),NOT(ISNUMBER(C162)),C162&lt;=0,D162="",AND(B162&lt;&gt;"Versamento",B162&lt;&gt;"Prelievo",B162&lt;&gt;"Costo",B162&lt;&gt;"Rimborso")),"Completa movimento","OK"))</x:f>
      </x:c>
    </x:row>
    <x:row r="163">
      <x:c r="A163" s="26"/>
      <x:c r="B163" s="24"/>
      <x:c r="C163" s="29"/>
      <x:c r="D163" s="24"/>
      <x:c r="E163" s="24"/>
      <x:c r="F163" s="20" t="str">
        <x:f>IF(G163&lt;&gt;"OK","",IF(OR(B163="Versamento",B163="Rimborso"),C163,-C163))</x:f>
      </x:c>
      <x:c r="G163" s="18" t="str">
        <x:f>IF(AND(A163="",B163="",C163="",D163="",E163=""),"",IF(OR(NOT(ISNUMBER(A163)),NOT(ISNUMBER(C163)),C163&lt;=0,D163="",AND(B163&lt;&gt;"Versamento",B163&lt;&gt;"Prelievo",B163&lt;&gt;"Costo",B163&lt;&gt;"Rimborso")),"Completa movimento","OK"))</x:f>
      </x:c>
    </x:row>
    <x:row r="164">
      <x:c r="A164" s="26"/>
      <x:c r="B164" s="24"/>
      <x:c r="C164" s="29"/>
      <x:c r="D164" s="24"/>
      <x:c r="E164" s="24"/>
      <x:c r="F164" s="20" t="str">
        <x:f>IF(G164&lt;&gt;"OK","",IF(OR(B164="Versamento",B164="Rimborso"),C164,-C164))</x:f>
      </x:c>
      <x:c r="G164" s="18" t="str">
        <x:f>IF(AND(A164="",B164="",C164="",D164="",E164=""),"",IF(OR(NOT(ISNUMBER(A164)),NOT(ISNUMBER(C164)),C164&lt;=0,D164="",AND(B164&lt;&gt;"Versamento",B164&lt;&gt;"Prelievo",B164&lt;&gt;"Costo",B164&lt;&gt;"Rimborso")),"Completa movimento","OK"))</x:f>
      </x:c>
    </x:row>
    <x:row r="165">
      <x:c r="A165" s="26"/>
      <x:c r="B165" s="24"/>
      <x:c r="C165" s="29"/>
      <x:c r="D165" s="24"/>
      <x:c r="E165" s="24"/>
      <x:c r="F165" s="20" t="str">
        <x:f>IF(G165&lt;&gt;"OK","",IF(OR(B165="Versamento",B165="Rimborso"),C165,-C165))</x:f>
      </x:c>
      <x:c r="G165" s="18" t="str">
        <x:f>IF(AND(A165="",B165="",C165="",D165="",E165=""),"",IF(OR(NOT(ISNUMBER(A165)),NOT(ISNUMBER(C165)),C165&lt;=0,D165="",AND(B165&lt;&gt;"Versamento",B165&lt;&gt;"Prelievo",B165&lt;&gt;"Costo",B165&lt;&gt;"Rimborso")),"Completa movimento","OK"))</x:f>
      </x:c>
    </x:row>
    <x:row r="166">
      <x:c r="A166" s="26"/>
      <x:c r="B166" s="24"/>
      <x:c r="C166" s="29"/>
      <x:c r="D166" s="24"/>
      <x:c r="E166" s="24"/>
      <x:c r="F166" s="20" t="str">
        <x:f>IF(G166&lt;&gt;"OK","",IF(OR(B166="Versamento",B166="Rimborso"),C166,-C166))</x:f>
      </x:c>
      <x:c r="G166" s="18" t="str">
        <x:f>IF(AND(A166="",B166="",C166="",D166="",E166=""),"",IF(OR(NOT(ISNUMBER(A166)),NOT(ISNUMBER(C166)),C166&lt;=0,D166="",AND(B166&lt;&gt;"Versamento",B166&lt;&gt;"Prelievo",B166&lt;&gt;"Costo",B166&lt;&gt;"Rimborso")),"Completa movimento","OK"))</x:f>
      </x:c>
    </x:row>
    <x:row r="167">
      <x:c r="A167" s="26"/>
      <x:c r="B167" s="24"/>
      <x:c r="C167" s="29"/>
      <x:c r="D167" s="24"/>
      <x:c r="E167" s="24"/>
      <x:c r="F167" s="20" t="str">
        <x:f>IF(G167&lt;&gt;"OK","",IF(OR(B167="Versamento",B167="Rimborso"),C167,-C167))</x:f>
      </x:c>
      <x:c r="G167" s="18" t="str">
        <x:f>IF(AND(A167="",B167="",C167="",D167="",E167=""),"",IF(OR(NOT(ISNUMBER(A167)),NOT(ISNUMBER(C167)),C167&lt;=0,D167="",AND(B167&lt;&gt;"Versamento",B167&lt;&gt;"Prelievo",B167&lt;&gt;"Costo",B167&lt;&gt;"Rimborso")),"Completa movimento","OK"))</x:f>
      </x:c>
    </x:row>
    <x:row r="168">
      <x:c r="A168" s="26"/>
      <x:c r="B168" s="24"/>
      <x:c r="C168" s="29"/>
      <x:c r="D168" s="24"/>
      <x:c r="E168" s="24"/>
      <x:c r="F168" s="20" t="str">
        <x:f>IF(G168&lt;&gt;"OK","",IF(OR(B168="Versamento",B168="Rimborso"),C168,-C168))</x:f>
      </x:c>
      <x:c r="G168" s="18" t="str">
        <x:f>IF(AND(A168="",B168="",C168="",D168="",E168=""),"",IF(OR(NOT(ISNUMBER(A168)),NOT(ISNUMBER(C168)),C168&lt;=0,D168="",AND(B168&lt;&gt;"Versamento",B168&lt;&gt;"Prelievo",B168&lt;&gt;"Costo",B168&lt;&gt;"Rimborso")),"Completa movimento","OK"))</x:f>
      </x:c>
    </x:row>
    <x:row r="169">
      <x:c r="A169" s="26"/>
      <x:c r="B169" s="24"/>
      <x:c r="C169" s="29"/>
      <x:c r="D169" s="24"/>
      <x:c r="E169" s="24"/>
      <x:c r="F169" s="20" t="str">
        <x:f>IF(G169&lt;&gt;"OK","",IF(OR(B169="Versamento",B169="Rimborso"),C169,-C169))</x:f>
      </x:c>
      <x:c r="G169" s="18" t="str">
        <x:f>IF(AND(A169="",B169="",C169="",D169="",E169=""),"",IF(OR(NOT(ISNUMBER(A169)),NOT(ISNUMBER(C169)),C169&lt;=0,D169="",AND(B169&lt;&gt;"Versamento",B169&lt;&gt;"Prelievo",B169&lt;&gt;"Costo",B169&lt;&gt;"Rimborso")),"Completa movimento","OK"))</x:f>
      </x:c>
    </x:row>
    <x:row r="170">
      <x:c r="A170" s="26"/>
      <x:c r="B170" s="24"/>
      <x:c r="C170" s="29"/>
      <x:c r="D170" s="24"/>
      <x:c r="E170" s="24"/>
      <x:c r="F170" s="20" t="str">
        <x:f>IF(G170&lt;&gt;"OK","",IF(OR(B170="Versamento",B170="Rimborso"),C170,-C170))</x:f>
      </x:c>
      <x:c r="G170" s="18" t="str">
        <x:f>IF(AND(A170="",B170="",C170="",D170="",E170=""),"",IF(OR(NOT(ISNUMBER(A170)),NOT(ISNUMBER(C170)),C170&lt;=0,D170="",AND(B170&lt;&gt;"Versamento",B170&lt;&gt;"Prelievo",B170&lt;&gt;"Costo",B170&lt;&gt;"Rimborso")),"Completa movimento","OK"))</x:f>
      </x:c>
    </x:row>
    <x:row r="171">
      <x:c r="A171" s="26"/>
      <x:c r="B171" s="24"/>
      <x:c r="C171" s="29"/>
      <x:c r="D171" s="24"/>
      <x:c r="E171" s="24"/>
      <x:c r="F171" s="20" t="str">
        <x:f>IF(G171&lt;&gt;"OK","",IF(OR(B171="Versamento",B171="Rimborso"),C171,-C171))</x:f>
      </x:c>
      <x:c r="G171" s="18" t="str">
        <x:f>IF(AND(A171="",B171="",C171="",D171="",E171=""),"",IF(OR(NOT(ISNUMBER(A171)),NOT(ISNUMBER(C171)),C171&lt;=0,D171="",AND(B171&lt;&gt;"Versamento",B171&lt;&gt;"Prelievo",B171&lt;&gt;"Costo",B171&lt;&gt;"Rimborso")),"Completa movimento","OK"))</x:f>
      </x:c>
    </x:row>
    <x:row r="172">
      <x:c r="A172" s="26"/>
      <x:c r="B172" s="24"/>
      <x:c r="C172" s="29"/>
      <x:c r="D172" s="24"/>
      <x:c r="E172" s="24"/>
      <x:c r="F172" s="20" t="str">
        <x:f>IF(G172&lt;&gt;"OK","",IF(OR(B172="Versamento",B172="Rimborso"),C172,-C172))</x:f>
      </x:c>
      <x:c r="G172" s="18" t="str">
        <x:f>IF(AND(A172="",B172="",C172="",D172="",E172=""),"",IF(OR(NOT(ISNUMBER(A172)),NOT(ISNUMBER(C172)),C172&lt;=0,D172="",AND(B172&lt;&gt;"Versamento",B172&lt;&gt;"Prelievo",B172&lt;&gt;"Costo",B172&lt;&gt;"Rimborso")),"Completa movimento","OK"))</x:f>
      </x:c>
    </x:row>
    <x:row r="173">
      <x:c r="A173" s="26"/>
      <x:c r="B173" s="24"/>
      <x:c r="C173" s="29"/>
      <x:c r="D173" s="24"/>
      <x:c r="E173" s="24"/>
      <x:c r="F173" s="20" t="str">
        <x:f>IF(G173&lt;&gt;"OK","",IF(OR(B173="Versamento",B173="Rimborso"),C173,-C173))</x:f>
      </x:c>
      <x:c r="G173" s="18" t="str">
        <x:f>IF(AND(A173="",B173="",C173="",D173="",E173=""),"",IF(OR(NOT(ISNUMBER(A173)),NOT(ISNUMBER(C173)),C173&lt;=0,D173="",AND(B173&lt;&gt;"Versamento",B173&lt;&gt;"Prelievo",B173&lt;&gt;"Costo",B173&lt;&gt;"Rimborso")),"Completa movimento","OK"))</x:f>
      </x:c>
    </x:row>
    <x:row r="174">
      <x:c r="A174" s="26"/>
      <x:c r="B174" s="24"/>
      <x:c r="C174" s="29"/>
      <x:c r="D174" s="24"/>
      <x:c r="E174" s="24"/>
      <x:c r="F174" s="20" t="str">
        <x:f>IF(G174&lt;&gt;"OK","",IF(OR(B174="Versamento",B174="Rimborso"),C174,-C174))</x:f>
      </x:c>
      <x:c r="G174" s="18" t="str">
        <x:f>IF(AND(A174="",B174="",C174="",D174="",E174=""),"",IF(OR(NOT(ISNUMBER(A174)),NOT(ISNUMBER(C174)),C174&lt;=0,D174="",AND(B174&lt;&gt;"Versamento",B174&lt;&gt;"Prelievo",B174&lt;&gt;"Costo",B174&lt;&gt;"Rimborso")),"Completa movimento","OK"))</x:f>
      </x:c>
    </x:row>
    <x:row r="175">
      <x:c r="A175" s="26"/>
      <x:c r="B175" s="24"/>
      <x:c r="C175" s="29"/>
      <x:c r="D175" s="24"/>
      <x:c r="E175" s="24"/>
      <x:c r="F175" s="20" t="str">
        <x:f>IF(G175&lt;&gt;"OK","",IF(OR(B175="Versamento",B175="Rimborso"),C175,-C175))</x:f>
      </x:c>
      <x:c r="G175" s="18" t="str">
        <x:f>IF(AND(A175="",B175="",C175="",D175="",E175=""),"",IF(OR(NOT(ISNUMBER(A175)),NOT(ISNUMBER(C175)),C175&lt;=0,D175="",AND(B175&lt;&gt;"Versamento",B175&lt;&gt;"Prelievo",B175&lt;&gt;"Costo",B175&lt;&gt;"Rimborso")),"Completa movimento","OK"))</x:f>
      </x:c>
    </x:row>
    <x:row r="176">
      <x:c r="A176" s="26"/>
      <x:c r="B176" s="24"/>
      <x:c r="C176" s="29"/>
      <x:c r="D176" s="24"/>
      <x:c r="E176" s="24"/>
      <x:c r="F176" s="20" t="str">
        <x:f>IF(G176&lt;&gt;"OK","",IF(OR(B176="Versamento",B176="Rimborso"),C176,-C176))</x:f>
      </x:c>
      <x:c r="G176" s="18" t="str">
        <x:f>IF(AND(A176="",B176="",C176="",D176="",E176=""),"",IF(OR(NOT(ISNUMBER(A176)),NOT(ISNUMBER(C176)),C176&lt;=0,D176="",AND(B176&lt;&gt;"Versamento",B176&lt;&gt;"Prelievo",B176&lt;&gt;"Costo",B176&lt;&gt;"Rimborso")),"Completa movimento","OK"))</x:f>
      </x:c>
    </x:row>
    <x:row r="177">
      <x:c r="A177" s="26"/>
      <x:c r="B177" s="24"/>
      <x:c r="C177" s="29"/>
      <x:c r="D177" s="24"/>
      <x:c r="E177" s="24"/>
      <x:c r="F177" s="20" t="str">
        <x:f>IF(G177&lt;&gt;"OK","",IF(OR(B177="Versamento",B177="Rimborso"),C177,-C177))</x:f>
      </x:c>
      <x:c r="G177" s="18" t="str">
        <x:f>IF(AND(A177="",B177="",C177="",D177="",E177=""),"",IF(OR(NOT(ISNUMBER(A177)),NOT(ISNUMBER(C177)),C177&lt;=0,D177="",AND(B177&lt;&gt;"Versamento",B177&lt;&gt;"Prelievo",B177&lt;&gt;"Costo",B177&lt;&gt;"Rimborso")),"Completa movimento","OK"))</x:f>
      </x:c>
    </x:row>
    <x:row r="178">
      <x:c r="A178" s="26"/>
      <x:c r="B178" s="24"/>
      <x:c r="C178" s="29"/>
      <x:c r="D178" s="24"/>
      <x:c r="E178" s="24"/>
      <x:c r="F178" s="20" t="str">
        <x:f>IF(G178&lt;&gt;"OK","",IF(OR(B178="Versamento",B178="Rimborso"),C178,-C178))</x:f>
      </x:c>
      <x:c r="G178" s="18" t="str">
        <x:f>IF(AND(A178="",B178="",C178="",D178="",E178=""),"",IF(OR(NOT(ISNUMBER(A178)),NOT(ISNUMBER(C178)),C178&lt;=0,D178="",AND(B178&lt;&gt;"Versamento",B178&lt;&gt;"Prelievo",B178&lt;&gt;"Costo",B178&lt;&gt;"Rimborso")),"Completa movimento","OK"))</x:f>
      </x:c>
    </x:row>
    <x:row r="179">
      <x:c r="A179" s="26"/>
      <x:c r="B179" s="24"/>
      <x:c r="C179" s="29"/>
      <x:c r="D179" s="24"/>
      <x:c r="E179" s="24"/>
      <x:c r="F179" s="20" t="str">
        <x:f>IF(G179&lt;&gt;"OK","",IF(OR(B179="Versamento",B179="Rimborso"),C179,-C179))</x:f>
      </x:c>
      <x:c r="G179" s="18" t="str">
        <x:f>IF(AND(A179="",B179="",C179="",D179="",E179=""),"",IF(OR(NOT(ISNUMBER(A179)),NOT(ISNUMBER(C179)),C179&lt;=0,D179="",AND(B179&lt;&gt;"Versamento",B179&lt;&gt;"Prelievo",B179&lt;&gt;"Costo",B179&lt;&gt;"Rimborso")),"Completa movimento","OK"))</x:f>
      </x:c>
    </x:row>
    <x:row r="180">
      <x:c r="A180" s="26"/>
      <x:c r="B180" s="24"/>
      <x:c r="C180" s="29"/>
      <x:c r="D180" s="24"/>
      <x:c r="E180" s="24"/>
      <x:c r="F180" s="20" t="str">
        <x:f>IF(G180&lt;&gt;"OK","",IF(OR(B180="Versamento",B180="Rimborso"),C180,-C180))</x:f>
      </x:c>
      <x:c r="G180" s="18" t="str">
        <x:f>IF(AND(A180="",B180="",C180="",D180="",E180=""),"",IF(OR(NOT(ISNUMBER(A180)),NOT(ISNUMBER(C180)),C180&lt;=0,D180="",AND(B180&lt;&gt;"Versamento",B180&lt;&gt;"Prelievo",B180&lt;&gt;"Costo",B180&lt;&gt;"Rimborso")),"Completa movimento","OK"))</x:f>
      </x:c>
    </x:row>
    <x:row r="181">
      <x:c r="A181" s="26"/>
      <x:c r="B181" s="24"/>
      <x:c r="C181" s="29"/>
      <x:c r="D181" s="24"/>
      <x:c r="E181" s="24"/>
      <x:c r="F181" s="20" t="str">
        <x:f>IF(G181&lt;&gt;"OK","",IF(OR(B181="Versamento",B181="Rimborso"),C181,-C181))</x:f>
      </x:c>
      <x:c r="G181" s="18" t="str">
        <x:f>IF(AND(A181="",B181="",C181="",D181="",E181=""),"",IF(OR(NOT(ISNUMBER(A181)),NOT(ISNUMBER(C181)),C181&lt;=0,D181="",AND(B181&lt;&gt;"Versamento",B181&lt;&gt;"Prelievo",B181&lt;&gt;"Costo",B181&lt;&gt;"Rimborso")),"Completa movimento","OK"))</x:f>
      </x:c>
    </x:row>
    <x:row r="182">
      <x:c r="A182" s="26"/>
      <x:c r="B182" s="24"/>
      <x:c r="C182" s="29"/>
      <x:c r="D182" s="24"/>
      <x:c r="E182" s="24"/>
      <x:c r="F182" s="20" t="str">
        <x:f>IF(G182&lt;&gt;"OK","",IF(OR(B182="Versamento",B182="Rimborso"),C182,-C182))</x:f>
      </x:c>
      <x:c r="G182" s="18" t="str">
        <x:f>IF(AND(A182="",B182="",C182="",D182="",E182=""),"",IF(OR(NOT(ISNUMBER(A182)),NOT(ISNUMBER(C182)),C182&lt;=0,D182="",AND(B182&lt;&gt;"Versamento",B182&lt;&gt;"Prelievo",B182&lt;&gt;"Costo",B182&lt;&gt;"Rimborso")),"Completa movimento","OK"))</x:f>
      </x:c>
    </x:row>
    <x:row r="183">
      <x:c r="A183" s="26"/>
      <x:c r="B183" s="24"/>
      <x:c r="C183" s="29"/>
      <x:c r="D183" s="24"/>
      <x:c r="E183" s="24"/>
      <x:c r="F183" s="20" t="str">
        <x:f>IF(G183&lt;&gt;"OK","",IF(OR(B183="Versamento",B183="Rimborso"),C183,-C183))</x:f>
      </x:c>
      <x:c r="G183" s="18" t="str">
        <x:f>IF(AND(A183="",B183="",C183="",D183="",E183=""),"",IF(OR(NOT(ISNUMBER(A183)),NOT(ISNUMBER(C183)),C183&lt;=0,D183="",AND(B183&lt;&gt;"Versamento",B183&lt;&gt;"Prelievo",B183&lt;&gt;"Costo",B183&lt;&gt;"Rimborso")),"Completa movimento","OK"))</x:f>
      </x:c>
    </x:row>
    <x:row r="184">
      <x:c r="A184" s="26"/>
      <x:c r="B184" s="24"/>
      <x:c r="C184" s="29"/>
      <x:c r="D184" s="24"/>
      <x:c r="E184" s="24"/>
      <x:c r="F184" s="20" t="str">
        <x:f>IF(G184&lt;&gt;"OK","",IF(OR(B184="Versamento",B184="Rimborso"),C184,-C184))</x:f>
      </x:c>
      <x:c r="G184" s="18" t="str">
        <x:f>IF(AND(A184="",B184="",C184="",D184="",E184=""),"",IF(OR(NOT(ISNUMBER(A184)),NOT(ISNUMBER(C184)),C184&lt;=0,D184="",AND(B184&lt;&gt;"Versamento",B184&lt;&gt;"Prelievo",B184&lt;&gt;"Costo",B184&lt;&gt;"Rimborso")),"Completa movimento","OK"))</x:f>
      </x:c>
    </x:row>
    <x:row r="185">
      <x:c r="A185" s="26"/>
      <x:c r="B185" s="24"/>
      <x:c r="C185" s="29"/>
      <x:c r="D185" s="24"/>
      <x:c r="E185" s="24"/>
      <x:c r="F185" s="20" t="str">
        <x:f>IF(G185&lt;&gt;"OK","",IF(OR(B185="Versamento",B185="Rimborso"),C185,-C185))</x:f>
      </x:c>
      <x:c r="G185" s="18" t="str">
        <x:f>IF(AND(A185="",B185="",C185="",D185="",E185=""),"",IF(OR(NOT(ISNUMBER(A185)),NOT(ISNUMBER(C185)),C185&lt;=0,D185="",AND(B185&lt;&gt;"Versamento",B185&lt;&gt;"Prelievo",B185&lt;&gt;"Costo",B185&lt;&gt;"Rimborso")),"Completa movimento","OK"))</x:f>
      </x:c>
    </x:row>
    <x:row r="186">
      <x:c r="A186" s="26"/>
      <x:c r="B186" s="24"/>
      <x:c r="C186" s="29"/>
      <x:c r="D186" s="24"/>
      <x:c r="E186" s="24"/>
      <x:c r="F186" s="20" t="str">
        <x:f>IF(G186&lt;&gt;"OK","",IF(OR(B186="Versamento",B186="Rimborso"),C186,-C186))</x:f>
      </x:c>
      <x:c r="G186" s="18" t="str">
        <x:f>IF(AND(A186="",B186="",C186="",D186="",E186=""),"",IF(OR(NOT(ISNUMBER(A186)),NOT(ISNUMBER(C186)),C186&lt;=0,D186="",AND(B186&lt;&gt;"Versamento",B186&lt;&gt;"Prelievo",B186&lt;&gt;"Costo",B186&lt;&gt;"Rimborso")),"Completa movimento","OK"))</x:f>
      </x:c>
    </x:row>
    <x:row r="187">
      <x:c r="A187" s="26"/>
      <x:c r="B187" s="24"/>
      <x:c r="C187" s="29"/>
      <x:c r="D187" s="24"/>
      <x:c r="E187" s="24"/>
      <x:c r="F187" s="20" t="str">
        <x:f>IF(G187&lt;&gt;"OK","",IF(OR(B187="Versamento",B187="Rimborso"),C187,-C187))</x:f>
      </x:c>
      <x:c r="G187" s="18" t="str">
        <x:f>IF(AND(A187="",B187="",C187="",D187="",E187=""),"",IF(OR(NOT(ISNUMBER(A187)),NOT(ISNUMBER(C187)),C187&lt;=0,D187="",AND(B187&lt;&gt;"Versamento",B187&lt;&gt;"Prelievo",B187&lt;&gt;"Costo",B187&lt;&gt;"Rimborso")),"Completa movimento","OK"))</x:f>
      </x:c>
    </x:row>
    <x:row r="188">
      <x:c r="A188" s="26"/>
      <x:c r="B188" s="24"/>
      <x:c r="C188" s="29"/>
      <x:c r="D188" s="24"/>
      <x:c r="E188" s="24"/>
      <x:c r="F188" s="20" t="str">
        <x:f>IF(G188&lt;&gt;"OK","",IF(OR(B188="Versamento",B188="Rimborso"),C188,-C188))</x:f>
      </x:c>
      <x:c r="G188" s="18" t="str">
        <x:f>IF(AND(A188="",B188="",C188="",D188="",E188=""),"",IF(OR(NOT(ISNUMBER(A188)),NOT(ISNUMBER(C188)),C188&lt;=0,D188="",AND(B188&lt;&gt;"Versamento",B188&lt;&gt;"Prelievo",B188&lt;&gt;"Costo",B188&lt;&gt;"Rimborso")),"Completa movimento","OK"))</x:f>
      </x:c>
    </x:row>
    <x:row r="189">
      <x:c r="A189" s="26"/>
      <x:c r="B189" s="24"/>
      <x:c r="C189" s="29"/>
      <x:c r="D189" s="24"/>
      <x:c r="E189" s="24"/>
      <x:c r="F189" s="20" t="str">
        <x:f>IF(G189&lt;&gt;"OK","",IF(OR(B189="Versamento",B189="Rimborso"),C189,-C189))</x:f>
      </x:c>
      <x:c r="G189" s="18" t="str">
        <x:f>IF(AND(A189="",B189="",C189="",D189="",E189=""),"",IF(OR(NOT(ISNUMBER(A189)),NOT(ISNUMBER(C189)),C189&lt;=0,D189="",AND(B189&lt;&gt;"Versamento",B189&lt;&gt;"Prelievo",B189&lt;&gt;"Costo",B189&lt;&gt;"Rimborso")),"Completa movimento","OK"))</x:f>
      </x:c>
    </x:row>
    <x:row r="190">
      <x:c r="A190" s="26"/>
      <x:c r="B190" s="24"/>
      <x:c r="C190" s="29"/>
      <x:c r="D190" s="24"/>
      <x:c r="E190" s="24"/>
      <x:c r="F190" s="20" t="str">
        <x:f>IF(G190&lt;&gt;"OK","",IF(OR(B190="Versamento",B190="Rimborso"),C190,-C190))</x:f>
      </x:c>
      <x:c r="G190" s="18" t="str">
        <x:f>IF(AND(A190="",B190="",C190="",D190="",E190=""),"",IF(OR(NOT(ISNUMBER(A190)),NOT(ISNUMBER(C190)),C190&lt;=0,D190="",AND(B190&lt;&gt;"Versamento",B190&lt;&gt;"Prelievo",B190&lt;&gt;"Costo",B190&lt;&gt;"Rimborso")),"Completa movimento","OK"))</x:f>
      </x:c>
    </x:row>
    <x:row r="191">
      <x:c r="A191" s="26"/>
      <x:c r="B191" s="24"/>
      <x:c r="C191" s="29"/>
      <x:c r="D191" s="24"/>
      <x:c r="E191" s="24"/>
      <x:c r="F191" s="20" t="str">
        <x:f>IF(G191&lt;&gt;"OK","",IF(OR(B191="Versamento",B191="Rimborso"),C191,-C191))</x:f>
      </x:c>
      <x:c r="G191" s="18" t="str">
        <x:f>IF(AND(A191="",B191="",C191="",D191="",E191=""),"",IF(OR(NOT(ISNUMBER(A191)),NOT(ISNUMBER(C191)),C191&lt;=0,D191="",AND(B191&lt;&gt;"Versamento",B191&lt;&gt;"Prelievo",B191&lt;&gt;"Costo",B191&lt;&gt;"Rimborso")),"Completa movimento","OK"))</x:f>
      </x:c>
    </x:row>
    <x:row r="192">
      <x:c r="A192" s="26"/>
      <x:c r="B192" s="24"/>
      <x:c r="C192" s="29"/>
      <x:c r="D192" s="24"/>
      <x:c r="E192" s="24"/>
      <x:c r="F192" s="20" t="str">
        <x:f>IF(G192&lt;&gt;"OK","",IF(OR(B192="Versamento",B192="Rimborso"),C192,-C192))</x:f>
      </x:c>
      <x:c r="G192" s="18" t="str">
        <x:f>IF(AND(A192="",B192="",C192="",D192="",E192=""),"",IF(OR(NOT(ISNUMBER(A192)),NOT(ISNUMBER(C192)),C192&lt;=0,D192="",AND(B192&lt;&gt;"Versamento",B192&lt;&gt;"Prelievo",B192&lt;&gt;"Costo",B192&lt;&gt;"Rimborso")),"Completa movimento","OK"))</x:f>
      </x:c>
    </x:row>
    <x:row r="193">
      <x:c r="A193" s="26"/>
      <x:c r="B193" s="24"/>
      <x:c r="C193" s="29"/>
      <x:c r="D193" s="24"/>
      <x:c r="E193" s="24"/>
      <x:c r="F193" s="20" t="str">
        <x:f>IF(G193&lt;&gt;"OK","",IF(OR(B193="Versamento",B193="Rimborso"),C193,-C193))</x:f>
      </x:c>
      <x:c r="G193" s="18" t="str">
        <x:f>IF(AND(A193="",B193="",C193="",D193="",E193=""),"",IF(OR(NOT(ISNUMBER(A193)),NOT(ISNUMBER(C193)),C193&lt;=0,D193="",AND(B193&lt;&gt;"Versamento",B193&lt;&gt;"Prelievo",B193&lt;&gt;"Costo",B193&lt;&gt;"Rimborso")),"Completa movimento","OK"))</x:f>
      </x:c>
    </x:row>
    <x:row r="194">
      <x:c r="A194" s="26"/>
      <x:c r="B194" s="24"/>
      <x:c r="C194" s="29"/>
      <x:c r="D194" s="24"/>
      <x:c r="E194" s="24"/>
      <x:c r="F194" s="20" t="str">
        <x:f>IF(G194&lt;&gt;"OK","",IF(OR(B194="Versamento",B194="Rimborso"),C194,-C194))</x:f>
      </x:c>
      <x:c r="G194" s="18" t="str">
        <x:f>IF(AND(A194="",B194="",C194="",D194="",E194=""),"",IF(OR(NOT(ISNUMBER(A194)),NOT(ISNUMBER(C194)),C194&lt;=0,D194="",AND(B194&lt;&gt;"Versamento",B194&lt;&gt;"Prelievo",B194&lt;&gt;"Costo",B194&lt;&gt;"Rimborso")),"Completa movimento","OK"))</x:f>
      </x:c>
    </x:row>
    <x:row r="195">
      <x:c r="A195" s="26"/>
      <x:c r="B195" s="24"/>
      <x:c r="C195" s="29"/>
      <x:c r="D195" s="24"/>
      <x:c r="E195" s="24"/>
      <x:c r="F195" s="20" t="str">
        <x:f>IF(G195&lt;&gt;"OK","",IF(OR(B195="Versamento",B195="Rimborso"),C195,-C195))</x:f>
      </x:c>
      <x:c r="G195" s="18" t="str">
        <x:f>IF(AND(A195="",B195="",C195="",D195="",E195=""),"",IF(OR(NOT(ISNUMBER(A195)),NOT(ISNUMBER(C195)),C195&lt;=0,D195="",AND(B195&lt;&gt;"Versamento",B195&lt;&gt;"Prelievo",B195&lt;&gt;"Costo",B195&lt;&gt;"Rimborso")),"Completa movimento","OK"))</x:f>
      </x:c>
    </x:row>
    <x:row r="196">
      <x:c r="A196" s="26"/>
      <x:c r="B196" s="24"/>
      <x:c r="C196" s="29"/>
      <x:c r="D196" s="24"/>
      <x:c r="E196" s="24"/>
      <x:c r="F196" s="20" t="str">
        <x:f>IF(G196&lt;&gt;"OK","",IF(OR(B196="Versamento",B196="Rimborso"),C196,-C196))</x:f>
      </x:c>
      <x:c r="G196" s="18" t="str">
        <x:f>IF(AND(A196="",B196="",C196="",D196="",E196=""),"",IF(OR(NOT(ISNUMBER(A196)),NOT(ISNUMBER(C196)),C196&lt;=0,D196="",AND(B196&lt;&gt;"Versamento",B196&lt;&gt;"Prelievo",B196&lt;&gt;"Costo",B196&lt;&gt;"Rimborso")),"Completa movimento","OK"))</x:f>
      </x:c>
    </x:row>
    <x:row r="197">
      <x:c r="A197" s="26"/>
      <x:c r="B197" s="24"/>
      <x:c r="C197" s="29"/>
      <x:c r="D197" s="24"/>
      <x:c r="E197" s="24"/>
      <x:c r="F197" s="20" t="str">
        <x:f>IF(G197&lt;&gt;"OK","",IF(OR(B197="Versamento",B197="Rimborso"),C197,-C197))</x:f>
      </x:c>
      <x:c r="G197" s="18" t="str">
        <x:f>IF(AND(A197="",B197="",C197="",D197="",E197=""),"",IF(OR(NOT(ISNUMBER(A197)),NOT(ISNUMBER(C197)),C197&lt;=0,D197="",AND(B197&lt;&gt;"Versamento",B197&lt;&gt;"Prelievo",B197&lt;&gt;"Costo",B197&lt;&gt;"Rimborso")),"Completa movimento","OK"))</x:f>
      </x:c>
    </x:row>
    <x:row r="198">
      <x:c r="A198" s="26"/>
      <x:c r="B198" s="24"/>
      <x:c r="C198" s="29"/>
      <x:c r="D198" s="24"/>
      <x:c r="E198" s="24"/>
      <x:c r="F198" s="20" t="str">
        <x:f>IF(G198&lt;&gt;"OK","",IF(OR(B198="Versamento",B198="Rimborso"),C198,-C198))</x:f>
      </x:c>
      <x:c r="G198" s="18" t="str">
        <x:f>IF(AND(A198="",B198="",C198="",D198="",E198=""),"",IF(OR(NOT(ISNUMBER(A198)),NOT(ISNUMBER(C198)),C198&lt;=0,D198="",AND(B198&lt;&gt;"Versamento",B198&lt;&gt;"Prelievo",B198&lt;&gt;"Costo",B198&lt;&gt;"Rimborso")),"Completa movimento","OK"))</x:f>
      </x:c>
    </x:row>
    <x:row r="199">
      <x:c r="A199" s="26"/>
      <x:c r="B199" s="24"/>
      <x:c r="C199" s="29"/>
      <x:c r="D199" s="24"/>
      <x:c r="E199" s="24"/>
      <x:c r="F199" s="20" t="str">
        <x:f>IF(G199&lt;&gt;"OK","",IF(OR(B199="Versamento",B199="Rimborso"),C199,-C199))</x:f>
      </x:c>
      <x:c r="G199" s="18" t="str">
        <x:f>IF(AND(A199="",B199="",C199="",D199="",E199=""),"",IF(OR(NOT(ISNUMBER(A199)),NOT(ISNUMBER(C199)),C199&lt;=0,D199="",AND(B199&lt;&gt;"Versamento",B199&lt;&gt;"Prelievo",B199&lt;&gt;"Costo",B199&lt;&gt;"Rimborso")),"Completa movimento","OK"))</x:f>
      </x:c>
    </x:row>
    <x:row r="200">
      <x:c r="A200" s="26"/>
      <x:c r="B200" s="24"/>
      <x:c r="C200" s="29"/>
      <x:c r="D200" s="24"/>
      <x:c r="E200" s="24"/>
      <x:c r="F200" s="20" t="str">
        <x:f>IF(G200&lt;&gt;"OK","",IF(OR(B200="Versamento",B200="Rimborso"),C200,-C200))</x:f>
      </x:c>
      <x:c r="G200" s="18" t="str">
        <x:f>IF(AND(A200="",B200="",C200="",D200="",E200=""),"",IF(OR(NOT(ISNUMBER(A200)),NOT(ISNUMBER(C200)),C200&lt;=0,D200="",AND(B200&lt;&gt;"Versamento",B200&lt;&gt;"Prelievo",B200&lt;&gt;"Costo",B200&lt;&gt;"Rimborso")),"Completa movimento","OK"))</x:f>
      </x:c>
    </x:row>
    <x:row r="201">
      <x:c r="A201" s="26"/>
      <x:c r="B201" s="24"/>
      <x:c r="C201" s="29"/>
      <x:c r="D201" s="24"/>
      <x:c r="E201" s="24"/>
      <x:c r="F201" s="20" t="str">
        <x:f>IF(G201&lt;&gt;"OK","",IF(OR(B201="Versamento",B201="Rimborso"),C201,-C201))</x:f>
      </x:c>
      <x:c r="G201" s="18" t="str">
        <x:f>IF(AND(A201="",B201="",C201="",D201="",E201=""),"",IF(OR(NOT(ISNUMBER(A201)),NOT(ISNUMBER(C201)),C201&lt;=0,D201="",AND(B201&lt;&gt;"Versamento",B201&lt;&gt;"Prelievo",B201&lt;&gt;"Costo",B201&lt;&gt;"Rimborso")),"Completa movimento","OK"))</x:f>
      </x:c>
    </x:row>
    <x:row r="202">
      <x:c r="A202" s="26"/>
      <x:c r="B202" s="24"/>
      <x:c r="C202" s="29"/>
      <x:c r="D202" s="24"/>
      <x:c r="E202" s="24"/>
      <x:c r="F202" s="20" t="str">
        <x:f>IF(G202&lt;&gt;"OK","",IF(OR(B202="Versamento",B202="Rimborso"),C202,-C202))</x:f>
      </x:c>
      <x:c r="G202" s="18" t="str">
        <x:f>IF(AND(A202="",B202="",C202="",D202="",E202=""),"",IF(OR(NOT(ISNUMBER(A202)),NOT(ISNUMBER(C202)),C202&lt;=0,D202="",AND(B202&lt;&gt;"Versamento",B202&lt;&gt;"Prelievo",B202&lt;&gt;"Costo",B202&lt;&gt;"Rimborso")),"Completa movimento","OK"))</x:f>
      </x:c>
    </x:row>
    <x:row r="203">
      <x:c r="A203" s="26"/>
      <x:c r="B203" s="24"/>
      <x:c r="C203" s="29"/>
      <x:c r="D203" s="24"/>
      <x:c r="E203" s="24"/>
      <x:c r="F203" s="20" t="str">
        <x:f>IF(G203&lt;&gt;"OK","",IF(OR(B203="Versamento",B203="Rimborso"),C203,-C203))</x:f>
      </x:c>
      <x:c r="G203" s="18" t="str">
        <x:f>IF(AND(A203="",B203="",C203="",D203="",E203=""),"",IF(OR(NOT(ISNUMBER(A203)),NOT(ISNUMBER(C203)),C203&lt;=0,D203="",AND(B203&lt;&gt;"Versamento",B203&lt;&gt;"Prelievo",B203&lt;&gt;"Costo",B203&lt;&gt;"Rimborso")),"Completa movimento","OK"))</x:f>
      </x:c>
    </x:row>
    <x:row r="204">
      <x:c r="A204" s="26"/>
      <x:c r="B204" s="24"/>
      <x:c r="C204" s="29"/>
      <x:c r="D204" s="24"/>
      <x:c r="E204" s="24"/>
      <x:c r="F204" s="20" t="str">
        <x:f>IF(G204&lt;&gt;"OK","",IF(OR(B204="Versamento",B204="Rimborso"),C204,-C204))</x:f>
      </x:c>
      <x:c r="G204" s="18" t="str">
        <x:f>IF(AND(A204="",B204="",C204="",D204="",E204=""),"",IF(OR(NOT(ISNUMBER(A204)),NOT(ISNUMBER(C204)),C204&lt;=0,D204="",AND(B204&lt;&gt;"Versamento",B204&lt;&gt;"Prelievo",B204&lt;&gt;"Costo",B204&lt;&gt;"Rimborso")),"Completa movimento","OK"))</x:f>
      </x:c>
    </x:row>
    <x:row r="205">
      <x:c r="A205" s="26"/>
      <x:c r="B205" s="24"/>
      <x:c r="C205" s="29"/>
      <x:c r="D205" s="24"/>
      <x:c r="E205" s="24"/>
      <x:c r="F205" s="20" t="str">
        <x:f>IF(G205&lt;&gt;"OK","",IF(OR(B205="Versamento",B205="Rimborso"),C205,-C205))</x:f>
      </x:c>
      <x:c r="G205" s="18" t="str">
        <x:f>IF(AND(A205="",B205="",C205="",D205="",E205=""),"",IF(OR(NOT(ISNUMBER(A205)),NOT(ISNUMBER(C205)),C205&lt;=0,D205="",AND(B205&lt;&gt;"Versamento",B205&lt;&gt;"Prelievo",B205&lt;&gt;"Costo",B205&lt;&gt;"Rimborso")),"Completa movimento","OK"))</x:f>
      </x:c>
    </x:row>
    <x:row r="206">
      <x:c r="A206" s="26"/>
      <x:c r="B206" s="24"/>
      <x:c r="C206" s="29"/>
      <x:c r="D206" s="24"/>
      <x:c r="E206" s="24"/>
      <x:c r="F206" s="20" t="str">
        <x:f>IF(G206&lt;&gt;"OK","",IF(OR(B206="Versamento",B206="Rimborso"),C206,-C206))</x:f>
      </x:c>
      <x:c r="G206" s="18" t="str">
        <x:f>IF(AND(A206="",B206="",C206="",D206="",E206=""),"",IF(OR(NOT(ISNUMBER(A206)),NOT(ISNUMBER(C206)),C206&lt;=0,D206="",AND(B206&lt;&gt;"Versamento",B206&lt;&gt;"Prelievo",B206&lt;&gt;"Costo",B206&lt;&gt;"Rimborso")),"Completa movimento","OK"))</x:f>
      </x:c>
    </x:row>
    <x:row r="207">
      <x:c r="A207" s="26"/>
      <x:c r="B207" s="24"/>
      <x:c r="C207" s="29"/>
      <x:c r="D207" s="24"/>
      <x:c r="E207" s="24"/>
      <x:c r="F207" s="20" t="str">
        <x:f>IF(G207&lt;&gt;"OK","",IF(OR(B207="Versamento",B207="Rimborso"),C207,-C207))</x:f>
      </x:c>
      <x:c r="G207" s="18" t="str">
        <x:f>IF(AND(A207="",B207="",C207="",D207="",E207=""),"",IF(OR(NOT(ISNUMBER(A207)),NOT(ISNUMBER(C207)),C207&lt;=0,D207="",AND(B207&lt;&gt;"Versamento",B207&lt;&gt;"Prelievo",B207&lt;&gt;"Costo",B207&lt;&gt;"Rimborso")),"Completa movimento","OK"))</x:f>
      </x:c>
    </x:row>
    <x:row r="208">
      <x:c r="A208" s="26"/>
      <x:c r="B208" s="24"/>
      <x:c r="C208" s="29"/>
      <x:c r="D208" s="24"/>
      <x:c r="E208" s="24"/>
      <x:c r="F208" s="20" t="str">
        <x:f>IF(G208&lt;&gt;"OK","",IF(OR(B208="Versamento",B208="Rimborso"),C208,-C208))</x:f>
      </x:c>
      <x:c r="G208" s="18" t="str">
        <x:f>IF(AND(A208="",B208="",C208="",D208="",E208=""),"",IF(OR(NOT(ISNUMBER(A208)),NOT(ISNUMBER(C208)),C208&lt;=0,D208="",AND(B208&lt;&gt;"Versamento",B208&lt;&gt;"Prelievo",B208&lt;&gt;"Costo",B208&lt;&gt;"Rimborso")),"Completa movimento","OK"))</x:f>
      </x:c>
    </x:row>
    <x:row r="209">
      <x:c r="A209" s="26"/>
      <x:c r="B209" s="24"/>
      <x:c r="C209" s="29"/>
      <x:c r="D209" s="24"/>
      <x:c r="E209" s="24"/>
      <x:c r="F209" s="20" t="str">
        <x:f>IF(G209&lt;&gt;"OK","",IF(OR(B209="Versamento",B209="Rimborso"),C209,-C209))</x:f>
      </x:c>
      <x:c r="G209" s="18" t="str">
        <x:f>IF(AND(A209="",B209="",C209="",D209="",E209=""),"",IF(OR(NOT(ISNUMBER(A209)),NOT(ISNUMBER(C209)),C209&lt;=0,D209="",AND(B209&lt;&gt;"Versamento",B209&lt;&gt;"Prelievo",B209&lt;&gt;"Costo",B209&lt;&gt;"Rimborso")),"Completa movimento","OK"))</x:f>
      </x:c>
    </x:row>
    <x:row r="210">
      <x:c r="A210" s="26"/>
      <x:c r="B210" s="24"/>
      <x:c r="C210" s="29"/>
      <x:c r="D210" s="24"/>
      <x:c r="E210" s="24"/>
      <x:c r="F210" s="20" t="str">
        <x:f>IF(G210&lt;&gt;"OK","",IF(OR(B210="Versamento",B210="Rimborso"),C210,-C210))</x:f>
      </x:c>
      <x:c r="G210" s="18" t="str">
        <x:f>IF(AND(A210="",B210="",C210="",D210="",E210=""),"",IF(OR(NOT(ISNUMBER(A210)),NOT(ISNUMBER(C210)),C210&lt;=0,D210="",AND(B210&lt;&gt;"Versamento",B210&lt;&gt;"Prelievo",B210&lt;&gt;"Costo",B210&lt;&gt;"Rimborso")),"Completa movimento","OK"))</x:f>
      </x:c>
    </x:row>
    <x:row r="211">
      <x:c r="A211" s="26"/>
      <x:c r="B211" s="24"/>
      <x:c r="C211" s="29"/>
      <x:c r="D211" s="24"/>
      <x:c r="E211" s="24"/>
      <x:c r="F211" s="20" t="str">
        <x:f>IF(G211&lt;&gt;"OK","",IF(OR(B211="Versamento",B211="Rimborso"),C211,-C211))</x:f>
      </x:c>
      <x:c r="G211" s="18" t="str">
        <x:f>IF(AND(A211="",B211="",C211="",D211="",E211=""),"",IF(OR(NOT(ISNUMBER(A211)),NOT(ISNUMBER(C211)),C211&lt;=0,D211="",AND(B211&lt;&gt;"Versamento",B211&lt;&gt;"Prelievo",B211&lt;&gt;"Costo",B211&lt;&gt;"Rimborso")),"Completa movimento","OK"))</x:f>
      </x:c>
    </x:row>
    <x:row r="212">
      <x:c r="A212" s="26"/>
      <x:c r="B212" s="24"/>
      <x:c r="C212" s="29"/>
      <x:c r="D212" s="24"/>
      <x:c r="E212" s="24"/>
      <x:c r="F212" s="20" t="str">
        <x:f>IF(G212&lt;&gt;"OK","",IF(OR(B212="Versamento",B212="Rimborso"),C212,-C212))</x:f>
      </x:c>
      <x:c r="G212" s="18" t="str">
        <x:f>IF(AND(A212="",B212="",C212="",D212="",E212=""),"",IF(OR(NOT(ISNUMBER(A212)),NOT(ISNUMBER(C212)),C212&lt;=0,D212="",AND(B212&lt;&gt;"Versamento",B212&lt;&gt;"Prelievo",B212&lt;&gt;"Costo",B212&lt;&gt;"Rimborso")),"Completa movimento","OK"))</x:f>
      </x:c>
    </x:row>
    <x:row r="213">
      <x:c r="A213" s="26"/>
      <x:c r="B213" s="24"/>
      <x:c r="C213" s="29"/>
      <x:c r="D213" s="24"/>
      <x:c r="E213" s="24"/>
      <x:c r="F213" s="20" t="str">
        <x:f>IF(G213&lt;&gt;"OK","",IF(OR(B213="Versamento",B213="Rimborso"),C213,-C213))</x:f>
      </x:c>
      <x:c r="G213" s="18" t="str">
        <x:f>IF(AND(A213="",B213="",C213="",D213="",E213=""),"",IF(OR(NOT(ISNUMBER(A213)),NOT(ISNUMBER(C213)),C213&lt;=0,D213="",AND(B213&lt;&gt;"Versamento",B213&lt;&gt;"Prelievo",B213&lt;&gt;"Costo",B213&lt;&gt;"Rimborso")),"Completa movimento","OK"))</x:f>
      </x:c>
    </x:row>
    <x:row r="214">
      <x:c r="A214" s="26"/>
      <x:c r="B214" s="24"/>
      <x:c r="C214" s="29"/>
      <x:c r="D214" s="24"/>
      <x:c r="E214" s="24"/>
      <x:c r="F214" s="20" t="str">
        <x:f>IF(G214&lt;&gt;"OK","",IF(OR(B214="Versamento",B214="Rimborso"),C214,-C214))</x:f>
      </x:c>
      <x:c r="G214" s="18" t="str">
        <x:f>IF(AND(A214="",B214="",C214="",D214="",E214=""),"",IF(OR(NOT(ISNUMBER(A214)),NOT(ISNUMBER(C214)),C214&lt;=0,D214="",AND(B214&lt;&gt;"Versamento",B214&lt;&gt;"Prelievo",B214&lt;&gt;"Costo",B214&lt;&gt;"Rimborso")),"Completa movimento","OK"))</x:f>
      </x:c>
    </x:row>
    <x:row r="215">
      <x:c r="A215" s="26"/>
      <x:c r="B215" s="24"/>
      <x:c r="C215" s="29"/>
      <x:c r="D215" s="24"/>
      <x:c r="E215" s="24"/>
      <x:c r="F215" s="20" t="str">
        <x:f>IF(G215&lt;&gt;"OK","",IF(OR(B215="Versamento",B215="Rimborso"),C215,-C215))</x:f>
      </x:c>
      <x:c r="G215" s="18" t="str">
        <x:f>IF(AND(A215="",B215="",C215="",D215="",E215=""),"",IF(OR(NOT(ISNUMBER(A215)),NOT(ISNUMBER(C215)),C215&lt;=0,D215="",AND(B215&lt;&gt;"Versamento",B215&lt;&gt;"Prelievo",B215&lt;&gt;"Costo",B215&lt;&gt;"Rimborso")),"Completa movimento","OK"))</x:f>
      </x:c>
    </x:row>
    <x:row r="216">
      <x:c r="A216" s="26"/>
      <x:c r="B216" s="24"/>
      <x:c r="C216" s="29"/>
      <x:c r="D216" s="24"/>
      <x:c r="E216" s="24"/>
      <x:c r="F216" s="20" t="str">
        <x:f>IF(G216&lt;&gt;"OK","",IF(OR(B216="Versamento",B216="Rimborso"),C216,-C216))</x:f>
      </x:c>
      <x:c r="G216" s="18" t="str">
        <x:f>IF(AND(A216="",B216="",C216="",D216="",E216=""),"",IF(OR(NOT(ISNUMBER(A216)),NOT(ISNUMBER(C216)),C216&lt;=0,D216="",AND(B216&lt;&gt;"Versamento",B216&lt;&gt;"Prelievo",B216&lt;&gt;"Costo",B216&lt;&gt;"Rimborso")),"Completa movimento","OK"))</x:f>
      </x:c>
    </x:row>
    <x:row r="217">
      <x:c r="A217" s="26"/>
      <x:c r="B217" s="24"/>
      <x:c r="C217" s="29"/>
      <x:c r="D217" s="24"/>
      <x:c r="E217" s="24"/>
      <x:c r="F217" s="20" t="str">
        <x:f>IF(G217&lt;&gt;"OK","",IF(OR(B217="Versamento",B217="Rimborso"),C217,-C217))</x:f>
      </x:c>
      <x:c r="G217" s="18" t="str">
        <x:f>IF(AND(A217="",B217="",C217="",D217="",E217=""),"",IF(OR(NOT(ISNUMBER(A217)),NOT(ISNUMBER(C217)),C217&lt;=0,D217="",AND(B217&lt;&gt;"Versamento",B217&lt;&gt;"Prelievo",B217&lt;&gt;"Costo",B217&lt;&gt;"Rimborso")),"Completa movimento","OK"))</x:f>
      </x:c>
    </x:row>
    <x:row r="218">
      <x:c r="A218" s="26"/>
      <x:c r="B218" s="24"/>
      <x:c r="C218" s="29"/>
      <x:c r="D218" s="24"/>
      <x:c r="E218" s="24"/>
      <x:c r="F218" s="20" t="str">
        <x:f>IF(G218&lt;&gt;"OK","",IF(OR(B218="Versamento",B218="Rimborso"),C218,-C218))</x:f>
      </x:c>
      <x:c r="G218" s="18" t="str">
        <x:f>IF(AND(A218="",B218="",C218="",D218="",E218=""),"",IF(OR(NOT(ISNUMBER(A218)),NOT(ISNUMBER(C218)),C218&lt;=0,D218="",AND(B218&lt;&gt;"Versamento",B218&lt;&gt;"Prelievo",B218&lt;&gt;"Costo",B218&lt;&gt;"Rimborso")),"Completa movimento","OK"))</x:f>
      </x:c>
    </x:row>
    <x:row r="219">
      <x:c r="A219" s="26"/>
      <x:c r="B219" s="24"/>
      <x:c r="C219" s="29"/>
      <x:c r="D219" s="24"/>
      <x:c r="E219" s="24"/>
      <x:c r="F219" s="20" t="str">
        <x:f>IF(G219&lt;&gt;"OK","",IF(OR(B219="Versamento",B219="Rimborso"),C219,-C219))</x:f>
      </x:c>
      <x:c r="G219" s="18" t="str">
        <x:f>IF(AND(A219="",B219="",C219="",D219="",E219=""),"",IF(OR(NOT(ISNUMBER(A219)),NOT(ISNUMBER(C219)),C219&lt;=0,D219="",AND(B219&lt;&gt;"Versamento",B219&lt;&gt;"Prelievo",B219&lt;&gt;"Costo",B219&lt;&gt;"Rimborso")),"Completa movimento","OK"))</x:f>
      </x:c>
    </x:row>
    <x:row r="220">
      <x:c r="A220" s="26"/>
      <x:c r="B220" s="24"/>
      <x:c r="C220" s="29"/>
      <x:c r="D220" s="24"/>
      <x:c r="E220" s="24"/>
      <x:c r="F220" s="20" t="str">
        <x:f>IF(G220&lt;&gt;"OK","",IF(OR(B220="Versamento",B220="Rimborso"),C220,-C220))</x:f>
      </x:c>
      <x:c r="G220" s="18" t="str">
        <x:f>IF(AND(A220="",B220="",C220="",D220="",E220=""),"",IF(OR(NOT(ISNUMBER(A220)),NOT(ISNUMBER(C220)),C220&lt;=0,D220="",AND(B220&lt;&gt;"Versamento",B220&lt;&gt;"Prelievo",B220&lt;&gt;"Costo",B220&lt;&gt;"Rimborso")),"Completa movimento","OK"))</x:f>
      </x:c>
    </x:row>
    <x:row r="221">
      <x:c r="A221" s="26"/>
      <x:c r="B221" s="24"/>
      <x:c r="C221" s="29"/>
      <x:c r="D221" s="24"/>
      <x:c r="E221" s="24"/>
      <x:c r="F221" s="20" t="str">
        <x:f>IF(G221&lt;&gt;"OK","",IF(OR(B221="Versamento",B221="Rimborso"),C221,-C221))</x:f>
      </x:c>
      <x:c r="G221" s="18" t="str">
        <x:f>IF(AND(A221="",B221="",C221="",D221="",E221=""),"",IF(OR(NOT(ISNUMBER(A221)),NOT(ISNUMBER(C221)),C221&lt;=0,D221="",AND(B221&lt;&gt;"Versamento",B221&lt;&gt;"Prelievo",B221&lt;&gt;"Costo",B221&lt;&gt;"Rimborso")),"Completa movimento","OK"))</x:f>
      </x:c>
    </x:row>
    <x:row r="222">
      <x:c r="A222" s="26"/>
      <x:c r="B222" s="24"/>
      <x:c r="C222" s="29"/>
      <x:c r="D222" s="24"/>
      <x:c r="E222" s="24"/>
      <x:c r="F222" s="20" t="str">
        <x:f>IF(G222&lt;&gt;"OK","",IF(OR(B222="Versamento",B222="Rimborso"),C222,-C222))</x:f>
      </x:c>
      <x:c r="G222" s="18" t="str">
        <x:f>IF(AND(A222="",B222="",C222="",D222="",E222=""),"",IF(OR(NOT(ISNUMBER(A222)),NOT(ISNUMBER(C222)),C222&lt;=0,D222="",AND(B222&lt;&gt;"Versamento",B222&lt;&gt;"Prelievo",B222&lt;&gt;"Costo",B222&lt;&gt;"Rimborso")),"Completa movimento","OK"))</x:f>
      </x:c>
    </x:row>
    <x:row r="223">
      <x:c r="A223" s="26"/>
      <x:c r="B223" s="24"/>
      <x:c r="C223" s="29"/>
      <x:c r="D223" s="24"/>
      <x:c r="E223" s="24"/>
      <x:c r="F223" s="20" t="str">
        <x:f>IF(G223&lt;&gt;"OK","",IF(OR(B223="Versamento",B223="Rimborso"),C223,-C223))</x:f>
      </x:c>
      <x:c r="G223" s="18" t="str">
        <x:f>IF(AND(A223="",B223="",C223="",D223="",E223=""),"",IF(OR(NOT(ISNUMBER(A223)),NOT(ISNUMBER(C223)),C223&lt;=0,D223="",AND(B223&lt;&gt;"Versamento",B223&lt;&gt;"Prelievo",B223&lt;&gt;"Costo",B223&lt;&gt;"Rimborso")),"Completa movimento","OK"))</x:f>
      </x:c>
    </x:row>
    <x:row r="224">
      <x:c r="A224" s="26"/>
      <x:c r="B224" s="24"/>
      <x:c r="C224" s="29"/>
      <x:c r="D224" s="24"/>
      <x:c r="E224" s="24"/>
      <x:c r="F224" s="20" t="str">
        <x:f>IF(G224&lt;&gt;"OK","",IF(OR(B224="Versamento",B224="Rimborso"),C224,-C224))</x:f>
      </x:c>
      <x:c r="G224" s="18" t="str">
        <x:f>IF(AND(A224="",B224="",C224="",D224="",E224=""),"",IF(OR(NOT(ISNUMBER(A224)),NOT(ISNUMBER(C224)),C224&lt;=0,D224="",AND(B224&lt;&gt;"Versamento",B224&lt;&gt;"Prelievo",B224&lt;&gt;"Costo",B224&lt;&gt;"Rimborso")),"Completa movimento","OK"))</x:f>
      </x:c>
    </x:row>
    <x:row r="225">
      <x:c r="A225" s="26"/>
      <x:c r="B225" s="24"/>
      <x:c r="C225" s="29"/>
      <x:c r="D225" s="24"/>
      <x:c r="E225" s="24"/>
      <x:c r="F225" s="20" t="str">
        <x:f>IF(G225&lt;&gt;"OK","",IF(OR(B225="Versamento",B225="Rimborso"),C225,-C225))</x:f>
      </x:c>
      <x:c r="G225" s="18" t="str">
        <x:f>IF(AND(A225="",B225="",C225="",D225="",E225=""),"",IF(OR(NOT(ISNUMBER(A225)),NOT(ISNUMBER(C225)),C225&lt;=0,D225="",AND(B225&lt;&gt;"Versamento",B225&lt;&gt;"Prelievo",B225&lt;&gt;"Costo",B225&lt;&gt;"Rimborso")),"Completa movimento","OK"))</x:f>
      </x:c>
    </x:row>
    <x:row r="226">
      <x:c r="A226" s="26"/>
      <x:c r="B226" s="24"/>
      <x:c r="C226" s="29"/>
      <x:c r="D226" s="24"/>
      <x:c r="E226" s="24"/>
      <x:c r="F226" s="20" t="str">
        <x:f>IF(G226&lt;&gt;"OK","",IF(OR(B226="Versamento",B226="Rimborso"),C226,-C226))</x:f>
      </x:c>
      <x:c r="G226" s="18" t="str">
        <x:f>IF(AND(A226="",B226="",C226="",D226="",E226=""),"",IF(OR(NOT(ISNUMBER(A226)),NOT(ISNUMBER(C226)),C226&lt;=0,D226="",AND(B226&lt;&gt;"Versamento",B226&lt;&gt;"Prelievo",B226&lt;&gt;"Costo",B226&lt;&gt;"Rimborso")),"Completa movimento","OK"))</x:f>
      </x:c>
    </x:row>
    <x:row r="227">
      <x:c r="A227" s="26"/>
      <x:c r="B227" s="24"/>
      <x:c r="C227" s="29"/>
      <x:c r="D227" s="24"/>
      <x:c r="E227" s="24"/>
      <x:c r="F227" s="20" t="str">
        <x:f>IF(G227&lt;&gt;"OK","",IF(OR(B227="Versamento",B227="Rimborso"),C227,-C227))</x:f>
      </x:c>
      <x:c r="G227" s="18" t="str">
        <x:f>IF(AND(A227="",B227="",C227="",D227="",E227=""),"",IF(OR(NOT(ISNUMBER(A227)),NOT(ISNUMBER(C227)),C227&lt;=0,D227="",AND(B227&lt;&gt;"Versamento",B227&lt;&gt;"Prelievo",B227&lt;&gt;"Costo",B227&lt;&gt;"Rimborso")),"Completa movimento","OK"))</x:f>
      </x:c>
    </x:row>
    <x:row r="228">
      <x:c r="A228" s="26"/>
      <x:c r="B228" s="24"/>
      <x:c r="C228" s="29"/>
      <x:c r="D228" s="24"/>
      <x:c r="E228" s="24"/>
      <x:c r="F228" s="20" t="str">
        <x:f>IF(G228&lt;&gt;"OK","",IF(OR(B228="Versamento",B228="Rimborso"),C228,-C228))</x:f>
      </x:c>
      <x:c r="G228" s="18" t="str">
        <x:f>IF(AND(A228="",B228="",C228="",D228="",E228=""),"",IF(OR(NOT(ISNUMBER(A228)),NOT(ISNUMBER(C228)),C228&lt;=0,D228="",AND(B228&lt;&gt;"Versamento",B228&lt;&gt;"Prelievo",B228&lt;&gt;"Costo",B228&lt;&gt;"Rimborso")),"Completa movimento","OK"))</x:f>
      </x:c>
    </x:row>
    <x:row r="229">
      <x:c r="A229" s="26"/>
      <x:c r="B229" s="24"/>
      <x:c r="C229" s="29"/>
      <x:c r="D229" s="24"/>
      <x:c r="E229" s="24"/>
      <x:c r="F229" s="20" t="str">
        <x:f>IF(G229&lt;&gt;"OK","",IF(OR(B229="Versamento",B229="Rimborso"),C229,-C229))</x:f>
      </x:c>
      <x:c r="G229" s="18" t="str">
        <x:f>IF(AND(A229="",B229="",C229="",D229="",E229=""),"",IF(OR(NOT(ISNUMBER(A229)),NOT(ISNUMBER(C229)),C229&lt;=0,D229="",AND(B229&lt;&gt;"Versamento",B229&lt;&gt;"Prelievo",B229&lt;&gt;"Costo",B229&lt;&gt;"Rimborso")),"Completa movimento","OK"))</x:f>
      </x:c>
    </x:row>
    <x:row r="230">
      <x:c r="A230" s="26"/>
      <x:c r="B230" s="24"/>
      <x:c r="C230" s="29"/>
      <x:c r="D230" s="24"/>
      <x:c r="E230" s="24"/>
      <x:c r="F230" s="20" t="str">
        <x:f>IF(G230&lt;&gt;"OK","",IF(OR(B230="Versamento",B230="Rimborso"),C230,-C230))</x:f>
      </x:c>
      <x:c r="G230" s="18" t="str">
        <x:f>IF(AND(A230="",B230="",C230="",D230="",E230=""),"",IF(OR(NOT(ISNUMBER(A230)),NOT(ISNUMBER(C230)),C230&lt;=0,D230="",AND(B230&lt;&gt;"Versamento",B230&lt;&gt;"Prelievo",B230&lt;&gt;"Costo",B230&lt;&gt;"Rimborso")),"Completa movimento","OK"))</x:f>
      </x:c>
    </x:row>
    <x:row r="231">
      <x:c r="A231" s="26"/>
      <x:c r="B231" s="24"/>
      <x:c r="C231" s="29"/>
      <x:c r="D231" s="24"/>
      <x:c r="E231" s="24"/>
      <x:c r="F231" s="20" t="str">
        <x:f>IF(G231&lt;&gt;"OK","",IF(OR(B231="Versamento",B231="Rimborso"),C231,-C231))</x:f>
      </x:c>
      <x:c r="G231" s="18" t="str">
        <x:f>IF(AND(A231="",B231="",C231="",D231="",E231=""),"",IF(OR(NOT(ISNUMBER(A231)),NOT(ISNUMBER(C231)),C231&lt;=0,D231="",AND(B231&lt;&gt;"Versamento",B231&lt;&gt;"Prelievo",B231&lt;&gt;"Costo",B231&lt;&gt;"Rimborso")),"Completa movimento","OK"))</x:f>
      </x:c>
    </x:row>
    <x:row r="232">
      <x:c r="A232" s="26"/>
      <x:c r="B232" s="24"/>
      <x:c r="C232" s="29"/>
      <x:c r="D232" s="24"/>
      <x:c r="E232" s="24"/>
      <x:c r="F232" s="20" t="str">
        <x:f>IF(G232&lt;&gt;"OK","",IF(OR(B232="Versamento",B232="Rimborso"),C232,-C232))</x:f>
      </x:c>
      <x:c r="G232" s="18" t="str">
        <x:f>IF(AND(A232="",B232="",C232="",D232="",E232=""),"",IF(OR(NOT(ISNUMBER(A232)),NOT(ISNUMBER(C232)),C232&lt;=0,D232="",AND(B232&lt;&gt;"Versamento",B232&lt;&gt;"Prelievo",B232&lt;&gt;"Costo",B232&lt;&gt;"Rimborso")),"Completa movimento","OK"))</x:f>
      </x:c>
    </x:row>
    <x:row r="233">
      <x:c r="A233" s="26"/>
      <x:c r="B233" s="24"/>
      <x:c r="C233" s="29"/>
      <x:c r="D233" s="24"/>
      <x:c r="E233" s="24"/>
      <x:c r="F233" s="20" t="str">
        <x:f>IF(G233&lt;&gt;"OK","",IF(OR(B233="Versamento",B233="Rimborso"),C233,-C233))</x:f>
      </x:c>
      <x:c r="G233" s="18" t="str">
        <x:f>IF(AND(A233="",B233="",C233="",D233="",E233=""),"",IF(OR(NOT(ISNUMBER(A233)),NOT(ISNUMBER(C233)),C233&lt;=0,D233="",AND(B233&lt;&gt;"Versamento",B233&lt;&gt;"Prelievo",B233&lt;&gt;"Costo",B233&lt;&gt;"Rimborso")),"Completa movimento","OK"))</x:f>
      </x:c>
    </x:row>
    <x:row r="234">
      <x:c r="A234" s="26"/>
      <x:c r="B234" s="24"/>
      <x:c r="C234" s="29"/>
      <x:c r="D234" s="24"/>
      <x:c r="E234" s="24"/>
      <x:c r="F234" s="20" t="str">
        <x:f>IF(G234&lt;&gt;"OK","",IF(OR(B234="Versamento",B234="Rimborso"),C234,-C234))</x:f>
      </x:c>
      <x:c r="G234" s="18" t="str">
        <x:f>IF(AND(A234="",B234="",C234="",D234="",E234=""),"",IF(OR(NOT(ISNUMBER(A234)),NOT(ISNUMBER(C234)),C234&lt;=0,D234="",AND(B234&lt;&gt;"Versamento",B234&lt;&gt;"Prelievo",B234&lt;&gt;"Costo",B234&lt;&gt;"Rimborso")),"Completa movimento","OK"))</x:f>
      </x:c>
    </x:row>
    <x:row r="235">
      <x:c r="A235" s="26"/>
      <x:c r="B235" s="24"/>
      <x:c r="C235" s="29"/>
      <x:c r="D235" s="24"/>
      <x:c r="E235" s="24"/>
      <x:c r="F235" s="20" t="str">
        <x:f>IF(G235&lt;&gt;"OK","",IF(OR(B235="Versamento",B235="Rimborso"),C235,-C235))</x:f>
      </x:c>
      <x:c r="G235" s="18" t="str">
        <x:f>IF(AND(A235="",B235="",C235="",D235="",E235=""),"",IF(OR(NOT(ISNUMBER(A235)),NOT(ISNUMBER(C235)),C235&lt;=0,D235="",AND(B235&lt;&gt;"Versamento",B235&lt;&gt;"Prelievo",B235&lt;&gt;"Costo",B235&lt;&gt;"Rimborso")),"Completa movimento","OK"))</x:f>
      </x:c>
    </x:row>
    <x:row r="236">
      <x:c r="A236" s="26"/>
      <x:c r="B236" s="24"/>
      <x:c r="C236" s="29"/>
      <x:c r="D236" s="24"/>
      <x:c r="E236" s="24"/>
      <x:c r="F236" s="20" t="str">
        <x:f>IF(G236&lt;&gt;"OK","",IF(OR(B236="Versamento",B236="Rimborso"),C236,-C236))</x:f>
      </x:c>
      <x:c r="G236" s="18" t="str">
        <x:f>IF(AND(A236="",B236="",C236="",D236="",E236=""),"",IF(OR(NOT(ISNUMBER(A236)),NOT(ISNUMBER(C236)),C236&lt;=0,D236="",AND(B236&lt;&gt;"Versamento",B236&lt;&gt;"Prelievo",B236&lt;&gt;"Costo",B236&lt;&gt;"Rimborso")),"Completa movimento","OK"))</x:f>
      </x:c>
    </x:row>
    <x:row r="237">
      <x:c r="A237" s="26"/>
      <x:c r="B237" s="24"/>
      <x:c r="C237" s="29"/>
      <x:c r="D237" s="24"/>
      <x:c r="E237" s="24"/>
      <x:c r="F237" s="20" t="str">
        <x:f>IF(G237&lt;&gt;"OK","",IF(OR(B237="Versamento",B237="Rimborso"),C237,-C237))</x:f>
      </x:c>
      <x:c r="G237" s="18" t="str">
        <x:f>IF(AND(A237="",B237="",C237="",D237="",E237=""),"",IF(OR(NOT(ISNUMBER(A237)),NOT(ISNUMBER(C237)),C237&lt;=0,D237="",AND(B237&lt;&gt;"Versamento",B237&lt;&gt;"Prelievo",B237&lt;&gt;"Costo",B237&lt;&gt;"Rimborso")),"Completa movimento","OK"))</x:f>
      </x:c>
    </x:row>
    <x:row r="238">
      <x:c r="A238" s="26"/>
      <x:c r="B238" s="24"/>
      <x:c r="C238" s="29"/>
      <x:c r="D238" s="24"/>
      <x:c r="E238" s="24"/>
      <x:c r="F238" s="20" t="str">
        <x:f>IF(G238&lt;&gt;"OK","",IF(OR(B238="Versamento",B238="Rimborso"),C238,-C238))</x:f>
      </x:c>
      <x:c r="G238" s="18" t="str">
        <x:f>IF(AND(A238="",B238="",C238="",D238="",E238=""),"",IF(OR(NOT(ISNUMBER(A238)),NOT(ISNUMBER(C238)),C238&lt;=0,D238="",AND(B238&lt;&gt;"Versamento",B238&lt;&gt;"Prelievo",B238&lt;&gt;"Costo",B238&lt;&gt;"Rimborso")),"Completa movimento","OK"))</x:f>
      </x:c>
    </x:row>
    <x:row r="239">
      <x:c r="A239" s="26"/>
      <x:c r="B239" s="24"/>
      <x:c r="C239" s="29"/>
      <x:c r="D239" s="24"/>
      <x:c r="E239" s="24"/>
      <x:c r="F239" s="20" t="str">
        <x:f>IF(G239&lt;&gt;"OK","",IF(OR(B239="Versamento",B239="Rimborso"),C239,-C239))</x:f>
      </x:c>
      <x:c r="G239" s="18" t="str">
        <x:f>IF(AND(A239="",B239="",C239="",D239="",E239=""),"",IF(OR(NOT(ISNUMBER(A239)),NOT(ISNUMBER(C239)),C239&lt;=0,D239="",AND(B239&lt;&gt;"Versamento",B239&lt;&gt;"Prelievo",B239&lt;&gt;"Costo",B239&lt;&gt;"Rimborso")),"Completa movimento","OK"))</x:f>
      </x:c>
    </x:row>
    <x:row r="240">
      <x:c r="A240" s="26"/>
      <x:c r="B240" s="24"/>
      <x:c r="C240" s="29"/>
      <x:c r="D240" s="24"/>
      <x:c r="E240" s="24"/>
      <x:c r="F240" s="20" t="str">
        <x:f>IF(G240&lt;&gt;"OK","",IF(OR(B240="Versamento",B240="Rimborso"),C240,-C240))</x:f>
      </x:c>
      <x:c r="G240" s="18" t="str">
        <x:f>IF(AND(A240="",B240="",C240="",D240="",E240=""),"",IF(OR(NOT(ISNUMBER(A240)),NOT(ISNUMBER(C240)),C240&lt;=0,D240="",AND(B240&lt;&gt;"Versamento",B240&lt;&gt;"Prelievo",B240&lt;&gt;"Costo",B240&lt;&gt;"Rimborso")),"Completa movimento","OK"))</x:f>
      </x:c>
    </x:row>
    <x:row r="241">
      <x:c r="A241" s="26"/>
      <x:c r="B241" s="24"/>
      <x:c r="C241" s="29"/>
      <x:c r="D241" s="24"/>
      <x:c r="E241" s="24"/>
      <x:c r="F241" s="20" t="str">
        <x:f>IF(G241&lt;&gt;"OK","",IF(OR(B241="Versamento",B241="Rimborso"),C241,-C241))</x:f>
      </x:c>
      <x:c r="G241" s="18" t="str">
        <x:f>IF(AND(A241="",B241="",C241="",D241="",E241=""),"",IF(OR(NOT(ISNUMBER(A241)),NOT(ISNUMBER(C241)),C241&lt;=0,D241="",AND(B241&lt;&gt;"Versamento",B241&lt;&gt;"Prelievo",B241&lt;&gt;"Costo",B241&lt;&gt;"Rimborso")),"Completa movimento","OK"))</x:f>
      </x:c>
    </x:row>
    <x:row r="242">
      <x:c r="A242" s="26"/>
      <x:c r="B242" s="24"/>
      <x:c r="C242" s="29"/>
      <x:c r="D242" s="24"/>
      <x:c r="E242" s="24"/>
      <x:c r="F242" s="20" t="str">
        <x:f>IF(G242&lt;&gt;"OK","",IF(OR(B242="Versamento",B242="Rimborso"),C242,-C242))</x:f>
      </x:c>
      <x:c r="G242" s="18" t="str">
        <x:f>IF(AND(A242="",B242="",C242="",D242="",E242=""),"",IF(OR(NOT(ISNUMBER(A242)),NOT(ISNUMBER(C242)),C242&lt;=0,D242="",AND(B242&lt;&gt;"Versamento",B242&lt;&gt;"Prelievo",B242&lt;&gt;"Costo",B242&lt;&gt;"Rimborso")),"Completa movimento","OK"))</x:f>
      </x:c>
    </x:row>
    <x:row r="243">
      <x:c r="A243" s="26"/>
      <x:c r="B243" s="24"/>
      <x:c r="C243" s="29"/>
      <x:c r="D243" s="24"/>
      <x:c r="E243" s="24"/>
      <x:c r="F243" s="20" t="str">
        <x:f>IF(G243&lt;&gt;"OK","",IF(OR(B243="Versamento",B243="Rimborso"),C243,-C243))</x:f>
      </x:c>
      <x:c r="G243" s="18" t="str">
        <x:f>IF(AND(A243="",B243="",C243="",D243="",E243=""),"",IF(OR(NOT(ISNUMBER(A243)),NOT(ISNUMBER(C243)),C243&lt;=0,D243="",AND(B243&lt;&gt;"Versamento",B243&lt;&gt;"Prelievo",B243&lt;&gt;"Costo",B243&lt;&gt;"Rimborso")),"Completa movimento","OK"))</x:f>
      </x:c>
    </x:row>
    <x:row r="244">
      <x:c r="A244" s="26"/>
      <x:c r="B244" s="24"/>
      <x:c r="C244" s="29"/>
      <x:c r="D244" s="24"/>
      <x:c r="E244" s="24"/>
      <x:c r="F244" s="20" t="str">
        <x:f>IF(G244&lt;&gt;"OK","",IF(OR(B244="Versamento",B244="Rimborso"),C244,-C244))</x:f>
      </x:c>
      <x:c r="G244" s="18" t="str">
        <x:f>IF(AND(A244="",B244="",C244="",D244="",E244=""),"",IF(OR(NOT(ISNUMBER(A244)),NOT(ISNUMBER(C244)),C244&lt;=0,D244="",AND(B244&lt;&gt;"Versamento",B244&lt;&gt;"Prelievo",B244&lt;&gt;"Costo",B244&lt;&gt;"Rimborso")),"Completa movimento","OK"))</x:f>
      </x:c>
    </x:row>
    <x:row r="245">
      <x:c r="A245" s="26"/>
      <x:c r="B245" s="24"/>
      <x:c r="C245" s="29"/>
      <x:c r="D245" s="24"/>
      <x:c r="E245" s="24"/>
      <x:c r="F245" s="20" t="str">
        <x:f>IF(G245&lt;&gt;"OK","",IF(OR(B245="Versamento",B245="Rimborso"),C245,-C245))</x:f>
      </x:c>
      <x:c r="G245" s="18" t="str">
        <x:f>IF(AND(A245="",B245="",C245="",D245="",E245=""),"",IF(OR(NOT(ISNUMBER(A245)),NOT(ISNUMBER(C245)),C245&lt;=0,D245="",AND(B245&lt;&gt;"Versamento",B245&lt;&gt;"Prelievo",B245&lt;&gt;"Costo",B245&lt;&gt;"Rimborso")),"Completa movimento","OK"))</x:f>
      </x:c>
    </x:row>
    <x:row r="246">
      <x:c r="A246" s="26"/>
      <x:c r="B246" s="24"/>
      <x:c r="C246" s="29"/>
      <x:c r="D246" s="24"/>
      <x:c r="E246" s="24"/>
      <x:c r="F246" s="20" t="str">
        <x:f>IF(G246&lt;&gt;"OK","",IF(OR(B246="Versamento",B246="Rimborso"),C246,-C246))</x:f>
      </x:c>
      <x:c r="G246" s="18" t="str">
        <x:f>IF(AND(A246="",B246="",C246="",D246="",E246=""),"",IF(OR(NOT(ISNUMBER(A246)),NOT(ISNUMBER(C246)),C246&lt;=0,D246="",AND(B246&lt;&gt;"Versamento",B246&lt;&gt;"Prelievo",B246&lt;&gt;"Costo",B246&lt;&gt;"Rimborso")),"Completa movimento","OK"))</x:f>
      </x:c>
    </x:row>
    <x:row r="247">
      <x:c r="A247" s="26"/>
      <x:c r="B247" s="24"/>
      <x:c r="C247" s="29"/>
      <x:c r="D247" s="24"/>
      <x:c r="E247" s="24"/>
      <x:c r="F247" s="20" t="str">
        <x:f>IF(G247&lt;&gt;"OK","",IF(OR(B247="Versamento",B247="Rimborso"),C247,-C247))</x:f>
      </x:c>
      <x:c r="G247" s="18" t="str">
        <x:f>IF(AND(A247="",B247="",C247="",D247="",E247=""),"",IF(OR(NOT(ISNUMBER(A247)),NOT(ISNUMBER(C247)),C247&lt;=0,D247="",AND(B247&lt;&gt;"Versamento",B247&lt;&gt;"Prelievo",B247&lt;&gt;"Costo",B247&lt;&gt;"Rimborso")),"Completa movimento","OK"))</x:f>
      </x:c>
    </x:row>
    <x:row r="248">
      <x:c r="A248" s="26"/>
      <x:c r="B248" s="24"/>
      <x:c r="C248" s="29"/>
      <x:c r="D248" s="24"/>
      <x:c r="E248" s="24"/>
      <x:c r="F248" s="20" t="str">
        <x:f>IF(G248&lt;&gt;"OK","",IF(OR(B248="Versamento",B248="Rimborso"),C248,-C248))</x:f>
      </x:c>
      <x:c r="G248" s="18" t="str">
        <x:f>IF(AND(A248="",B248="",C248="",D248="",E248=""),"",IF(OR(NOT(ISNUMBER(A248)),NOT(ISNUMBER(C248)),C248&lt;=0,D248="",AND(B248&lt;&gt;"Versamento",B248&lt;&gt;"Prelievo",B248&lt;&gt;"Costo",B248&lt;&gt;"Rimborso")),"Completa movimento","OK"))</x:f>
      </x:c>
    </x:row>
    <x:row r="249">
      <x:c r="A249" s="26"/>
      <x:c r="B249" s="24"/>
      <x:c r="C249" s="29"/>
      <x:c r="D249" s="24"/>
      <x:c r="E249" s="24"/>
      <x:c r="F249" s="20" t="str">
        <x:f>IF(G249&lt;&gt;"OK","",IF(OR(B249="Versamento",B249="Rimborso"),C249,-C249))</x:f>
      </x:c>
      <x:c r="G249" s="18" t="str">
        <x:f>IF(AND(A249="",B249="",C249="",D249="",E249=""),"",IF(OR(NOT(ISNUMBER(A249)),NOT(ISNUMBER(C249)),C249&lt;=0,D249="",AND(B249&lt;&gt;"Versamento",B249&lt;&gt;"Prelievo",B249&lt;&gt;"Costo",B249&lt;&gt;"Rimborso")),"Completa movimento","OK"))</x:f>
      </x:c>
    </x:row>
    <x:row r="250">
      <x:c r="A250" s="26"/>
      <x:c r="B250" s="24"/>
      <x:c r="C250" s="29"/>
      <x:c r="D250" s="24"/>
      <x:c r="E250" s="24"/>
      <x:c r="F250" s="20" t="str">
        <x:f>IF(G250&lt;&gt;"OK","",IF(OR(B250="Versamento",B250="Rimborso"),C250,-C250))</x:f>
      </x:c>
      <x:c r="G250" s="18" t="str">
        <x:f>IF(AND(A250="",B250="",C250="",D250="",E250=""),"",IF(OR(NOT(ISNUMBER(A250)),NOT(ISNUMBER(C250)),C250&lt;=0,D250="",AND(B250&lt;&gt;"Versamento",B250&lt;&gt;"Prelievo",B250&lt;&gt;"Costo",B250&lt;&gt;"Rimborso")),"Completa movimento","OK"))</x:f>
      </x:c>
    </x:row>
    <x:row r="251">
      <x:c r="A251" s="26"/>
      <x:c r="B251" s="24"/>
      <x:c r="C251" s="29"/>
      <x:c r="D251" s="24"/>
      <x:c r="E251" s="24"/>
      <x:c r="F251" s="20" t="str">
        <x:f>IF(G251&lt;&gt;"OK","",IF(OR(B251="Versamento",B251="Rimborso"),C251,-C251))</x:f>
      </x:c>
      <x:c r="G251" s="18" t="str">
        <x:f>IF(AND(A251="",B251="",C251="",D251="",E251=""),"",IF(OR(NOT(ISNUMBER(A251)),NOT(ISNUMBER(C251)),C251&lt;=0,D251="",AND(B251&lt;&gt;"Versamento",B251&lt;&gt;"Prelievo",B251&lt;&gt;"Costo",B251&lt;&gt;"Rimborso")),"Completa movimento","OK"))</x:f>
      </x:c>
    </x:row>
    <x:row r="252">
      <x:c r="A252" s="26"/>
      <x:c r="B252" s="24"/>
      <x:c r="C252" s="29"/>
      <x:c r="D252" s="24"/>
      <x:c r="E252" s="24"/>
      <x:c r="F252" s="20" t="str">
        <x:f>IF(G252&lt;&gt;"OK","",IF(OR(B252="Versamento",B252="Rimborso"),C252,-C252))</x:f>
      </x:c>
      <x:c r="G252" s="18" t="str">
        <x:f>IF(AND(A252="",B252="",C252="",D252="",E252=""),"",IF(OR(NOT(ISNUMBER(A252)),NOT(ISNUMBER(C252)),C252&lt;=0,D252="",AND(B252&lt;&gt;"Versamento",B252&lt;&gt;"Prelievo",B252&lt;&gt;"Costo",B252&lt;&gt;"Rimborso")),"Completa movimento","OK"))</x:f>
      </x:c>
    </x:row>
    <x:row r="253">
      <x:c r="A253" s="26"/>
      <x:c r="B253" s="24"/>
      <x:c r="C253" s="29"/>
      <x:c r="D253" s="24"/>
      <x:c r="E253" s="24"/>
      <x:c r="F253" s="20" t="str">
        <x:f>IF(G253&lt;&gt;"OK","",IF(OR(B253="Versamento",B253="Rimborso"),C253,-C253))</x:f>
      </x:c>
      <x:c r="G253" s="18" t="str">
        <x:f>IF(AND(A253="",B253="",C253="",D253="",E253=""),"",IF(OR(NOT(ISNUMBER(A253)),NOT(ISNUMBER(C253)),C253&lt;=0,D253="",AND(B253&lt;&gt;"Versamento",B253&lt;&gt;"Prelievo",B253&lt;&gt;"Costo",B253&lt;&gt;"Rimborso")),"Completa movimento","OK"))</x:f>
      </x:c>
    </x:row>
    <x:row r="254">
      <x:c r="A254" s="26"/>
      <x:c r="B254" s="24"/>
      <x:c r="C254" s="29"/>
      <x:c r="D254" s="24"/>
      <x:c r="E254" s="24"/>
      <x:c r="F254" s="20" t="str">
        <x:f>IF(G254&lt;&gt;"OK","",IF(OR(B254="Versamento",B254="Rimborso"),C254,-C254))</x:f>
      </x:c>
      <x:c r="G254" s="18" t="str">
        <x:f>IF(AND(A254="",B254="",C254="",D254="",E254=""),"",IF(OR(NOT(ISNUMBER(A254)),NOT(ISNUMBER(C254)),C254&lt;=0,D254="",AND(B254&lt;&gt;"Versamento",B254&lt;&gt;"Prelievo",B254&lt;&gt;"Costo",B254&lt;&gt;"Rimborso")),"Completa movimento","OK"))</x:f>
      </x:c>
    </x:row>
    <x:row r="255">
      <x:c r="A255" s="26"/>
      <x:c r="B255" s="24"/>
      <x:c r="C255" s="29"/>
      <x:c r="D255" s="24"/>
      <x:c r="E255" s="24"/>
      <x:c r="F255" s="20" t="str">
        <x:f>IF(G255&lt;&gt;"OK","",IF(OR(B255="Versamento",B255="Rimborso"),C255,-C255))</x:f>
      </x:c>
      <x:c r="G255" s="18" t="str">
        <x:f>IF(AND(A255="",B255="",C255="",D255="",E255=""),"",IF(OR(NOT(ISNUMBER(A255)),NOT(ISNUMBER(C255)),C255&lt;=0,D255="",AND(B255&lt;&gt;"Versamento",B255&lt;&gt;"Prelievo",B255&lt;&gt;"Costo",B255&lt;&gt;"Rimborso")),"Completa movimento","OK"))</x:f>
      </x:c>
    </x:row>
    <x:row r="256">
      <x:c r="A256" s="26"/>
      <x:c r="B256" s="24"/>
      <x:c r="C256" s="29"/>
      <x:c r="D256" s="24"/>
      <x:c r="E256" s="24"/>
      <x:c r="F256" s="20" t="str">
        <x:f>IF(G256&lt;&gt;"OK","",IF(OR(B256="Versamento",B256="Rimborso"),C256,-C256))</x:f>
      </x:c>
      <x:c r="G256" s="18" t="str">
        <x:f>IF(AND(A256="",B256="",C256="",D256="",E256=""),"",IF(OR(NOT(ISNUMBER(A256)),NOT(ISNUMBER(C256)),C256&lt;=0,D256="",AND(B256&lt;&gt;"Versamento",B256&lt;&gt;"Prelievo",B256&lt;&gt;"Costo",B256&lt;&gt;"Rimborso")),"Completa movimento","OK"))</x:f>
      </x:c>
    </x:row>
    <x:row r="257">
      <x:c r="A257" s="26"/>
      <x:c r="B257" s="24"/>
      <x:c r="C257" s="29"/>
      <x:c r="D257" s="24"/>
      <x:c r="E257" s="24"/>
      <x:c r="F257" s="20" t="str">
        <x:f>IF(G257&lt;&gt;"OK","",IF(OR(B257="Versamento",B257="Rimborso"),C257,-C257))</x:f>
      </x:c>
      <x:c r="G257" s="18" t="str">
        <x:f>IF(AND(A257="",B257="",C257="",D257="",E257=""),"",IF(OR(NOT(ISNUMBER(A257)),NOT(ISNUMBER(C257)),C257&lt;=0,D257="",AND(B257&lt;&gt;"Versamento",B257&lt;&gt;"Prelievo",B257&lt;&gt;"Costo",B257&lt;&gt;"Rimborso")),"Completa movimento","OK"))</x:f>
      </x:c>
    </x:row>
    <x:row r="258">
      <x:c r="A258" s="26"/>
      <x:c r="B258" s="24"/>
      <x:c r="C258" s="29"/>
      <x:c r="D258" s="24"/>
      <x:c r="E258" s="24"/>
      <x:c r="F258" s="20" t="str">
        <x:f>IF(G258&lt;&gt;"OK","",IF(OR(B258="Versamento",B258="Rimborso"),C258,-C258))</x:f>
      </x:c>
      <x:c r="G258" s="18" t="str">
        <x:f>IF(AND(A258="",B258="",C258="",D258="",E258=""),"",IF(OR(NOT(ISNUMBER(A258)),NOT(ISNUMBER(C258)),C258&lt;=0,D258="",AND(B258&lt;&gt;"Versamento",B258&lt;&gt;"Prelievo",B258&lt;&gt;"Costo",B258&lt;&gt;"Rimborso")),"Completa movimento","OK"))</x:f>
      </x:c>
    </x:row>
    <x:row r="259">
      <x:c r="A259" s="26"/>
      <x:c r="B259" s="24"/>
      <x:c r="C259" s="29"/>
      <x:c r="D259" s="24"/>
      <x:c r="E259" s="24"/>
      <x:c r="F259" s="20" t="str">
        <x:f>IF(G259&lt;&gt;"OK","",IF(OR(B259="Versamento",B259="Rimborso"),C259,-C259))</x:f>
      </x:c>
      <x:c r="G259" s="18" t="str">
        <x:f>IF(AND(A259="",B259="",C259="",D259="",E259=""),"",IF(OR(NOT(ISNUMBER(A259)),NOT(ISNUMBER(C259)),C259&lt;=0,D259="",AND(B259&lt;&gt;"Versamento",B259&lt;&gt;"Prelievo",B259&lt;&gt;"Costo",B259&lt;&gt;"Rimborso")),"Completa movimento","OK"))</x:f>
      </x:c>
    </x:row>
    <x:row r="260">
      <x:c r="A260" s="26"/>
      <x:c r="B260" s="24"/>
      <x:c r="C260" s="29"/>
      <x:c r="D260" s="24"/>
      <x:c r="E260" s="24"/>
      <x:c r="F260" s="20" t="str">
        <x:f>IF(G260&lt;&gt;"OK","",IF(OR(B260="Versamento",B260="Rimborso"),C260,-C260))</x:f>
      </x:c>
      <x:c r="G260" s="18" t="str">
        <x:f>IF(AND(A260="",B260="",C260="",D260="",E260=""),"",IF(OR(NOT(ISNUMBER(A260)),NOT(ISNUMBER(C260)),C260&lt;=0,D260="",AND(B260&lt;&gt;"Versamento",B260&lt;&gt;"Prelievo",B260&lt;&gt;"Costo",B260&lt;&gt;"Rimborso")),"Completa movimento","OK"))</x:f>
      </x:c>
    </x:row>
    <x:row r="261">
      <x:c r="A261" s="26"/>
      <x:c r="B261" s="24"/>
      <x:c r="C261" s="29"/>
      <x:c r="D261" s="24"/>
      <x:c r="E261" s="24"/>
      <x:c r="F261" s="20" t="str">
        <x:f>IF(G261&lt;&gt;"OK","",IF(OR(B261="Versamento",B261="Rimborso"),C261,-C261))</x:f>
      </x:c>
      <x:c r="G261" s="18" t="str">
        <x:f>IF(AND(A261="",B261="",C261="",D261="",E261=""),"",IF(OR(NOT(ISNUMBER(A261)),NOT(ISNUMBER(C261)),C261&lt;=0,D261="",AND(B261&lt;&gt;"Versamento",B261&lt;&gt;"Prelievo",B261&lt;&gt;"Costo",B261&lt;&gt;"Rimborso")),"Completa movimento","OK"))</x:f>
      </x:c>
    </x:row>
    <x:row r="262">
      <x:c r="A262" s="26"/>
      <x:c r="B262" s="24"/>
      <x:c r="C262" s="29"/>
      <x:c r="D262" s="24"/>
      <x:c r="E262" s="24"/>
      <x:c r="F262" s="20" t="str">
        <x:f>IF(G262&lt;&gt;"OK","",IF(OR(B262="Versamento",B262="Rimborso"),C262,-C262))</x:f>
      </x:c>
      <x:c r="G262" s="18" t="str">
        <x:f>IF(AND(A262="",B262="",C262="",D262="",E262=""),"",IF(OR(NOT(ISNUMBER(A262)),NOT(ISNUMBER(C262)),C262&lt;=0,D262="",AND(B262&lt;&gt;"Versamento",B262&lt;&gt;"Prelievo",B262&lt;&gt;"Costo",B262&lt;&gt;"Rimborso")),"Completa movimento","OK"))</x:f>
      </x:c>
    </x:row>
    <x:row r="263">
      <x:c r="A263" s="26"/>
      <x:c r="B263" s="24"/>
      <x:c r="C263" s="29"/>
      <x:c r="D263" s="24"/>
      <x:c r="E263" s="24"/>
      <x:c r="F263" s="20" t="str">
        <x:f>IF(G263&lt;&gt;"OK","",IF(OR(B263="Versamento",B263="Rimborso"),C263,-C263))</x:f>
      </x:c>
      <x:c r="G263" s="18" t="str">
        <x:f>IF(AND(A263="",B263="",C263="",D263="",E263=""),"",IF(OR(NOT(ISNUMBER(A263)),NOT(ISNUMBER(C263)),C263&lt;=0,D263="",AND(B263&lt;&gt;"Versamento",B263&lt;&gt;"Prelievo",B263&lt;&gt;"Costo",B263&lt;&gt;"Rimborso")),"Completa movimento","OK"))</x:f>
      </x:c>
    </x:row>
    <x:row r="264">
      <x:c r="A264" s="26"/>
      <x:c r="B264" s="24"/>
      <x:c r="C264" s="29"/>
      <x:c r="D264" s="24"/>
      <x:c r="E264" s="24"/>
      <x:c r="F264" s="20" t="str">
        <x:f>IF(G264&lt;&gt;"OK","",IF(OR(B264="Versamento",B264="Rimborso"),C264,-C264))</x:f>
      </x:c>
      <x:c r="G264" s="18" t="str">
        <x:f>IF(AND(A264="",B264="",C264="",D264="",E264=""),"",IF(OR(NOT(ISNUMBER(A264)),NOT(ISNUMBER(C264)),C264&lt;=0,D264="",AND(B264&lt;&gt;"Versamento",B264&lt;&gt;"Prelievo",B264&lt;&gt;"Costo",B264&lt;&gt;"Rimborso")),"Completa movimento","OK"))</x:f>
      </x:c>
    </x:row>
    <x:row r="265">
      <x:c r="A265" s="26"/>
      <x:c r="B265" s="24"/>
      <x:c r="C265" s="29"/>
      <x:c r="D265" s="24"/>
      <x:c r="E265" s="24"/>
      <x:c r="F265" s="20" t="str">
        <x:f>IF(G265&lt;&gt;"OK","",IF(OR(B265="Versamento",B265="Rimborso"),C265,-C265))</x:f>
      </x:c>
      <x:c r="G265" s="18" t="str">
        <x:f>IF(AND(A265="",B265="",C265="",D265="",E265=""),"",IF(OR(NOT(ISNUMBER(A265)),NOT(ISNUMBER(C265)),C265&lt;=0,D265="",AND(B265&lt;&gt;"Versamento",B265&lt;&gt;"Prelievo",B265&lt;&gt;"Costo",B265&lt;&gt;"Rimborso")),"Completa movimento","OK"))</x:f>
      </x:c>
    </x:row>
    <x:row r="266">
      <x:c r="A266" s="26"/>
      <x:c r="B266" s="24"/>
      <x:c r="C266" s="29"/>
      <x:c r="D266" s="24"/>
      <x:c r="E266" s="24"/>
      <x:c r="F266" s="20" t="str">
        <x:f>IF(G266&lt;&gt;"OK","",IF(OR(B266="Versamento",B266="Rimborso"),C266,-C266))</x:f>
      </x:c>
      <x:c r="G266" s="18" t="str">
        <x:f>IF(AND(A266="",B266="",C266="",D266="",E266=""),"",IF(OR(NOT(ISNUMBER(A266)),NOT(ISNUMBER(C266)),C266&lt;=0,D266="",AND(B266&lt;&gt;"Versamento",B266&lt;&gt;"Prelievo",B266&lt;&gt;"Costo",B266&lt;&gt;"Rimborso")),"Completa movimento","OK"))</x:f>
      </x:c>
    </x:row>
    <x:row r="267">
      <x:c r="A267" s="26"/>
      <x:c r="B267" s="24"/>
      <x:c r="C267" s="29"/>
      <x:c r="D267" s="24"/>
      <x:c r="E267" s="24"/>
      <x:c r="F267" s="20" t="str">
        <x:f>IF(G267&lt;&gt;"OK","",IF(OR(B267="Versamento",B267="Rimborso"),C267,-C267))</x:f>
      </x:c>
      <x:c r="G267" s="18" t="str">
        <x:f>IF(AND(A267="",B267="",C267="",D267="",E267=""),"",IF(OR(NOT(ISNUMBER(A267)),NOT(ISNUMBER(C267)),C267&lt;=0,D267="",AND(B267&lt;&gt;"Versamento",B267&lt;&gt;"Prelievo",B267&lt;&gt;"Costo",B267&lt;&gt;"Rimborso")),"Completa movimento","OK"))</x:f>
      </x:c>
    </x:row>
    <x:row r="268">
      <x:c r="A268" s="26"/>
      <x:c r="B268" s="24"/>
      <x:c r="C268" s="29"/>
      <x:c r="D268" s="24"/>
      <x:c r="E268" s="24"/>
      <x:c r="F268" s="20" t="str">
        <x:f>IF(G268&lt;&gt;"OK","",IF(OR(B268="Versamento",B268="Rimborso"),C268,-C268))</x:f>
      </x:c>
      <x:c r="G268" s="18" t="str">
        <x:f>IF(AND(A268="",B268="",C268="",D268="",E268=""),"",IF(OR(NOT(ISNUMBER(A268)),NOT(ISNUMBER(C268)),C268&lt;=0,D268="",AND(B268&lt;&gt;"Versamento",B268&lt;&gt;"Prelievo",B268&lt;&gt;"Costo",B268&lt;&gt;"Rimborso")),"Completa movimento","OK"))</x:f>
      </x:c>
    </x:row>
    <x:row r="269">
      <x:c r="A269" s="26"/>
      <x:c r="B269" s="24"/>
      <x:c r="C269" s="29"/>
      <x:c r="D269" s="24"/>
      <x:c r="E269" s="24"/>
      <x:c r="F269" s="20" t="str">
        <x:f>IF(G269&lt;&gt;"OK","",IF(OR(B269="Versamento",B269="Rimborso"),C269,-C269))</x:f>
      </x:c>
      <x:c r="G269" s="18" t="str">
        <x:f>IF(AND(A269="",B269="",C269="",D269="",E269=""),"",IF(OR(NOT(ISNUMBER(A269)),NOT(ISNUMBER(C269)),C269&lt;=0,D269="",AND(B269&lt;&gt;"Versamento",B269&lt;&gt;"Prelievo",B269&lt;&gt;"Costo",B269&lt;&gt;"Rimborso")),"Completa movimento","OK"))</x:f>
      </x:c>
    </x:row>
    <x:row r="270">
      <x:c r="A270" s="26"/>
      <x:c r="B270" s="24"/>
      <x:c r="C270" s="29"/>
      <x:c r="D270" s="24"/>
      <x:c r="E270" s="24"/>
      <x:c r="F270" s="20" t="str">
        <x:f>IF(G270&lt;&gt;"OK","",IF(OR(B270="Versamento",B270="Rimborso"),C270,-C270))</x:f>
      </x:c>
      <x:c r="G270" s="18" t="str">
        <x:f>IF(AND(A270="",B270="",C270="",D270="",E270=""),"",IF(OR(NOT(ISNUMBER(A270)),NOT(ISNUMBER(C270)),C270&lt;=0,D270="",AND(B270&lt;&gt;"Versamento",B270&lt;&gt;"Prelievo",B270&lt;&gt;"Costo",B270&lt;&gt;"Rimborso")),"Completa movimento","OK"))</x:f>
      </x:c>
    </x:row>
    <x:row r="271">
      <x:c r="A271" s="26"/>
      <x:c r="B271" s="24"/>
      <x:c r="C271" s="29"/>
      <x:c r="D271" s="24"/>
      <x:c r="E271" s="24"/>
      <x:c r="F271" s="20" t="str">
        <x:f>IF(G271&lt;&gt;"OK","",IF(OR(B271="Versamento",B271="Rimborso"),C271,-C271))</x:f>
      </x:c>
      <x:c r="G271" s="18" t="str">
        <x:f>IF(AND(A271="",B271="",C271="",D271="",E271=""),"",IF(OR(NOT(ISNUMBER(A271)),NOT(ISNUMBER(C271)),C271&lt;=0,D271="",AND(B271&lt;&gt;"Versamento",B271&lt;&gt;"Prelievo",B271&lt;&gt;"Costo",B271&lt;&gt;"Rimborso")),"Completa movimento","OK"))</x:f>
      </x:c>
    </x:row>
    <x:row r="272">
      <x:c r="A272" s="26"/>
      <x:c r="B272" s="24"/>
      <x:c r="C272" s="29"/>
      <x:c r="D272" s="24"/>
      <x:c r="E272" s="24"/>
      <x:c r="F272" s="20" t="str">
        <x:f>IF(G272&lt;&gt;"OK","",IF(OR(B272="Versamento",B272="Rimborso"),C272,-C272))</x:f>
      </x:c>
      <x:c r="G272" s="18" t="str">
        <x:f>IF(AND(A272="",B272="",C272="",D272="",E272=""),"",IF(OR(NOT(ISNUMBER(A272)),NOT(ISNUMBER(C272)),C272&lt;=0,D272="",AND(B272&lt;&gt;"Versamento",B272&lt;&gt;"Prelievo",B272&lt;&gt;"Costo",B272&lt;&gt;"Rimborso")),"Completa movimento","OK"))</x:f>
      </x:c>
    </x:row>
    <x:row r="273">
      <x:c r="A273" s="26"/>
      <x:c r="B273" s="24"/>
      <x:c r="C273" s="29"/>
      <x:c r="D273" s="24"/>
      <x:c r="E273" s="24"/>
      <x:c r="F273" s="20" t="str">
        <x:f>IF(G273&lt;&gt;"OK","",IF(OR(B273="Versamento",B273="Rimborso"),C273,-C273))</x:f>
      </x:c>
      <x:c r="G273" s="18" t="str">
        <x:f>IF(AND(A273="",B273="",C273="",D273="",E273=""),"",IF(OR(NOT(ISNUMBER(A273)),NOT(ISNUMBER(C273)),C273&lt;=0,D273="",AND(B273&lt;&gt;"Versamento",B273&lt;&gt;"Prelievo",B273&lt;&gt;"Costo",B273&lt;&gt;"Rimborso")),"Completa movimento","OK"))</x:f>
      </x:c>
    </x:row>
    <x:row r="274">
      <x:c r="A274" s="26"/>
      <x:c r="B274" s="24"/>
      <x:c r="C274" s="29"/>
      <x:c r="D274" s="24"/>
      <x:c r="E274" s="24"/>
      <x:c r="F274" s="20" t="str">
        <x:f>IF(G274&lt;&gt;"OK","",IF(OR(B274="Versamento",B274="Rimborso"),C274,-C274))</x:f>
      </x:c>
      <x:c r="G274" s="18" t="str">
        <x:f>IF(AND(A274="",B274="",C274="",D274="",E274=""),"",IF(OR(NOT(ISNUMBER(A274)),NOT(ISNUMBER(C274)),C274&lt;=0,D274="",AND(B274&lt;&gt;"Versamento",B274&lt;&gt;"Prelievo",B274&lt;&gt;"Costo",B274&lt;&gt;"Rimborso")),"Completa movimento","OK"))</x:f>
      </x:c>
    </x:row>
    <x:row r="275">
      <x:c r="A275" s="26"/>
      <x:c r="B275" s="24"/>
      <x:c r="C275" s="29"/>
      <x:c r="D275" s="24"/>
      <x:c r="E275" s="24"/>
      <x:c r="F275" s="20" t="str">
        <x:f>IF(G275&lt;&gt;"OK","",IF(OR(B275="Versamento",B275="Rimborso"),C275,-C275))</x:f>
      </x:c>
      <x:c r="G275" s="18" t="str">
        <x:f>IF(AND(A275="",B275="",C275="",D275="",E275=""),"",IF(OR(NOT(ISNUMBER(A275)),NOT(ISNUMBER(C275)),C275&lt;=0,D275="",AND(B275&lt;&gt;"Versamento",B275&lt;&gt;"Prelievo",B275&lt;&gt;"Costo",B275&lt;&gt;"Rimborso")),"Completa movimento","OK"))</x:f>
      </x:c>
    </x:row>
    <x:row r="276">
      <x:c r="A276" s="26"/>
      <x:c r="B276" s="24"/>
      <x:c r="C276" s="29"/>
      <x:c r="D276" s="24"/>
      <x:c r="E276" s="24"/>
      <x:c r="F276" s="20" t="str">
        <x:f>IF(G276&lt;&gt;"OK","",IF(OR(B276="Versamento",B276="Rimborso"),C276,-C276))</x:f>
      </x:c>
      <x:c r="G276" s="18" t="str">
        <x:f>IF(AND(A276="",B276="",C276="",D276="",E276=""),"",IF(OR(NOT(ISNUMBER(A276)),NOT(ISNUMBER(C276)),C276&lt;=0,D276="",AND(B276&lt;&gt;"Versamento",B276&lt;&gt;"Prelievo",B276&lt;&gt;"Costo",B276&lt;&gt;"Rimborso")),"Completa movimento","OK"))</x:f>
      </x:c>
    </x:row>
    <x:row r="277">
      <x:c r="A277" s="26"/>
      <x:c r="B277" s="24"/>
      <x:c r="C277" s="29"/>
      <x:c r="D277" s="24"/>
      <x:c r="E277" s="24"/>
      <x:c r="F277" s="20" t="str">
        <x:f>IF(G277&lt;&gt;"OK","",IF(OR(B277="Versamento",B277="Rimborso"),C277,-C277))</x:f>
      </x:c>
      <x:c r="G277" s="18" t="str">
        <x:f>IF(AND(A277="",B277="",C277="",D277="",E277=""),"",IF(OR(NOT(ISNUMBER(A277)),NOT(ISNUMBER(C277)),C277&lt;=0,D277="",AND(B277&lt;&gt;"Versamento",B277&lt;&gt;"Prelievo",B277&lt;&gt;"Costo",B277&lt;&gt;"Rimborso")),"Completa movimento","OK"))</x:f>
      </x:c>
    </x:row>
    <x:row r="278">
      <x:c r="A278" s="26"/>
      <x:c r="B278" s="24"/>
      <x:c r="C278" s="29"/>
      <x:c r="D278" s="24"/>
      <x:c r="E278" s="24"/>
      <x:c r="F278" s="20" t="str">
        <x:f>IF(G278&lt;&gt;"OK","",IF(OR(B278="Versamento",B278="Rimborso"),C278,-C278))</x:f>
      </x:c>
      <x:c r="G278" s="18" t="str">
        <x:f>IF(AND(A278="",B278="",C278="",D278="",E278=""),"",IF(OR(NOT(ISNUMBER(A278)),NOT(ISNUMBER(C278)),C278&lt;=0,D278="",AND(B278&lt;&gt;"Versamento",B278&lt;&gt;"Prelievo",B278&lt;&gt;"Costo",B278&lt;&gt;"Rimborso")),"Completa movimento","OK"))</x:f>
      </x:c>
    </x:row>
    <x:row r="279">
      <x:c r="A279" s="26"/>
      <x:c r="B279" s="24"/>
      <x:c r="C279" s="29"/>
      <x:c r="D279" s="24"/>
      <x:c r="E279" s="24"/>
      <x:c r="F279" s="20" t="str">
        <x:f>IF(G279&lt;&gt;"OK","",IF(OR(B279="Versamento",B279="Rimborso"),C279,-C279))</x:f>
      </x:c>
      <x:c r="G279" s="18" t="str">
        <x:f>IF(AND(A279="",B279="",C279="",D279="",E279=""),"",IF(OR(NOT(ISNUMBER(A279)),NOT(ISNUMBER(C279)),C279&lt;=0,D279="",AND(B279&lt;&gt;"Versamento",B279&lt;&gt;"Prelievo",B279&lt;&gt;"Costo",B279&lt;&gt;"Rimborso")),"Completa movimento","OK"))</x:f>
      </x:c>
    </x:row>
    <x:row r="280">
      <x:c r="A280" s="26"/>
      <x:c r="B280" s="24"/>
      <x:c r="C280" s="29"/>
      <x:c r="D280" s="24"/>
      <x:c r="E280" s="24"/>
      <x:c r="F280" s="20" t="str">
        <x:f>IF(G280&lt;&gt;"OK","",IF(OR(B280="Versamento",B280="Rimborso"),C280,-C280))</x:f>
      </x:c>
      <x:c r="G280" s="18" t="str">
        <x:f>IF(AND(A280="",B280="",C280="",D280="",E280=""),"",IF(OR(NOT(ISNUMBER(A280)),NOT(ISNUMBER(C280)),C280&lt;=0,D280="",AND(B280&lt;&gt;"Versamento",B280&lt;&gt;"Prelievo",B280&lt;&gt;"Costo",B280&lt;&gt;"Rimborso")),"Completa movimento","OK"))</x:f>
      </x:c>
    </x:row>
    <x:row r="281">
      <x:c r="A281" s="26"/>
      <x:c r="B281" s="24"/>
      <x:c r="C281" s="29"/>
      <x:c r="D281" s="24"/>
      <x:c r="E281" s="24"/>
      <x:c r="F281" s="20" t="str">
        <x:f>IF(G281&lt;&gt;"OK","",IF(OR(B281="Versamento",B281="Rimborso"),C281,-C281))</x:f>
      </x:c>
      <x:c r="G281" s="18" t="str">
        <x:f>IF(AND(A281="",B281="",C281="",D281="",E281=""),"",IF(OR(NOT(ISNUMBER(A281)),NOT(ISNUMBER(C281)),C281&lt;=0,D281="",AND(B281&lt;&gt;"Versamento",B281&lt;&gt;"Prelievo",B281&lt;&gt;"Costo",B281&lt;&gt;"Rimborso")),"Completa movimento","OK"))</x:f>
      </x:c>
    </x:row>
    <x:row r="282">
      <x:c r="A282" s="26"/>
      <x:c r="B282" s="24"/>
      <x:c r="C282" s="29"/>
      <x:c r="D282" s="24"/>
      <x:c r="E282" s="24"/>
      <x:c r="F282" s="20" t="str">
        <x:f>IF(G282&lt;&gt;"OK","",IF(OR(B282="Versamento",B282="Rimborso"),C282,-C282))</x:f>
      </x:c>
      <x:c r="G282" s="18" t="str">
        <x:f>IF(AND(A282="",B282="",C282="",D282="",E282=""),"",IF(OR(NOT(ISNUMBER(A282)),NOT(ISNUMBER(C282)),C282&lt;=0,D282="",AND(B282&lt;&gt;"Versamento",B282&lt;&gt;"Prelievo",B282&lt;&gt;"Costo",B282&lt;&gt;"Rimborso")),"Completa movimento","OK"))</x:f>
      </x:c>
    </x:row>
    <x:row r="283">
      <x:c r="A283" s="26"/>
      <x:c r="B283" s="24"/>
      <x:c r="C283" s="29"/>
      <x:c r="D283" s="24"/>
      <x:c r="E283" s="24"/>
      <x:c r="F283" s="20" t="str">
        <x:f>IF(G283&lt;&gt;"OK","",IF(OR(B283="Versamento",B283="Rimborso"),C283,-C283))</x:f>
      </x:c>
      <x:c r="G283" s="18" t="str">
        <x:f>IF(AND(A283="",B283="",C283="",D283="",E283=""),"",IF(OR(NOT(ISNUMBER(A283)),NOT(ISNUMBER(C283)),C283&lt;=0,D283="",AND(B283&lt;&gt;"Versamento",B283&lt;&gt;"Prelievo",B283&lt;&gt;"Costo",B283&lt;&gt;"Rimborso")),"Completa movimento","OK"))</x:f>
      </x:c>
    </x:row>
    <x:row r="284">
      <x:c r="A284" s="26"/>
      <x:c r="B284" s="24"/>
      <x:c r="C284" s="29"/>
      <x:c r="D284" s="24"/>
      <x:c r="E284" s="24"/>
      <x:c r="F284" s="20" t="str">
        <x:f>IF(G284&lt;&gt;"OK","",IF(OR(B284="Versamento",B284="Rimborso"),C284,-C284))</x:f>
      </x:c>
      <x:c r="G284" s="18" t="str">
        <x:f>IF(AND(A284="",B284="",C284="",D284="",E284=""),"",IF(OR(NOT(ISNUMBER(A284)),NOT(ISNUMBER(C284)),C284&lt;=0,D284="",AND(B284&lt;&gt;"Versamento",B284&lt;&gt;"Prelievo",B284&lt;&gt;"Costo",B284&lt;&gt;"Rimborso")),"Completa movimento","OK"))</x:f>
      </x:c>
    </x:row>
    <x:row r="285">
      <x:c r="A285" s="26"/>
      <x:c r="B285" s="24"/>
      <x:c r="C285" s="29"/>
      <x:c r="D285" s="24"/>
      <x:c r="E285" s="24"/>
      <x:c r="F285" s="20" t="str">
        <x:f>IF(G285&lt;&gt;"OK","",IF(OR(B285="Versamento",B285="Rimborso"),C285,-C285))</x:f>
      </x:c>
      <x:c r="G285" s="18" t="str">
        <x:f>IF(AND(A285="",B285="",C285="",D285="",E285=""),"",IF(OR(NOT(ISNUMBER(A285)),NOT(ISNUMBER(C285)),C285&lt;=0,D285="",AND(B285&lt;&gt;"Versamento",B285&lt;&gt;"Prelievo",B285&lt;&gt;"Costo",B285&lt;&gt;"Rimborso")),"Completa movimento","OK"))</x:f>
      </x:c>
    </x:row>
    <x:row r="286">
      <x:c r="A286" s="26"/>
      <x:c r="B286" s="24"/>
      <x:c r="C286" s="29"/>
      <x:c r="D286" s="24"/>
      <x:c r="E286" s="24"/>
      <x:c r="F286" s="20" t="str">
        <x:f>IF(G286&lt;&gt;"OK","",IF(OR(B286="Versamento",B286="Rimborso"),C286,-C286))</x:f>
      </x:c>
      <x:c r="G286" s="18" t="str">
        <x:f>IF(AND(A286="",B286="",C286="",D286="",E286=""),"",IF(OR(NOT(ISNUMBER(A286)),NOT(ISNUMBER(C286)),C286&lt;=0,D286="",AND(B286&lt;&gt;"Versamento",B286&lt;&gt;"Prelievo",B286&lt;&gt;"Costo",B286&lt;&gt;"Rimborso")),"Completa movimento","OK"))</x:f>
      </x:c>
    </x:row>
    <x:row r="287">
      <x:c r="A287" s="26"/>
      <x:c r="B287" s="24"/>
      <x:c r="C287" s="29"/>
      <x:c r="D287" s="24"/>
      <x:c r="E287" s="24"/>
      <x:c r="F287" s="20" t="str">
        <x:f>IF(G287&lt;&gt;"OK","",IF(OR(B287="Versamento",B287="Rimborso"),C287,-C287))</x:f>
      </x:c>
      <x:c r="G287" s="18" t="str">
        <x:f>IF(AND(A287="",B287="",C287="",D287="",E287=""),"",IF(OR(NOT(ISNUMBER(A287)),NOT(ISNUMBER(C287)),C287&lt;=0,D287="",AND(B287&lt;&gt;"Versamento",B287&lt;&gt;"Prelievo",B287&lt;&gt;"Costo",B287&lt;&gt;"Rimborso")),"Completa movimento","OK"))</x:f>
      </x:c>
    </x:row>
    <x:row r="288">
      <x:c r="A288" s="26"/>
      <x:c r="B288" s="24"/>
      <x:c r="C288" s="29"/>
      <x:c r="D288" s="24"/>
      <x:c r="E288" s="24"/>
      <x:c r="F288" s="20" t="str">
        <x:f>IF(G288&lt;&gt;"OK","",IF(OR(B288="Versamento",B288="Rimborso"),C288,-C288))</x:f>
      </x:c>
      <x:c r="G288" s="18" t="str">
        <x:f>IF(AND(A288="",B288="",C288="",D288="",E288=""),"",IF(OR(NOT(ISNUMBER(A288)),NOT(ISNUMBER(C288)),C288&lt;=0,D288="",AND(B288&lt;&gt;"Versamento",B288&lt;&gt;"Prelievo",B288&lt;&gt;"Costo",B288&lt;&gt;"Rimborso")),"Completa movimento","OK"))</x:f>
      </x:c>
    </x:row>
    <x:row r="289">
      <x:c r="A289" s="26"/>
      <x:c r="B289" s="24"/>
      <x:c r="C289" s="29"/>
      <x:c r="D289" s="24"/>
      <x:c r="E289" s="24"/>
      <x:c r="F289" s="20" t="str">
        <x:f>IF(G289&lt;&gt;"OK","",IF(OR(B289="Versamento",B289="Rimborso"),C289,-C289))</x:f>
      </x:c>
      <x:c r="G289" s="18" t="str">
        <x:f>IF(AND(A289="",B289="",C289="",D289="",E289=""),"",IF(OR(NOT(ISNUMBER(A289)),NOT(ISNUMBER(C289)),C289&lt;=0,D289="",AND(B289&lt;&gt;"Versamento",B289&lt;&gt;"Prelievo",B289&lt;&gt;"Costo",B289&lt;&gt;"Rimborso")),"Completa movimento","OK"))</x:f>
      </x:c>
    </x:row>
    <x:row r="290">
      <x:c r="A290" s="26"/>
      <x:c r="B290" s="24"/>
      <x:c r="C290" s="29"/>
      <x:c r="D290" s="24"/>
      <x:c r="E290" s="24"/>
      <x:c r="F290" s="20" t="str">
        <x:f>IF(G290&lt;&gt;"OK","",IF(OR(B290="Versamento",B290="Rimborso"),C290,-C290))</x:f>
      </x:c>
      <x:c r="G290" s="18" t="str">
        <x:f>IF(AND(A290="",B290="",C290="",D290="",E290=""),"",IF(OR(NOT(ISNUMBER(A290)),NOT(ISNUMBER(C290)),C290&lt;=0,D290="",AND(B290&lt;&gt;"Versamento",B290&lt;&gt;"Prelievo",B290&lt;&gt;"Costo",B290&lt;&gt;"Rimborso")),"Completa movimento","OK"))</x:f>
      </x:c>
    </x:row>
    <x:row r="291">
      <x:c r="A291" s="26"/>
      <x:c r="B291" s="24"/>
      <x:c r="C291" s="29"/>
      <x:c r="D291" s="24"/>
      <x:c r="E291" s="24"/>
      <x:c r="F291" s="20" t="str">
        <x:f>IF(G291&lt;&gt;"OK","",IF(OR(B291="Versamento",B291="Rimborso"),C291,-C291))</x:f>
      </x:c>
      <x:c r="G291" s="18" t="str">
        <x:f>IF(AND(A291="",B291="",C291="",D291="",E291=""),"",IF(OR(NOT(ISNUMBER(A291)),NOT(ISNUMBER(C291)),C291&lt;=0,D291="",AND(B291&lt;&gt;"Versamento",B291&lt;&gt;"Prelievo",B291&lt;&gt;"Costo",B291&lt;&gt;"Rimborso")),"Completa movimento","OK"))</x:f>
      </x:c>
    </x:row>
    <x:row r="292">
      <x:c r="A292" s="26"/>
      <x:c r="B292" s="24"/>
      <x:c r="C292" s="29"/>
      <x:c r="D292" s="24"/>
      <x:c r="E292" s="24"/>
      <x:c r="F292" s="20" t="str">
        <x:f>IF(G292&lt;&gt;"OK","",IF(OR(B292="Versamento",B292="Rimborso"),C292,-C292))</x:f>
      </x:c>
      <x:c r="G292" s="18" t="str">
        <x:f>IF(AND(A292="",B292="",C292="",D292="",E292=""),"",IF(OR(NOT(ISNUMBER(A292)),NOT(ISNUMBER(C292)),C292&lt;=0,D292="",AND(B292&lt;&gt;"Versamento",B292&lt;&gt;"Prelievo",B292&lt;&gt;"Costo",B292&lt;&gt;"Rimborso")),"Completa movimento","OK"))</x:f>
      </x:c>
    </x:row>
    <x:row r="293">
      <x:c r="A293" s="26"/>
      <x:c r="B293" s="24"/>
      <x:c r="C293" s="29"/>
      <x:c r="D293" s="24"/>
      <x:c r="E293" s="24"/>
      <x:c r="F293" s="20" t="str">
        <x:f>IF(G293&lt;&gt;"OK","",IF(OR(B293="Versamento",B293="Rimborso"),C293,-C293))</x:f>
      </x:c>
      <x:c r="G293" s="18" t="str">
        <x:f>IF(AND(A293="",B293="",C293="",D293="",E293=""),"",IF(OR(NOT(ISNUMBER(A293)),NOT(ISNUMBER(C293)),C293&lt;=0,D293="",AND(B293&lt;&gt;"Versamento",B293&lt;&gt;"Prelievo",B293&lt;&gt;"Costo",B293&lt;&gt;"Rimborso")),"Completa movimento","OK"))</x:f>
      </x:c>
    </x:row>
    <x:row r="294">
      <x:c r="A294" s="26"/>
      <x:c r="B294" s="24"/>
      <x:c r="C294" s="29"/>
      <x:c r="D294" s="24"/>
      <x:c r="E294" s="24"/>
      <x:c r="F294" s="20" t="str">
        <x:f>IF(G294&lt;&gt;"OK","",IF(OR(B294="Versamento",B294="Rimborso"),C294,-C294))</x:f>
      </x:c>
      <x:c r="G294" s="18" t="str">
        <x:f>IF(AND(A294="",B294="",C294="",D294="",E294=""),"",IF(OR(NOT(ISNUMBER(A294)),NOT(ISNUMBER(C294)),C294&lt;=0,D294="",AND(B294&lt;&gt;"Versamento",B294&lt;&gt;"Prelievo",B294&lt;&gt;"Costo",B294&lt;&gt;"Rimborso")),"Completa movimento","OK"))</x:f>
      </x:c>
    </x:row>
    <x:row r="295">
      <x:c r="A295" s="26"/>
      <x:c r="B295" s="24"/>
      <x:c r="C295" s="29"/>
      <x:c r="D295" s="24"/>
      <x:c r="E295" s="24"/>
      <x:c r="F295" s="20" t="str">
        <x:f>IF(G295&lt;&gt;"OK","",IF(OR(B295="Versamento",B295="Rimborso"),C295,-C295))</x:f>
      </x:c>
      <x:c r="G295" s="18" t="str">
        <x:f>IF(AND(A295="",B295="",C295="",D295="",E295=""),"",IF(OR(NOT(ISNUMBER(A295)),NOT(ISNUMBER(C295)),C295&lt;=0,D295="",AND(B295&lt;&gt;"Versamento",B295&lt;&gt;"Prelievo",B295&lt;&gt;"Costo",B295&lt;&gt;"Rimborso")),"Completa movimento","OK"))</x:f>
      </x:c>
    </x:row>
    <x:row r="296">
      <x:c r="A296" s="26"/>
      <x:c r="B296" s="24"/>
      <x:c r="C296" s="29"/>
      <x:c r="D296" s="24"/>
      <x:c r="E296" s="24"/>
      <x:c r="F296" s="20" t="str">
        <x:f>IF(G296&lt;&gt;"OK","",IF(OR(B296="Versamento",B296="Rimborso"),C296,-C296))</x:f>
      </x:c>
      <x:c r="G296" s="18" t="str">
        <x:f>IF(AND(A296="",B296="",C296="",D296="",E296=""),"",IF(OR(NOT(ISNUMBER(A296)),NOT(ISNUMBER(C296)),C296&lt;=0,D296="",AND(B296&lt;&gt;"Versamento",B296&lt;&gt;"Prelievo",B296&lt;&gt;"Costo",B296&lt;&gt;"Rimborso")),"Completa movimento","OK"))</x:f>
      </x:c>
    </x:row>
    <x:row r="297">
      <x:c r="A297" s="26"/>
      <x:c r="B297" s="24"/>
      <x:c r="C297" s="29"/>
      <x:c r="D297" s="24"/>
      <x:c r="E297" s="24"/>
      <x:c r="F297" s="20" t="str">
        <x:f>IF(G297&lt;&gt;"OK","",IF(OR(B297="Versamento",B297="Rimborso"),C297,-C297))</x:f>
      </x:c>
      <x:c r="G297" s="18" t="str">
        <x:f>IF(AND(A297="",B297="",C297="",D297="",E297=""),"",IF(OR(NOT(ISNUMBER(A297)),NOT(ISNUMBER(C297)),C297&lt;=0,D297="",AND(B297&lt;&gt;"Versamento",B297&lt;&gt;"Prelievo",B297&lt;&gt;"Costo",B297&lt;&gt;"Rimborso")),"Completa movimento","OK"))</x:f>
      </x:c>
    </x:row>
    <x:row r="298">
      <x:c r="A298" s="26"/>
      <x:c r="B298" s="24"/>
      <x:c r="C298" s="29"/>
      <x:c r="D298" s="24"/>
      <x:c r="E298" s="24"/>
      <x:c r="F298" s="20" t="str">
        <x:f>IF(G298&lt;&gt;"OK","",IF(OR(B298="Versamento",B298="Rimborso"),C298,-C298))</x:f>
      </x:c>
      <x:c r="G298" s="18" t="str">
        <x:f>IF(AND(A298="",B298="",C298="",D298="",E298=""),"",IF(OR(NOT(ISNUMBER(A298)),NOT(ISNUMBER(C298)),C298&lt;=0,D298="",AND(B298&lt;&gt;"Versamento",B298&lt;&gt;"Prelievo",B298&lt;&gt;"Costo",B298&lt;&gt;"Rimborso")),"Completa movimento","OK"))</x:f>
      </x:c>
    </x:row>
    <x:row r="299">
      <x:c r="A299" s="26"/>
      <x:c r="B299" s="24"/>
      <x:c r="C299" s="29"/>
      <x:c r="D299" s="24"/>
      <x:c r="E299" s="24"/>
      <x:c r="F299" s="20" t="str">
        <x:f>IF(G299&lt;&gt;"OK","",IF(OR(B299="Versamento",B299="Rimborso"),C299,-C299))</x:f>
      </x:c>
      <x:c r="G299" s="18" t="str">
        <x:f>IF(AND(A299="",B299="",C299="",D299="",E299=""),"",IF(OR(NOT(ISNUMBER(A299)),NOT(ISNUMBER(C299)),C299&lt;=0,D299="",AND(B299&lt;&gt;"Versamento",B299&lt;&gt;"Prelievo",B299&lt;&gt;"Costo",B299&lt;&gt;"Rimborso")),"Completa movimento","OK"))</x:f>
      </x:c>
    </x:row>
    <x:row r="300">
      <x:c r="A300" s="26"/>
      <x:c r="B300" s="24"/>
      <x:c r="C300" s="29"/>
      <x:c r="D300" s="24"/>
      <x:c r="E300" s="24"/>
      <x:c r="F300" s="20" t="str">
        <x:f>IF(G300&lt;&gt;"OK","",IF(OR(B300="Versamento",B300="Rimborso"),C300,-C300))</x:f>
      </x:c>
      <x:c r="G300" s="18" t="str">
        <x:f>IF(AND(A300="",B300="",C300="",D300="",E300=""),"",IF(OR(NOT(ISNUMBER(A300)),NOT(ISNUMBER(C300)),C300&lt;=0,D300="",AND(B300&lt;&gt;"Versamento",B300&lt;&gt;"Prelievo",B300&lt;&gt;"Costo",B300&lt;&gt;"Rimborso")),"Completa movimento","OK"))</x:f>
      </x:c>
    </x:row>
    <x:row r="301">
      <x:c r="A301" s="26"/>
      <x:c r="B301" s="24"/>
      <x:c r="C301" s="29"/>
      <x:c r="D301" s="24"/>
      <x:c r="E301" s="24"/>
      <x:c r="F301" s="20" t="str">
        <x:f>IF(G301&lt;&gt;"OK","",IF(OR(B301="Versamento",B301="Rimborso"),C301,-C301))</x:f>
      </x:c>
      <x:c r="G301" s="18" t="str">
        <x:f>IF(AND(A301="",B301="",C301="",D301="",E301=""),"",IF(OR(NOT(ISNUMBER(A301)),NOT(ISNUMBER(C301)),C301&lt;=0,D301="",AND(B301&lt;&gt;"Versamento",B301&lt;&gt;"Prelievo",B301&lt;&gt;"Costo",B301&lt;&gt;"Rimborso")),"Completa movimento","OK"))</x:f>
      </x:c>
    </x:row>
    <x:row r="302">
      <x:c r="A302" s="26"/>
      <x:c r="B302" s="24"/>
      <x:c r="C302" s="29"/>
      <x:c r="D302" s="24"/>
      <x:c r="E302" s="24"/>
      <x:c r="F302" s="20" t="str">
        <x:f>IF(G302&lt;&gt;"OK","",IF(OR(B302="Versamento",B302="Rimborso"),C302,-C302))</x:f>
      </x:c>
      <x:c r="G302" s="18" t="str">
        <x:f>IF(AND(A302="",B302="",C302="",D302="",E302=""),"",IF(OR(NOT(ISNUMBER(A302)),NOT(ISNUMBER(C302)),C302&lt;=0,D302="",AND(B302&lt;&gt;"Versamento",B302&lt;&gt;"Prelievo",B302&lt;&gt;"Costo",B302&lt;&gt;"Rimborso")),"Completa movimento","OK"))</x:f>
      </x:c>
    </x:row>
    <x:row r="303">
      <x:c r="A303" s="26"/>
      <x:c r="B303" s="24"/>
      <x:c r="C303" s="29"/>
      <x:c r="D303" s="24"/>
      <x:c r="E303" s="24"/>
      <x:c r="F303" s="20" t="str">
        <x:f>IF(G303&lt;&gt;"OK","",IF(OR(B303="Versamento",B303="Rimborso"),C303,-C303))</x:f>
      </x:c>
      <x:c r="G303" s="18" t="str">
        <x:f>IF(AND(A303="",B303="",C303="",D303="",E303=""),"",IF(OR(NOT(ISNUMBER(A303)),NOT(ISNUMBER(C303)),C303&lt;=0,D303="",AND(B303&lt;&gt;"Versamento",B303&lt;&gt;"Prelievo",B303&lt;&gt;"Costo",B303&lt;&gt;"Rimborso")),"Completa movimento","OK"))</x:f>
      </x:c>
    </x:row>
    <x:row r="304">
      <x:c r="A304" s="26"/>
      <x:c r="B304" s="24"/>
      <x:c r="C304" s="29"/>
      <x:c r="D304" s="24"/>
      <x:c r="E304" s="24"/>
      <x:c r="F304" s="20" t="str">
        <x:f>IF(G304&lt;&gt;"OK","",IF(OR(B304="Versamento",B304="Rimborso"),C304,-C304))</x:f>
      </x:c>
      <x:c r="G304" s="18" t="str">
        <x:f>IF(AND(A304="",B304="",C304="",D304="",E304=""),"",IF(OR(NOT(ISNUMBER(A304)),NOT(ISNUMBER(C304)),C304&lt;=0,D304="",AND(B304&lt;&gt;"Versamento",B304&lt;&gt;"Prelievo",B304&lt;&gt;"Costo",B304&lt;&gt;"Rimborso")),"Completa movimento","OK"))</x:f>
      </x:c>
    </x:row>
    <x:row r="305">
      <x:c r="A305" s="26"/>
      <x:c r="B305" s="24"/>
      <x:c r="C305" s="29"/>
      <x:c r="D305" s="24"/>
      <x:c r="E305" s="24"/>
      <x:c r="F305" s="20" t="str">
        <x:f>IF(G305&lt;&gt;"OK","",IF(OR(B305="Versamento",B305="Rimborso"),C305,-C305))</x:f>
      </x:c>
      <x:c r="G305" s="18" t="str">
        <x:f>IF(AND(A305="",B305="",C305="",D305="",E305=""),"",IF(OR(NOT(ISNUMBER(A305)),NOT(ISNUMBER(C305)),C305&lt;=0,D305="",AND(B305&lt;&gt;"Versamento",B305&lt;&gt;"Prelievo",B305&lt;&gt;"Costo",B305&lt;&gt;"Rimborso")),"Completa movimento","OK"))</x:f>
      </x:c>
    </x:row>
    <x:row r="306">
      <x:c r="A306" s="26"/>
      <x:c r="B306" s="24"/>
      <x:c r="C306" s="29"/>
      <x:c r="D306" s="24"/>
      <x:c r="E306" s="24"/>
      <x:c r="F306" s="20" t="str">
        <x:f>IF(G306&lt;&gt;"OK","",IF(OR(B306="Versamento",B306="Rimborso"),C306,-C306))</x:f>
      </x:c>
      <x:c r="G306" s="18" t="str">
        <x:f>IF(AND(A306="",B306="",C306="",D306="",E306=""),"",IF(OR(NOT(ISNUMBER(A306)),NOT(ISNUMBER(C306)),C306&lt;=0,D306="",AND(B306&lt;&gt;"Versamento",B306&lt;&gt;"Prelievo",B306&lt;&gt;"Costo",B306&lt;&gt;"Rimborso")),"Completa movimento","OK"))</x:f>
      </x:c>
    </x:row>
    <x:row r="307">
      <x:c r="A307" s="26"/>
      <x:c r="B307" s="24"/>
      <x:c r="C307" s="29"/>
      <x:c r="D307" s="24"/>
      <x:c r="E307" s="24"/>
      <x:c r="F307" s="20" t="str">
        <x:f>IF(G307&lt;&gt;"OK","",IF(OR(B307="Versamento",B307="Rimborso"),C307,-C307))</x:f>
      </x:c>
      <x:c r="G307" s="18" t="str">
        <x:f>IF(AND(A307="",B307="",C307="",D307="",E307=""),"",IF(OR(NOT(ISNUMBER(A307)),NOT(ISNUMBER(C307)),C307&lt;=0,D307="",AND(B307&lt;&gt;"Versamento",B307&lt;&gt;"Prelievo",B307&lt;&gt;"Costo",B307&lt;&gt;"Rimborso")),"Completa movimento","OK"))</x:f>
      </x:c>
    </x:row>
  </x:sheetData>
  <x:conditionalFormatting sqref="G8:G307">
    <x:cfRule type="expression" dxfId="7" priority="1">
      <x:formula>AND($G8&lt;&gt;"",$G8&lt;&gt;"OK")</x:formula>
    </x:cfRule>
  </x:conditionalFormatting>
  <x:dataValidations count="2">
    <x:dataValidation type="list" sqref="B8:B307">
      <x:formula1>"Versamento,Prelievo,Costo,Rimborso"</x:formula1>
    </x:dataValidation>
    <x:dataValidation type="decimal" operator="between" sqref="C8:C307">
      <x:formula1>0.01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40fa392a08d48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5" hidden="0" customWidth="1"/>
    <x:col min="4" max="4" width="18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5" hidden="0" customWidth="1"/>
    <x:col min="14" max="14" width="2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9" customHeight="1">
      <x:c r="A2" s="3" t="str">
        <x:v>Esempi di compilazione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2" customHeight="1">
      <x:c r="A4" s="5" t="str">
        <x:v>Dati fittizi. Nessuna di queste righe alimenta il Diario o la Dashboard. Commissione dimostrativa 4,5%.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A6" s="32" t="str">
        <x:v>1. Split Over con chiusura completa</x:v>
      </x:c>
      <x:c r="B6" s="32"/>
      <x:c r="C6" s="32"/>
      <x:c r="D6" s="32"/>
      <x:c r="E6" s="32"/>
      <x:c r="F6" s="32"/>
      <x:c r="G6" s="32"/>
      <x:c r="H6" s="32"/>
      <x:c r="I6" s="2"/>
      <x:c r="J6" s="2"/>
      <x:c r="K6" s="2"/>
      <x:c r="L6" s="2"/>
      <x:c r="M6" s="2"/>
      <x:c r="N6" s="2"/>
    </x:row>
    <x:row r="7" ht="40" customHeight="1">
      <x:c r="A7" s="15" t="str">
        <x:v>Lato</x:v>
      </x:c>
      <x:c r="B7" s="16" t="str">
        <x:v>Quota</x:v>
      </x:c>
      <x:c r="C7" s="16" t="str">
        <x:v>Stake €</x:v>
      </x:c>
      <x:c r="D7" s="16" t="str">
        <x:v>P/L se vince €</x:v>
      </x:c>
      <x:c r="E7" s="16" t="str">
        <x:v>P/L se perde €</x:v>
      </x:c>
      <x:c r="F7" s="16" t="str">
        <x:v>Cumulato vince €</x:v>
      </x:c>
      <x:c r="G7" s="16" t="str">
        <x:v>Cumulato perde €</x:v>
      </x:c>
      <x:c r="H7" s="17" t="str">
        <x:v>Rischio residuo €</x:v>
      </x:c>
      <x:c r="I7" s="2"/>
      <x:c r="J7" s="2"/>
      <x:c r="K7" s="2"/>
      <x:c r="L7" s="2"/>
      <x:c r="M7" s="2"/>
      <x:c r="N7" s="2"/>
    </x:row>
    <x:row r="8" ht="22" customHeight="1">
      <x:c r="A8" s="2" t="str">
        <x:v>Back</x:v>
      </x:c>
      <x:c r="B8" s="39" t="n">
        <x:v>2</x:v>
      </x:c>
      <x:c r="C8" s="34" t="n">
        <x:v>10</x:v>
      </x:c>
      <x:c r="D8" s="34" t="n">
        <x:f>IF(A8="Back",C8*(B8-1),-C8*(B8-1))</x:f>
        <x:v>10</x:v>
      </x:c>
      <x:c r="E8" s="34" t="n">
        <x:f>IF(A8="Back",-C8,C8)</x:f>
        <x:v>-10</x:v>
      </x:c>
      <x:c r="F8" s="34" t="n">
        <x:f>SUM(D8:D8)</x:f>
        <x:v>10</x:v>
      </x:c>
      <x:c r="G8" s="34" t="n">
        <x:f>SUM(E8:E8)</x:f>
        <x:v>-10</x:v>
      </x:c>
      <x:c r="H8" s="34" t="n">
        <x:f>MAX(0,-MIN(F8,G8))</x:f>
        <x:v>10</x:v>
      </x:c>
      <x:c r="I8" s="2"/>
      <x:c r="J8" s="2"/>
      <x:c r="K8" s="2"/>
      <x:c r="L8" s="2"/>
      <x:c r="M8" s="2"/>
      <x:c r="N8" s="2"/>
    </x:row>
    <x:row r="9" ht="22" customHeight="1">
      <x:c r="A9" s="2" t="str">
        <x:v>Back</x:v>
      </x:c>
      <x:c r="B9" s="39" t="n">
        <x:v>2.5</x:v>
      </x:c>
      <x:c r="C9" s="34" t="n">
        <x:v>10</x:v>
      </x:c>
      <x:c r="D9" s="34" t="n">
        <x:f>IF(A9="Back",C9*(B9-1),-C9*(B9-1))</x:f>
        <x:v>15</x:v>
      </x:c>
      <x:c r="E9" s="34" t="n">
        <x:f>IF(A9="Back",-C9,C9)</x:f>
        <x:v>-10</x:v>
      </x:c>
      <x:c r="F9" s="34" t="n">
        <x:f>SUM(D8:D9)</x:f>
        <x:v>25</x:v>
      </x:c>
      <x:c r="G9" s="34" t="n">
        <x:f>SUM(E8:E9)</x:f>
        <x:v>-20</x:v>
      </x:c>
      <x:c r="H9" s="34" t="n">
        <x:f>MAX(0,-MIN(F9,G9))</x:f>
        <x:v>20</x:v>
      </x:c>
      <x:c r="I9" s="2"/>
      <x:c r="J9" s="2"/>
      <x:c r="K9" s="2"/>
      <x:c r="L9" s="2"/>
      <x:c r="M9" s="2"/>
      <x:c r="N9" s="2"/>
    </x:row>
    <x:row r="10" ht="22" customHeight="1">
      <x:c r="A10" s="2" t="str">
        <x:v>Back</x:v>
      </x:c>
      <x:c r="B10" s="39" t="n">
        <x:v>3</x:v>
      </x:c>
      <x:c r="C10" s="34" t="n">
        <x:v>10</x:v>
      </x:c>
      <x:c r="D10" s="34" t="n">
        <x:f>IF(A10="Back",C10*(B10-1),-C10*(B10-1))</x:f>
        <x:v>20</x:v>
      </x:c>
      <x:c r="E10" s="34" t="n">
        <x:f>IF(A10="Back",-C10,C10)</x:f>
        <x:v>-10</x:v>
      </x:c>
      <x:c r="F10" s="34" t="n">
        <x:f>SUM(D8:D10)</x:f>
        <x:v>45</x:v>
      </x:c>
      <x:c r="G10" s="34" t="n">
        <x:f>SUM(E8:E10)</x:f>
        <x:v>-30</x:v>
      </x:c>
      <x:c r="H10" s="34" t="n">
        <x:f>MAX(0,-MIN(F10,G10))</x:f>
        <x:v>30</x:v>
      </x:c>
      <x:c r="I10" s="2"/>
      <x:c r="J10" s="2"/>
      <x:c r="K10" s="2"/>
      <x:c r="L10" s="2"/>
      <x:c r="M10" s="2"/>
      <x:c r="N10" s="2"/>
    </x:row>
    <x:row r="11" ht="22" customHeight="1">
      <x:c r="A11" s="2" t="str">
        <x:v>Back</x:v>
      </x:c>
      <x:c r="B11" s="39" t="n">
        <x:v>3.5</x:v>
      </x:c>
      <x:c r="C11" s="34" t="n">
        <x:v>10</x:v>
      </x:c>
      <x:c r="D11" s="34" t="n">
        <x:f>IF(A11="Back",C11*(B11-1),-C11*(B11-1))</x:f>
        <x:v>25</x:v>
      </x:c>
      <x:c r="E11" s="34" t="n">
        <x:f>IF(A11="Back",-C11,C11)</x:f>
        <x:v>-10</x:v>
      </x:c>
      <x:c r="F11" s="34" t="n">
        <x:f>SUM(D8:D11)</x:f>
        <x:v>70</x:v>
      </x:c>
      <x:c r="G11" s="34" t="n">
        <x:f>SUM(E8:E11)</x:f>
        <x:v>-40</x:v>
      </x:c>
      <x:c r="H11" s="34" t="n">
        <x:f>MAX(0,-MIN(F11,G11))</x:f>
        <x:v>40</x:v>
      </x:c>
      <x:c r="I11" s="2"/>
      <x:c r="J11" s="2"/>
      <x:c r="K11" s="2"/>
      <x:c r="L11" s="2"/>
      <x:c r="M11" s="2"/>
      <x:c r="N11" s="2"/>
    </x:row>
    <x:row r="12" ht="22" customHeight="1">
      <x:c r="A12" s="2" t="str">
        <x:v>Lay</x:v>
      </x:c>
      <x:c r="B12" s="39" t="n">
        <x:v>1.25</x:v>
      </x:c>
      <x:c r="C12" s="34" t="n">
        <x:v>88</x:v>
      </x:c>
      <x:c r="D12" s="34" t="n">
        <x:f>IF(A12="Back",C12*(B12-1),-C12*(B12-1))</x:f>
        <x:v>-22</x:v>
      </x:c>
      <x:c r="E12" s="34" t="n">
        <x:f>IF(A12="Back",-C12,C12)</x:f>
        <x:v>88</x:v>
      </x:c>
      <x:c r="F12" s="34" t="n">
        <x:f>SUM(D8:D12)</x:f>
        <x:v>48</x:v>
      </x:c>
      <x:c r="G12" s="34" t="n">
        <x:f>SUM(E8:E12)</x:f>
        <x:v>48</x:v>
      </x:c>
      <x:c r="H12" s="34" t="n">
        <x:f>MAX(0,-MIN(F12,G12))</x:f>
        <x:v>0</x:v>
      </x:c>
      <x:c r="I12" s="2"/>
      <x:c r="J12" s="2"/>
      <x:c r="K12" s="2"/>
      <x:c r="L12" s="2"/>
      <x:c r="M12" s="2"/>
      <x:c r="N12" s="2"/>
    </x:row>
    <x:row r="13" ht="22" customHeight="1">
      <x:c r="A13" s="2"/>
      <x:c r="B13" s="2"/>
      <x:c r="C13" s="34" t="str">
        <x:v>Totale lordo</x:v>
      </x:c>
      <x:c r="D13" s="40" t="n">
        <x:f>ROUND(AVERAGE(F12:G12),2)</x:f>
        <x:v>48</x:v>
      </x:c>
      <x:c r="E13" s="34"/>
      <x:c r="F13" s="34" t="str">
        <x:v>Commissione</x:v>
      </x:c>
      <x:c r="G13" s="34" t="n">
        <x:f>ROUND(MAX(0,D13)*0.045,2)</x:f>
        <x:v>2.16</x:v>
      </x:c>
      <x:c r="H13" s="34"/>
      <x:c r="I13" s="2" t="str">
        <x:v>Netto</x:v>
      </x:c>
      <x:c r="J13" s="34" t="n">
        <x:f>D13-G13</x:f>
        <x:v>45.84</x:v>
      </x:c>
      <x:c r="K13" s="2"/>
      <x:c r="L13" s="2"/>
      <x:c r="M13" s="2"/>
      <x:c r="N13" s="2"/>
    </x:row>
    <x:row r="14" ht="22" customHeight="1">
      <x:c r="A14" s="5" t="str">
        <x:v>Diario: Esecuzioni, Chiuso, esito Coperto. Rischio massimo €40. Netto €45,84.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32" t="str">
        <x:v>2. Split Over con uscita in perdita al 76°</x:v>
      </x:c>
      <x:c r="B18" s="32"/>
      <x:c r="C18" s="32"/>
      <x:c r="D18" s="32"/>
      <x:c r="E18" s="32"/>
      <x:c r="F18" s="32"/>
      <x:c r="G18" s="32"/>
      <x:c r="H18" s="32"/>
      <x:c r="I18" s="2"/>
      <x:c r="J18" s="2"/>
      <x:c r="K18" s="2"/>
      <x:c r="L18" s="2"/>
      <x:c r="M18" s="2"/>
      <x:c r="N18" s="2"/>
    </x:row>
    <x:row r="19" ht="40" customHeight="1">
      <x:c r="A19" s="15" t="str">
        <x:v>Lato</x:v>
      </x:c>
      <x:c r="B19" s="16" t="str">
        <x:v>Quota</x:v>
      </x:c>
      <x:c r="C19" s="16" t="str">
        <x:v>Stake €</x:v>
      </x:c>
      <x:c r="D19" s="16" t="str">
        <x:v>P/L se vince €</x:v>
      </x:c>
      <x:c r="E19" s="16" t="str">
        <x:v>P/L se perde €</x:v>
      </x:c>
      <x:c r="F19" s="16" t="str">
        <x:v>Cumulato vince €</x:v>
      </x:c>
      <x:c r="G19" s="16" t="str">
        <x:v>Cumulato perde €</x:v>
      </x:c>
      <x:c r="H19" s="17" t="str">
        <x:v>Rischio residuo €</x:v>
      </x:c>
      <x:c r="I19" s="2"/>
      <x:c r="J19" s="2"/>
      <x:c r="K19" s="2"/>
      <x:c r="L19" s="2"/>
      <x:c r="M19" s="2"/>
      <x:c r="N19" s="2"/>
    </x:row>
    <x:row r="20" ht="22" customHeight="1">
      <x:c r="A20" s="2" t="str">
        <x:v>Back</x:v>
      </x:c>
      <x:c r="B20" s="39" t="n">
        <x:v>2</x:v>
      </x:c>
      <x:c r="C20" s="34" t="n">
        <x:v>10</x:v>
      </x:c>
      <x:c r="D20" s="34" t="n">
        <x:f>IF(A20="Back",C20*(B20-1),-C20*(B20-1))</x:f>
        <x:v>10</x:v>
      </x:c>
      <x:c r="E20" s="34" t="n">
        <x:f>IF(A20="Back",-C20,C20)</x:f>
        <x:v>-10</x:v>
      </x:c>
      <x:c r="F20" s="34" t="n">
        <x:f>SUM(D20:D20)</x:f>
        <x:v>10</x:v>
      </x:c>
      <x:c r="G20" s="34" t="n">
        <x:f>SUM(E20:E20)</x:f>
        <x:v>-10</x:v>
      </x:c>
      <x:c r="H20" s="34" t="n">
        <x:f>MAX(0,-MIN(F20,G20))</x:f>
        <x:v>10</x:v>
      </x:c>
      <x:c r="I20" s="2"/>
      <x:c r="J20" s="2"/>
      <x:c r="K20" s="2"/>
      <x:c r="L20" s="2"/>
      <x:c r="M20" s="2"/>
      <x:c r="N20" s="2"/>
    </x:row>
    <x:row r="21" ht="22" customHeight="1">
      <x:c r="A21" s="2" t="str">
        <x:v>Back</x:v>
      </x:c>
      <x:c r="B21" s="39" t="n">
        <x:v>2.5</x:v>
      </x:c>
      <x:c r="C21" s="34" t="n">
        <x:v>10</x:v>
      </x:c>
      <x:c r="D21" s="34" t="n">
        <x:f>IF(A21="Back",C21*(B21-1),-C21*(B21-1))</x:f>
        <x:v>15</x:v>
      </x:c>
      <x:c r="E21" s="34" t="n">
        <x:f>IF(A21="Back",-C21,C21)</x:f>
        <x:v>-10</x:v>
      </x:c>
      <x:c r="F21" s="34" t="n">
        <x:f>SUM(D20:D21)</x:f>
        <x:v>25</x:v>
      </x:c>
      <x:c r="G21" s="34" t="n">
        <x:f>SUM(E20:E21)</x:f>
        <x:v>-20</x:v>
      </x:c>
      <x:c r="H21" s="34" t="n">
        <x:f>MAX(0,-MIN(F21,G21))</x:f>
        <x:v>20</x:v>
      </x:c>
      <x:c r="I21" s="2"/>
      <x:c r="J21" s="2"/>
      <x:c r="K21" s="2"/>
      <x:c r="L21" s="2"/>
      <x:c r="M21" s="2"/>
      <x:c r="N21" s="2"/>
    </x:row>
    <x:row r="22" ht="22" customHeight="1">
      <x:c r="A22" s="2" t="str">
        <x:v>Back</x:v>
      </x:c>
      <x:c r="B22" s="39" t="n">
        <x:v>3</x:v>
      </x:c>
      <x:c r="C22" s="34" t="n">
        <x:v>10</x:v>
      </x:c>
      <x:c r="D22" s="34" t="n">
        <x:f>IF(A22="Back",C22*(B22-1),-C22*(B22-1))</x:f>
        <x:v>20</x:v>
      </x:c>
      <x:c r="E22" s="34" t="n">
        <x:f>IF(A22="Back",-C22,C22)</x:f>
        <x:v>-10</x:v>
      </x:c>
      <x:c r="F22" s="34" t="n">
        <x:f>SUM(D20:D22)</x:f>
        <x:v>45</x:v>
      </x:c>
      <x:c r="G22" s="34" t="n">
        <x:f>SUM(E20:E22)</x:f>
        <x:v>-30</x:v>
      </x:c>
      <x:c r="H22" s="34" t="n">
        <x:f>MAX(0,-MIN(F22,G22))</x:f>
        <x:v>30</x:v>
      </x:c>
      <x:c r="I22" s="2"/>
      <x:c r="J22" s="2"/>
      <x:c r="K22" s="2"/>
      <x:c r="L22" s="2"/>
      <x:c r="M22" s="2"/>
      <x:c r="N22" s="2"/>
    </x:row>
    <x:row r="23" ht="22" customHeight="1">
      <x:c r="A23" s="2" t="str">
        <x:v>Back</x:v>
      </x:c>
      <x:c r="B23" s="39" t="n">
        <x:v>3.5</x:v>
      </x:c>
      <x:c r="C23" s="34" t="n">
        <x:v>10</x:v>
      </x:c>
      <x:c r="D23" s="34" t="n">
        <x:f>IF(A23="Back",C23*(B23-1),-C23*(B23-1))</x:f>
        <x:v>25</x:v>
      </x:c>
      <x:c r="E23" s="34" t="n">
        <x:f>IF(A23="Back",-C23,C23)</x:f>
        <x:v>-10</x:v>
      </x:c>
      <x:c r="F23" s="34" t="n">
        <x:f>SUM(D20:D23)</x:f>
        <x:v>70</x:v>
      </x:c>
      <x:c r="G23" s="34" t="n">
        <x:f>SUM(E20:E23)</x:f>
        <x:v>-40</x:v>
      </x:c>
      <x:c r="H23" s="34" t="n">
        <x:f>MAX(0,-MIN(F23,G23))</x:f>
        <x:v>40</x:v>
      </x:c>
      <x:c r="I23" s="2"/>
      <x:c r="J23" s="2"/>
      <x:c r="K23" s="2"/>
      <x:c r="L23" s="2"/>
      <x:c r="M23" s="2"/>
      <x:c r="N23" s="2"/>
    </x:row>
    <x:row r="24" ht="22" customHeight="1">
      <x:c r="A24" s="2" t="str">
        <x:v>Lay</x:v>
      </x:c>
      <x:c r="B24" s="39" t="n">
        <x:v>6.875</x:v>
      </x:c>
      <x:c r="C24" s="34" t="n">
        <x:v>16</x:v>
      </x:c>
      <x:c r="D24" s="34" t="n">
        <x:f>IF(A24="Back",C24*(B24-1),-C24*(B24-1))</x:f>
        <x:v>-94</x:v>
      </x:c>
      <x:c r="E24" s="34" t="n">
        <x:f>IF(A24="Back",-C24,C24)</x:f>
        <x:v>16</x:v>
      </x:c>
      <x:c r="F24" s="34" t="n">
        <x:f>SUM(D20:D24)</x:f>
        <x:v>-24</x:v>
      </x:c>
      <x:c r="G24" s="34" t="n">
        <x:f>SUM(E20:E24)</x:f>
        <x:v>-24</x:v>
      </x:c>
      <x:c r="H24" s="34" t="n">
        <x:f>MAX(0,-MIN(F24,G24))</x:f>
        <x:v>24</x:v>
      </x:c>
      <x:c r="I24" s="2"/>
      <x:c r="J24" s="2"/>
      <x:c r="K24" s="2"/>
      <x:c r="L24" s="2"/>
      <x:c r="M24" s="2"/>
      <x:c r="N24" s="2"/>
    </x:row>
    <x:row r="25" ht="22" customHeight="1">
      <x:c r="A25" s="2"/>
      <x:c r="B25" s="2"/>
      <x:c r="C25" s="34" t="str">
        <x:v>Totale lordo</x:v>
      </x:c>
      <x:c r="D25" s="40" t="n">
        <x:f>ROUND(AVERAGE(F24:G24),2)</x:f>
        <x:v>-24</x:v>
      </x:c>
      <x:c r="E25" s="34"/>
      <x:c r="F25" s="34" t="str">
        <x:v>Commissione</x:v>
      </x:c>
      <x:c r="G25" s="34" t="n">
        <x:f>ROUND(MAX(0,D25)*0.045,2)</x:f>
        <x:v>0</x:v>
      </x:c>
      <x:c r="H25" s="34"/>
      <x:c r="I25" s="2" t="str">
        <x:v>Netto</x:v>
      </x:c>
      <x:c r="J25" s="34" t="n">
        <x:f>D25-G25</x:f>
        <x:v>-24</x:v>
      </x:c>
      <x:c r="K25" s="2"/>
      <x:c r="L25" s="2"/>
      <x:c r="M25" s="2"/>
      <x:c r="N25" s="2"/>
    </x:row>
    <x:row r="26" ht="22" customHeight="1">
      <x:c r="A26" s="5" t="str">
        <x:v>Il -€24 è solo questo esempio. Lo stop reale dipende da quote e importi abbinati.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4" customHeight="1">
      <x:c r="A30" s="32" t="str">
        <x:v>3. Lay the Draw con copertura</x:v>
      </x:c>
      <x:c r="B30" s="32"/>
      <x:c r="C30" s="32"/>
      <x:c r="D30" s="32"/>
      <x:c r="E30" s="32"/>
      <x:c r="F30" s="32"/>
      <x:c r="G30" s="32"/>
      <x:c r="H30" s="32"/>
      <x:c r="I30" s="2"/>
      <x:c r="J30" s="2"/>
      <x:c r="K30" s="2"/>
      <x:c r="L30" s="2"/>
      <x:c r="M30" s="2"/>
      <x:c r="N30" s="2"/>
    </x:row>
    <x:row r="31" ht="40" customHeight="1">
      <x:c r="A31" s="15" t="str">
        <x:v>Lato</x:v>
      </x:c>
      <x:c r="B31" s="16" t="str">
        <x:v>Quota</x:v>
      </x:c>
      <x:c r="C31" s="16" t="str">
        <x:v>Stake €</x:v>
      </x:c>
      <x:c r="D31" s="16" t="str">
        <x:v>P/L se vince €</x:v>
      </x:c>
      <x:c r="E31" s="16" t="str">
        <x:v>P/L se perde €</x:v>
      </x:c>
      <x:c r="F31" s="16" t="str">
        <x:v>Cumulato vince €</x:v>
      </x:c>
      <x:c r="G31" s="16" t="str">
        <x:v>Cumulato perde €</x:v>
      </x:c>
      <x:c r="H31" s="17" t="str">
        <x:v>Rischio residuo €</x:v>
      </x:c>
      <x:c r="I31" s="2"/>
      <x:c r="J31" s="2"/>
      <x:c r="K31" s="2"/>
      <x:c r="L31" s="2"/>
      <x:c r="M31" s="2"/>
      <x:c r="N31" s="2"/>
    </x:row>
    <x:row r="32" ht="22" customHeight="1">
      <x:c r="A32" s="2" t="str">
        <x:v>Lay</x:v>
      </x:c>
      <x:c r="B32" s="39" t="n">
        <x:v>3.5</x:v>
      </x:c>
      <x:c r="C32" s="34" t="n">
        <x:v>20</x:v>
      </x:c>
      <x:c r="D32" s="34" t="n">
        <x:f>IF(A32="Back",C32*(B32-1),-C32*(B32-1))</x:f>
        <x:v>-50</x:v>
      </x:c>
      <x:c r="E32" s="34" t="n">
        <x:f>IF(A32="Back",-C32,C32)</x:f>
        <x:v>20</x:v>
      </x:c>
      <x:c r="F32" s="34" t="n">
        <x:f>SUM(D32:D32)</x:f>
        <x:v>-50</x:v>
      </x:c>
      <x:c r="G32" s="34" t="n">
        <x:f>SUM(E32:E32)</x:f>
        <x:v>20</x:v>
      </x:c>
      <x:c r="H32" s="34" t="n">
        <x:f>MAX(0,-MIN(F32,G32))</x:f>
        <x:v>50</x:v>
      </x:c>
      <x:c r="I32" s="2"/>
      <x:c r="J32" s="2"/>
      <x:c r="K32" s="2"/>
      <x:c r="L32" s="2"/>
      <x:c r="M32" s="2"/>
      <x:c r="N32" s="2"/>
    </x:row>
    <x:row r="33" ht="22" customHeight="1">
      <x:c r="A33" s="2" t="str">
        <x:v>Back</x:v>
      </x:c>
      <x:c r="B33" s="39" t="n">
        <x:v>8</x:v>
      </x:c>
      <x:c r="C33" s="34" t="n">
        <x:v>8.75</x:v>
      </x:c>
      <x:c r="D33" s="34" t="n">
        <x:f>IF(A33="Back",C33*(B33-1),-C33*(B33-1))</x:f>
        <x:v>61.25</x:v>
      </x:c>
      <x:c r="E33" s="34" t="n">
        <x:f>IF(A33="Back",-C33,C33)</x:f>
        <x:v>-8.75</x:v>
      </x:c>
      <x:c r="F33" s="34" t="n">
        <x:f>SUM(D32:D33)</x:f>
        <x:v>11.25</x:v>
      </x:c>
      <x:c r="G33" s="34" t="n">
        <x:f>SUM(E32:E33)</x:f>
        <x:v>11.25</x:v>
      </x:c>
      <x:c r="H33" s="34" t="n">
        <x:f>MAX(0,-MIN(F33,G33))</x:f>
        <x:v>0</x:v>
      </x:c>
      <x:c r="I33" s="2"/>
      <x:c r="J33" s="2"/>
      <x:c r="K33" s="2"/>
      <x:c r="L33" s="2"/>
      <x:c r="M33" s="2"/>
      <x:c r="N33" s="2"/>
    </x:row>
    <x:row r="34" ht="22" customHeight="1">
      <x:c r="A34" s="2"/>
      <x:c r="B34" s="2"/>
      <x:c r="C34" s="34" t="str">
        <x:v>Totale lordo</x:v>
      </x:c>
      <x:c r="D34" s="40" t="n">
        <x:f>ROUND(AVERAGE(F33:G33),2)</x:f>
        <x:v>11.25</x:v>
      </x:c>
      <x:c r="E34" s="34"/>
      <x:c r="F34" s="34" t="str">
        <x:v>Commissione</x:v>
      </x:c>
      <x:c r="G34" s="34" t="n">
        <x:f>ROUND(MAX(0,D34)*0.045,2)</x:f>
        <x:v>0.51</x:v>
      </x:c>
      <x:c r="H34" s="34"/>
      <x:c r="I34" s="2" t="str">
        <x:v>Netto</x:v>
      </x:c>
      <x:c r="J34" s="34" t="n">
        <x:f>D34-G34</x:f>
        <x:v>10.74</x:v>
      </x:c>
      <x:c r="K34" s="2"/>
      <x:c r="L34" s="2"/>
      <x:c r="M34" s="2"/>
      <x:c r="N34" s="2"/>
    </x:row>
    <x:row r="35" ht="22" customHeight="1">
      <x:c r="A35" s="5" t="str">
        <x:v>Stake Lay €20, responsabilità €50. Netto finale €10,74.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4" customHeight="1">
      <x:c r="A39" s="32" t="str">
        <x:v>4. Uscita parziale: resta esposizione</x:v>
      </x:c>
      <x:c r="B39" s="32"/>
      <x:c r="C39" s="32"/>
      <x:c r="D39" s="32"/>
      <x:c r="E39" s="32"/>
      <x:c r="F39" s="32"/>
      <x:c r="G39" s="32"/>
      <x:c r="H39" s="32"/>
      <x:c r="I39" s="2"/>
      <x:c r="J39" s="2"/>
      <x:c r="K39" s="2"/>
      <x:c r="L39" s="2"/>
      <x:c r="M39" s="2"/>
      <x:c r="N39" s="2"/>
    </x:row>
    <x:row r="40" ht="40" customHeight="1">
      <x:c r="A40" s="15" t="str">
        <x:v>Lato</x:v>
      </x:c>
      <x:c r="B40" s="16" t="str">
        <x:v>Quota</x:v>
      </x:c>
      <x:c r="C40" s="16" t="str">
        <x:v>Stake €</x:v>
      </x:c>
      <x:c r="D40" s="16" t="str">
        <x:v>P/L se vince €</x:v>
      </x:c>
      <x:c r="E40" s="16" t="str">
        <x:v>P/L se perde €</x:v>
      </x:c>
      <x:c r="F40" s="16" t="str">
        <x:v>Cumulato vince €</x:v>
      </x:c>
      <x:c r="G40" s="16" t="str">
        <x:v>Cumulato perde €</x:v>
      </x:c>
      <x:c r="H40" s="17" t="str">
        <x:v>Rischio residuo €</x:v>
      </x:c>
      <x:c r="I40" s="2"/>
      <x:c r="J40" s="2"/>
      <x:c r="K40" s="2"/>
      <x:c r="L40" s="2"/>
      <x:c r="M40" s="2"/>
      <x:c r="N40" s="2"/>
    </x:row>
    <x:row r="41" ht="22" customHeight="1">
      <x:c r="A41" s="2" t="str">
        <x:v>Back</x:v>
      </x:c>
      <x:c r="B41" s="39" t="n">
        <x:v>2.5</x:v>
      </x:c>
      <x:c r="C41" s="34" t="n">
        <x:v>40</x:v>
      </x:c>
      <x:c r="D41" s="34" t="n">
        <x:f>IF(A41="Back",C41*(B41-1),-C41*(B41-1))</x:f>
        <x:v>60</x:v>
      </x:c>
      <x:c r="E41" s="34" t="n">
        <x:f>IF(A41="Back",-C41,C41)</x:f>
        <x:v>-40</x:v>
      </x:c>
      <x:c r="F41" s="34" t="n">
        <x:f>SUM(D41:D41)</x:f>
        <x:v>60</x:v>
      </x:c>
      <x:c r="G41" s="34" t="n">
        <x:f>SUM(E41:E41)</x:f>
        <x:v>-40</x:v>
      </x:c>
      <x:c r="H41" s="34" t="n">
        <x:f>MAX(0,-MIN(F41,G41))</x:f>
        <x:v>40</x:v>
      </x:c>
      <x:c r="I41" s="2"/>
      <x:c r="J41" s="2"/>
      <x:c r="K41" s="2"/>
      <x:c r="L41" s="2"/>
      <x:c r="M41" s="2"/>
      <x:c r="N41" s="2"/>
    </x:row>
    <x:row r="42" ht="22" customHeight="1">
      <x:c r="A42" s="2" t="str">
        <x:v>Lay</x:v>
      </x:c>
      <x:c r="B42" s="39" t="n">
        <x:v>1.5</x:v>
      </x:c>
      <x:c r="C42" s="34" t="n">
        <x:v>20</x:v>
      </x:c>
      <x:c r="D42" s="34" t="n">
        <x:f>IF(A42="Back",C42*(B42-1),-C42*(B42-1))</x:f>
        <x:v>-10</x:v>
      </x:c>
      <x:c r="E42" s="34" t="n">
        <x:f>IF(A42="Back",-C42,C42)</x:f>
        <x:v>20</x:v>
      </x:c>
      <x:c r="F42" s="34" t="n">
        <x:f>SUM(D41:D42)</x:f>
        <x:v>50</x:v>
      </x:c>
      <x:c r="G42" s="34" t="n">
        <x:f>SUM(E41:E42)</x:f>
        <x:v>-20</x:v>
      </x:c>
      <x:c r="H42" s="34" t="n">
        <x:f>MAX(0,-MIN(F42,G42))</x:f>
        <x:v>20</x:v>
      </x:c>
      <x:c r="I42" s="2"/>
      <x:c r="J42" s="2"/>
      <x:c r="K42" s="2"/>
      <x:c r="L42" s="2"/>
      <x:c r="M42" s="2"/>
      <x:c r="N42" s="2"/>
    </x:row>
    <x:row r="43" ht="22" customHeight="1">
      <x:c r="A43" s="2"/>
      <x:c r="B43" s="2"/>
      <x:c r="C43" s="34" t="str">
        <x:v>Totale lordo</x:v>
      </x:c>
      <x:c r="D43" s="40" t="n">
        <x:f>F42</x:f>
        <x:v>50</x:v>
      </x:c>
      <x:c r="E43" s="34"/>
      <x:c r="F43" s="34" t="str">
        <x:v>Commissione</x:v>
      </x:c>
      <x:c r="G43" s="34" t="n">
        <x:f>ROUND(MAX(0,D43)*0.045,2)</x:f>
        <x:v>2.25</x:v>
      </x:c>
      <x:c r="H43" s="34"/>
      <x:c r="I43" s="2" t="str">
        <x:v>Netto</x:v>
      </x:c>
      <x:c r="J43" s="34" t="n">
        <x:f>D43-G43</x:f>
        <x:v>47.75</x:v>
      </x:c>
      <x:c r="K43" s="2"/>
      <x:c r="L43" s="2"/>
      <x:c r="M43" s="2"/>
      <x:c r="N43" s="2"/>
    </x:row>
    <x:row r="44" ht="22" customHeight="1">
      <x:c r="A44" s="5" t="str">
        <x:v>Prima del regolamento resta Aperto. Rischio residuo €20. Se la selezione vince: netto €47,75.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4" customHeight="1">
      <x:c r="A49" s="32" t="str">
        <x:v>5. Inserimento rapido da estratto conto</x:v>
      </x:c>
      <x:c r="B49" s="32"/>
      <x:c r="C49" s="32"/>
      <x:c r="D49" s="32"/>
      <x:c r="E49" s="32"/>
      <x:c r="F49" s="32"/>
      <x:c r="G49" s="32"/>
      <x:c r="H49" s="32"/>
      <x:c r="I49" s="2"/>
      <x:c r="J49" s="2"/>
      <x:c r="K49" s="2"/>
      <x:c r="L49" s="2"/>
      <x:c r="M49" s="2"/>
      <x:c r="N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2" customHeight="1">
      <x:c r="A51" s="2" t="str">
        <x:v>Modalità</x:v>
      </x:c>
      <x:c r="B51" s="2"/>
      <x:c r="C51" s="2"/>
      <x:c r="D51" s="2" t="str">
        <x:v>Netto manuale</x:v>
      </x:c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2" customHeight="1">
      <x:c r="A52" s="2" t="str">
        <x:v>Rischio manuale (€)</x:v>
      </x:c>
      <x:c r="B52" s="2"/>
      <x:c r="C52" s="2"/>
      <x:c r="D52" s="34" t="n">
        <x:v>40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2" customHeight="1">
      <x:c r="A53" s="2" t="str">
        <x:v>Risultato manuale netto (€)</x:v>
      </x:c>
      <x:c r="B53" s="2"/>
      <x:c r="C53" s="2"/>
      <x:c r="D53" s="34" t="n">
        <x:v>10</x:v>
      </x:c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2" customHeight="1">
      <x:c r="A54" s="2" t="str">
        <x:v>Commissione effettiva (€)</x:v>
      </x:c>
      <x:c r="B54" s="2"/>
      <x:c r="C54" s="2"/>
      <x:c r="D54" s="34" t="n">
        <x:v>0.47</x:v>
      </x:c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2" customHeight="1">
      <x:c r="A55" s="2" t="str">
        <x:v>P/L lordo ricostruito (€)</x:v>
      </x:c>
      <x:c r="B55" s="2"/>
      <x:c r="C55" s="2"/>
      <x:c r="D55" s="34" t="n">
        <x:f>D53+D54</x:f>
        <x:v>10.47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2" customHeight="1">
      <x:c r="A57" s="5" t="str">
        <x:v>Se inserisci un risultato già netto, seleziona Netto manuale e scrivi la commissione effettiva, anche se zero.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292A6"/>
  </x:sheetPr>
  <x:sheetViews>
    <x:sheetView showGridLines="0" workbookViewId="0"/>
  </x:sheetViews>
  <x:sheetFormatPr defaultRowHeight="15"/>
  <x:cols>
    <x:col min="1" max="1" width="5" hidden="0" customWidth="1"/>
    <x:col min="2" max="2" width="40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9" customHeight="1">
      <x:c r="A2" s="3" t="str">
        <x:v>Guida al registro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2" customHeight="1">
      <x:c r="A4" s="5" t="str">
        <x:v>Modello senza macro. Inserimento manuale, senza collegamenti automatici all’exchange.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32" t="str">
        <x:v>Per iniziare</x:v>
      </x:c>
      <x:c r="C6" s="32"/>
      <x:c r="D6" s="32"/>
      <x:c r="E6" s="32"/>
      <x:c r="F6" s="32"/>
      <x:c r="G6" s="32"/>
      <x:c r="H6" s="32"/>
      <x:c r="I6" s="32"/>
      <x:c r="J6" s="32"/>
      <x:c r="K6" s="32"/>
      <x:c r="L6" s="32"/>
    </x:row>
    <x:row r="7" ht="34" customHeight="1">
      <x:c r="A7" s="2"/>
      <x:c r="B7" s="41" t="str">
        <x:v>1. Inserisci il bankroll in Impostazioni B6. Controlla soglia personale, commissione ed elenchi.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</x:row>
    <x:row r="8" ht="34" customHeight="1">
      <x:c r="A8" s="2"/>
      <x:c r="B8" s="41" t="str">
        <x:v>2. Nel Diario usa un ID fisso univoco, ad esempio C0001, e compila evento, lega, strategia, conto e date.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</x:row>
    <x:row r="9" ht="34" customHeight="1">
      <x:c r="A9" s="2"/>
      <x:c r="B9" s="41" t="str">
        <x:v>3. Usa una campagna per mercato e conto. Riunisci nello stesso ID split, uscite parziali e rientri sullo stesso mercato.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1"/>
    </x:row>
    <x:row r="10" ht="34" customHeight="1">
      <x:c r="A10" s="2"/>
      <x:c r="B10" s="41" t="str">
        <x:v>4. Per un mercato diverso crea un altro ID. Se usi più selezioni dello stesso mercato, registra il risultato effettivo in modalità manuale.</x:v>
      </x:c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</x:row>
    <x:row r="11" ht="24" customHeight="1">
      <x:c r="A11" s="2"/>
      <x:c r="B11" s="32" t="str">
        <x:v>Lordo manuale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</x:row>
    <x:row r="12" ht="34" customHeight="1">
      <x:c r="A12" s="2"/>
      <x:c r="B12" s="41" t="str">
        <x:v>Inserisci rischio massimo e risultato lordo. La commissione è calcolata, oppure usa quella effettiva del rendiconto.</x:v>
      </x:c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</x:row>
    <x:row r="13" ht="24" customHeight="1">
      <x:c r="A13" s="2"/>
      <x:c r="B13" s="32" t="str">
        <x:v>Netto manuale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</x:row>
    <x:row r="14" ht="34" customHeight="1">
      <x:c r="A14" s="2"/>
      <x:c r="B14" s="41" t="str">
        <x:v>Inserisci rischio massimo, risultato già netto e commissione effettiva, anche zero. Il lordo è netto + commissione.</x:v>
      </x:c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</x:row>
    <x:row r="15" ht="24" customHeight="1">
      <x:c r="A15" s="2"/>
      <x:c r="B15" s="32" t="str">
        <x:v>Esecuzioni</x:v>
      </x:c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</x:row>
    <x:row r="16" ht="34" customHeight="1">
      <x:c r="A16" s="2"/>
      <x:c r="B16" s="41" t="str">
        <x:v>Inserisci ogni Back o Lay realmente abbinato nel foglio Esecuzioni. Numerazione progressiva univoca dentro ogni ID.</x:v>
      </x:c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</x:row>
    <x:row r="17" ht="34" customHeight="1">
      <x:c r="A17" s="2"/>
      <x:c r="B17" s="41" t="str">
        <x:v>Quota e stake devono essere i valori eseguiti. Ordini non abbinati o cancellati non vanno registrati come eseguiti.</x:v>
      </x:c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</x:row>
    <x:row r="18" ht="34" customHeight="1">
      <x:c r="A18" s="2"/>
      <x:c r="B18" s="41" t="str">
        <x:v>Ogni ID ricostruito supporta un solo contratto con due esiti: la medesima selezione vince oppure perde.</x:v>
      </x:c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</x:row>
    <x:row r="19" ht="34" customHeight="1">
      <x:c r="A19" s="2"/>
      <x:c r="B19" s="41" t="str">
        <x:v>Mercati asiatici, mezze vincite, commissioni speciali e regolamenti particolari richiedono una modalità manuale.</x:v>
      </x:c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</x:row>
    <x:row r="20" ht="24" customHeight="1">
      <x:c r="A20" s="2"/>
      <x:c r="B20" s="32" t="str">
        <x:v>Chiusura e regolamento</x:v>
      </x:c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</x:row>
    <x:row r="21" ht="34" customHeight="1">
      <x:c r="A21" s="2"/>
      <x:c r="B21" s="41" t="str">
        <x:v>Chiuso: il risultato è definitivo. Inserisci la data/ora di chiusura o di regolamento scelta con coerenza.</x:v>
      </x:c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</x:row>
    <x:row r="22" ht="34" customHeight="1">
      <x:c r="A22" s="2"/>
      <x:c r="B22" s="41" t="str">
        <x:v>Esito Vince o Perde si riferisce alla selezione, anche quando l’ingresso è Lay. Per LTD la selezione è il pareggio.</x:v>
      </x:c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</x:row>
    <x:row r="23" ht="34" customHeight="1">
      <x:c r="A23" s="2"/>
      <x:c r="B23" s="41" t="str">
        <x:v>Esito Coperto: i due risultati coincidono entro la tolleranza impostata. Si usa la media, arrotondata ai centesimi.</x:v>
      </x:c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</x:row>
    <x:row r="24" ht="34" customHeight="1">
      <x:c r="A24" s="2"/>
      <x:c r="B24" s="41" t="str">
        <x:v>Con un’uscita parziale e risultati diversi, lascia Aperto fino al regolamento oppure usa il risultato effettivo documentato.</x:v>
      </x:c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</x:row>
    <x:row r="25" ht="34" customHeight="1">
      <x:c r="A25" s="2"/>
      <x:c r="B25" s="41" t="str">
        <x:v>Annullato azzera P/L e commissioni ed esclude il record da strike rate, serie e conteggio chiuse.</x:v>
      </x:c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</x:row>
    <x:row r="26" ht="24" customHeight="1">
      <x:c r="A26" s="2"/>
      <x:c r="B26" s="32" t="str">
        <x:v>Commissione</x:v>
      </x:c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</x:row>
    <x:row r="27" ht="34" customHeight="1">
      <x:c r="A27" s="2"/>
      <x:c r="B27" s="41" t="str">
        <x:v>L’automatismo considera il profitto complessivo positivo della campagna. Una campagna deve contenere l’intero mercato.</x:v>
      </x:c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</x:row>
    <x:row r="28" ht="34" customHeight="1">
      <x:c r="A28" s="2"/>
      <x:c r="B28" s="41" t="str">
        <x:v>Riunisci le strategie sullo stesso mercato sotto un’unica categoria, oppure usa un risultato/commissione effettivi riconciliati.</x:v>
      </x:c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</x:row>
    <x:row r="29" ht="34" customHeight="1">
      <x:c r="A29" s="2"/>
      <x:c r="B29" s="41" t="str">
        <x:v>Commissione effettiva sostituisce il calcolo: zero è un valore valido. L’aliquota specifica sostituisce quella standard.</x:v>
      </x:c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</x:row>
    <x:row r="30" ht="34" customHeight="1">
      <x:c r="A30" s="2"/>
      <x:c r="B30" s="41" t="str">
        <x:v>Il rendiconto dell’exchange prevale sul calcolo stimato. Altri costi e abbonamenti vanno in Cassa come Costo.</x:v>
      </x:c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</x:row>
    <x:row r="31" ht="24" customHeight="1">
      <x:c r="A31" s="2"/>
      <x:c r="B31" s="32" t="str">
        <x:v>Rischio e bankroll</x:v>
      </x:c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 ht="34" customHeight="1">
      <x:c r="A32" s="2"/>
      <x:c r="B32" s="41" t="str">
        <x:v>Back: stake a rischio. Lay: responsabilità = stake × (quota − 1). Il log ricostruisce il rischio dopo ogni esecuzione.</x:v>
      </x:c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</x:row>
    <x:row r="33" ht="34" customHeight="1">
      <x:c r="A33" s="2"/>
      <x:c r="B33" s="41" t="str">
        <x:v>Rischio massimo = maggiore perdita potenziale della campagna nel percorso degli ordini. In manuale inseriscilo tu.</x:v>
      </x:c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</x:row>
    <x:row r="34" ht="42" customHeight="1">
      <x:c r="A34" s="2"/>
      <x:c r="B34" s="41" t="str">
        <x:v>Rischio aperto = perdita residua. In manuale usa il rischio indicato; il prefisso FREEBET: nelle note azzera il residuo di una copertura senza rischio.</x:v>
      </x:c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</x:row>
    <x:row r="35" ht="34" customHeight="1">
      <x:c r="A35" s="2"/>
      <x:c r="B35" s="41" t="str">
        <x:v>La somma dei rischi aperti è indicativa: non compensa correlazioni o mercati. Non è il saldo disponibile dell’exchange.</x:v>
      </x:c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</x:row>
    <x:row r="36" ht="34" customHeight="1">
      <x:c r="A36" s="2"/>
      <x:c r="B36" s="41" t="str">
        <x:v>Bankroll contabile = capitale iniziale + P/L chiusi + versamenti + rimborsi − prelievi − costi. Nessun mark-to-market sugli aperti.</x:v>
      </x:c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</x:row>
    <x:row r="37" ht="34" customHeight="1">
      <x:c r="A37" s="2"/>
      <x:c r="B37" s="41" t="str">
        <x:v>Bankroll apertura usa risultati chiusi prima dell’apertura e flussi fino all’apertura. Più conti sono aggregati in EUR.</x:v>
      </x:c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</x:row>
    <x:row r="38" ht="24" customHeight="1">
      <x:c r="A38" s="2"/>
      <x:c r="B38" s="32" t="str">
        <x:v>Statistiche</x:v>
      </x:c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 ht="34" customHeight="1">
      <x:c r="A39" s="2"/>
      <x:c r="B39" s="41" t="str">
        <x:v>Rendimento sul rischio = P/L netto / somma dei rischi massimi delle campagne chiuse. Non è un rendimento annualizzato.</x:v>
      </x:c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</x:row>
    <x:row r="40" ht="34" customHeight="1">
      <x:c r="A40" s="2"/>
      <x:c r="B40" s="41" t="str">
        <x:v>Strike rate = green / (green + red). Flat e annullati sono esclusi. Profit factor = somma green / valore assoluto della somma red.</x:v>
      </x:c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</x:row>
    <x:row r="41" ht="34" customHeight="1">
      <x:c r="A41" s="2"/>
      <x:c r="B41" s="41" t="str">
        <x:v>SR pareggio osservato = perdita media assoluta / (green medio + perdita media assoluta). Usa solo gli importi osservati.</x:v>
      </x:c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</x:row>
    <x:row r="42" ht="34" customHeight="1">
      <x:c r="A42" s="2"/>
      <x:c r="B42" s="41" t="str">
        <x:v>Drawdown = picco precedente del P/L cumulato − P/L cumulato, includendo il punto iniziale a zero.</x:v>
      </x:c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</x:row>
    <x:row r="43" ht="34" customHeight="1">
      <x:c r="A43" s="2"/>
      <x:c r="B43" s="41" t="str">
        <x:v>Drawdown % usa capitale iniziale + picco di profitto. Depositi, prelievi e costi operativi restano fuori dalla curva dei trade.</x:v>
      </x:c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</x:row>
    <x:row r="44" ht="34" customHeight="1">
      <x:c r="A44" s="2"/>
      <x:c r="B44" s="41" t="str">
        <x:v>Chiusure con stesso timestamp sono ordinate per ID crescente. Flat interrompe entrambe le serie. L’ordinamento delle righe non cambia i calcoli.</x:v>
      </x:c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</x:row>
    <x:row r="45" ht="34" customHeight="1">
      <x:c r="A45" s="2"/>
      <x:c r="B45" s="41" t="str">
        <x:v>Il report mensile usa la data di chiusura e l’anno in Impostazioni. I grafici non proiettano risultati futuri.</x:v>
      </x:c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</x:row>
    <x:row r="46" ht="42" customHeight="1">
      <x:c r="A46" s="2"/>
      <x:c r="B46" s="41" t="str">
        <x:v>Strategie univoche negli elenchi. Leghe libere: Analisi riepiloga le prime 30 distinte del Diario; i totali includono tutte. La soglia campione è un promemoria.</x:v>
      </x:c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</x:row>
    <x:row r="47" ht="24" customHeight="1">
      <x:c r="A47" s="2"/>
      <x:c r="B47" s="32" t="str">
        <x:v>Capacità e utilizzo</x:v>
      </x:c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 ht="34" customHeight="1">
      <x:c r="A48" s="2"/>
      <x:c r="B48" s="41" t="str">
        <x:v>500 campagne, 1.000 esecuzioni e 300 movimenti già predisposti. Non superare queste righe senza estendere formule, elenchi e riepiloghi.</x:v>
      </x:c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</x:row>
    <x:row r="49" ht="34" customHeight="1">
      <x:c r="A49" s="2"/>
      <x:c r="B49" s="41" t="str">
        <x:v>Usa i filtri del Diario per trovare strategia, lega, stato o errore. I filtri di tabella non restringono le statistiche della Dashboard.</x:v>
      </x:c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</x:row>
    <x:row r="50" ht="34" customHeight="1">
      <x:c r="A50" s="2"/>
      <x:c r="B50" s="41" t="str">
        <x:v>Scrivi solo nelle celle gialle. Le formule non sono protette, per consentire modifiche. Mantieni gli ID come testo e non riutilizzarli.</x:v>
      </x:c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</x:row>
    <x:row r="51" ht="34" customHeight="1">
      <x:c r="A51" s="2"/>
      <x:c r="B51" s="41" t="str">
        <x:v>Le date devono essere vere date Excel. Per i recuperi puoi usare 45, 46… oppure 90, 91… mantenendo la convenzione nelle note.</x:v>
      </x:c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</x:row>
    <x:row r="52" ht="34" customHeight="1">
      <x:c r="A52" s="2"/>
      <x:c r="B52" s="41" t="str">
        <x:v>Le metriche vengono ricalcolate da Excel. App mobile e visualizzatori possono mostrare meno funzioni di filtro o grafico.</x:v>
      </x:c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</x:row>
    <x:row r="53" ht="24" customHeight="1">
      <x:c r="A53" s="2"/>
      <x:c r="B53" s="32" t="str">
        <x:v>Dati e fonti</x:v>
      </x:c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 ht="34" customHeight="1">
      <x:c r="A54" s="2"/>
      <x:c r="B54" s="41" t="str">
        <x:v>Il registro parte vuoto. Gli esempi sono costruiti solo per illustrare le formule e non sono risultati del tuo storico.</x:v>
      </x:c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</x:row>
    <x:row r="55" ht="34" customHeight="1">
      <x:c r="A55" s="2"/>
      <x:c r="B55" s="41" t="str">
        <x:v>Commissioni: Betfair Italia, https://www.betfair.it/aboutUs/commissioni/ — consultata il 16/10/2026.</x:v>
      </x:c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</x:row>
    <x:row r="56" ht="34" customHeight="1">
      <x:c r="A56" s="2"/>
      <x:c r="B56" s="41" t="str">
        <x:v>I risultati economici del log includono le commissioni inserite. Non calcolano eventuali imposte o addebiti non registrati.</x:v>
      </x:c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</x:sheetData>
  <x:mergeCells>
    <x:mergeCell ref="B7:L7"/>
    <x:mergeCell ref="B8:L8"/>
    <x:mergeCell ref="B9:L9"/>
    <x:mergeCell ref="B10:L10"/>
    <x:mergeCell ref="B12:L12"/>
    <x:mergeCell ref="B14:L14"/>
    <x:mergeCell ref="B16:L16"/>
    <x:mergeCell ref="B17:L17"/>
    <x:mergeCell ref="B18:L18"/>
    <x:mergeCell ref="B19:L19"/>
    <x:mergeCell ref="B21:L21"/>
    <x:mergeCell ref="B22:L22"/>
    <x:mergeCell ref="B23:L23"/>
    <x:mergeCell ref="B24:L24"/>
    <x:mergeCell ref="B25:L25"/>
    <x:mergeCell ref="B27:L27"/>
    <x:mergeCell ref="B28:L28"/>
    <x:mergeCell ref="B29:L29"/>
    <x:mergeCell ref="B30:L30"/>
    <x:mergeCell ref="B32:L32"/>
    <x:mergeCell ref="B33:L33"/>
    <x:mergeCell ref="B34:L34"/>
    <x:mergeCell ref="B35:L35"/>
    <x:mergeCell ref="B36:L36"/>
    <x:mergeCell ref="B37:L37"/>
    <x:mergeCell ref="B39:L39"/>
    <x:mergeCell ref="B40:L40"/>
    <x:mergeCell ref="B41:L41"/>
    <x:mergeCell ref="B42:L42"/>
    <x:mergeCell ref="B43:L43"/>
    <x:mergeCell ref="B44:L44"/>
    <x:mergeCell ref="B45:L45"/>
    <x:mergeCell ref="B46:L46"/>
    <x:mergeCell ref="B48:L48"/>
    <x:mergeCell ref="B49:L49"/>
    <x:mergeCell ref="B50:L50"/>
    <x:mergeCell ref="B51:L51"/>
    <x:mergeCell ref="B52:L52"/>
    <x:mergeCell ref="B54:L54"/>
    <x:mergeCell ref="B55:L55"/>
    <x:mergeCell ref="B56:L56"/>
  </x:mergeCells>
  <x:pageMargins left="0.7" right="0.7" top="0.75" bottom="0.75" header="0.3" footer="0.3"/>
</x:worksheet>
</file>